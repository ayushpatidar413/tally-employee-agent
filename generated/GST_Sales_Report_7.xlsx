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2" headerRowCount="1">
  <autoFilter ref="A2:G2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9">
        <f>SUMIF('Sale Invoices'!J:J,A3,'Sale Invoices'!P:P)</f>
        <v/>
      </c>
      <c r="E3" s="9">
        <f>SUMIF('Sale Invoices'!J:J,A3,'Sale Invoices'!U:U)</f>
        <v/>
      </c>
      <c r="F3" s="9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9">
        <f>SUMIF('Sale Invoices'!C:C,A3,'Sale Invoices'!P:P)</f>
        <v/>
      </c>
      <c r="G3" s="9">
        <f>SUMIF('Sale Invoices'!C:C,A3,'Sale Invoices'!U:U)</f>
        <v/>
      </c>
      <c r="H3" s="9">
        <f>SUMIF('Sale Invoices'!C:C,A3,'Sale Invoices'!V:V)</f>
        <v/>
      </c>
      <c r="I3" s="9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10">
        <f>IFERROR(INDEX('Sale Invoices'!Q:Q,MATCH(A3,'Sale Invoices'!H:H,0)),0)</f>
        <v/>
      </c>
      <c r="D3">
        <f>SUMIF('Sale Invoices'!H:H,A3,'Sale Invoices'!K:K)</f>
        <v/>
      </c>
      <c r="E3" s="9">
        <f>SUMIF('Sale Invoices'!H:H,A3,'Sale Invoices'!P:P)</f>
        <v/>
      </c>
      <c r="F3" s="9">
        <f>SUMIF('Sale Invoices'!H:H,A3,'Sale Invoices'!U:U)</f>
        <v/>
      </c>
      <c r="G3" s="9">
        <f>SUMIF('Sale Invoices'!H:H,A3,'Sale Invoices'!V:V)</f>
        <v/>
      </c>
      <c r="H3" s="9">
        <f>SUMIF('Sale Invoices'!H:H,A3,'Sale Invoices'!X:X)</f>
        <v/>
      </c>
      <c r="I3" s="10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9">
        <f>SUMIF('Sale Invoices'!Y:Y,A3,'Sale Invoices'!V:V)</f>
        <v/>
      </c>
      <c r="D3" s="10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9">
        <f>SUMIF('Sale Invoices'!Y:Y,A4,'Sale Invoices'!V:V)</f>
        <v/>
      </c>
      <c r="D4" s="10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9">
        <f>SUMPRODUCT((LEFT('Sale Invoices'!B:B,7)="2026-09")*'Sale Invoices'!P:P)</f>
        <v/>
      </c>
      <c r="D3" s="9">
        <f>SUMPRODUCT((LEFT('Sale Invoices'!B:B,7)="2026-09")*'Sale Invoices'!U:U)</f>
        <v/>
      </c>
      <c r="E3" s="9">
        <f>SUMPRODUCT((LEFT('Sale Invoices'!B:B,7)="2026-09")*'Sale Invoices'!V:V)</f>
        <v/>
      </c>
      <c r="F3" s="9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2026-09-23T09:29:02Z</dcterms:created>
  <dcterms:modified xmlns:dcterms="http://purl.org/dc/terms/" xmlns:xsi="http://www.w3.org/2001/XMLSchema-instance" xsi:type="dcterms:W3CDTF">2026-09-23T09:29:02Z</dcterms:modified>
</cp:coreProperties>
</file>