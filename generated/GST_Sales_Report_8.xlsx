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Summary" sheetId="1" state="visible" r:id="rId1"/>
    <sheet xmlns:r="http://schemas.openxmlformats.org/officeDocument/2006/relationships" name="Sale Invoice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HSN Summary" sheetId="4" state="visible" r:id="rId4"/>
    <sheet xmlns:r="http://schemas.openxmlformats.org/officeDocument/2006/relationships" name="Party-wise Ledger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Payment Mode Summary" sheetId="7" state="visible" r:id="rId7"/>
    <sheet xmlns:r="http://schemas.openxmlformats.org/officeDocument/2006/relationships" name="Monthly 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Summary'!$G$3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Summary'!$H$3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Payment Mode</a:t>
            </a:r>
          </a:p>
        </rich>
      </tx>
    </title>
    <plotArea>
      <pieChart>
        <varyColors val="1"/>
        <ser>
          <idx val="0"/>
          <order val="0"/>
          <tx>
            <strRef>
              <f>'Payment Mode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Mode Summary'!$A$3:$A$4</f>
            </numRef>
          </cat>
          <val>
            <numRef>
              <f>'Payment Mode Summary'!$C$3:$C$4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Invoice Value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</f>
            </numRef>
          </cat>
          <val>
            <numRef>
              <f>'Monthly Trend'!$E$3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InvoicesTable" displayName="SaleInvoicesTable" ref="A2:Y4" headerRowCount="1">
  <autoFilter ref="A2:Y4"/>
  <tableColumns count="25">
    <tableColumn id="1" name="Invoice No."/>
    <tableColumn id="2" name="Date"/>
    <tableColumn id="3" name="Party Name"/>
    <tableColumn id="4" name="Party Type"/>
    <tableColumn id="5" name="GSTIN"/>
    <tableColumn id="6" name="Party State"/>
    <tableColumn id="7" name="Inter-State (Y/N)"/>
    <tableColumn id="8" name="Category"/>
    <tableColumn id="9" name="Product"/>
    <tableColumn id="10" name="HSN/SAC Code"/>
    <tableColumn id="11" name="Qty"/>
    <tableColumn id="12" name="Unit Price"/>
    <tableColumn id="13" name="Gross Amount"/>
    <tableColumn id="14" name="Discount %"/>
    <tableColumn id="15" name="Discount Amt"/>
    <tableColumn id="16" name="Taxable Amount"/>
    <tableColumn id="17" name="GST Rate"/>
    <tableColumn id="18" name="CGST"/>
    <tableColumn id="19" name="SGST"/>
    <tableColumn id="20" name="IGST"/>
    <tableColumn id="21" name="Total GST"/>
    <tableColumn id="22" name="Invoice Total"/>
    <tableColumn id="23" name="Cost"/>
    <tableColumn id="24" name="Profit"/>
    <tableColumn id="25" name="Payment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STSummaryTable" displayName="GSTSummaryTable" ref="A2:G3" headerRowCount="1">
  <autoFilter ref="A2:G3"/>
  <tableColumns count="7">
    <tableColumn id="1" name="GST Rate"/>
    <tableColumn id="2" name="Taxable Value"/>
    <tableColumn id="3" name="CGST"/>
    <tableColumn id="4" name="SGST"/>
    <tableColumn id="5" name="IGST"/>
    <tableColumn id="6" name="Total GST"/>
    <tableColumn id="7" name="Invoice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rtyLedgerTable" displayName="PartyLedgerTable" ref="A2:I3" headerRowCount="1">
  <autoFilter ref="A2:I3"/>
  <tableColumns count="9">
    <tableColumn id="1" name="Party Name"/>
    <tableColumn id="2" name="Type"/>
    <tableColumn id="3" name="GSTIN"/>
    <tableColumn id="4" name="State"/>
    <tableColumn id="5" name="Invoice Count"/>
    <tableColumn id="6" name="Taxable Value"/>
    <tableColumn id="7" name="GST"/>
    <tableColumn id="8" name="Invoice Value"/>
    <tableColumn id="9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SummaryTable" displayName="CategorySummaryTable" ref="A2:I3" headerRowCount="1">
  <autoFilter ref="A2:I3"/>
  <tableColumns count="9">
    <tableColumn id="1" name="Category"/>
    <tableColumn id="2" name="HSN"/>
    <tableColumn id="3" name="GST Rate"/>
    <tableColumn id="4" name="Qty Sold"/>
    <tableColumn id="5" name="Taxable Value"/>
    <tableColumn id="6" name="GST"/>
    <tableColumn id="7" name="Invoice Value"/>
    <tableColumn id="8" name="Profit"/>
    <tableColumn id="9" name="Margi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ModeSummaryTable" displayName="PaymentModeSummaryTable" ref="A2:D4" headerRowCount="1">
  <autoFilter ref="A2:D4"/>
  <tableColumns count="4">
    <tableColumn id="1" name="Payment Mode"/>
    <tableColumn id="2" name="Invoice Count"/>
    <tableColumn id="3" name="Invoice Value"/>
    <tableColumn id="4" name="% of 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TrendTable" displayName="MonthlyTrendTable" ref="A2:F3" headerRowCount="1">
  <autoFilter ref="A2:F3"/>
  <tableColumns count="6">
    <tableColumn id="1" name="Month"/>
    <tableColumn id="2" name="Invoices"/>
    <tableColumn id="3" name="Taxable Value"/>
    <tableColumn id="4" name="GST"/>
    <tableColumn id="5" name="Invoice Value"/>
    <tableColumn id="6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Business Summary — GST Sales Dashboard</t>
        </is>
      </c>
    </row>
    <row r="2"/>
    <row r="3">
      <c r="A3" s="2" t="inlineStr">
        <is>
          <t>Business Name</t>
        </is>
      </c>
      <c r="B3" s="3" t="inlineStr">
        <is>
          <t>Accessories Business</t>
        </is>
      </c>
    </row>
    <row r="4">
      <c r="A4" s="2" t="inlineStr">
        <is>
          <t>GSTIN</t>
        </is>
      </c>
      <c r="B4" s="3" t="inlineStr">
        <is>
          <t>N/A</t>
        </is>
      </c>
    </row>
    <row r="5">
      <c r="A5" s="2" t="inlineStr">
        <is>
          <t>Financial Year</t>
        </is>
      </c>
      <c r="B5" s="3" t="inlineStr">
        <is>
          <t>FY 2026-27</t>
        </is>
      </c>
    </row>
    <row r="6"/>
    <row r="7" ht="32" customHeight="1">
      <c r="A7" s="4" t="inlineStr">
        <is>
          <t>KPI</t>
        </is>
      </c>
      <c r="B7" s="4" t="inlineStr">
        <is>
          <t>Value</t>
        </is>
      </c>
    </row>
    <row r="8">
      <c r="A8" s="5" t="inlineStr">
        <is>
          <t>Total Invoices</t>
        </is>
      </c>
      <c r="B8" s="6">
        <f>COUNTA('Sale Invoices'!A3:A1048576)</f>
        <v/>
      </c>
    </row>
    <row r="9">
      <c r="A9" s="5" t="inlineStr">
        <is>
          <t>Total Quantity Sold</t>
        </is>
      </c>
      <c r="B9" s="6">
        <f>SUM('Sale Invoices'!K:K)</f>
        <v/>
      </c>
    </row>
    <row r="10">
      <c r="A10" s="5" t="inlineStr">
        <is>
          <t>Gross Sale Amount</t>
        </is>
      </c>
      <c r="B10" s="7">
        <f>SUM('Sale Invoices'!M:M)</f>
        <v/>
      </c>
    </row>
    <row r="11">
      <c r="A11" s="5" t="inlineStr">
        <is>
          <t>Total Discount Given</t>
        </is>
      </c>
      <c r="B11" s="7">
        <f>SUM('Sale Invoices'!O:O)</f>
        <v/>
      </c>
    </row>
    <row r="12">
      <c r="A12" s="5" t="inlineStr">
        <is>
          <t>Total Taxable Amount</t>
        </is>
      </c>
      <c r="B12" s="7">
        <f>SUM('Sale Invoices'!P:P)</f>
        <v/>
      </c>
    </row>
    <row r="13">
      <c r="A13" s="5" t="inlineStr">
        <is>
          <t>CGST Total</t>
        </is>
      </c>
      <c r="B13" s="7">
        <f>SUM('Sale Invoices'!R:R)</f>
        <v/>
      </c>
    </row>
    <row r="14">
      <c r="A14" s="5" t="inlineStr">
        <is>
          <t>SGST Total</t>
        </is>
      </c>
      <c r="B14" s="7">
        <f>SUM('Sale Invoices'!S:S)</f>
        <v/>
      </c>
    </row>
    <row r="15">
      <c r="A15" s="5" t="inlineStr">
        <is>
          <t>IGST Total</t>
        </is>
      </c>
      <c r="B15" s="7">
        <f>SUM('Sale Invoices'!T:T)</f>
        <v/>
      </c>
    </row>
    <row r="16">
      <c r="A16" s="5" t="inlineStr">
        <is>
          <t>Total GST Collected</t>
        </is>
      </c>
      <c r="B16" s="7">
        <f>SUM('Sale Invoices'!U:U)</f>
        <v/>
      </c>
    </row>
    <row r="17">
      <c r="A17" s="5" t="inlineStr">
        <is>
          <t>Total Invoice Value</t>
        </is>
      </c>
      <c r="B17" s="7">
        <f>SUM('Sale Invoices'!V:V)</f>
        <v/>
      </c>
    </row>
    <row r="18">
      <c r="A18" s="5" t="inlineStr">
        <is>
          <t>Total Cost</t>
        </is>
      </c>
      <c r="B18" s="7">
        <f>SUM('Sale Invoices'!W:W)</f>
        <v/>
      </c>
    </row>
    <row r="19">
      <c r="A19" s="5" t="inlineStr">
        <is>
          <t>Net Profit</t>
        </is>
      </c>
      <c r="B19" s="7">
        <f>SUM('Sale Invoices'!X:X)</f>
        <v/>
      </c>
    </row>
    <row r="20">
      <c r="A20" s="5" t="inlineStr">
        <is>
          <t>Profit Margin %</t>
        </is>
      </c>
      <c r="B20" s="8">
        <f>IFERROR(B19/B17,0)</f>
        <v/>
      </c>
    </row>
    <row r="21">
      <c r="A21" s="5" t="inlineStr">
        <is>
          <t>Average Invoice Value</t>
        </is>
      </c>
      <c r="B21" s="7">
        <f>IFERROR(B17/B8,0)</f>
        <v/>
      </c>
    </row>
    <row r="22">
      <c r="A22" s="5" t="inlineStr">
        <is>
          <t>Number of Parties</t>
        </is>
      </c>
      <c r="B22" s="6">
        <f>SUMPRODUCT(('Party-wise Ledger'!A3:A1048576&lt;&gt;"")/COUNTIF('Party-wise Ledger'!A3:A1048576,'Party-wise Ledger'!A3:A1048576&amp;""))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2" customWidth="1" min="24" max="24"/>
    <col width="14" customWidth="1" min="25" max="25"/>
  </cols>
  <sheetData>
    <row r="1" ht="28" customHeight="1">
      <c r="A1" s="1" t="inlineStr">
        <is>
          <t>Sale Invoices — Raw Register</t>
        </is>
      </c>
    </row>
    <row r="2" ht="32" customHeight="1">
      <c r="A2" s="4" t="inlineStr">
        <is>
          <t>Invoice No.</t>
        </is>
      </c>
      <c r="B2" s="4" t="inlineStr">
        <is>
          <t>Date</t>
        </is>
      </c>
      <c r="C2" s="4" t="inlineStr">
        <is>
          <t>Party Name</t>
        </is>
      </c>
      <c r="D2" s="4" t="inlineStr">
        <is>
          <t>Party Type</t>
        </is>
      </c>
      <c r="E2" s="4" t="inlineStr">
        <is>
          <t>GSTIN</t>
        </is>
      </c>
      <c r="F2" s="4" t="inlineStr">
        <is>
          <t>Party State</t>
        </is>
      </c>
      <c r="G2" s="4" t="inlineStr">
        <is>
          <t>Inter-State (Y/N)</t>
        </is>
      </c>
      <c r="H2" s="4" t="inlineStr">
        <is>
          <t>Category</t>
        </is>
      </c>
      <c r="I2" s="4" t="inlineStr">
        <is>
          <t>Product</t>
        </is>
      </c>
      <c r="J2" s="4" t="inlineStr">
        <is>
          <t>HSN/SAC Code</t>
        </is>
      </c>
      <c r="K2" s="4" t="inlineStr">
        <is>
          <t>Qty</t>
        </is>
      </c>
      <c r="L2" s="4" t="inlineStr">
        <is>
          <t>Unit Price</t>
        </is>
      </c>
      <c r="M2" s="4" t="inlineStr">
        <is>
          <t>Gross Amount</t>
        </is>
      </c>
      <c r="N2" s="4" t="inlineStr">
        <is>
          <t>Discount %</t>
        </is>
      </c>
      <c r="O2" s="4" t="inlineStr">
        <is>
          <t>Discount Amt</t>
        </is>
      </c>
      <c r="P2" s="4" t="inlineStr">
        <is>
          <t>Taxable Amount</t>
        </is>
      </c>
      <c r="Q2" s="4" t="inlineStr">
        <is>
          <t>GST Rate</t>
        </is>
      </c>
      <c r="R2" s="4" t="inlineStr">
        <is>
          <t>CGST</t>
        </is>
      </c>
      <c r="S2" s="4" t="inlineStr">
        <is>
          <t>SGST</t>
        </is>
      </c>
      <c r="T2" s="4" t="inlineStr">
        <is>
          <t>IGST</t>
        </is>
      </c>
      <c r="U2" s="4" t="inlineStr">
        <is>
          <t>Total GST</t>
        </is>
      </c>
      <c r="V2" s="4" t="inlineStr">
        <is>
          <t>Invoice Total</t>
        </is>
      </c>
      <c r="W2" s="4" t="inlineStr">
        <is>
          <t>Cost</t>
        </is>
      </c>
      <c r="X2" s="4" t="inlineStr">
        <is>
          <t>Profit</t>
        </is>
      </c>
      <c r="Y2" s="4" t="inlineStr">
        <is>
          <t>Payment Mode</t>
        </is>
      </c>
    </row>
    <row r="3">
      <c r="A3" s="3" t="inlineStr">
        <is>
          <t>INV201</t>
        </is>
      </c>
      <c r="B3" s="3" t="inlineStr">
        <is>
          <t>2026-09-10</t>
        </is>
      </c>
      <c r="C3" s="3" t="inlineStr">
        <is>
          <t>ABC Traders</t>
        </is>
      </c>
      <c r="D3" s="3" t="inlineStr"/>
      <c r="E3" s="3" t="inlineStr"/>
      <c r="F3" s="3" t="inlineStr"/>
      <c r="G3" s="3" t="inlineStr"/>
      <c r="H3" s="3" t="inlineStr"/>
      <c r="I3" s="3" t="inlineStr">
        <is>
          <t>Laptop</t>
        </is>
      </c>
      <c r="J3" s="3" t="inlineStr"/>
      <c r="K3" s="6" t="n"/>
      <c r="L3" s="7" t="n"/>
      <c r="M3" s="7" t="n">
        <v>12000</v>
      </c>
      <c r="N3" s="8" t="n"/>
      <c r="O3" s="7" t="n">
        <v>500</v>
      </c>
      <c r="P3" s="7" t="n">
        <v>11500</v>
      </c>
      <c r="Q3" s="8" t="n"/>
      <c r="R3" s="7" t="n"/>
      <c r="S3" s="7" t="n"/>
      <c r="T3" s="7" t="n"/>
      <c r="U3" s="7" t="n">
        <v>2160</v>
      </c>
      <c r="V3" s="7" t="n">
        <v>13660</v>
      </c>
      <c r="W3" s="7" t="n"/>
      <c r="X3" s="7" t="n"/>
      <c r="Y3" s="3" t="inlineStr">
        <is>
          <t>UPI</t>
        </is>
      </c>
    </row>
    <row r="4">
      <c r="A4" s="3" t="inlineStr">
        <is>
          <t>INV203</t>
        </is>
      </c>
      <c r="B4" s="3" t="inlineStr">
        <is>
          <t>2026-09-12</t>
        </is>
      </c>
      <c r="C4" s="3" t="inlineStr">
        <is>
          <t>ABC Traders</t>
        </is>
      </c>
      <c r="D4" s="3" t="inlineStr"/>
      <c r="E4" s="3" t="inlineStr"/>
      <c r="F4" s="3" t="inlineStr"/>
      <c r="G4" s="3" t="inlineStr"/>
      <c r="H4" s="3" t="inlineStr"/>
      <c r="I4" s="3" t="inlineStr">
        <is>
          <t>Keyboard</t>
        </is>
      </c>
      <c r="J4" s="3" t="inlineStr"/>
      <c r="K4" s="6" t="n"/>
      <c r="L4" s="7" t="n"/>
      <c r="M4" s="7" t="n">
        <v>15000</v>
      </c>
      <c r="N4" s="8" t="n"/>
      <c r="O4" s="7" t="n">
        <v>750</v>
      </c>
      <c r="P4" s="7" t="n">
        <v>14250</v>
      </c>
      <c r="Q4" s="8" t="n"/>
      <c r="R4" s="7" t="n"/>
      <c r="S4" s="7" t="n"/>
      <c r="T4" s="7" t="n"/>
      <c r="U4" s="7" t="n">
        <v>2700</v>
      </c>
      <c r="V4" s="7" t="n">
        <v>16950</v>
      </c>
      <c r="W4" s="7" t="n"/>
      <c r="X4" s="7" t="n"/>
      <c r="Y4" s="3" t="inlineStr">
        <is>
          <t>Bank</t>
        </is>
      </c>
    </row>
  </sheetData>
  <mergeCells count="1"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 ht="28" customHeight="1">
      <c r="A1" s="1" t="inlineStr">
        <is>
          <t>GST Summary — Rate-wise</t>
        </is>
      </c>
    </row>
    <row r="2" ht="32" customHeight="1">
      <c r="A2" s="4" t="inlineStr">
        <is>
          <t>GST Rate</t>
        </is>
      </c>
      <c r="B2" s="4" t="inlineStr">
        <is>
          <t>Taxable Value</t>
        </is>
      </c>
      <c r="C2" s="4" t="inlineStr">
        <is>
          <t>CGST</t>
        </is>
      </c>
      <c r="D2" s="4" t="inlineStr">
        <is>
          <t>SGST</t>
        </is>
      </c>
      <c r="E2" s="4" t="inlineStr">
        <is>
          <t>IGST</t>
        </is>
      </c>
      <c r="F2" s="4" t="inlineStr">
        <is>
          <t>Total GST</t>
        </is>
      </c>
      <c r="G2" s="4" t="inlineStr">
        <is>
          <t>Invoice Value</t>
        </is>
      </c>
    </row>
    <row r="3">
      <c r="A3" s="9" t="n"/>
      <c r="B3" s="10">
        <f>SUMIF('Sale Invoices'!Q:Q,"",'Sale Invoices'!P:P)</f>
        <v/>
      </c>
      <c r="C3" s="10">
        <f>SUMIF('Sale Invoices'!Q:Q,"",'Sale Invoices'!R:R)</f>
        <v/>
      </c>
      <c r="D3" s="10">
        <f>SUMIF('Sale Invoices'!Q:Q,"",'Sale Invoices'!S:S)</f>
        <v/>
      </c>
      <c r="E3" s="10">
        <f>SUMIF('Sale Invoices'!Q:Q,"",'Sale Invoices'!T:T)</f>
        <v/>
      </c>
      <c r="F3" s="10">
        <f>SUMIF('Sale Invoices'!Q:Q,"",'Sale Invoices'!U:U)</f>
        <v/>
      </c>
      <c r="G3" s="10">
        <f>SUMIF('Sale Invoices'!Q:Q,"",'Sale Invoices'!V:V)</f>
        <v/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HSN Summary</t>
        </is>
      </c>
    </row>
    <row r="2" ht="32" customHeight="1">
      <c r="A2" s="4" t="inlineStr">
        <is>
          <t>HSN Code</t>
        </is>
      </c>
      <c r="B2" s="4" t="inlineStr">
        <is>
          <t>Category</t>
        </is>
      </c>
      <c r="C2" s="4" t="inlineStr">
        <is>
          <t>Total Qty</t>
        </is>
      </c>
      <c r="D2" s="4" t="inlineStr">
        <is>
          <t>Taxable Value</t>
        </is>
      </c>
      <c r="E2" s="4" t="inlineStr">
        <is>
          <t>Total GST</t>
        </is>
      </c>
      <c r="F2" s="4" t="inlineStr">
        <is>
          <t>Total Invoice Value</t>
        </is>
      </c>
    </row>
    <row r="3">
      <c r="A3">
        <f>SORT(UNIQUE(FILTER('Sale Invoices'!J3:J1048576,'Sale Invoices'!J3:J1048576&lt;&gt;"")))</f>
        <v/>
      </c>
      <c r="B3">
        <f>IFERROR(INDEX('Sale Invoices'!H:H,MATCH(A3,'Sale Invoices'!J:J,0)),"")</f>
        <v/>
      </c>
      <c r="C3">
        <f>SUMIF('Sale Invoices'!J:J,A3,'Sale Invoices'!K:K)</f>
        <v/>
      </c>
      <c r="D3" s="10">
        <f>SUMIF('Sale Invoices'!J:J,A3,'Sale Invoices'!P:P)</f>
        <v/>
      </c>
      <c r="E3" s="10">
        <f>SUMIF('Sale Invoices'!J:J,A3,'Sale Invoices'!U:U)</f>
        <v/>
      </c>
      <c r="F3" s="10">
        <f>SUMIF('Sale Invoices'!J:J,A3,'Sale Invoices'!V:V)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  <col width="34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 ht="28" customHeight="1">
      <c r="A1" s="1" t="inlineStr">
        <is>
          <t>Party-wise Ledger</t>
        </is>
      </c>
    </row>
    <row r="2" ht="32" customHeight="1">
      <c r="A2" s="4" t="inlineStr">
        <is>
          <t>Party Name</t>
        </is>
      </c>
      <c r="B2" s="4" t="inlineStr">
        <is>
          <t>Type</t>
        </is>
      </c>
      <c r="C2" s="4" t="inlineStr">
        <is>
          <t>GSTIN</t>
        </is>
      </c>
      <c r="D2" s="4" t="inlineStr">
        <is>
          <t>State</t>
        </is>
      </c>
      <c r="E2" s="4" t="inlineStr">
        <is>
          <t>Invoice Count</t>
        </is>
      </c>
      <c r="F2" s="4" t="inlineStr">
        <is>
          <t>Taxable Value</t>
        </is>
      </c>
      <c r="G2" s="4" t="inlineStr">
        <is>
          <t>GST</t>
        </is>
      </c>
      <c r="H2" s="4" t="inlineStr">
        <is>
          <t>Invoice Value</t>
        </is>
      </c>
      <c r="I2" s="4" t="inlineStr">
        <is>
          <t>Profit</t>
        </is>
      </c>
    </row>
    <row r="3">
      <c r="A3" t="inlineStr">
        <is>
          <t>ABC Traders</t>
        </is>
      </c>
      <c r="B3" t="inlineStr">
        <is>
          <t>Unclassified</t>
        </is>
      </c>
      <c r="C3" t="inlineStr">
        <is>
          <t>Unregistered</t>
        </is>
      </c>
      <c r="D3" t="inlineStr"/>
      <c r="E3">
        <f>COUNTIF('Sale Invoices'!C:C,A3)</f>
        <v/>
      </c>
      <c r="F3" s="10">
        <f>SUMIF('Sale Invoices'!C:C,A3,'Sale Invoices'!P:P)</f>
        <v/>
      </c>
      <c r="G3" s="10">
        <f>SUMIF('Sale Invoices'!C:C,A3,'Sale Invoices'!U:U)</f>
        <v/>
      </c>
      <c r="H3" s="10">
        <f>SUMIF('Sale Invoices'!C:C,A3,'Sale Invoices'!V:V)</f>
        <v/>
      </c>
      <c r="I3" s="10">
        <f>SUMIF('Sale Invoices'!C:C,A3,'Sale Invoices'!X:X)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9" customWidth="1" min="9" max="9"/>
  </cols>
  <sheetData>
    <row r="1" ht="28" customHeight="1">
      <c r="A1" s="1" t="inlineStr">
        <is>
          <t>Category Summary</t>
        </is>
      </c>
    </row>
    <row r="2" ht="32" customHeight="1">
      <c r="A2" s="4" t="inlineStr">
        <is>
          <t>Category</t>
        </is>
      </c>
      <c r="B2" s="4" t="inlineStr">
        <is>
          <t>HSN</t>
        </is>
      </c>
      <c r="C2" s="4" t="inlineStr">
        <is>
          <t>GST Rate</t>
        </is>
      </c>
      <c r="D2" s="4" t="inlineStr">
        <is>
          <t>Qty Sold</t>
        </is>
      </c>
      <c r="E2" s="4" t="inlineStr">
        <is>
          <t>Taxable Value</t>
        </is>
      </c>
      <c r="F2" s="4" t="inlineStr">
        <is>
          <t>GST</t>
        </is>
      </c>
      <c r="G2" s="4" t="inlineStr">
        <is>
          <t>Invoice Value</t>
        </is>
      </c>
      <c r="H2" s="4" t="inlineStr">
        <is>
          <t>Profit</t>
        </is>
      </c>
      <c r="I2" s="4" t="inlineStr">
        <is>
          <t>Margin %</t>
        </is>
      </c>
    </row>
    <row r="3">
      <c r="A3" t="inlineStr">
        <is>
          <t>(Unclassified)</t>
        </is>
      </c>
      <c r="B3">
        <f>IFERROR(INDEX('Sale Invoices'!J:J,MATCH(A3,'Sale Invoices'!H:H,0)),"")</f>
        <v/>
      </c>
      <c r="C3" s="9">
        <f>IFERROR(INDEX('Sale Invoices'!Q:Q,MATCH(A3,'Sale Invoices'!H:H,0)),0)</f>
        <v/>
      </c>
      <c r="D3">
        <f>SUMIF('Sale Invoices'!H:H,A3,'Sale Invoices'!K:K)</f>
        <v/>
      </c>
      <c r="E3" s="10">
        <f>SUMIF('Sale Invoices'!H:H,A3,'Sale Invoices'!P:P)</f>
        <v/>
      </c>
      <c r="F3" s="10">
        <f>SUMIF('Sale Invoices'!H:H,A3,'Sale Invoices'!U:U)</f>
        <v/>
      </c>
      <c r="G3" s="10">
        <f>SUMIF('Sale Invoices'!H:H,A3,'Sale Invoices'!V:V)</f>
        <v/>
      </c>
      <c r="H3" s="10">
        <f>SUMIF('Sale Invoices'!H:H,A3,'Sale Invoices'!X:X)</f>
        <v/>
      </c>
      <c r="I3" s="9">
        <f>IFERROR(H3/G3,0)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34" customWidth="1" min="4" max="4"/>
  </cols>
  <sheetData>
    <row r="1" ht="28" customHeight="1">
      <c r="A1" s="1" t="inlineStr">
        <is>
          <t>Payment Mode Summary</t>
        </is>
      </c>
    </row>
    <row r="2" ht="32" customHeight="1">
      <c r="A2" s="4" t="inlineStr">
        <is>
          <t>Payment Mode</t>
        </is>
      </c>
      <c r="B2" s="4" t="inlineStr">
        <is>
          <t>Invoice Count</t>
        </is>
      </c>
      <c r="C2" s="4" t="inlineStr">
        <is>
          <t>Invoice Value</t>
        </is>
      </c>
      <c r="D2" s="4" t="inlineStr">
        <is>
          <t>% of Total</t>
        </is>
      </c>
    </row>
    <row r="3">
      <c r="A3" t="inlineStr">
        <is>
          <t>UPI</t>
        </is>
      </c>
      <c r="B3">
        <f>COUNTIF('Sale Invoices'!Y:Y,A3)</f>
        <v/>
      </c>
      <c r="C3" s="10">
        <f>SUMIF('Sale Invoices'!Y:Y,A3,'Sale Invoices'!V:V)</f>
        <v/>
      </c>
      <c r="D3" s="9">
        <f>IFERROR(=IFERROR(C3/SUM(C:C),0)</f>
        <v/>
      </c>
    </row>
    <row r="4">
      <c r="A4" t="inlineStr">
        <is>
          <t>Bank</t>
        </is>
      </c>
      <c r="B4">
        <f>COUNTIF('Sale Invoices'!Y:Y,A4)</f>
        <v/>
      </c>
      <c r="C4" s="10">
        <f>SUMIF('Sale Invoices'!Y:Y,A4,'Sale Invoices'!V:V)</f>
        <v/>
      </c>
      <c r="D4" s="9">
        <f>IFERROR(=IFERROR(C4/SUM(C:C),0)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Monthly Sales Trend</t>
        </is>
      </c>
    </row>
    <row r="2" ht="32" customHeight="1">
      <c r="A2" s="4" t="inlineStr">
        <is>
          <t>Month</t>
        </is>
      </c>
      <c r="B2" s="4" t="inlineStr">
        <is>
          <t>Invoices</t>
        </is>
      </c>
      <c r="C2" s="4" t="inlineStr">
        <is>
          <t>Taxable Value</t>
        </is>
      </c>
      <c r="D2" s="4" t="inlineStr">
        <is>
          <t>GST</t>
        </is>
      </c>
      <c r="E2" s="4" t="inlineStr">
        <is>
          <t>Invoice Value</t>
        </is>
      </c>
      <c r="F2" s="4" t="inlineStr">
        <is>
          <t>Profit</t>
        </is>
      </c>
    </row>
    <row r="3">
      <c r="A3" t="inlineStr">
        <is>
          <t>2026-09</t>
        </is>
      </c>
      <c r="B3">
        <f>SUMPRODUCT(--(LEFT('Sale Invoices'!B:B,7)="2026-09"))</f>
        <v/>
      </c>
      <c r="C3" s="10">
        <f>SUMPRODUCT((LEFT('Sale Invoices'!B:B,7)="2026-09")*'Sale Invoices'!P:P)</f>
        <v/>
      </c>
      <c r="D3" s="10">
        <f>SUMPRODUCT((LEFT('Sale Invoices'!B:B,7)="2026-09")*'Sale Invoices'!U:U)</f>
        <v/>
      </c>
      <c r="E3" s="10">
        <f>SUMPRODUCT((LEFT('Sale Invoices'!B:B,7)="2026-09")*'Sale Invoices'!V:V)</f>
        <v/>
      </c>
      <c r="F3" s="10">
        <f>SUMPRODUCT((LEFT('Sale Invoices'!B:B,7)="2026-09")*'Sale Invoices'!X:X)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Dynamic Business AI Agent</dc:creator>
  <dc:title xmlns:dc="http://purl.org/dc/elements/1.1/">Vyapar-style GST Sales Report</dc:title>
  <dc:subject xmlns:dc="http://purl.org/dc/elements/1.1/">GST Sales Report</dc:subject>
  <dcterms:created xmlns:dcterms="http://purl.org/dc/terms/" xmlns:xsi="http://www.w3.org/2001/XMLSchema-instance" xsi:type="dcterms:W3CDTF">2026-09-23T09:30:39Z</dcterms:created>
  <dcterms:modified xmlns:dcterms="http://purl.org/dc/terms/" xmlns:xsi="http://www.w3.org/2001/XMLSchema-instance" xsi:type="dcterms:W3CDTF">2026-09-23T09:30:39Z</dcterms:modified>
</cp:coreProperties>
</file>