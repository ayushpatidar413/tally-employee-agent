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Summary'!$A$3:$A$4</f>
            </numRef>
          </cat>
          <val>
            <numRef>
              <f>'Category Summary'!$G$3:$G$4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Summary'!$A$3:$A$4</f>
            </numRef>
          </cat>
          <val>
            <numRef>
              <f>'Category Summary'!$H$3:$H$4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4" headerRowCount="1">
  <autoFilter ref="A2:G4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4" headerRowCount="1">
  <autoFilter ref="A2:I4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n">
        <v>2160</v>
      </c>
      <c r="F3" s="3" t="inlineStr"/>
      <c r="G3" s="3" t="inlineStr"/>
      <c r="H3" s="3" t="inlineStr">
        <is>
          <t>Laptop</t>
        </is>
      </c>
      <c r="I3" s="3" t="inlineStr">
        <is>
          <t>Laptop</t>
        </is>
      </c>
      <c r="J3" s="3" t="inlineStr"/>
      <c r="K3" s="6" t="n">
        <v>0</v>
      </c>
      <c r="L3" s="7" t="n">
        <v>0</v>
      </c>
      <c r="M3" s="7" t="n">
        <v>12000</v>
      </c>
      <c r="N3" s="8" t="n">
        <v>5</v>
      </c>
      <c r="O3" s="7" t="n">
        <v>500</v>
      </c>
      <c r="P3" s="7" t="n">
        <v>11500</v>
      </c>
      <c r="Q3" s="8" t="n">
        <v>21.6</v>
      </c>
      <c r="R3" s="7" t="n">
        <v>2160</v>
      </c>
      <c r="S3" s="7" t="n">
        <v>2160</v>
      </c>
      <c r="T3" s="7" t="n">
        <v>2160</v>
      </c>
      <c r="U3" s="7" t="n">
        <v>2160</v>
      </c>
      <c r="V3" s="7" t="n">
        <v>13660</v>
      </c>
      <c r="W3" s="7" t="n">
        <v>0</v>
      </c>
      <c r="X3" s="7" t="n">
        <v>0</v>
      </c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n">
        <v>2700</v>
      </c>
      <c r="F4" s="3" t="inlineStr"/>
      <c r="G4" s="3" t="inlineStr"/>
      <c r="H4" s="3" t="inlineStr">
        <is>
          <t>Keyboard</t>
        </is>
      </c>
      <c r="I4" s="3" t="inlineStr">
        <is>
          <t>Keyboard</t>
        </is>
      </c>
      <c r="J4" s="3" t="inlineStr"/>
      <c r="K4" s="6" t="n">
        <v>0</v>
      </c>
      <c r="L4" s="7" t="n">
        <v>0</v>
      </c>
      <c r="M4" s="7" t="n">
        <v>15000</v>
      </c>
      <c r="N4" s="8" t="n">
        <v>7.5</v>
      </c>
      <c r="O4" s="7" t="n">
        <v>750</v>
      </c>
      <c r="P4" s="7" t="n">
        <v>14250</v>
      </c>
      <c r="Q4" s="8" t="n">
        <v>27</v>
      </c>
      <c r="R4" s="7" t="n">
        <v>2700</v>
      </c>
      <c r="S4" s="7" t="n">
        <v>2700</v>
      </c>
      <c r="T4" s="7" t="n">
        <v>2700</v>
      </c>
      <c r="U4" s="7" t="n">
        <v>2700</v>
      </c>
      <c r="V4" s="7" t="n">
        <v>16950</v>
      </c>
      <c r="W4" s="7" t="n">
        <v>0</v>
      </c>
      <c r="X4" s="7" t="n">
        <v>0</v>
      </c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21.6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27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n">
        <v>2160</v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Laptop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  <row r="4">
      <c r="A4" t="inlineStr">
        <is>
          <t>Keyboard</t>
        </is>
      </c>
      <c r="B4">
        <f>IFERROR(INDEX('Sale Invoices'!J:J,MATCH(A4,'Sale Invoices'!H:H,0)),"")</f>
        <v/>
      </c>
      <c r="C4" s="9">
        <f>IFERROR(INDEX('Sale Invoices'!Q:Q,MATCH(A4,'Sale Invoices'!H:H,0)),0)</f>
        <v/>
      </c>
      <c r="D4">
        <f>SUMIF('Sale Invoices'!H:H,A4,'Sale Invoices'!K:K)</f>
        <v/>
      </c>
      <c r="E4" s="10">
        <f>SUMIF('Sale Invoices'!H:H,A4,'Sale Invoices'!P:P)</f>
        <v/>
      </c>
      <c r="F4" s="10">
        <f>SUMIF('Sale Invoices'!H:H,A4,'Sale Invoices'!U:U)</f>
        <v/>
      </c>
      <c r="G4" s="10">
        <f>SUMIF('Sale Invoices'!H:H,A4,'Sale Invoices'!V:V)</f>
        <v/>
      </c>
      <c r="H4" s="10">
        <f>SUMIF('Sale Invoices'!H:H,A4,'Sale Invoices'!X:X)</f>
        <v/>
      </c>
      <c r="I4" s="9">
        <f>IFERROR(H4/G4,0)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2026-09-23T08:34:13Z</dcterms:created>
  <dcterms:modified xmlns:dcterms="http://purl.org/dc/terms/" xmlns:xsi="http://www.w3.org/2001/XMLSchema-instance" xsi:type="dcterms:W3CDTF">2026-09-23T08:34:13Z</dcterms:modified>
</cp:coreProperties>
</file>