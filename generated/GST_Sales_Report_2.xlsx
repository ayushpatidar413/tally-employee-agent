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Summary'!$H$3:$H$6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Summary'!$A$3:$A$5</f>
            </numRef>
          </cat>
          <val>
            <numRef>
              <f>'Payment Mode Summary'!$C$3:$C$5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6" headerRowCount="1">
  <autoFilter ref="A2:Y6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6" headerRowCount="1">
  <autoFilter ref="A2:G6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5" headerRowCount="1">
  <autoFilter ref="A2:I5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6" headerRowCount="1">
  <autoFilter ref="A2:I6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5" headerRowCount="1">
  <autoFilter ref="A2:D5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n">
        <v>2160</v>
      </c>
      <c r="F3" s="3" t="inlineStr"/>
      <c r="G3" s="3" t="inlineStr"/>
      <c r="H3" s="3" t="inlineStr">
        <is>
          <t>Laptop</t>
        </is>
      </c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5</v>
      </c>
      <c r="O3" s="7" t="n">
        <v>500</v>
      </c>
      <c r="P3" s="7" t="n">
        <v>11500</v>
      </c>
      <c r="Q3" s="8" t="n">
        <v>21.6</v>
      </c>
      <c r="R3" s="7" t="n">
        <v>2160</v>
      </c>
      <c r="S3" s="7" t="n">
        <v>2160</v>
      </c>
      <c r="T3" s="7" t="n">
        <v>2160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INV202</t>
        </is>
      </c>
      <c r="B4" s="3" t="inlineStr">
        <is>
          <t>2026-09-11</t>
        </is>
      </c>
      <c r="C4" s="3" t="inlineStr">
        <is>
          <t>XYZ Traders</t>
        </is>
      </c>
      <c r="D4" s="3" t="inlineStr"/>
      <c r="E4" s="3" t="n">
        <v>1530</v>
      </c>
      <c r="F4" s="3" t="inlineStr"/>
      <c r="G4" s="3" t="inlineStr"/>
      <c r="H4" s="3" t="inlineStr">
        <is>
          <t>Mouse</t>
        </is>
      </c>
      <c r="I4" s="3" t="inlineStr">
        <is>
          <t>Mouse</t>
        </is>
      </c>
      <c r="J4" s="3" t="inlineStr"/>
      <c r="K4" s="6" t="n">
        <v>0</v>
      </c>
      <c r="L4" s="7" t="n">
        <v>0</v>
      </c>
      <c r="M4" s="7" t="n">
        <v>8500</v>
      </c>
      <c r="N4" s="8" t="n">
        <v>2</v>
      </c>
      <c r="O4" s="7" t="n">
        <v>200</v>
      </c>
      <c r="P4" s="7" t="n">
        <v>8300</v>
      </c>
      <c r="Q4" s="8" t="n">
        <v>15.3</v>
      </c>
      <c r="R4" s="7" t="n">
        <v>1530</v>
      </c>
      <c r="S4" s="7" t="n">
        <v>1530</v>
      </c>
      <c r="T4" s="7" t="n">
        <v>1530</v>
      </c>
      <c r="U4" s="7" t="n">
        <v>1530</v>
      </c>
      <c r="V4" s="7" t="n">
        <v>9830</v>
      </c>
      <c r="W4" s="7" t="n">
        <v>0</v>
      </c>
      <c r="X4" s="7" t="n">
        <v>0</v>
      </c>
      <c r="Y4" s="3" t="inlineStr">
        <is>
          <t>Cash</t>
        </is>
      </c>
    </row>
    <row r="5">
      <c r="A5" s="3" t="inlineStr">
        <is>
          <t>INV203</t>
        </is>
      </c>
      <c r="B5" s="3" t="inlineStr">
        <is>
          <t>2026-09-12</t>
        </is>
      </c>
      <c r="C5" s="3" t="inlineStr">
        <is>
          <t>ABC Traders</t>
        </is>
      </c>
      <c r="D5" s="3" t="inlineStr"/>
      <c r="E5" s="3" t="n">
        <v>2700</v>
      </c>
      <c r="F5" s="3" t="inlineStr"/>
      <c r="G5" s="3" t="inlineStr"/>
      <c r="H5" s="3" t="inlineStr">
        <is>
          <t>Keyboard</t>
        </is>
      </c>
      <c r="I5" s="3" t="inlineStr">
        <is>
          <t>Keyboard</t>
        </is>
      </c>
      <c r="J5" s="3" t="inlineStr"/>
      <c r="K5" s="6" t="n">
        <v>0</v>
      </c>
      <c r="L5" s="7" t="n">
        <v>0</v>
      </c>
      <c r="M5" s="7" t="n">
        <v>15000</v>
      </c>
      <c r="N5" s="8" t="n">
        <v>7.5</v>
      </c>
      <c r="O5" s="7" t="n">
        <v>750</v>
      </c>
      <c r="P5" s="7" t="n">
        <v>14250</v>
      </c>
      <c r="Q5" s="8" t="n">
        <v>27</v>
      </c>
      <c r="R5" s="7" t="n">
        <v>2700</v>
      </c>
      <c r="S5" s="7" t="n">
        <v>2700</v>
      </c>
      <c r="T5" s="7" t="n">
        <v>2700</v>
      </c>
      <c r="U5" s="7" t="n">
        <v>2700</v>
      </c>
      <c r="V5" s="7" t="n">
        <v>16950</v>
      </c>
      <c r="W5" s="7" t="n">
        <v>0</v>
      </c>
      <c r="X5" s="7" t="n">
        <v>0</v>
      </c>
      <c r="Y5" s="3" t="inlineStr">
        <is>
          <t>Bank</t>
        </is>
      </c>
    </row>
    <row r="6">
      <c r="A6" s="3" t="inlineStr">
        <is>
          <t>INV204</t>
        </is>
      </c>
      <c r="B6" s="3" t="inlineStr">
        <is>
          <t>2026-09-13</t>
        </is>
      </c>
      <c r="C6" s="3" t="inlineStr">
        <is>
          <t>DEF Traders</t>
        </is>
      </c>
      <c r="D6" s="3" t="inlineStr"/>
      <c r="E6" s="3" t="n">
        <v>3960</v>
      </c>
      <c r="F6" s="3" t="inlineStr"/>
      <c r="G6" s="3" t="inlineStr"/>
      <c r="H6" s="3" t="inlineStr">
        <is>
          <t>Monitor</t>
        </is>
      </c>
      <c r="I6" s="3" t="inlineStr">
        <is>
          <t>Monitor</t>
        </is>
      </c>
      <c r="J6" s="3" t="inlineStr"/>
      <c r="K6" s="6" t="n">
        <v>0</v>
      </c>
      <c r="L6" s="7" t="n">
        <v>0</v>
      </c>
      <c r="M6" s="7" t="n">
        <v>22000</v>
      </c>
      <c r="N6" s="8" t="n">
        <v>10</v>
      </c>
      <c r="O6" s="7" t="n">
        <v>1000</v>
      </c>
      <c r="P6" s="7" t="n">
        <v>21000</v>
      </c>
      <c r="Q6" s="8" t="n">
        <v>39.6</v>
      </c>
      <c r="R6" s="7" t="n">
        <v>3960</v>
      </c>
      <c r="S6" s="7" t="n">
        <v>3960</v>
      </c>
      <c r="T6" s="7" t="n">
        <v>3960</v>
      </c>
      <c r="U6" s="7" t="n">
        <v>3960</v>
      </c>
      <c r="V6" s="7" t="n">
        <v>24960</v>
      </c>
      <c r="W6" s="7" t="n">
        <v>0</v>
      </c>
      <c r="X6" s="7" t="n">
        <v>0</v>
      </c>
      <c r="Y6" s="3" t="inlineStr">
        <is>
          <t>UPI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15.3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21.6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  <row r="5">
      <c r="A5" s="9" t="n">
        <v>27</v>
      </c>
      <c r="B5" s="10">
        <f>SUMIF('Sale Invoices'!Q:Q,A5,'Sale Invoices'!P:P)</f>
        <v/>
      </c>
      <c r="C5" s="10">
        <f>SUMIF('Sale Invoices'!Q:Q,A5,'Sale Invoices'!R:R)</f>
        <v/>
      </c>
      <c r="D5" s="10">
        <f>SUMIF('Sale Invoices'!Q:Q,A5,'Sale Invoices'!S:S)</f>
        <v/>
      </c>
      <c r="E5" s="10">
        <f>SUMIF('Sale Invoices'!Q:Q,A5,'Sale Invoices'!T:T)</f>
        <v/>
      </c>
      <c r="F5" s="10">
        <f>SUMIF('Sale Invoices'!Q:Q,A5,'Sale Invoices'!U:U)</f>
        <v/>
      </c>
      <c r="G5" s="10">
        <f>SUMIF('Sale Invoices'!Q:Q,A5,'Sale Invoices'!V:V)</f>
        <v/>
      </c>
    </row>
    <row r="6">
      <c r="A6" s="9" t="n">
        <v>39.6</v>
      </c>
      <c r="B6" s="10">
        <f>SUMIF('Sale Invoices'!Q:Q,A6,'Sale Invoices'!P:P)</f>
        <v/>
      </c>
      <c r="C6" s="10">
        <f>SUMIF('Sale Invoices'!Q:Q,A6,'Sale Invoices'!R:R)</f>
        <v/>
      </c>
      <c r="D6" s="10">
        <f>SUMIF('Sale Invoices'!Q:Q,A6,'Sale Invoices'!S:S)</f>
        <v/>
      </c>
      <c r="E6" s="10">
        <f>SUMIF('Sale Invoices'!Q:Q,A6,'Sale Invoices'!T:T)</f>
        <v/>
      </c>
      <c r="F6" s="10">
        <f>SUMIF('Sale Invoices'!Q:Q,A6,'Sale Invoices'!U:U)</f>
        <v/>
      </c>
      <c r="G6" s="10">
        <f>SUMIF('Sale Invoices'!Q:Q,A6,'Sale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n">
        <v>2160</v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  <row r="4">
      <c r="A4" t="inlineStr">
        <is>
          <t>XYZ Traders</t>
        </is>
      </c>
      <c r="B4" t="inlineStr">
        <is>
          <t>Unclassified</t>
        </is>
      </c>
      <c r="C4" t="n">
        <v>1530</v>
      </c>
      <c r="D4" t="inlineStr"/>
      <c r="E4">
        <f>COUNTIF('Sale Invoices'!C:C,A4)</f>
        <v/>
      </c>
      <c r="F4" s="10">
        <f>SUMIF('Sale Invoices'!C:C,A4,'Sale Invoices'!P:P)</f>
        <v/>
      </c>
      <c r="G4" s="10">
        <f>SUMIF('Sale Invoices'!C:C,A4,'Sale Invoices'!U:U)</f>
        <v/>
      </c>
      <c r="H4" s="10">
        <f>SUMIF('Sale Invoices'!C:C,A4,'Sale Invoices'!V:V)</f>
        <v/>
      </c>
      <c r="I4" s="10">
        <f>SUMIF('Sale Invoices'!C:C,A4,'Sale Invoices'!X:X)</f>
        <v/>
      </c>
    </row>
    <row r="5">
      <c r="A5" t="inlineStr">
        <is>
          <t>DEF Traders</t>
        </is>
      </c>
      <c r="B5" t="inlineStr">
        <is>
          <t>Unclassified</t>
        </is>
      </c>
      <c r="C5" t="n">
        <v>3960</v>
      </c>
      <c r="D5" t="inlineStr"/>
      <c r="E5">
        <f>COUNTIF('Sale Invoices'!C:C,A5)</f>
        <v/>
      </c>
      <c r="F5" s="10">
        <f>SUMIF('Sale Invoices'!C:C,A5,'Sale Invoices'!P:P)</f>
        <v/>
      </c>
      <c r="G5" s="10">
        <f>SUMIF('Sale Invoices'!C:C,A5,'Sale Invoices'!U:U)</f>
        <v/>
      </c>
      <c r="H5" s="10">
        <f>SUMIF('Sale Invoices'!C:C,A5,'Sale Invoices'!V:V)</f>
        <v/>
      </c>
      <c r="I5" s="10">
        <f>SUMIF('Sale Invoices'!C:C,A5,'Sale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Laptop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  <row r="4">
      <c r="A4" t="inlineStr">
        <is>
          <t>Mouse</t>
        </is>
      </c>
      <c r="B4">
        <f>IFERROR(INDEX('Sale Invoices'!J:J,MATCH(A4,'Sale Invoices'!H:H,0)),"")</f>
        <v/>
      </c>
      <c r="C4" s="9">
        <f>IFERROR(INDEX('Sale Invoices'!Q:Q,MATCH(A4,'Sale Invoices'!H:H,0)),0)</f>
        <v/>
      </c>
      <c r="D4">
        <f>SUMIF('Sale Invoices'!H:H,A4,'Sale Invoices'!K:K)</f>
        <v/>
      </c>
      <c r="E4" s="10">
        <f>SUMIF('Sale Invoices'!H:H,A4,'Sale Invoices'!P:P)</f>
        <v/>
      </c>
      <c r="F4" s="10">
        <f>SUMIF('Sale Invoices'!H:H,A4,'Sale Invoices'!U:U)</f>
        <v/>
      </c>
      <c r="G4" s="10">
        <f>SUMIF('Sale Invoices'!H:H,A4,'Sale Invoices'!V:V)</f>
        <v/>
      </c>
      <c r="H4" s="10">
        <f>SUMIF('Sale Invoices'!H:H,A4,'Sale Invoices'!X:X)</f>
        <v/>
      </c>
      <c r="I4" s="9">
        <f>IFERROR(H4/G4,0)</f>
        <v/>
      </c>
    </row>
    <row r="5">
      <c r="A5" t="inlineStr">
        <is>
          <t>Keyboard</t>
        </is>
      </c>
      <c r="B5">
        <f>IFERROR(INDEX('Sale Invoices'!J:J,MATCH(A5,'Sale Invoices'!H:H,0)),"")</f>
        <v/>
      </c>
      <c r="C5" s="9">
        <f>IFERROR(INDEX('Sale Invoices'!Q:Q,MATCH(A5,'Sale Invoices'!H:H,0)),0)</f>
        <v/>
      </c>
      <c r="D5">
        <f>SUMIF('Sale Invoices'!H:H,A5,'Sale Invoices'!K:K)</f>
        <v/>
      </c>
      <c r="E5" s="10">
        <f>SUMIF('Sale Invoices'!H:H,A5,'Sale Invoices'!P:P)</f>
        <v/>
      </c>
      <c r="F5" s="10">
        <f>SUMIF('Sale Invoices'!H:H,A5,'Sale Invoices'!U:U)</f>
        <v/>
      </c>
      <c r="G5" s="10">
        <f>SUMIF('Sale Invoices'!H:H,A5,'Sale Invoices'!V:V)</f>
        <v/>
      </c>
      <c r="H5" s="10">
        <f>SUMIF('Sale Invoices'!H:H,A5,'Sale Invoices'!X:X)</f>
        <v/>
      </c>
      <c r="I5" s="9">
        <f>IFERROR(H5/G5,0)</f>
        <v/>
      </c>
    </row>
    <row r="6">
      <c r="A6" t="inlineStr">
        <is>
          <t>Monitor</t>
        </is>
      </c>
      <c r="B6">
        <f>IFERROR(INDEX('Sale Invoices'!J:J,MATCH(A6,'Sale Invoices'!H:H,0)),"")</f>
        <v/>
      </c>
      <c r="C6" s="9">
        <f>IFERROR(INDEX('Sale Invoices'!Q:Q,MATCH(A6,'Sale Invoices'!H:H,0)),0)</f>
        <v/>
      </c>
      <c r="D6">
        <f>SUMIF('Sale Invoices'!H:H,A6,'Sale Invoices'!K:K)</f>
        <v/>
      </c>
      <c r="E6" s="10">
        <f>SUMIF('Sale Invoices'!H:H,A6,'Sale Invoices'!P:P)</f>
        <v/>
      </c>
      <c r="F6" s="10">
        <f>SUMIF('Sale Invoices'!H:H,A6,'Sale Invoices'!U:U)</f>
        <v/>
      </c>
      <c r="G6" s="10">
        <f>SUMIF('Sale Invoices'!H:H,A6,'Sale Invoices'!V:V)</f>
        <v/>
      </c>
      <c r="H6" s="10">
        <f>SUMIF('Sale Invoices'!H:H,A6,'Sale Invoices'!X:X)</f>
        <v/>
      </c>
      <c r="I6" s="9">
        <f>IFERROR(H6/G6,0)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Cash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  <row r="5">
      <c r="A5" t="inlineStr">
        <is>
          <t>Bank</t>
        </is>
      </c>
      <c r="B5">
        <f>COUNTIF('Sale Invoices'!Y:Y,A5)</f>
        <v/>
      </c>
      <c r="C5" s="10">
        <f>SUMIF('Sale Invoices'!Y:Y,A5,'Sale Invoices'!V:V)</f>
        <v/>
      </c>
      <c r="D5" s="9">
        <f>IFERROR(=IFERROR(C5/SUM(C:C),0)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2026-09-23T08:33:57Z</dcterms:created>
  <dcterms:modified xmlns:dcterms="http://purl.org/dc/terms/" xmlns:xsi="http://www.w3.org/2001/XMLSchema-instance" xsi:type="dcterms:W3CDTF">2026-09-23T08:33:57Z</dcterms:modified>
</cp:coreProperties>
</file>