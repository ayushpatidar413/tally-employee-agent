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 Master" sheetId="1" state="visible" r:id="rId3"/>
    <sheet name="Tally Attendance" sheetId="2" state="visible" r:id="rId4"/>
    <sheet name="Leave Records" sheetId="3" state="visible" r:id="rId5"/>
    <sheet name="Salary Records" sheetId="4" state="visible" r:id="rId6"/>
    <sheet name="PF Records" sheetId="5" state="visible" r:id="rId7"/>
    <sheet name="Monthly 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<sst xmlns="http://schemas.openxmlformats.org/spreadsheetml/2006/main" count="40182" uniqueCount="658">
  <si>
    <t xml:space="preserve">Employee ID</t>
  </si>
  <si>
    <t xml:space="preserve">Employee Name</t>
  </si>
  <si>
    <t xml:space="preserve">Department</t>
  </si>
  <si>
    <t xml:space="preserve">Designation</t>
  </si>
  <si>
    <t xml:space="preserve">Employment Type</t>
  </si>
  <si>
    <t xml:space="preserve">Joining Date</t>
  </si>
  <si>
    <t xml:space="preserve">Monthly Salary</t>
  </si>
  <si>
    <t xml:space="preserve">Previous Experience Years</t>
  </si>
  <si>
    <t xml:space="preserve">Current Company Experience</t>
  </si>
  <si>
    <t xml:space="preserve">Total Experience</t>
  </si>
  <si>
    <t xml:space="preserve">PF Applicable</t>
  </si>
  <si>
    <t xml:space="preserve">PF Rate</t>
  </si>
  <si>
    <t xml:space="preserve">Employee PF</t>
  </si>
  <si>
    <t xml:space="preserve">Employer PF</t>
  </si>
  <si>
    <t xml:space="preserve">Employment Status</t>
  </si>
  <si>
    <t xml:space="preserve">EMP001</t>
  </si>
  <si>
    <t xml:space="preserve">Rajesh Sharma</t>
  </si>
  <si>
    <t xml:space="preserve">IT</t>
  </si>
  <si>
    <t xml:space="preserve">Software Engineer</t>
  </si>
  <si>
    <t xml:space="preserve">Full-Time</t>
  </si>
  <si>
    <t xml:space="preserve">Yes</t>
  </si>
  <si>
    <t xml:space="preserve">Active</t>
  </si>
  <si>
    <t xml:space="preserve">EMP002</t>
  </si>
  <si>
    <t xml:space="preserve">Geeta Shah</t>
  </si>
  <si>
    <t xml:space="preserve">Engineering</t>
  </si>
  <si>
    <t xml:space="preserve">Senior Software Engineer</t>
  </si>
  <si>
    <t xml:space="preserve">EMP003</t>
  </si>
  <si>
    <t xml:space="preserve">Ajay Kumar</t>
  </si>
  <si>
    <t xml:space="preserve">HR</t>
  </si>
  <si>
    <t xml:space="preserve">HR Executive</t>
  </si>
  <si>
    <t xml:space="preserve">EMP004</t>
  </si>
  <si>
    <t xml:space="preserve">Pooja Tiwari</t>
  </si>
  <si>
    <t xml:space="preserve">Finance</t>
  </si>
  <si>
    <t xml:space="preserve">Accountant</t>
  </si>
  <si>
    <t xml:space="preserve">EMP005</t>
  </si>
  <si>
    <t xml:space="preserve">Vandana Gupta</t>
  </si>
  <si>
    <t xml:space="preserve">Accounts</t>
  </si>
  <si>
    <t xml:space="preserve">Senior Accountant</t>
  </si>
  <si>
    <t xml:space="preserve">Contract</t>
  </si>
  <si>
    <t xml:space="preserve">EMP006</t>
  </si>
  <si>
    <t xml:space="preserve">Seema Chauhan</t>
  </si>
  <si>
    <t xml:space="preserve">Sales</t>
  </si>
  <si>
    <t xml:space="preserve">Sales Executive</t>
  </si>
  <si>
    <t xml:space="preserve">EMP007</t>
  </si>
  <si>
    <t xml:space="preserve">Vikram Sharma</t>
  </si>
  <si>
    <t xml:space="preserve">Marketing</t>
  </si>
  <si>
    <t xml:space="preserve">Marketing Executive</t>
  </si>
  <si>
    <t xml:space="preserve">EMP008</t>
  </si>
  <si>
    <t xml:space="preserve">Deepika Mehta</t>
  </si>
  <si>
    <t xml:space="preserve">Operations</t>
  </si>
  <si>
    <t xml:space="preserve">Operations Executive</t>
  </si>
  <si>
    <t xml:space="preserve">EMP009</t>
  </si>
  <si>
    <t xml:space="preserve">Nandini Agarwal</t>
  </si>
  <si>
    <t xml:space="preserve">Administration</t>
  </si>
  <si>
    <t xml:space="preserve">Office Administrator</t>
  </si>
  <si>
    <t xml:space="preserve">EMP010</t>
  </si>
  <si>
    <t xml:space="preserve">Rachna Sharma</t>
  </si>
  <si>
    <t xml:space="preserve">Support</t>
  </si>
  <si>
    <t xml:space="preserve">Support Executive</t>
  </si>
  <si>
    <t xml:space="preserve">EMP011</t>
  </si>
  <si>
    <t xml:space="preserve">Madhuri Mehta</t>
  </si>
  <si>
    <t xml:space="preserve">EMP012</t>
  </si>
  <si>
    <t xml:space="preserve">Vandana Chauhan</t>
  </si>
  <si>
    <t xml:space="preserve">Project Manager</t>
  </si>
  <si>
    <t xml:space="preserve">EMP013</t>
  </si>
  <si>
    <t xml:space="preserve">Ajay Malhotra</t>
  </si>
  <si>
    <t xml:space="preserve">HR Manager</t>
  </si>
  <si>
    <t xml:space="preserve">EMP014</t>
  </si>
  <si>
    <t xml:space="preserve">Seema Joshi</t>
  </si>
  <si>
    <t xml:space="preserve">EMP015</t>
  </si>
  <si>
    <t xml:space="preserve">Aman Bhatia</t>
  </si>
  <si>
    <t xml:space="preserve">EMP016</t>
  </si>
  <si>
    <t xml:space="preserve">Amit Saxena</t>
  </si>
  <si>
    <t xml:space="preserve">Sales Manager</t>
  </si>
  <si>
    <t xml:space="preserve">EMP017</t>
  </si>
  <si>
    <t xml:space="preserve">Tarun Nair</t>
  </si>
  <si>
    <t xml:space="preserve">Marketing Manager</t>
  </si>
  <si>
    <t xml:space="preserve">EMP018</t>
  </si>
  <si>
    <t xml:space="preserve">Geeta Kumar</t>
  </si>
  <si>
    <t xml:space="preserve">EMP019</t>
  </si>
  <si>
    <t xml:space="preserve">Lakshmi Bhatia</t>
  </si>
  <si>
    <t xml:space="preserve">EMP020</t>
  </si>
  <si>
    <t xml:space="preserve">Simran Patel</t>
  </si>
  <si>
    <t xml:space="preserve">Business Analyst</t>
  </si>
  <si>
    <t xml:space="preserve">EMP021</t>
  </si>
  <si>
    <t xml:space="preserve">Deepika Rao</t>
  </si>
  <si>
    <t xml:space="preserve">EMP022</t>
  </si>
  <si>
    <t xml:space="preserve">Manoj Reddy</t>
  </si>
  <si>
    <t xml:space="preserve">EMP023</t>
  </si>
  <si>
    <t xml:space="preserve">Naveen Pandey</t>
  </si>
  <si>
    <t xml:space="preserve">EMP024</t>
  </si>
  <si>
    <t xml:space="preserve">Sunita Menon</t>
  </si>
  <si>
    <t xml:space="preserve">Finance Executive</t>
  </si>
  <si>
    <t xml:space="preserve">EMP025</t>
  </si>
  <si>
    <t xml:space="preserve">Sneha Chopra</t>
  </si>
  <si>
    <t xml:space="preserve">EMP026</t>
  </si>
  <si>
    <t xml:space="preserve">Pankaj Bansal</t>
  </si>
  <si>
    <t xml:space="preserve">EMP027</t>
  </si>
  <si>
    <t xml:space="preserve">Anjali Rastogi</t>
  </si>
  <si>
    <t xml:space="preserve">EMP028</t>
  </si>
  <si>
    <t xml:space="preserve">Manish Gupta</t>
  </si>
  <si>
    <t xml:space="preserve">EMP029</t>
  </si>
  <si>
    <t xml:space="preserve">Anil Iyer</t>
  </si>
  <si>
    <t xml:space="preserve">Administration Executive</t>
  </si>
  <si>
    <t xml:space="preserve">EMP030</t>
  </si>
  <si>
    <t xml:space="preserve">Kajal Trivedi</t>
  </si>
  <si>
    <t xml:space="preserve">EMP031</t>
  </si>
  <si>
    <t xml:space="preserve">Sandeep Mishra</t>
  </si>
  <si>
    <t xml:space="preserve">EMP032</t>
  </si>
  <si>
    <t xml:space="preserve">Nikhil Saxena</t>
  </si>
  <si>
    <t xml:space="preserve">EMP033</t>
  </si>
  <si>
    <t xml:space="preserve">Arjun Verma</t>
  </si>
  <si>
    <t xml:space="preserve">EMP034</t>
  </si>
  <si>
    <t xml:space="preserve">Nandini Bhatia</t>
  </si>
  <si>
    <t xml:space="preserve">EMP035</t>
  </si>
  <si>
    <t xml:space="preserve">Sarita Gupta</t>
  </si>
  <si>
    <t xml:space="preserve">EMP036</t>
  </si>
  <si>
    <t xml:space="preserve">Nandini Desai</t>
  </si>
  <si>
    <t xml:space="preserve">EMP037</t>
  </si>
  <si>
    <t xml:space="preserve">Manoj Rao</t>
  </si>
  <si>
    <t xml:space="preserve">EMP038</t>
  </si>
  <si>
    <t xml:space="preserve">Geeta Malhotra</t>
  </si>
  <si>
    <t xml:space="preserve">EMP039</t>
  </si>
  <si>
    <t xml:space="preserve">Sandeep Singh</t>
  </si>
  <si>
    <t xml:space="preserve">EMP040</t>
  </si>
  <si>
    <t xml:space="preserve">Anita Reddy</t>
  </si>
  <si>
    <t xml:space="preserve">EMP041</t>
  </si>
  <si>
    <t xml:space="preserve">Prakash Tiwari</t>
  </si>
  <si>
    <t xml:space="preserve">EMP042</t>
  </si>
  <si>
    <t xml:space="preserve">Ashok Saxena</t>
  </si>
  <si>
    <t xml:space="preserve">EMP043</t>
  </si>
  <si>
    <t xml:space="preserve">Neha Pandey</t>
  </si>
  <si>
    <t xml:space="preserve">EMP044</t>
  </si>
  <si>
    <t xml:space="preserve">Divya Bansal</t>
  </si>
  <si>
    <t xml:space="preserve">EMP045</t>
  </si>
  <si>
    <t xml:space="preserve">Kiran Singh</t>
  </si>
  <si>
    <t xml:space="preserve">EMP046</t>
  </si>
  <si>
    <t xml:space="preserve">Shweta Rao</t>
  </si>
  <si>
    <t xml:space="preserve">EMP047</t>
  </si>
  <si>
    <t xml:space="preserve">Ashok Rastogi</t>
  </si>
  <si>
    <t xml:space="preserve">EMP048</t>
  </si>
  <si>
    <t xml:space="preserve">Madhuri Shah</t>
  </si>
  <si>
    <t xml:space="preserve">EMP049</t>
  </si>
  <si>
    <t xml:space="preserve">Preeti Pillai</t>
  </si>
  <si>
    <t xml:space="preserve">EMP050</t>
  </si>
  <si>
    <t xml:space="preserve">Kavita Shah</t>
  </si>
  <si>
    <t xml:space="preserve">EMP051</t>
  </si>
  <si>
    <t xml:space="preserve">Vikram Menon</t>
  </si>
  <si>
    <t xml:space="preserve">Software Developer</t>
  </si>
  <si>
    <t xml:space="preserve">EMP052</t>
  </si>
  <si>
    <t xml:space="preserve">Gaurav Rao</t>
  </si>
  <si>
    <t xml:space="preserve">Data Analyst</t>
  </si>
  <si>
    <t xml:space="preserve">EMP053</t>
  </si>
  <si>
    <t xml:space="preserve">Ashok Gupta</t>
  </si>
  <si>
    <t xml:space="preserve">EMP054</t>
  </si>
  <si>
    <t xml:space="preserve">Lakshmi Rastogi</t>
  </si>
  <si>
    <t xml:space="preserve">EMP055</t>
  </si>
  <si>
    <t xml:space="preserve">Ramesh Trivedi</t>
  </si>
  <si>
    <t xml:space="preserve">EMP056</t>
  </si>
  <si>
    <t xml:space="preserve">Gaurav Mehta</t>
  </si>
  <si>
    <t xml:space="preserve">EMP057</t>
  </si>
  <si>
    <t xml:space="preserve">Payal Rao</t>
  </si>
  <si>
    <t xml:space="preserve">EMP058</t>
  </si>
  <si>
    <t xml:space="preserve">Pankaj Kumar</t>
  </si>
  <si>
    <t xml:space="preserve">EMP059</t>
  </si>
  <si>
    <t xml:space="preserve">Sunita Kumar</t>
  </si>
  <si>
    <t xml:space="preserve">EMP060</t>
  </si>
  <si>
    <t xml:space="preserve">Kiran Chopra</t>
  </si>
  <si>
    <t xml:space="preserve">EMP061</t>
  </si>
  <si>
    <t xml:space="preserve">Madhuri Bansal</t>
  </si>
  <si>
    <t xml:space="preserve">EMP062</t>
  </si>
  <si>
    <t xml:space="preserve">Sunita Chopra</t>
  </si>
  <si>
    <t xml:space="preserve">EMP063</t>
  </si>
  <si>
    <t xml:space="preserve">Naresh Chauhan</t>
  </si>
  <si>
    <t xml:space="preserve">EMP064</t>
  </si>
  <si>
    <t xml:space="preserve">Naresh Rao</t>
  </si>
  <si>
    <t xml:space="preserve">EMP065</t>
  </si>
  <si>
    <t xml:space="preserve">Sandeep Shah</t>
  </si>
  <si>
    <t xml:space="preserve">EMP066</t>
  </si>
  <si>
    <t xml:space="preserve">Ritu Agarwal</t>
  </si>
  <si>
    <t xml:space="preserve">EMP067</t>
  </si>
  <si>
    <t xml:space="preserve">Payal Gupta</t>
  </si>
  <si>
    <t xml:space="preserve">EMP068</t>
  </si>
  <si>
    <t xml:space="preserve">Rohit Desai</t>
  </si>
  <si>
    <t xml:space="preserve">EMP069</t>
  </si>
  <si>
    <t xml:space="preserve">Rajesh Kumar</t>
  </si>
  <si>
    <t xml:space="preserve">EMP070</t>
  </si>
  <si>
    <t xml:space="preserve">Amit Menon</t>
  </si>
  <si>
    <t xml:space="preserve">EMP071</t>
  </si>
  <si>
    <t xml:space="preserve">Tarun Pandey</t>
  </si>
  <si>
    <t xml:space="preserve">System Administrator</t>
  </si>
  <si>
    <t xml:space="preserve">EMP072</t>
  </si>
  <si>
    <t xml:space="preserve">Arjun Rao</t>
  </si>
  <si>
    <t xml:space="preserve">EMP073</t>
  </si>
  <si>
    <t xml:space="preserve">Manish Pandey</t>
  </si>
  <si>
    <t xml:space="preserve">EMP074</t>
  </si>
  <si>
    <t xml:space="preserve">Shweta Agarwal</t>
  </si>
  <si>
    <t xml:space="preserve">EMP075</t>
  </si>
  <si>
    <t xml:space="preserve">Ravi Bansal</t>
  </si>
  <si>
    <t xml:space="preserve">EMP076</t>
  </si>
  <si>
    <t xml:space="preserve">Rahul Tiwari</t>
  </si>
  <si>
    <t xml:space="preserve">EMP077</t>
  </si>
  <si>
    <t xml:space="preserve">Rajesh Tiwari</t>
  </si>
  <si>
    <t xml:space="preserve">EMP078</t>
  </si>
  <si>
    <t xml:space="preserve">Sachin Bhatia</t>
  </si>
  <si>
    <t xml:space="preserve">EMP079</t>
  </si>
  <si>
    <t xml:space="preserve">Ashok Bhatia</t>
  </si>
  <si>
    <t xml:space="preserve">EMP080</t>
  </si>
  <si>
    <t xml:space="preserve">Sarita Chauhan</t>
  </si>
  <si>
    <t xml:space="preserve">EMP081</t>
  </si>
  <si>
    <t xml:space="preserve">Amit Malhotra</t>
  </si>
  <si>
    <t xml:space="preserve">EMP082</t>
  </si>
  <si>
    <t xml:space="preserve">Aman Chopra</t>
  </si>
  <si>
    <t xml:space="preserve">EMP083</t>
  </si>
  <si>
    <t xml:space="preserve">Sunita Agarwal</t>
  </si>
  <si>
    <t xml:space="preserve">EMP084</t>
  </si>
  <si>
    <t xml:space="preserve">Karan Agarwal</t>
  </si>
  <si>
    <t xml:space="preserve">EMP085</t>
  </si>
  <si>
    <t xml:space="preserve">Pooja Desai</t>
  </si>
  <si>
    <t xml:space="preserve">EMP086</t>
  </si>
  <si>
    <t xml:space="preserve">Deepak Pillai</t>
  </si>
  <si>
    <t xml:space="preserve">EMP087</t>
  </si>
  <si>
    <t xml:space="preserve">Rakesh Pandey</t>
  </si>
  <si>
    <t xml:space="preserve">EMP088</t>
  </si>
  <si>
    <t xml:space="preserve">Shreya Kumar</t>
  </si>
  <si>
    <t xml:space="preserve">EMP089</t>
  </si>
  <si>
    <t xml:space="preserve">Anita Bhatia</t>
  </si>
  <si>
    <t xml:space="preserve">EMP090</t>
  </si>
  <si>
    <t xml:space="preserve">Amit Bansal</t>
  </si>
  <si>
    <t xml:space="preserve">EMP091</t>
  </si>
  <si>
    <t xml:space="preserve">Alka Rastogi</t>
  </si>
  <si>
    <t xml:space="preserve">EMP092</t>
  </si>
  <si>
    <t xml:space="preserve">Aman Pandey</t>
  </si>
  <si>
    <t xml:space="preserve">EMP093</t>
  </si>
  <si>
    <t xml:space="preserve">Preeti Kapoor</t>
  </si>
  <si>
    <t xml:space="preserve">EMP094</t>
  </si>
  <si>
    <t xml:space="preserve">Priya Patel</t>
  </si>
  <si>
    <t xml:space="preserve">EMP095</t>
  </si>
  <si>
    <t xml:space="preserve">Sandeep Trivedi</t>
  </si>
  <si>
    <t xml:space="preserve">EMP096</t>
  </si>
  <si>
    <t xml:space="preserve">Rekha Shah</t>
  </si>
  <si>
    <t xml:space="preserve">EMP097</t>
  </si>
  <si>
    <t xml:space="preserve">Ramesh Gupta</t>
  </si>
  <si>
    <t xml:space="preserve">EMP098</t>
  </si>
  <si>
    <t xml:space="preserve">Suresh Chopra</t>
  </si>
  <si>
    <t xml:space="preserve">EMP099</t>
  </si>
  <si>
    <t xml:space="preserve">Vishal Pillai</t>
  </si>
  <si>
    <t xml:space="preserve">EMP100</t>
  </si>
  <si>
    <t xml:space="preserve">Arjun Bhatia</t>
  </si>
  <si>
    <t xml:space="preserve">EMP101</t>
  </si>
  <si>
    <t xml:space="preserve">Sanjay Kumar</t>
  </si>
  <si>
    <t xml:space="preserve">EMP102</t>
  </si>
  <si>
    <t xml:space="preserve">Abhishek Bansal</t>
  </si>
  <si>
    <t xml:space="preserve">EMP103</t>
  </si>
  <si>
    <t xml:space="preserve">Divya Joshi</t>
  </si>
  <si>
    <t xml:space="preserve">EMP104</t>
  </si>
  <si>
    <t xml:space="preserve">Alka Desai</t>
  </si>
  <si>
    <t xml:space="preserve">EMP105</t>
  </si>
  <si>
    <t xml:space="preserve">Rachna Chauhan</t>
  </si>
  <si>
    <t xml:space="preserve">EMP106</t>
  </si>
  <si>
    <t xml:space="preserve">Vandana Bhatia</t>
  </si>
  <si>
    <t xml:space="preserve">EMP107</t>
  </si>
  <si>
    <t xml:space="preserve">Shreya Saxena</t>
  </si>
  <si>
    <t xml:space="preserve">EMP108</t>
  </si>
  <si>
    <t xml:space="preserve">Rekha Rao</t>
  </si>
  <si>
    <t xml:space="preserve">EMP109</t>
  </si>
  <si>
    <t xml:space="preserve">Anita Malhotra</t>
  </si>
  <si>
    <t xml:space="preserve">EMP110</t>
  </si>
  <si>
    <t xml:space="preserve">Dinesh Malhotra</t>
  </si>
  <si>
    <t xml:space="preserve">EMP111</t>
  </si>
  <si>
    <t xml:space="preserve">Anjali Shah</t>
  </si>
  <si>
    <t xml:space="preserve">EMP112</t>
  </si>
  <si>
    <t xml:space="preserve">Ajay Gupta</t>
  </si>
  <si>
    <t xml:space="preserve">EMP113</t>
  </si>
  <si>
    <t xml:space="preserve">Simran Sharma</t>
  </si>
  <si>
    <t xml:space="preserve">EMP114</t>
  </si>
  <si>
    <t xml:space="preserve">Seema Bansal</t>
  </si>
  <si>
    <t xml:space="preserve">EMP115</t>
  </si>
  <si>
    <t xml:space="preserve">Nandini Mishra</t>
  </si>
  <si>
    <t xml:space="preserve">EMP116</t>
  </si>
  <si>
    <t xml:space="preserve">Ajay Sharma</t>
  </si>
  <si>
    <t xml:space="preserve">EMP117</t>
  </si>
  <si>
    <t xml:space="preserve">Neha Saxena</t>
  </si>
  <si>
    <t xml:space="preserve">EMP118</t>
  </si>
  <si>
    <t xml:space="preserve">Arjun Trivedi</t>
  </si>
  <si>
    <t xml:space="preserve">EMP119</t>
  </si>
  <si>
    <t xml:space="preserve">Vikram Desai</t>
  </si>
  <si>
    <t xml:space="preserve">EMP120</t>
  </si>
  <si>
    <t xml:space="preserve">Harish Gupta</t>
  </si>
  <si>
    <t xml:space="preserve">EMP121</t>
  </si>
  <si>
    <t xml:space="preserve">Sapna Shah</t>
  </si>
  <si>
    <t xml:space="preserve">EMP122</t>
  </si>
  <si>
    <t xml:space="preserve">Geeta Tiwari</t>
  </si>
  <si>
    <t xml:space="preserve">EMP123</t>
  </si>
  <si>
    <t xml:space="preserve">Vishal Mehta</t>
  </si>
  <si>
    <t xml:space="preserve">EMP124</t>
  </si>
  <si>
    <t xml:space="preserve">Vandana Kumar</t>
  </si>
  <si>
    <t xml:space="preserve">EMP125</t>
  </si>
  <si>
    <t xml:space="preserve">Usha Mishra</t>
  </si>
  <si>
    <t xml:space="preserve">EMP126</t>
  </si>
  <si>
    <t xml:space="preserve">Abhishek Shah</t>
  </si>
  <si>
    <t xml:space="preserve">EMP127</t>
  </si>
  <si>
    <t xml:space="preserve">Abhishek Menon</t>
  </si>
  <si>
    <t xml:space="preserve">EMP128</t>
  </si>
  <si>
    <t xml:space="preserve">Aakash Mehta</t>
  </si>
  <si>
    <t xml:space="preserve">EMP129</t>
  </si>
  <si>
    <t xml:space="preserve">Manoj Patel</t>
  </si>
  <si>
    <t xml:space="preserve">EMP130</t>
  </si>
  <si>
    <t xml:space="preserve">Vidya Reddy</t>
  </si>
  <si>
    <t xml:space="preserve">EMP131</t>
  </si>
  <si>
    <t xml:space="preserve">Tarun Chauhan</t>
  </si>
  <si>
    <t xml:space="preserve">EMP132</t>
  </si>
  <si>
    <t xml:space="preserve">Shweta Desai</t>
  </si>
  <si>
    <t xml:space="preserve">EMP133</t>
  </si>
  <si>
    <t xml:space="preserve">Rohit Tiwari</t>
  </si>
  <si>
    <t xml:space="preserve">EMP134</t>
  </si>
  <si>
    <t xml:space="preserve">Manoj Verma</t>
  </si>
  <si>
    <t xml:space="preserve">EMP135</t>
  </si>
  <si>
    <t xml:space="preserve">Ishita Chopra</t>
  </si>
  <si>
    <t xml:space="preserve">EMP136</t>
  </si>
  <si>
    <t xml:space="preserve">Simran Menon</t>
  </si>
  <si>
    <t xml:space="preserve">EMP137</t>
  </si>
  <si>
    <t xml:space="preserve">Pooja Shah</t>
  </si>
  <si>
    <t xml:space="preserve">EMP138</t>
  </si>
  <si>
    <t xml:space="preserve">Nikhil Mehta</t>
  </si>
  <si>
    <t xml:space="preserve">EMP139</t>
  </si>
  <si>
    <t xml:space="preserve">Sachin Malhotra</t>
  </si>
  <si>
    <t xml:space="preserve">EMP140</t>
  </si>
  <si>
    <t xml:space="preserve">Ritu Chauhan</t>
  </si>
  <si>
    <t xml:space="preserve">EMP141</t>
  </si>
  <si>
    <t xml:space="preserve">Meera Joshi</t>
  </si>
  <si>
    <t xml:space="preserve">EMP142</t>
  </si>
  <si>
    <t xml:space="preserve">Shweta Shah</t>
  </si>
  <si>
    <t xml:space="preserve">EMP143</t>
  </si>
  <si>
    <t xml:space="preserve">Neha Malhotra</t>
  </si>
  <si>
    <t xml:space="preserve">EMP144</t>
  </si>
  <si>
    <t xml:space="preserve">Anil Patel</t>
  </si>
  <si>
    <t xml:space="preserve">EMP145</t>
  </si>
  <si>
    <t xml:space="preserve">Rohit Yadav</t>
  </si>
  <si>
    <t xml:space="preserve">EMP146</t>
  </si>
  <si>
    <t xml:space="preserve">Vandana Pillai</t>
  </si>
  <si>
    <t xml:space="preserve">EMP147</t>
  </si>
  <si>
    <t xml:space="preserve">Rahul Gupta</t>
  </si>
  <si>
    <t xml:space="preserve">EMP148</t>
  </si>
  <si>
    <t xml:space="preserve">Sunil Singh</t>
  </si>
  <si>
    <t xml:space="preserve">EMP149</t>
  </si>
  <si>
    <t xml:space="preserve">Aakash Kapoor</t>
  </si>
  <si>
    <t xml:space="preserve">EMP150</t>
  </si>
  <si>
    <t xml:space="preserve">Nisha Mehta</t>
  </si>
  <si>
    <t xml:space="preserve">EMP151</t>
  </si>
  <si>
    <t xml:space="preserve">Ishita Trivedi</t>
  </si>
  <si>
    <t xml:space="preserve">EMP152</t>
  </si>
  <si>
    <t xml:space="preserve">Kavita Singh</t>
  </si>
  <si>
    <t xml:space="preserve">EMP153</t>
  </si>
  <si>
    <t xml:space="preserve">Manish Sharma</t>
  </si>
  <si>
    <t xml:space="preserve">EMP154</t>
  </si>
  <si>
    <t xml:space="preserve">Komal Joshi</t>
  </si>
  <si>
    <t xml:space="preserve">EMP155</t>
  </si>
  <si>
    <t xml:space="preserve">Pankaj Iyer</t>
  </si>
  <si>
    <t xml:space="preserve">EMP156</t>
  </si>
  <si>
    <t xml:space="preserve">Tarun Saxena</t>
  </si>
  <si>
    <t xml:space="preserve">EMP157</t>
  </si>
  <si>
    <t xml:space="preserve">Madhuri Tiwari</t>
  </si>
  <si>
    <t xml:space="preserve">EMP158</t>
  </si>
  <si>
    <t xml:space="preserve">Vishal Kumar</t>
  </si>
  <si>
    <t xml:space="preserve">EMP159</t>
  </si>
  <si>
    <t xml:space="preserve">Nikhil Iyer</t>
  </si>
  <si>
    <t xml:space="preserve">EMP160</t>
  </si>
  <si>
    <t xml:space="preserve">Lakshmi Verma</t>
  </si>
  <si>
    <t xml:space="preserve">EMP161</t>
  </si>
  <si>
    <t xml:space="preserve">Naresh Chopra</t>
  </si>
  <si>
    <t xml:space="preserve">EMP162</t>
  </si>
  <si>
    <t xml:space="preserve">Vandana Verma</t>
  </si>
  <si>
    <t xml:space="preserve">EMP163</t>
  </si>
  <si>
    <t xml:space="preserve">Gaurav Verma</t>
  </si>
  <si>
    <t xml:space="preserve">EMP164</t>
  </si>
  <si>
    <t xml:space="preserve">Rohit Mishra</t>
  </si>
  <si>
    <t xml:space="preserve">EMP165</t>
  </si>
  <si>
    <t xml:space="preserve">Nisha Agarwal</t>
  </si>
  <si>
    <t xml:space="preserve">EMP166</t>
  </si>
  <si>
    <t xml:space="preserve">Alka Singh</t>
  </si>
  <si>
    <t xml:space="preserve">EMP167</t>
  </si>
  <si>
    <t xml:space="preserve">Kavita Agarwal</t>
  </si>
  <si>
    <t xml:space="preserve">EMP168</t>
  </si>
  <si>
    <t xml:space="preserve">Suresh Desai</t>
  </si>
  <si>
    <t xml:space="preserve">EMP169</t>
  </si>
  <si>
    <t xml:space="preserve">Meera Gupta</t>
  </si>
  <si>
    <t xml:space="preserve">EMP170</t>
  </si>
  <si>
    <t xml:space="preserve">Umesh Gupta</t>
  </si>
  <si>
    <t xml:space="preserve">EMP171</t>
  </si>
  <si>
    <t xml:space="preserve">Sunil Rao</t>
  </si>
  <si>
    <t xml:space="preserve">EMP172</t>
  </si>
  <si>
    <t xml:space="preserve">Anjali Trivedi</t>
  </si>
  <si>
    <t xml:space="preserve">EMP173</t>
  </si>
  <si>
    <t xml:space="preserve">Ramesh Shah</t>
  </si>
  <si>
    <t xml:space="preserve">EMP174</t>
  </si>
  <si>
    <t xml:space="preserve">Naresh Pandey</t>
  </si>
  <si>
    <t xml:space="preserve">EMP175</t>
  </si>
  <si>
    <t xml:space="preserve">Sneha Pandey</t>
  </si>
  <si>
    <t xml:space="preserve">EMP176</t>
  </si>
  <si>
    <t xml:space="preserve">Suresh Chauhan</t>
  </si>
  <si>
    <t xml:space="preserve">EMP177</t>
  </si>
  <si>
    <t xml:space="preserve">Naresh Mishra</t>
  </si>
  <si>
    <t xml:space="preserve">EMP178</t>
  </si>
  <si>
    <t xml:space="preserve">Dinesh Nair</t>
  </si>
  <si>
    <t xml:space="preserve">EMP179</t>
  </si>
  <si>
    <t xml:space="preserve">Sunita Mehta</t>
  </si>
  <si>
    <t xml:space="preserve">EMP180</t>
  </si>
  <si>
    <t xml:space="preserve">Gaurav Shah</t>
  </si>
  <si>
    <t xml:space="preserve">EMP181</t>
  </si>
  <si>
    <t xml:space="preserve">Sunita Rao</t>
  </si>
  <si>
    <t xml:space="preserve">EMP182</t>
  </si>
  <si>
    <t xml:space="preserve">Sanjay Tiwari</t>
  </si>
  <si>
    <t xml:space="preserve">EMP183</t>
  </si>
  <si>
    <t xml:space="preserve">Deepak Malhotra</t>
  </si>
  <si>
    <t xml:space="preserve">EMP184</t>
  </si>
  <si>
    <t xml:space="preserve">Gaurav Rastogi</t>
  </si>
  <si>
    <t xml:space="preserve">EMP185</t>
  </si>
  <si>
    <t xml:space="preserve">Neha Sharma</t>
  </si>
  <si>
    <t xml:space="preserve">EMP186</t>
  </si>
  <si>
    <t xml:space="preserve">Pankaj Pandey</t>
  </si>
  <si>
    <t xml:space="preserve">EMP187</t>
  </si>
  <si>
    <t xml:space="preserve">Ramesh Patel</t>
  </si>
  <si>
    <t xml:space="preserve">EMP188</t>
  </si>
  <si>
    <t xml:space="preserve">Neha Bansal</t>
  </si>
  <si>
    <t xml:space="preserve">EMP189</t>
  </si>
  <si>
    <t xml:space="preserve">Lakshmi Agarwal</t>
  </si>
  <si>
    <t xml:space="preserve">EMP190</t>
  </si>
  <si>
    <t xml:space="preserve">Naveen Trivedi</t>
  </si>
  <si>
    <t xml:space="preserve">EMP191</t>
  </si>
  <si>
    <t xml:space="preserve">Kiran Reddy</t>
  </si>
  <si>
    <t xml:space="preserve">EMP192</t>
  </si>
  <si>
    <t xml:space="preserve">Vinod Singh</t>
  </si>
  <si>
    <t xml:space="preserve">EMP193</t>
  </si>
  <si>
    <t xml:space="preserve">Mahesh Pillai</t>
  </si>
  <si>
    <t xml:space="preserve">EMP194</t>
  </si>
  <si>
    <t xml:space="preserve">Vandana Saxena</t>
  </si>
  <si>
    <t xml:space="preserve">EMP195</t>
  </si>
  <si>
    <t xml:space="preserve">Deepak Pandey</t>
  </si>
  <si>
    <t xml:space="preserve">EMP196</t>
  </si>
  <si>
    <t xml:space="preserve">Alka Sharma</t>
  </si>
  <si>
    <t xml:space="preserve">EMP197</t>
  </si>
  <si>
    <t xml:space="preserve">Pooja Trivedi</t>
  </si>
  <si>
    <t xml:space="preserve">EMP198</t>
  </si>
  <si>
    <t xml:space="preserve">Ritu Joshi</t>
  </si>
  <si>
    <t xml:space="preserve">EMP199</t>
  </si>
  <si>
    <t xml:space="preserve">Rajesh Trivedi</t>
  </si>
  <si>
    <t xml:space="preserve">EMP200</t>
  </si>
  <si>
    <t xml:space="preserve">Pooja Chopra</t>
  </si>
  <si>
    <t xml:space="preserve">Date</t>
  </si>
  <si>
    <t xml:space="preserve">Day</t>
  </si>
  <si>
    <t xml:space="preserve">Attendance Status</t>
  </si>
  <si>
    <t xml:space="preserve">Check In</t>
  </si>
  <si>
    <t xml:space="preserve">Check Out</t>
  </si>
  <si>
    <t xml:space="preserve">Working Hours</t>
  </si>
  <si>
    <t xml:space="preserve">Leave Type</t>
  </si>
  <si>
    <t xml:space="preserve">Remarks</t>
  </si>
  <si>
    <t xml:space="preserve">Present</t>
  </si>
  <si>
    <t xml:space="preserve">09:00</t>
  </si>
  <si>
    <t xml:space="preserve">18:00</t>
  </si>
  <si>
    <t xml:space="preserve">Weekly Off</t>
  </si>
  <si>
    <t xml:space="preserve">Absent</t>
  </si>
  <si>
    <t xml:space="preserve">Unauthorized Absence</t>
  </si>
  <si>
    <t xml:space="preserve">Leave</t>
  </si>
  <si>
    <t xml:space="preserve">Emergency Leave</t>
  </si>
  <si>
    <t xml:space="preserve">On Emergency Leave</t>
  </si>
  <si>
    <t xml:space="preserve">Half Day</t>
  </si>
  <si>
    <t xml:space="preserve">13:00</t>
  </si>
  <si>
    <t xml:space="preserve">Unpaid Leave</t>
  </si>
  <si>
    <t xml:space="preserve">On Unpaid Leave</t>
  </si>
  <si>
    <t xml:space="preserve">Paid Leave</t>
  </si>
  <si>
    <t xml:space="preserve">On Paid Leave</t>
  </si>
  <si>
    <t xml:space="preserve">Sick Leave</t>
  </si>
  <si>
    <t xml:space="preserve">On Sick Leave</t>
  </si>
  <si>
    <t xml:space="preserve">Casual Leave</t>
  </si>
  <si>
    <t xml:space="preserve">On Casual Leave</t>
  </si>
  <si>
    <t xml:space="preserve">Leave ID</t>
  </si>
  <si>
    <t xml:space="preserve">Leave Date</t>
  </si>
  <si>
    <t xml:space="preserve">Paid/Unpaid</t>
  </si>
  <si>
    <t xml:space="preserve">Leave Days</t>
  </si>
  <si>
    <t xml:space="preserve">Approval Status</t>
  </si>
  <si>
    <t xml:space="preserve">Reason</t>
  </si>
  <si>
    <t xml:space="preserve">LV0001</t>
  </si>
  <si>
    <t xml:space="preserve">Paid</t>
  </si>
  <si>
    <t xml:space="preserve">Pending</t>
  </si>
  <si>
    <t xml:space="preserve">Emergency Leave - personal reasons</t>
  </si>
  <si>
    <t xml:space="preserve">LV0002</t>
  </si>
  <si>
    <t xml:space="preserve">Unpaid</t>
  </si>
  <si>
    <t xml:space="preserve">Unpaid Leave - personal reasons</t>
  </si>
  <si>
    <t xml:space="preserve">LV0003</t>
  </si>
  <si>
    <t xml:space="preserve">Approved</t>
  </si>
  <si>
    <t xml:space="preserve">Paid Leave - personal reasons</t>
  </si>
  <si>
    <t xml:space="preserve">LV0004</t>
  </si>
  <si>
    <t xml:space="preserve">LV0005</t>
  </si>
  <si>
    <t xml:space="preserve">LV0006</t>
  </si>
  <si>
    <t xml:space="preserve">Sick Leave - personal reasons</t>
  </si>
  <si>
    <t xml:space="preserve">LV0007</t>
  </si>
  <si>
    <t xml:space="preserve">LV0008</t>
  </si>
  <si>
    <t xml:space="preserve">LV0009</t>
  </si>
  <si>
    <t xml:space="preserve">Casual Leave - personal reasons</t>
  </si>
  <si>
    <t xml:space="preserve">LV0010</t>
  </si>
  <si>
    <t xml:space="preserve">LV0011</t>
  </si>
  <si>
    <t xml:space="preserve">LV0012</t>
  </si>
  <si>
    <t xml:space="preserve">Rejected</t>
  </si>
  <si>
    <t xml:space="preserve">LV0013</t>
  </si>
  <si>
    <t xml:space="preserve">LV0014</t>
  </si>
  <si>
    <t xml:space="preserve">LV0015</t>
  </si>
  <si>
    <t xml:space="preserve">LV0016</t>
  </si>
  <si>
    <t xml:space="preserve">LV0017</t>
  </si>
  <si>
    <t xml:space="preserve">LV0018</t>
  </si>
  <si>
    <t xml:space="preserve">LV0019</t>
  </si>
  <si>
    <t xml:space="preserve">LV0020</t>
  </si>
  <si>
    <t xml:space="preserve">LV0021</t>
  </si>
  <si>
    <t xml:space="preserve">LV0022</t>
  </si>
  <si>
    <t xml:space="preserve">LV0023</t>
  </si>
  <si>
    <t xml:space="preserve">LV0024</t>
  </si>
  <si>
    <t xml:space="preserve">LV0025</t>
  </si>
  <si>
    <t xml:space="preserve">LV0026</t>
  </si>
  <si>
    <t xml:space="preserve">LV0027</t>
  </si>
  <si>
    <t xml:space="preserve">LV0028</t>
  </si>
  <si>
    <t xml:space="preserve">LV0029</t>
  </si>
  <si>
    <t xml:space="preserve">LV0030</t>
  </si>
  <si>
    <t xml:space="preserve">LV0031</t>
  </si>
  <si>
    <t xml:space="preserve">LV0032</t>
  </si>
  <si>
    <t xml:space="preserve">LV0033</t>
  </si>
  <si>
    <t xml:space="preserve">LV0034</t>
  </si>
  <si>
    <t xml:space="preserve">LV0035</t>
  </si>
  <si>
    <t xml:space="preserve">LV0036</t>
  </si>
  <si>
    <t xml:space="preserve">LV0037</t>
  </si>
  <si>
    <t xml:space="preserve">LV0038</t>
  </si>
  <si>
    <t xml:space="preserve">LV0039</t>
  </si>
  <si>
    <t xml:space="preserve">LV0040</t>
  </si>
  <si>
    <t xml:space="preserve">LV0041</t>
  </si>
  <si>
    <t xml:space="preserve">LV0042</t>
  </si>
  <si>
    <t xml:space="preserve">LV0043</t>
  </si>
  <si>
    <t xml:space="preserve">LV0044</t>
  </si>
  <si>
    <t xml:space="preserve">LV0045</t>
  </si>
  <si>
    <t xml:space="preserve">LV0046</t>
  </si>
  <si>
    <t xml:space="preserve">LV0047</t>
  </si>
  <si>
    <t xml:space="preserve">LV0048</t>
  </si>
  <si>
    <t xml:space="preserve">LV0049</t>
  </si>
  <si>
    <t xml:space="preserve">LV0050</t>
  </si>
  <si>
    <t xml:space="preserve">LV0051</t>
  </si>
  <si>
    <t xml:space="preserve">LV0052</t>
  </si>
  <si>
    <t xml:space="preserve">LV0053</t>
  </si>
  <si>
    <t xml:space="preserve">LV0054</t>
  </si>
  <si>
    <t xml:space="preserve">LV0055</t>
  </si>
  <si>
    <t xml:space="preserve">LV0056</t>
  </si>
  <si>
    <t xml:space="preserve">LV0057</t>
  </si>
  <si>
    <t xml:space="preserve">LV0058</t>
  </si>
  <si>
    <t xml:space="preserve">LV0059</t>
  </si>
  <si>
    <t xml:space="preserve">LV0060</t>
  </si>
  <si>
    <t xml:space="preserve">LV0061</t>
  </si>
  <si>
    <t xml:space="preserve">LV0062</t>
  </si>
  <si>
    <t xml:space="preserve">LV0063</t>
  </si>
  <si>
    <t xml:space="preserve">LV0064</t>
  </si>
  <si>
    <t xml:space="preserve">LV0065</t>
  </si>
  <si>
    <t xml:space="preserve">LV0066</t>
  </si>
  <si>
    <t xml:space="preserve">LV0067</t>
  </si>
  <si>
    <t xml:space="preserve">LV0068</t>
  </si>
  <si>
    <t xml:space="preserve">LV0069</t>
  </si>
  <si>
    <t xml:space="preserve">LV0070</t>
  </si>
  <si>
    <t xml:space="preserve">LV0071</t>
  </si>
  <si>
    <t xml:space="preserve">LV0072</t>
  </si>
  <si>
    <t xml:space="preserve">LV0073</t>
  </si>
  <si>
    <t xml:space="preserve">LV0074</t>
  </si>
  <si>
    <t xml:space="preserve">LV0075</t>
  </si>
  <si>
    <t xml:space="preserve">LV0076</t>
  </si>
  <si>
    <t xml:space="preserve">LV0077</t>
  </si>
  <si>
    <t xml:space="preserve">LV0078</t>
  </si>
  <si>
    <t xml:space="preserve">LV0079</t>
  </si>
  <si>
    <t xml:space="preserve">LV0080</t>
  </si>
  <si>
    <t xml:space="preserve">LV0081</t>
  </si>
  <si>
    <t xml:space="preserve">LV0082</t>
  </si>
  <si>
    <t xml:space="preserve">LV0083</t>
  </si>
  <si>
    <t xml:space="preserve">LV0084</t>
  </si>
  <si>
    <t xml:space="preserve">LV0085</t>
  </si>
  <si>
    <t xml:space="preserve">LV0086</t>
  </si>
  <si>
    <t xml:space="preserve">LV0087</t>
  </si>
  <si>
    <t xml:space="preserve">LV0088</t>
  </si>
  <si>
    <t xml:space="preserve">LV0089</t>
  </si>
  <si>
    <t xml:space="preserve">LV0090</t>
  </si>
  <si>
    <t xml:space="preserve">LV0091</t>
  </si>
  <si>
    <t xml:space="preserve">LV0092</t>
  </si>
  <si>
    <t xml:space="preserve">LV0093</t>
  </si>
  <si>
    <t xml:space="preserve">LV0094</t>
  </si>
  <si>
    <t xml:space="preserve">LV0095</t>
  </si>
  <si>
    <t xml:space="preserve">LV0096</t>
  </si>
  <si>
    <t xml:space="preserve">LV0097</t>
  </si>
  <si>
    <t xml:space="preserve">LV0098</t>
  </si>
  <si>
    <t xml:space="preserve">LV0099</t>
  </si>
  <si>
    <t xml:space="preserve">LV0100</t>
  </si>
  <si>
    <t xml:space="preserve">LV0101</t>
  </si>
  <si>
    <t xml:space="preserve">LV0102</t>
  </si>
  <si>
    <t xml:space="preserve">LV0103</t>
  </si>
  <si>
    <t xml:space="preserve">LV0104</t>
  </si>
  <si>
    <t xml:space="preserve">LV0105</t>
  </si>
  <si>
    <t xml:space="preserve">LV0106</t>
  </si>
  <si>
    <t xml:space="preserve">LV0107</t>
  </si>
  <si>
    <t xml:space="preserve">LV0108</t>
  </si>
  <si>
    <t xml:space="preserve">LV0109</t>
  </si>
  <si>
    <t xml:space="preserve">LV0110</t>
  </si>
  <si>
    <t xml:space="preserve">LV0111</t>
  </si>
  <si>
    <t xml:space="preserve">LV0112</t>
  </si>
  <si>
    <t xml:space="preserve">LV0113</t>
  </si>
  <si>
    <t xml:space="preserve">LV0114</t>
  </si>
  <si>
    <t xml:space="preserve">LV0115</t>
  </si>
  <si>
    <t xml:space="preserve">LV0116</t>
  </si>
  <si>
    <t xml:space="preserve">LV0117</t>
  </si>
  <si>
    <t xml:space="preserve">LV0118</t>
  </si>
  <si>
    <t xml:space="preserve">LV0119</t>
  </si>
  <si>
    <t xml:space="preserve">LV0120</t>
  </si>
  <si>
    <t xml:space="preserve">LV0121</t>
  </si>
  <si>
    <t xml:space="preserve">LV0122</t>
  </si>
  <si>
    <t xml:space="preserve">LV0123</t>
  </si>
  <si>
    <t xml:space="preserve">LV0124</t>
  </si>
  <si>
    <t xml:space="preserve">LV0125</t>
  </si>
  <si>
    <t xml:space="preserve">LV0126</t>
  </si>
  <si>
    <t xml:space="preserve">LV0127</t>
  </si>
  <si>
    <t xml:space="preserve">LV0128</t>
  </si>
  <si>
    <t xml:space="preserve">LV0129</t>
  </si>
  <si>
    <t xml:space="preserve">LV0130</t>
  </si>
  <si>
    <t xml:space="preserve">LV0131</t>
  </si>
  <si>
    <t xml:space="preserve">LV0132</t>
  </si>
  <si>
    <t xml:space="preserve">LV0133</t>
  </si>
  <si>
    <t xml:space="preserve">LV0134</t>
  </si>
  <si>
    <t xml:space="preserve">LV0135</t>
  </si>
  <si>
    <t xml:space="preserve">LV0136</t>
  </si>
  <si>
    <t xml:space="preserve">LV0137</t>
  </si>
  <si>
    <t xml:space="preserve">LV0138</t>
  </si>
  <si>
    <t xml:space="preserve">LV0139</t>
  </si>
  <si>
    <t xml:space="preserve">LV0140</t>
  </si>
  <si>
    <t xml:space="preserve">LV0141</t>
  </si>
  <si>
    <t xml:space="preserve">LV0142</t>
  </si>
  <si>
    <t xml:space="preserve">LV0143</t>
  </si>
  <si>
    <t xml:space="preserve">Month</t>
  </si>
  <si>
    <t xml:space="preserve">Year</t>
  </si>
  <si>
    <t xml:space="preserve">Working Days</t>
  </si>
  <si>
    <t xml:space="preserve">Present Days</t>
  </si>
  <si>
    <t xml:space="preserve">Absent Days</t>
  </si>
  <si>
    <t xml:space="preserve">Half Days</t>
  </si>
  <si>
    <t xml:space="preserve">Free Leave Days</t>
  </si>
  <si>
    <t xml:space="preserve">Unpaid Absence Days</t>
  </si>
  <si>
    <t xml:space="preserve">Per Day Salary</t>
  </si>
  <si>
    <t xml:space="preserve">Gross Salary</t>
  </si>
  <si>
    <t xml:space="preserve">Absence Deduction</t>
  </si>
  <si>
    <t xml:space="preserve">Leave Deduction</t>
  </si>
  <si>
    <t xml:space="preserve">Other Deduction</t>
  </si>
  <si>
    <t xml:space="preserve">Net Salary</t>
  </si>
  <si>
    <t xml:space="preserve">August</t>
  </si>
  <si>
    <t xml:space="preserve">PF Wage</t>
  </si>
  <si>
    <t xml:space="preserve">Total PF</t>
  </si>
  <si>
    <t xml:space="preserve">PF Status</t>
  </si>
  <si>
    <t xml:space="preserve">Attendance Percentage</t>
  </si>
  <si>
    <t xml:space="preserve">Free Leave Allowed</t>
  </si>
  <si>
    <t xml:space="preserve">Free Leave Used</t>
  </si>
  <si>
    <t xml:space="preserve">Previous Experience</t>
  </si>
  <si>
    <t xml:space="preserve">August 2026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</si>
</sst>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3" t="n">
        <v>44255</v>
      </c>
      <c r="G2" s="2" t="n">
        <v>48000</v>
      </c>
      <c r="H2" s="2" t="n">
        <v>0</v>
      </c>
      <c r="I2" s="2" t="n">
        <f aca="false">ROUND((DATE(2026,8,31)-F2)/365.25,1)</f>
        <v>5.5</v>
      </c>
      <c r="J2" s="2" t="n">
        <f aca="false">ROUND(H2+I2,1)</f>
        <v>5.5</v>
      </c>
      <c r="K2" s="2" t="s">
        <v>20</v>
      </c>
      <c r="L2" s="4" t="n">
        <v>0.12</v>
      </c>
      <c r="M2" s="2" t="n">
        <f aca="false">IF(K2="Yes",ROUND(G2*L2,0),0)</f>
        <v>5760</v>
      </c>
      <c r="N2" s="2" t="n">
        <f aca="false">IF(K2="Yes",ROUND(G2*L2,0),0)</f>
        <v>5760</v>
      </c>
      <c r="O2" s="2" t="s">
        <v>21</v>
      </c>
    </row>
    <row r="3" customFormat="false" ht="15" hidden="false" customHeight="false" outlineLevel="0" collapsed="false">
      <c r="A3" s="2" t="s">
        <v>22</v>
      </c>
      <c r="B3" s="2" t="s">
        <v>23</v>
      </c>
      <c r="C3" s="2" t="s">
        <v>24</v>
      </c>
      <c r="D3" s="2" t="s">
        <v>25</v>
      </c>
      <c r="E3" s="2" t="s">
        <v>19</v>
      </c>
      <c r="F3" s="3" t="n">
        <v>45171</v>
      </c>
      <c r="G3" s="2" t="n">
        <v>104500</v>
      </c>
      <c r="H3" s="2" t="n">
        <v>3.9</v>
      </c>
      <c r="I3" s="2" t="n">
        <f aca="false">ROUND((DATE(2026,8,31)-F3)/365.25,1)</f>
        <v>3</v>
      </c>
      <c r="J3" s="2" t="n">
        <f aca="false">ROUND(H3+I3,1)</f>
        <v>6.9</v>
      </c>
      <c r="K3" s="2" t="s">
        <v>20</v>
      </c>
      <c r="L3" s="4" t="n">
        <v>0.12</v>
      </c>
      <c r="M3" s="2" t="n">
        <f aca="false">IF(K3="Yes",ROUND(G3*L3,0),0)</f>
        <v>12540</v>
      </c>
      <c r="N3" s="2" t="n">
        <f aca="false">IF(K3="Yes",ROUND(G3*L3,0),0)</f>
        <v>12540</v>
      </c>
      <c r="O3" s="2" t="s">
        <v>21</v>
      </c>
    </row>
    <row r="4" customFormat="false" ht="15" hidden="false" customHeight="false" outlineLevel="0" collapsed="false">
      <c r="A4" s="2" t="s">
        <v>26</v>
      </c>
      <c r="B4" s="2" t="s">
        <v>27</v>
      </c>
      <c r="C4" s="2" t="s">
        <v>28</v>
      </c>
      <c r="D4" s="2" t="s">
        <v>29</v>
      </c>
      <c r="E4" s="2" t="s">
        <v>19</v>
      </c>
      <c r="F4" s="3" t="n">
        <v>45699</v>
      </c>
      <c r="G4" s="2" t="n">
        <v>23000</v>
      </c>
      <c r="H4" s="2" t="n">
        <v>3.4</v>
      </c>
      <c r="I4" s="2" t="n">
        <f aca="false">ROUND((DATE(2026,8,31)-F4)/365.25,1)</f>
        <v>1.5</v>
      </c>
      <c r="J4" s="2" t="n">
        <f aca="false">ROUND(H4+I4,1)</f>
        <v>4.9</v>
      </c>
      <c r="K4" s="2" t="s">
        <v>20</v>
      </c>
      <c r="L4" s="4" t="n">
        <v>0.12</v>
      </c>
      <c r="M4" s="2" t="n">
        <f aca="false">IF(K4="Yes",ROUND(G4*L4,0),0)</f>
        <v>2760</v>
      </c>
      <c r="N4" s="2" t="n">
        <f aca="false">IF(K4="Yes",ROUND(G4*L4,0),0)</f>
        <v>2760</v>
      </c>
      <c r="O4" s="2" t="s">
        <v>21</v>
      </c>
    </row>
    <row r="5" customFormat="false" ht="15" hidden="false" customHeight="false" outlineLevel="0" collapsed="false">
      <c r="A5" s="2" t="s">
        <v>30</v>
      </c>
      <c r="B5" s="2" t="s">
        <v>31</v>
      </c>
      <c r="C5" s="2" t="s">
        <v>32</v>
      </c>
      <c r="D5" s="2" t="s">
        <v>33</v>
      </c>
      <c r="E5" s="2" t="s">
        <v>19</v>
      </c>
      <c r="F5" s="3" t="n">
        <v>43636</v>
      </c>
      <c r="G5" s="2" t="n">
        <v>33000</v>
      </c>
      <c r="H5" s="2" t="n">
        <v>5.1</v>
      </c>
      <c r="I5" s="2" t="n">
        <f aca="false">ROUND((DATE(2026,8,31)-F5)/365.25,1)</f>
        <v>7.2</v>
      </c>
      <c r="J5" s="2" t="n">
        <f aca="false">ROUND(H5+I5,1)</f>
        <v>12.3</v>
      </c>
      <c r="K5" s="2" t="s">
        <v>20</v>
      </c>
      <c r="L5" s="4" t="n">
        <v>0.12</v>
      </c>
      <c r="M5" s="2" t="n">
        <f aca="false">IF(K5="Yes",ROUND(G5*L5,0),0)</f>
        <v>3960</v>
      </c>
      <c r="N5" s="2" t="n">
        <f aca="false">IF(K5="Yes",ROUND(G5*L5,0),0)</f>
        <v>3960</v>
      </c>
      <c r="O5" s="2" t="s">
        <v>21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3" t="n">
        <v>45991</v>
      </c>
      <c r="G6" s="2" t="n">
        <v>81000</v>
      </c>
      <c r="H6" s="2" t="n">
        <v>3.4</v>
      </c>
      <c r="I6" s="2" t="n">
        <f aca="false">ROUND((DATE(2026,8,31)-F6)/365.25,1)</f>
        <v>0.8</v>
      </c>
      <c r="J6" s="2" t="n">
        <f aca="false">ROUND(H6+I6,1)</f>
        <v>4.2</v>
      </c>
      <c r="K6" s="2" t="s">
        <v>20</v>
      </c>
      <c r="L6" s="4" t="n">
        <v>0.12</v>
      </c>
      <c r="M6" s="2" t="n">
        <f aca="false">IF(K6="Yes",ROUND(G6*L6,0),0)</f>
        <v>9720</v>
      </c>
      <c r="N6" s="2" t="n">
        <f aca="false">IF(K6="Yes",ROUND(G6*L6,0),0)</f>
        <v>9720</v>
      </c>
      <c r="O6" s="2" t="s">
        <v>21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19</v>
      </c>
      <c r="F7" s="3" t="n">
        <v>45335</v>
      </c>
      <c r="G7" s="2" t="n">
        <v>23000</v>
      </c>
      <c r="H7" s="2" t="n">
        <v>0.3</v>
      </c>
      <c r="I7" s="2" t="n">
        <f aca="false">ROUND((DATE(2026,8,31)-F7)/365.25,1)</f>
        <v>2.5</v>
      </c>
      <c r="J7" s="2" t="n">
        <f aca="false">ROUND(H7+I7,1)</f>
        <v>2.8</v>
      </c>
      <c r="K7" s="2" t="s">
        <v>20</v>
      </c>
      <c r="L7" s="4" t="n">
        <v>0.12</v>
      </c>
      <c r="M7" s="2" t="n">
        <f aca="false">IF(K7="Yes",ROUND(G7*L7,0),0)</f>
        <v>2760</v>
      </c>
      <c r="N7" s="2" t="n">
        <f aca="false">IF(K7="Yes",ROUND(G7*L7,0),0)</f>
        <v>2760</v>
      </c>
      <c r="O7" s="2" t="s">
        <v>21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19</v>
      </c>
      <c r="F8" s="3" t="n">
        <v>43623</v>
      </c>
      <c r="G8" s="2" t="n">
        <v>34000</v>
      </c>
      <c r="H8" s="2" t="n">
        <v>0.3</v>
      </c>
      <c r="I8" s="2" t="n">
        <f aca="false">ROUND((DATE(2026,8,31)-F8)/365.25,1)</f>
        <v>7.2</v>
      </c>
      <c r="J8" s="2" t="n">
        <f aca="false">ROUND(H8+I8,1)</f>
        <v>7.5</v>
      </c>
      <c r="K8" s="2" t="s">
        <v>20</v>
      </c>
      <c r="L8" s="4" t="n">
        <v>0.12</v>
      </c>
      <c r="M8" s="2" t="n">
        <f aca="false">IF(K8="Yes",ROUND(G8*L8,0),0)</f>
        <v>4080</v>
      </c>
      <c r="N8" s="2" t="n">
        <f aca="false">IF(K8="Yes",ROUND(G8*L8,0),0)</f>
        <v>4080</v>
      </c>
      <c r="O8" s="2" t="s">
        <v>21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19</v>
      </c>
      <c r="F9" s="3" t="n">
        <v>43961</v>
      </c>
      <c r="G9" s="2" t="n">
        <v>30500</v>
      </c>
      <c r="H9" s="2" t="n">
        <v>0</v>
      </c>
      <c r="I9" s="2" t="n">
        <f aca="false">ROUND((DATE(2026,8,31)-F9)/365.25,1)</f>
        <v>6.3</v>
      </c>
      <c r="J9" s="2" t="n">
        <f aca="false">ROUND(H9+I9,1)</f>
        <v>6.3</v>
      </c>
      <c r="K9" s="2" t="s">
        <v>20</v>
      </c>
      <c r="L9" s="4" t="n">
        <v>0.12</v>
      </c>
      <c r="M9" s="2" t="n">
        <f aca="false">IF(K9="Yes",ROUND(G9*L9,0),0)</f>
        <v>3660</v>
      </c>
      <c r="N9" s="2" t="n">
        <f aca="false">IF(K9="Yes",ROUND(G9*L9,0),0)</f>
        <v>3660</v>
      </c>
      <c r="O9" s="2" t="s">
        <v>21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19</v>
      </c>
      <c r="F10" s="3" t="n">
        <v>45643</v>
      </c>
      <c r="G10" s="2" t="n">
        <v>33500</v>
      </c>
      <c r="H10" s="2" t="n">
        <v>6</v>
      </c>
      <c r="I10" s="2" t="n">
        <f aca="false">ROUND((DATE(2026,8,31)-F10)/365.25,1)</f>
        <v>1.7</v>
      </c>
      <c r="J10" s="2" t="n">
        <f aca="false">ROUND(H10+I10,1)</f>
        <v>7.7</v>
      </c>
      <c r="K10" s="2" t="s">
        <v>20</v>
      </c>
      <c r="L10" s="4" t="n">
        <v>0.12</v>
      </c>
      <c r="M10" s="2" t="n">
        <f aca="false">IF(K10="Yes",ROUND(G10*L10,0),0)</f>
        <v>4020</v>
      </c>
      <c r="N10" s="2" t="n">
        <f aca="false">IF(K10="Yes",ROUND(G10*L10,0),0)</f>
        <v>4020</v>
      </c>
      <c r="O10" s="2" t="s">
        <v>21</v>
      </c>
    </row>
    <row r="11" customFormat="false" ht="15" hidden="false" customHeight="false" outlineLevel="0" collapsed="false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38</v>
      </c>
      <c r="F11" s="3" t="n">
        <v>43826</v>
      </c>
      <c r="G11" s="2" t="n">
        <v>20500</v>
      </c>
      <c r="H11" s="2" t="n">
        <v>7.1</v>
      </c>
      <c r="I11" s="2" t="n">
        <f aca="false">ROUND((DATE(2026,8,31)-F11)/365.25,1)</f>
        <v>6.7</v>
      </c>
      <c r="J11" s="2" t="n">
        <f aca="false">ROUND(H11+I11,1)</f>
        <v>13.8</v>
      </c>
      <c r="K11" s="2" t="s">
        <v>20</v>
      </c>
      <c r="L11" s="4" t="n">
        <v>0.12</v>
      </c>
      <c r="M11" s="2" t="n">
        <f aca="false">IF(K11="Yes",ROUND(G11*L11,0),0)</f>
        <v>2460</v>
      </c>
      <c r="N11" s="2" t="n">
        <f aca="false">IF(K11="Yes",ROUND(G11*L11,0),0)</f>
        <v>2460</v>
      </c>
      <c r="O11" s="2" t="s">
        <v>21</v>
      </c>
    </row>
    <row r="12" customFormat="false" ht="15" hidden="false" customHeight="false" outlineLevel="0" collapsed="false">
      <c r="A12" s="2" t="s">
        <v>59</v>
      </c>
      <c r="B12" s="2" t="s">
        <v>60</v>
      </c>
      <c r="C12" s="2" t="s">
        <v>17</v>
      </c>
      <c r="D12" s="2" t="s">
        <v>25</v>
      </c>
      <c r="E12" s="2" t="s">
        <v>19</v>
      </c>
      <c r="F12" s="3" t="n">
        <v>45844</v>
      </c>
      <c r="G12" s="2" t="n">
        <v>124000</v>
      </c>
      <c r="H12" s="2" t="n">
        <v>6.9</v>
      </c>
      <c r="I12" s="2" t="n">
        <f aca="false">ROUND((DATE(2026,8,31)-F12)/365.25,1)</f>
        <v>1.2</v>
      </c>
      <c r="J12" s="2" t="n">
        <f aca="false">ROUND(H12+I12,1)</f>
        <v>8.1</v>
      </c>
      <c r="K12" s="2" t="s">
        <v>20</v>
      </c>
      <c r="L12" s="4" t="n">
        <v>0.12</v>
      </c>
      <c r="M12" s="2" t="n">
        <f aca="false">IF(K12="Yes",ROUND(G12*L12,0),0)</f>
        <v>14880</v>
      </c>
      <c r="N12" s="2" t="n">
        <f aca="false">IF(K12="Yes",ROUND(G12*L12,0),0)</f>
        <v>14880</v>
      </c>
      <c r="O12" s="2" t="s">
        <v>21</v>
      </c>
    </row>
    <row r="13" customFormat="false" ht="15" hidden="false" customHeight="false" outlineLevel="0" collapsed="false">
      <c r="A13" s="2" t="s">
        <v>61</v>
      </c>
      <c r="B13" s="2" t="s">
        <v>62</v>
      </c>
      <c r="C13" s="2" t="s">
        <v>24</v>
      </c>
      <c r="D13" s="2" t="s">
        <v>63</v>
      </c>
      <c r="E13" s="2" t="s">
        <v>19</v>
      </c>
      <c r="F13" s="3" t="n">
        <v>45973</v>
      </c>
      <c r="G13" s="2" t="n">
        <v>101000</v>
      </c>
      <c r="H13" s="2" t="n">
        <v>0.9</v>
      </c>
      <c r="I13" s="2" t="n">
        <f aca="false">ROUND((DATE(2026,8,31)-F13)/365.25,1)</f>
        <v>0.8</v>
      </c>
      <c r="J13" s="2" t="n">
        <f aca="false">ROUND(H13+I13,1)</f>
        <v>1.7</v>
      </c>
      <c r="K13" s="2" t="s">
        <v>20</v>
      </c>
      <c r="L13" s="4" t="n">
        <v>0.12</v>
      </c>
      <c r="M13" s="2" t="n">
        <f aca="false">IF(K13="Yes",ROUND(G13*L13,0),0)</f>
        <v>12120</v>
      </c>
      <c r="N13" s="2" t="n">
        <f aca="false">IF(K13="Yes",ROUND(G13*L13,0),0)</f>
        <v>12120</v>
      </c>
      <c r="O13" s="2" t="s">
        <v>21</v>
      </c>
    </row>
    <row r="14" customFormat="false" ht="15" hidden="false" customHeight="false" outlineLevel="0" collapsed="false">
      <c r="A14" s="2" t="s">
        <v>64</v>
      </c>
      <c r="B14" s="2" t="s">
        <v>65</v>
      </c>
      <c r="C14" s="2" t="s">
        <v>28</v>
      </c>
      <c r="D14" s="2" t="s">
        <v>66</v>
      </c>
      <c r="E14" s="2" t="s">
        <v>19</v>
      </c>
      <c r="F14" s="3" t="n">
        <v>43918</v>
      </c>
      <c r="G14" s="2" t="n">
        <v>69500</v>
      </c>
      <c r="H14" s="2" t="n">
        <v>6.5</v>
      </c>
      <c r="I14" s="2" t="n">
        <f aca="false">ROUND((DATE(2026,8,31)-F14)/365.25,1)</f>
        <v>6.4</v>
      </c>
      <c r="J14" s="2" t="n">
        <f aca="false">ROUND(H14+I14,1)</f>
        <v>12.9</v>
      </c>
      <c r="K14" s="2" t="s">
        <v>20</v>
      </c>
      <c r="L14" s="4" t="n">
        <v>0.12</v>
      </c>
      <c r="M14" s="2" t="n">
        <f aca="false">IF(K14="Yes",ROUND(G14*L14,0),0)</f>
        <v>8340</v>
      </c>
      <c r="N14" s="2" t="n">
        <f aca="false">IF(K14="Yes",ROUND(G14*L14,0),0)</f>
        <v>8340</v>
      </c>
      <c r="O14" s="2" t="s">
        <v>21</v>
      </c>
    </row>
    <row r="15" customFormat="false" ht="15" hidden="false" customHeight="false" outlineLevel="0" collapsed="false">
      <c r="A15" s="2" t="s">
        <v>67</v>
      </c>
      <c r="B15" s="2" t="s">
        <v>68</v>
      </c>
      <c r="C15" s="2" t="s">
        <v>32</v>
      </c>
      <c r="D15" s="2" t="s">
        <v>37</v>
      </c>
      <c r="E15" s="2" t="s">
        <v>19</v>
      </c>
      <c r="F15" s="3" t="n">
        <v>44014</v>
      </c>
      <c r="G15" s="2" t="n">
        <v>60000</v>
      </c>
      <c r="H15" s="2" t="n">
        <v>0.2</v>
      </c>
      <c r="I15" s="2" t="n">
        <f aca="false">ROUND((DATE(2026,8,31)-F15)/365.25,1)</f>
        <v>6.2</v>
      </c>
      <c r="J15" s="2" t="n">
        <f aca="false">ROUND(H15+I15,1)</f>
        <v>6.4</v>
      </c>
      <c r="K15" s="2" t="s">
        <v>20</v>
      </c>
      <c r="L15" s="4" t="n">
        <v>0.12</v>
      </c>
      <c r="M15" s="2" t="n">
        <f aca="false">IF(K15="Yes",ROUND(G15*L15,0),0)</f>
        <v>7200</v>
      </c>
      <c r="N15" s="2" t="n">
        <f aca="false">IF(K15="Yes",ROUND(G15*L15,0),0)</f>
        <v>7200</v>
      </c>
      <c r="O15" s="2" t="s">
        <v>21</v>
      </c>
    </row>
    <row r="16" customFormat="false" ht="15" hidden="false" customHeight="false" outlineLevel="0" collapsed="false">
      <c r="A16" s="2" t="s">
        <v>69</v>
      </c>
      <c r="B16" s="2" t="s">
        <v>70</v>
      </c>
      <c r="C16" s="2" t="s">
        <v>36</v>
      </c>
      <c r="D16" s="2" t="s">
        <v>37</v>
      </c>
      <c r="E16" s="2" t="s">
        <v>19</v>
      </c>
      <c r="F16" s="3" t="n">
        <v>43385</v>
      </c>
      <c r="G16" s="2" t="n">
        <v>63500</v>
      </c>
      <c r="H16" s="2" t="n">
        <v>0</v>
      </c>
      <c r="I16" s="2" t="n">
        <f aca="false">ROUND((DATE(2026,8,31)-F16)/365.25,1)</f>
        <v>7.9</v>
      </c>
      <c r="J16" s="2" t="n">
        <f aca="false">ROUND(H16+I16,1)</f>
        <v>7.9</v>
      </c>
      <c r="K16" s="2" t="s">
        <v>20</v>
      </c>
      <c r="L16" s="4" t="n">
        <v>0.12</v>
      </c>
      <c r="M16" s="2" t="n">
        <f aca="false">IF(K16="Yes",ROUND(G16*L16,0),0)</f>
        <v>7620</v>
      </c>
      <c r="N16" s="2" t="n">
        <f aca="false">IF(K16="Yes",ROUND(G16*L16,0),0)</f>
        <v>7620</v>
      </c>
      <c r="O16" s="2" t="s">
        <v>21</v>
      </c>
    </row>
    <row r="17" customFormat="false" ht="15" hidden="false" customHeight="false" outlineLevel="0" collapsed="false">
      <c r="A17" s="2" t="s">
        <v>71</v>
      </c>
      <c r="B17" s="2" t="s">
        <v>72</v>
      </c>
      <c r="C17" s="2" t="s">
        <v>41</v>
      </c>
      <c r="D17" s="2" t="s">
        <v>73</v>
      </c>
      <c r="E17" s="2" t="s">
        <v>38</v>
      </c>
      <c r="F17" s="3" t="n">
        <v>45297</v>
      </c>
      <c r="G17" s="2" t="n">
        <v>94500</v>
      </c>
      <c r="H17" s="2" t="n">
        <v>2.6</v>
      </c>
      <c r="I17" s="2" t="n">
        <f aca="false">ROUND((DATE(2026,8,31)-F17)/365.25,1)</f>
        <v>2.7</v>
      </c>
      <c r="J17" s="2" t="n">
        <f aca="false">ROUND(H17+I17,1)</f>
        <v>5.3</v>
      </c>
      <c r="K17" s="2" t="s">
        <v>20</v>
      </c>
      <c r="L17" s="4" t="n">
        <v>0.12</v>
      </c>
      <c r="M17" s="2" t="n">
        <f aca="false">IF(K17="Yes",ROUND(G17*L17,0),0)</f>
        <v>11340</v>
      </c>
      <c r="N17" s="2" t="n">
        <f aca="false">IF(K17="Yes",ROUND(G17*L17,0),0)</f>
        <v>11340</v>
      </c>
      <c r="O17" s="2" t="s">
        <v>21</v>
      </c>
    </row>
    <row r="18" customFormat="false" ht="15" hidden="false" customHeight="false" outlineLevel="0" collapsed="false">
      <c r="A18" s="2" t="s">
        <v>74</v>
      </c>
      <c r="B18" s="2" t="s">
        <v>75</v>
      </c>
      <c r="C18" s="2" t="s">
        <v>45</v>
      </c>
      <c r="D18" s="2" t="s">
        <v>76</v>
      </c>
      <c r="E18" s="2" t="s">
        <v>19</v>
      </c>
      <c r="F18" s="3" t="n">
        <v>45479</v>
      </c>
      <c r="G18" s="2" t="n">
        <v>66500</v>
      </c>
      <c r="H18" s="2" t="n">
        <v>7.7</v>
      </c>
      <c r="I18" s="2" t="n">
        <f aca="false">ROUND((DATE(2026,8,31)-F18)/365.25,1)</f>
        <v>2.2</v>
      </c>
      <c r="J18" s="2" t="n">
        <f aca="false">ROUND(H18+I18,1)</f>
        <v>9.9</v>
      </c>
      <c r="K18" s="2" t="s">
        <v>20</v>
      </c>
      <c r="L18" s="4" t="n">
        <v>0.12</v>
      </c>
      <c r="M18" s="2" t="n">
        <f aca="false">IF(K18="Yes",ROUND(G18*L18,0),0)</f>
        <v>7980</v>
      </c>
      <c r="N18" s="2" t="n">
        <f aca="false">IF(K18="Yes",ROUND(G18*L18,0),0)</f>
        <v>7980</v>
      </c>
      <c r="O18" s="2" t="s">
        <v>21</v>
      </c>
    </row>
    <row r="19" customFormat="false" ht="15" hidden="false" customHeight="false" outlineLevel="0" collapsed="false">
      <c r="A19" s="2" t="s">
        <v>77</v>
      </c>
      <c r="B19" s="2" t="s">
        <v>78</v>
      </c>
      <c r="C19" s="2" t="s">
        <v>49</v>
      </c>
      <c r="D19" s="2" t="s">
        <v>50</v>
      </c>
      <c r="E19" s="2" t="s">
        <v>19</v>
      </c>
      <c r="F19" s="3" t="n">
        <v>44880</v>
      </c>
      <c r="G19" s="2" t="n">
        <v>38500</v>
      </c>
      <c r="H19" s="2" t="n">
        <v>2.8</v>
      </c>
      <c r="I19" s="2" t="n">
        <f aca="false">ROUND((DATE(2026,8,31)-F19)/365.25,1)</f>
        <v>3.8</v>
      </c>
      <c r="J19" s="2" t="n">
        <f aca="false">ROUND(H19+I19,1)</f>
        <v>6.6</v>
      </c>
      <c r="K19" s="2" t="s">
        <v>20</v>
      </c>
      <c r="L19" s="4" t="n">
        <v>0.12</v>
      </c>
      <c r="M19" s="2" t="n">
        <f aca="false">IF(K19="Yes",ROUND(G19*L19,0),0)</f>
        <v>4620</v>
      </c>
      <c r="N19" s="2" t="n">
        <f aca="false">IF(K19="Yes",ROUND(G19*L19,0),0)</f>
        <v>4620</v>
      </c>
      <c r="O19" s="2" t="s">
        <v>21</v>
      </c>
    </row>
    <row r="20" customFormat="false" ht="15" hidden="false" customHeight="false" outlineLevel="0" collapsed="false">
      <c r="A20" s="2" t="s">
        <v>79</v>
      </c>
      <c r="B20" s="2" t="s">
        <v>80</v>
      </c>
      <c r="C20" s="2" t="s">
        <v>53</v>
      </c>
      <c r="D20" s="2" t="s">
        <v>54</v>
      </c>
      <c r="E20" s="2" t="s">
        <v>19</v>
      </c>
      <c r="F20" s="3" t="n">
        <v>43574</v>
      </c>
      <c r="G20" s="2" t="n">
        <v>37000</v>
      </c>
      <c r="H20" s="2" t="n">
        <v>3.1</v>
      </c>
      <c r="I20" s="2" t="n">
        <f aca="false">ROUND((DATE(2026,8,31)-F20)/365.25,1)</f>
        <v>7.4</v>
      </c>
      <c r="J20" s="2" t="n">
        <f aca="false">ROUND(H20+I20,1)</f>
        <v>10.5</v>
      </c>
      <c r="K20" s="2" t="s">
        <v>20</v>
      </c>
      <c r="L20" s="4" t="n">
        <v>0.12</v>
      </c>
      <c r="M20" s="2" t="n">
        <f aca="false">IF(K20="Yes",ROUND(G20*L20,0),0)</f>
        <v>4440</v>
      </c>
      <c r="N20" s="2" t="n">
        <f aca="false">IF(K20="Yes",ROUND(G20*L20,0),0)</f>
        <v>4440</v>
      </c>
      <c r="O20" s="2" t="s">
        <v>21</v>
      </c>
    </row>
    <row r="21" customFormat="false" ht="15" hidden="false" customHeight="false" outlineLevel="0" collapsed="false">
      <c r="A21" s="2" t="s">
        <v>81</v>
      </c>
      <c r="B21" s="2" t="s">
        <v>82</v>
      </c>
      <c r="C21" s="2" t="s">
        <v>57</v>
      </c>
      <c r="D21" s="2" t="s">
        <v>83</v>
      </c>
      <c r="E21" s="2" t="s">
        <v>19</v>
      </c>
      <c r="F21" s="3" t="n">
        <v>46004</v>
      </c>
      <c r="G21" s="2" t="n">
        <v>38000</v>
      </c>
      <c r="H21" s="2" t="n">
        <v>3.5</v>
      </c>
      <c r="I21" s="2" t="n">
        <f aca="false">ROUND((DATE(2026,8,31)-F21)/365.25,1)</f>
        <v>0.7</v>
      </c>
      <c r="J21" s="2" t="n">
        <f aca="false">ROUND(H21+I21,1)</f>
        <v>4.2</v>
      </c>
      <c r="K21" s="2" t="s">
        <v>20</v>
      </c>
      <c r="L21" s="4" t="n">
        <v>0.12</v>
      </c>
      <c r="M21" s="2" t="n">
        <f aca="false">IF(K21="Yes",ROUND(G21*L21,0),0)</f>
        <v>4560</v>
      </c>
      <c r="N21" s="2" t="n">
        <f aca="false">IF(K21="Yes",ROUND(G21*L21,0),0)</f>
        <v>4560</v>
      </c>
      <c r="O21" s="2" t="s">
        <v>21</v>
      </c>
    </row>
    <row r="22" customFormat="false" ht="15" hidden="false" customHeight="false" outlineLevel="0" collapsed="false">
      <c r="A22" s="2" t="s">
        <v>84</v>
      </c>
      <c r="B22" s="2" t="s">
        <v>85</v>
      </c>
      <c r="C22" s="2" t="s">
        <v>17</v>
      </c>
      <c r="D22" s="2" t="s">
        <v>18</v>
      </c>
      <c r="E22" s="2" t="s">
        <v>19</v>
      </c>
      <c r="F22" s="3" t="n">
        <v>44867</v>
      </c>
      <c r="G22" s="2" t="n">
        <v>54000</v>
      </c>
      <c r="H22" s="2" t="n">
        <v>0.6</v>
      </c>
      <c r="I22" s="2" t="n">
        <f aca="false">ROUND((DATE(2026,8,31)-F22)/365.25,1)</f>
        <v>3.8</v>
      </c>
      <c r="J22" s="2" t="n">
        <f aca="false">ROUND(H22+I22,1)</f>
        <v>4.4</v>
      </c>
      <c r="K22" s="2" t="s">
        <v>20</v>
      </c>
      <c r="L22" s="4" t="n">
        <v>0.12</v>
      </c>
      <c r="M22" s="2" t="n">
        <f aca="false">IF(K22="Yes",ROUND(G22*L22,0),0)</f>
        <v>6480</v>
      </c>
      <c r="N22" s="2" t="n">
        <f aca="false">IF(K22="Yes",ROUND(G22*L22,0),0)</f>
        <v>6480</v>
      </c>
      <c r="O22" s="2" t="s">
        <v>21</v>
      </c>
    </row>
    <row r="23" customFormat="false" ht="15" hidden="false" customHeight="false" outlineLevel="0" collapsed="false">
      <c r="A23" s="2" t="s">
        <v>86</v>
      </c>
      <c r="B23" s="2" t="s">
        <v>87</v>
      </c>
      <c r="C23" s="2" t="s">
        <v>24</v>
      </c>
      <c r="D23" s="2" t="s">
        <v>63</v>
      </c>
      <c r="E23" s="2" t="s">
        <v>19</v>
      </c>
      <c r="F23" s="3" t="n">
        <v>45818</v>
      </c>
      <c r="G23" s="2" t="n">
        <v>121000</v>
      </c>
      <c r="H23" s="2" t="n">
        <v>0</v>
      </c>
      <c r="I23" s="2" t="n">
        <f aca="false">ROUND((DATE(2026,8,31)-F23)/365.25,1)</f>
        <v>1.2</v>
      </c>
      <c r="J23" s="2" t="n">
        <f aca="false">ROUND(H23+I23,1)</f>
        <v>1.2</v>
      </c>
      <c r="K23" s="2" t="s">
        <v>20</v>
      </c>
      <c r="L23" s="4" t="n">
        <v>0.12</v>
      </c>
      <c r="M23" s="2" t="n">
        <f aca="false">IF(K23="Yes",ROUND(G23*L23,0),0)</f>
        <v>14520</v>
      </c>
      <c r="N23" s="2" t="n">
        <f aca="false">IF(K23="Yes",ROUND(G23*L23,0),0)</f>
        <v>14520</v>
      </c>
      <c r="O23" s="2" t="s">
        <v>21</v>
      </c>
    </row>
    <row r="24" customFormat="false" ht="15" hidden="false" customHeight="false" outlineLevel="0" collapsed="false">
      <c r="A24" s="2" t="s">
        <v>88</v>
      </c>
      <c r="B24" s="2" t="s">
        <v>89</v>
      </c>
      <c r="C24" s="2" t="s">
        <v>28</v>
      </c>
      <c r="D24" s="2" t="s">
        <v>66</v>
      </c>
      <c r="E24" s="2" t="s">
        <v>19</v>
      </c>
      <c r="F24" s="3" t="n">
        <v>44367</v>
      </c>
      <c r="G24" s="2" t="n">
        <v>88000</v>
      </c>
      <c r="H24" s="2" t="n">
        <v>5.3</v>
      </c>
      <c r="I24" s="2" t="n">
        <f aca="false">ROUND((DATE(2026,8,31)-F24)/365.25,1)</f>
        <v>5.2</v>
      </c>
      <c r="J24" s="2" t="n">
        <f aca="false">ROUND(H24+I24,1)</f>
        <v>10.5</v>
      </c>
      <c r="K24" s="2" t="s">
        <v>20</v>
      </c>
      <c r="L24" s="4" t="n">
        <v>0.12</v>
      </c>
      <c r="M24" s="2" t="n">
        <f aca="false">IF(K24="Yes",ROUND(G24*L24,0),0)</f>
        <v>10560</v>
      </c>
      <c r="N24" s="2" t="n">
        <f aca="false">IF(K24="Yes",ROUND(G24*L24,0),0)</f>
        <v>10560</v>
      </c>
      <c r="O24" s="2" t="s">
        <v>21</v>
      </c>
    </row>
    <row r="25" customFormat="false" ht="15" hidden="false" customHeight="false" outlineLevel="0" collapsed="false">
      <c r="A25" s="2" t="s">
        <v>90</v>
      </c>
      <c r="B25" s="2" t="s">
        <v>91</v>
      </c>
      <c r="C25" s="2" t="s">
        <v>32</v>
      </c>
      <c r="D25" s="2" t="s">
        <v>92</v>
      </c>
      <c r="E25" s="2" t="s">
        <v>19</v>
      </c>
      <c r="F25" s="3" t="n">
        <v>45371</v>
      </c>
      <c r="G25" s="2" t="n">
        <v>34500</v>
      </c>
      <c r="H25" s="2" t="n">
        <v>1</v>
      </c>
      <c r="I25" s="2" t="n">
        <f aca="false">ROUND((DATE(2026,8,31)-F25)/365.25,1)</f>
        <v>2.4</v>
      </c>
      <c r="J25" s="2" t="n">
        <f aca="false">ROUND(H25+I25,1)</f>
        <v>3.4</v>
      </c>
      <c r="K25" s="2" t="s">
        <v>20</v>
      </c>
      <c r="L25" s="4" t="n">
        <v>0.12</v>
      </c>
      <c r="M25" s="2" t="n">
        <f aca="false">IF(K25="Yes",ROUND(G25*L25,0),0)</f>
        <v>4140</v>
      </c>
      <c r="N25" s="2" t="n">
        <f aca="false">IF(K25="Yes",ROUND(G25*L25,0),0)</f>
        <v>4140</v>
      </c>
      <c r="O25" s="2" t="s">
        <v>21</v>
      </c>
    </row>
    <row r="26" customFormat="false" ht="15" hidden="false" customHeight="false" outlineLevel="0" collapsed="false">
      <c r="A26" s="2" t="s">
        <v>93</v>
      </c>
      <c r="B26" s="2" t="s">
        <v>94</v>
      </c>
      <c r="C26" s="2" t="s">
        <v>36</v>
      </c>
      <c r="D26" s="2" t="s">
        <v>37</v>
      </c>
      <c r="E26" s="2" t="s">
        <v>19</v>
      </c>
      <c r="F26" s="3" t="n">
        <v>46165</v>
      </c>
      <c r="G26" s="2" t="n">
        <v>89500</v>
      </c>
      <c r="H26" s="2" t="n">
        <v>7.2</v>
      </c>
      <c r="I26" s="2" t="n">
        <f aca="false">ROUND((DATE(2026,8,31)-F26)/365.25,1)</f>
        <v>0.3</v>
      </c>
      <c r="J26" s="2" t="n">
        <f aca="false">ROUND(H26+I26,1)</f>
        <v>7.5</v>
      </c>
      <c r="K26" s="2" t="s">
        <v>20</v>
      </c>
      <c r="L26" s="4" t="n">
        <v>0.12</v>
      </c>
      <c r="M26" s="2" t="n">
        <f aca="false">IF(K26="Yes",ROUND(G26*L26,0),0)</f>
        <v>10740</v>
      </c>
      <c r="N26" s="2" t="n">
        <f aca="false">IF(K26="Yes",ROUND(G26*L26,0),0)</f>
        <v>10740</v>
      </c>
      <c r="O26" s="2" t="s">
        <v>21</v>
      </c>
    </row>
    <row r="27" customFormat="false" ht="15" hidden="false" customHeight="false" outlineLevel="0" collapsed="false">
      <c r="A27" s="2" t="s">
        <v>95</v>
      </c>
      <c r="B27" s="2" t="s">
        <v>96</v>
      </c>
      <c r="C27" s="2" t="s">
        <v>41</v>
      </c>
      <c r="D27" s="2" t="s">
        <v>73</v>
      </c>
      <c r="E27" s="2" t="s">
        <v>19</v>
      </c>
      <c r="F27" s="3" t="n">
        <v>45345</v>
      </c>
      <c r="G27" s="2" t="n">
        <v>76500</v>
      </c>
      <c r="H27" s="2" t="n">
        <v>6.7</v>
      </c>
      <c r="I27" s="2" t="n">
        <f aca="false">ROUND((DATE(2026,8,31)-F27)/365.25,1)</f>
        <v>2.5</v>
      </c>
      <c r="J27" s="2" t="n">
        <f aca="false">ROUND(H27+I27,1)</f>
        <v>9.2</v>
      </c>
      <c r="K27" s="2" t="s">
        <v>20</v>
      </c>
      <c r="L27" s="4" t="n">
        <v>0.12</v>
      </c>
      <c r="M27" s="2" t="n">
        <f aca="false">IF(K27="Yes",ROUND(G27*L27,0),0)</f>
        <v>9180</v>
      </c>
      <c r="N27" s="2" t="n">
        <f aca="false">IF(K27="Yes",ROUND(G27*L27,0),0)</f>
        <v>9180</v>
      </c>
      <c r="O27" s="2" t="s">
        <v>21</v>
      </c>
    </row>
    <row r="28" customFormat="false" ht="15" hidden="false" customHeight="false" outlineLevel="0" collapsed="false">
      <c r="A28" s="2" t="s">
        <v>97</v>
      </c>
      <c r="B28" s="2" t="s">
        <v>98</v>
      </c>
      <c r="C28" s="2" t="s">
        <v>45</v>
      </c>
      <c r="D28" s="2" t="s">
        <v>46</v>
      </c>
      <c r="E28" s="2" t="s">
        <v>19</v>
      </c>
      <c r="F28" s="3" t="n">
        <v>45476</v>
      </c>
      <c r="G28" s="2" t="n">
        <v>34000</v>
      </c>
      <c r="H28" s="2" t="n">
        <v>4.9</v>
      </c>
      <c r="I28" s="2" t="n">
        <f aca="false">ROUND((DATE(2026,8,31)-F28)/365.25,1)</f>
        <v>2.2</v>
      </c>
      <c r="J28" s="2" t="n">
        <f aca="false">ROUND(H28+I28,1)</f>
        <v>7.1</v>
      </c>
      <c r="K28" s="2" t="s">
        <v>20</v>
      </c>
      <c r="L28" s="4" t="n">
        <v>0.12</v>
      </c>
      <c r="M28" s="2" t="n">
        <f aca="false">IF(K28="Yes",ROUND(G28*L28,0),0)</f>
        <v>4080</v>
      </c>
      <c r="N28" s="2" t="n">
        <f aca="false">IF(K28="Yes",ROUND(G28*L28,0),0)</f>
        <v>4080</v>
      </c>
      <c r="O28" s="2" t="s">
        <v>21</v>
      </c>
    </row>
    <row r="29" customFormat="false" ht="15" hidden="false" customHeight="false" outlineLevel="0" collapsed="false">
      <c r="A29" s="2" t="s">
        <v>99</v>
      </c>
      <c r="B29" s="2" t="s">
        <v>100</v>
      </c>
      <c r="C29" s="2" t="s">
        <v>49</v>
      </c>
      <c r="D29" s="2" t="s">
        <v>63</v>
      </c>
      <c r="E29" s="2" t="s">
        <v>19</v>
      </c>
      <c r="F29" s="3" t="n">
        <v>45868</v>
      </c>
      <c r="G29" s="2" t="n">
        <v>138000</v>
      </c>
      <c r="H29" s="2" t="n">
        <v>1.7</v>
      </c>
      <c r="I29" s="2" t="n">
        <f aca="false">ROUND((DATE(2026,8,31)-F29)/365.25,1)</f>
        <v>1.1</v>
      </c>
      <c r="J29" s="2" t="n">
        <f aca="false">ROUND(H29+I29,1)</f>
        <v>2.8</v>
      </c>
      <c r="K29" s="2" t="s">
        <v>20</v>
      </c>
      <c r="L29" s="4" t="n">
        <v>0.12</v>
      </c>
      <c r="M29" s="2" t="n">
        <f aca="false">IF(K29="Yes",ROUND(G29*L29,0),0)</f>
        <v>16560</v>
      </c>
      <c r="N29" s="2" t="n">
        <f aca="false">IF(K29="Yes",ROUND(G29*L29,0),0)</f>
        <v>16560</v>
      </c>
      <c r="O29" s="2" t="s">
        <v>21</v>
      </c>
    </row>
    <row r="30" customFormat="false" ht="15" hidden="false" customHeight="false" outlineLevel="0" collapsed="false">
      <c r="A30" s="2" t="s">
        <v>101</v>
      </c>
      <c r="B30" s="2" t="s">
        <v>102</v>
      </c>
      <c r="C30" s="2" t="s">
        <v>53</v>
      </c>
      <c r="D30" s="2" t="s">
        <v>103</v>
      </c>
      <c r="E30" s="2" t="s">
        <v>19</v>
      </c>
      <c r="F30" s="3" t="n">
        <v>44263</v>
      </c>
      <c r="G30" s="2" t="n">
        <v>21000</v>
      </c>
      <c r="H30" s="2" t="n">
        <v>0</v>
      </c>
      <c r="I30" s="2" t="n">
        <f aca="false">ROUND((DATE(2026,8,31)-F30)/365.25,1)</f>
        <v>5.5</v>
      </c>
      <c r="J30" s="2" t="n">
        <f aca="false">ROUND(H30+I30,1)</f>
        <v>5.5</v>
      </c>
      <c r="K30" s="2" t="s">
        <v>20</v>
      </c>
      <c r="L30" s="4" t="n">
        <v>0.12</v>
      </c>
      <c r="M30" s="2" t="n">
        <f aca="false">IF(K30="Yes",ROUND(G30*L30,0),0)</f>
        <v>2520</v>
      </c>
      <c r="N30" s="2" t="n">
        <f aca="false">IF(K30="Yes",ROUND(G30*L30,0),0)</f>
        <v>2520</v>
      </c>
      <c r="O30" s="2" t="s">
        <v>21</v>
      </c>
    </row>
    <row r="31" customFormat="false" ht="15" hidden="false" customHeight="false" outlineLevel="0" collapsed="false">
      <c r="A31" s="2" t="s">
        <v>104</v>
      </c>
      <c r="B31" s="2" t="s">
        <v>105</v>
      </c>
      <c r="C31" s="2" t="s">
        <v>57</v>
      </c>
      <c r="D31" s="2" t="s">
        <v>83</v>
      </c>
      <c r="E31" s="2" t="s">
        <v>19</v>
      </c>
      <c r="F31" s="3" t="n">
        <v>46177</v>
      </c>
      <c r="G31" s="2" t="n">
        <v>41000</v>
      </c>
      <c r="H31" s="2" t="n">
        <v>1.9</v>
      </c>
      <c r="I31" s="2" t="n">
        <f aca="false">ROUND((DATE(2026,8,31)-F31)/365.25,1)</f>
        <v>0.2</v>
      </c>
      <c r="J31" s="2" t="n">
        <f aca="false">ROUND(H31+I31,1)</f>
        <v>2.1</v>
      </c>
      <c r="K31" s="2" t="s">
        <v>20</v>
      </c>
      <c r="L31" s="4" t="n">
        <v>0.12</v>
      </c>
      <c r="M31" s="2" t="n">
        <f aca="false">IF(K31="Yes",ROUND(G31*L31,0),0)</f>
        <v>4920</v>
      </c>
      <c r="N31" s="2" t="n">
        <f aca="false">IF(K31="Yes",ROUND(G31*L31,0),0)</f>
        <v>4920</v>
      </c>
      <c r="O31" s="2" t="s">
        <v>21</v>
      </c>
    </row>
    <row r="32" customFormat="false" ht="15" hidden="false" customHeight="false" outlineLevel="0" collapsed="false">
      <c r="A32" s="2" t="s">
        <v>106</v>
      </c>
      <c r="B32" s="2" t="s">
        <v>107</v>
      </c>
      <c r="C32" s="2" t="s">
        <v>17</v>
      </c>
      <c r="D32" s="2" t="s">
        <v>18</v>
      </c>
      <c r="E32" s="2" t="s">
        <v>19</v>
      </c>
      <c r="F32" s="3" t="n">
        <v>43201</v>
      </c>
      <c r="G32" s="2" t="n">
        <v>39500</v>
      </c>
      <c r="H32" s="2" t="n">
        <v>0.4</v>
      </c>
      <c r="I32" s="2" t="n">
        <f aca="false">ROUND((DATE(2026,8,31)-F32)/365.25,1)</f>
        <v>8.4</v>
      </c>
      <c r="J32" s="2" t="n">
        <f aca="false">ROUND(H32+I32,1)</f>
        <v>8.8</v>
      </c>
      <c r="K32" s="2" t="s">
        <v>20</v>
      </c>
      <c r="L32" s="4" t="n">
        <v>0.12</v>
      </c>
      <c r="M32" s="2" t="n">
        <f aca="false">IF(K32="Yes",ROUND(G32*L32,0),0)</f>
        <v>4740</v>
      </c>
      <c r="N32" s="2" t="n">
        <f aca="false">IF(K32="Yes",ROUND(G32*L32,0),0)</f>
        <v>4740</v>
      </c>
      <c r="O32" s="2" t="s">
        <v>21</v>
      </c>
    </row>
    <row r="33" customFormat="false" ht="15" hidden="false" customHeight="false" outlineLevel="0" collapsed="false">
      <c r="A33" s="2" t="s">
        <v>108</v>
      </c>
      <c r="B33" s="2" t="s">
        <v>109</v>
      </c>
      <c r="C33" s="2" t="s">
        <v>24</v>
      </c>
      <c r="D33" s="2" t="s">
        <v>18</v>
      </c>
      <c r="E33" s="2" t="s">
        <v>19</v>
      </c>
      <c r="F33" s="3" t="n">
        <v>44798</v>
      </c>
      <c r="G33" s="2" t="n">
        <v>60000</v>
      </c>
      <c r="H33" s="2" t="n">
        <v>7.1</v>
      </c>
      <c r="I33" s="2" t="n">
        <f aca="false">ROUND((DATE(2026,8,31)-F33)/365.25,1)</f>
        <v>4</v>
      </c>
      <c r="J33" s="2" t="n">
        <f aca="false">ROUND(H33+I33,1)</f>
        <v>11.1</v>
      </c>
      <c r="K33" s="2" t="s">
        <v>20</v>
      </c>
      <c r="L33" s="4" t="n">
        <v>0.12</v>
      </c>
      <c r="M33" s="2" t="n">
        <f aca="false">IF(K33="Yes",ROUND(G33*L33,0),0)</f>
        <v>7200</v>
      </c>
      <c r="N33" s="2" t="n">
        <f aca="false">IF(K33="Yes",ROUND(G33*L33,0),0)</f>
        <v>7200</v>
      </c>
      <c r="O33" s="2" t="s">
        <v>21</v>
      </c>
    </row>
    <row r="34" customFormat="false" ht="15" hidden="false" customHeight="false" outlineLevel="0" collapsed="false">
      <c r="A34" s="2" t="s">
        <v>110</v>
      </c>
      <c r="B34" s="2" t="s">
        <v>111</v>
      </c>
      <c r="C34" s="2" t="s">
        <v>28</v>
      </c>
      <c r="D34" s="2" t="s">
        <v>66</v>
      </c>
      <c r="E34" s="2" t="s">
        <v>19</v>
      </c>
      <c r="F34" s="3" t="n">
        <v>44737</v>
      </c>
      <c r="G34" s="2" t="n">
        <v>87500</v>
      </c>
      <c r="H34" s="2" t="n">
        <v>2</v>
      </c>
      <c r="I34" s="2" t="n">
        <f aca="false">ROUND((DATE(2026,8,31)-F34)/365.25,1)</f>
        <v>4.2</v>
      </c>
      <c r="J34" s="2" t="n">
        <f aca="false">ROUND(H34+I34,1)</f>
        <v>6.2</v>
      </c>
      <c r="K34" s="2" t="s">
        <v>20</v>
      </c>
      <c r="L34" s="4" t="n">
        <v>0.12</v>
      </c>
      <c r="M34" s="2" t="n">
        <f aca="false">IF(K34="Yes",ROUND(G34*L34,0),0)</f>
        <v>10500</v>
      </c>
      <c r="N34" s="2" t="n">
        <f aca="false">IF(K34="Yes",ROUND(G34*L34,0),0)</f>
        <v>10500</v>
      </c>
      <c r="O34" s="2" t="s">
        <v>21</v>
      </c>
    </row>
    <row r="35" customFormat="false" ht="15" hidden="false" customHeight="false" outlineLevel="0" collapsed="false">
      <c r="A35" s="2" t="s">
        <v>112</v>
      </c>
      <c r="B35" s="2" t="s">
        <v>113</v>
      </c>
      <c r="C35" s="2" t="s">
        <v>32</v>
      </c>
      <c r="D35" s="2" t="s">
        <v>33</v>
      </c>
      <c r="E35" s="2" t="s">
        <v>19</v>
      </c>
      <c r="F35" s="3" t="n">
        <v>43537</v>
      </c>
      <c r="G35" s="2" t="n">
        <v>46500</v>
      </c>
      <c r="H35" s="2" t="n">
        <v>6.2</v>
      </c>
      <c r="I35" s="2" t="n">
        <f aca="false">ROUND((DATE(2026,8,31)-F35)/365.25,1)</f>
        <v>7.5</v>
      </c>
      <c r="J35" s="2" t="n">
        <f aca="false">ROUND(H35+I35,1)</f>
        <v>13.7</v>
      </c>
      <c r="K35" s="2" t="s">
        <v>20</v>
      </c>
      <c r="L35" s="4" t="n">
        <v>0.12</v>
      </c>
      <c r="M35" s="2" t="n">
        <f aca="false">IF(K35="Yes",ROUND(G35*L35,0),0)</f>
        <v>5580</v>
      </c>
      <c r="N35" s="2" t="n">
        <f aca="false">IF(K35="Yes",ROUND(G35*L35,0),0)</f>
        <v>5580</v>
      </c>
      <c r="O35" s="2" t="s">
        <v>21</v>
      </c>
    </row>
    <row r="36" customFormat="false" ht="15" hidden="false" customHeight="false" outlineLevel="0" collapsed="false">
      <c r="A36" s="2" t="s">
        <v>114</v>
      </c>
      <c r="B36" s="2" t="s">
        <v>115</v>
      </c>
      <c r="C36" s="2" t="s">
        <v>36</v>
      </c>
      <c r="D36" s="2" t="s">
        <v>37</v>
      </c>
      <c r="E36" s="2" t="s">
        <v>19</v>
      </c>
      <c r="F36" s="3" t="n">
        <v>45384</v>
      </c>
      <c r="G36" s="2" t="n">
        <v>48500</v>
      </c>
      <c r="H36" s="2" t="n">
        <v>2</v>
      </c>
      <c r="I36" s="2" t="n">
        <f aca="false">ROUND((DATE(2026,8,31)-F36)/365.25,1)</f>
        <v>2.4</v>
      </c>
      <c r="J36" s="2" t="n">
        <f aca="false">ROUND(H36+I36,1)</f>
        <v>4.4</v>
      </c>
      <c r="K36" s="2" t="s">
        <v>20</v>
      </c>
      <c r="L36" s="4" t="n">
        <v>0.12</v>
      </c>
      <c r="M36" s="2" t="n">
        <f aca="false">IF(K36="Yes",ROUND(G36*L36,0),0)</f>
        <v>5820</v>
      </c>
      <c r="N36" s="2" t="n">
        <f aca="false">IF(K36="Yes",ROUND(G36*L36,0),0)</f>
        <v>5820</v>
      </c>
      <c r="O36" s="2" t="s">
        <v>21</v>
      </c>
    </row>
    <row r="37" customFormat="false" ht="15" hidden="false" customHeight="false" outlineLevel="0" collapsed="false">
      <c r="A37" s="2" t="s">
        <v>116</v>
      </c>
      <c r="B37" s="2" t="s">
        <v>117</v>
      </c>
      <c r="C37" s="2" t="s">
        <v>41</v>
      </c>
      <c r="D37" s="2" t="s">
        <v>73</v>
      </c>
      <c r="E37" s="2" t="s">
        <v>19</v>
      </c>
      <c r="F37" s="3" t="n">
        <v>45004</v>
      </c>
      <c r="G37" s="2" t="n">
        <v>58500</v>
      </c>
      <c r="H37" s="2" t="n">
        <v>0</v>
      </c>
      <c r="I37" s="2" t="n">
        <f aca="false">ROUND((DATE(2026,8,31)-F37)/365.25,1)</f>
        <v>3.5</v>
      </c>
      <c r="J37" s="2" t="n">
        <f aca="false">ROUND(H37+I37,1)</f>
        <v>3.5</v>
      </c>
      <c r="K37" s="2" t="s">
        <v>20</v>
      </c>
      <c r="L37" s="4" t="n">
        <v>0.12</v>
      </c>
      <c r="M37" s="2" t="n">
        <f aca="false">IF(K37="Yes",ROUND(G37*L37,0),0)</f>
        <v>7020</v>
      </c>
      <c r="N37" s="2" t="n">
        <f aca="false">IF(K37="Yes",ROUND(G37*L37,0),0)</f>
        <v>7020</v>
      </c>
      <c r="O37" s="2" t="s">
        <v>21</v>
      </c>
    </row>
    <row r="38" customFormat="false" ht="15" hidden="false" customHeight="false" outlineLevel="0" collapsed="false">
      <c r="A38" s="2" t="s">
        <v>118</v>
      </c>
      <c r="B38" s="2" t="s">
        <v>119</v>
      </c>
      <c r="C38" s="2" t="s">
        <v>45</v>
      </c>
      <c r="D38" s="2" t="s">
        <v>76</v>
      </c>
      <c r="E38" s="2" t="s">
        <v>19</v>
      </c>
      <c r="F38" s="3" t="n">
        <v>44913</v>
      </c>
      <c r="G38" s="2" t="n">
        <v>104500</v>
      </c>
      <c r="H38" s="2" t="n">
        <v>4.9</v>
      </c>
      <c r="I38" s="2" t="n">
        <f aca="false">ROUND((DATE(2026,8,31)-F38)/365.25,1)</f>
        <v>3.7</v>
      </c>
      <c r="J38" s="2" t="n">
        <f aca="false">ROUND(H38+I38,1)</f>
        <v>8.6</v>
      </c>
      <c r="K38" s="2" t="s">
        <v>20</v>
      </c>
      <c r="L38" s="4" t="n">
        <v>0.12</v>
      </c>
      <c r="M38" s="2" t="n">
        <f aca="false">IF(K38="Yes",ROUND(G38*L38,0),0)</f>
        <v>12540</v>
      </c>
      <c r="N38" s="2" t="n">
        <f aca="false">IF(K38="Yes",ROUND(G38*L38,0),0)</f>
        <v>12540</v>
      </c>
      <c r="O38" s="2" t="s">
        <v>21</v>
      </c>
    </row>
    <row r="39" customFormat="false" ht="15" hidden="false" customHeight="false" outlineLevel="0" collapsed="false">
      <c r="A39" s="2" t="s">
        <v>120</v>
      </c>
      <c r="B39" s="2" t="s">
        <v>121</v>
      </c>
      <c r="C39" s="2" t="s">
        <v>49</v>
      </c>
      <c r="D39" s="2" t="s">
        <v>63</v>
      </c>
      <c r="E39" s="2" t="s">
        <v>19</v>
      </c>
      <c r="F39" s="3" t="n">
        <v>43752</v>
      </c>
      <c r="G39" s="2" t="n">
        <v>138500</v>
      </c>
      <c r="H39" s="2" t="n">
        <v>5.9</v>
      </c>
      <c r="I39" s="2" t="n">
        <f aca="false">ROUND((DATE(2026,8,31)-F39)/365.25,1)</f>
        <v>6.9</v>
      </c>
      <c r="J39" s="2" t="n">
        <f aca="false">ROUND(H39+I39,1)</f>
        <v>12.8</v>
      </c>
      <c r="K39" s="2" t="s">
        <v>20</v>
      </c>
      <c r="L39" s="4" t="n">
        <v>0.12</v>
      </c>
      <c r="M39" s="2" t="n">
        <f aca="false">IF(K39="Yes",ROUND(G39*L39,0),0)</f>
        <v>16620</v>
      </c>
      <c r="N39" s="2" t="n">
        <f aca="false">IF(K39="Yes",ROUND(G39*L39,0),0)</f>
        <v>16620</v>
      </c>
      <c r="O39" s="2" t="s">
        <v>21</v>
      </c>
    </row>
    <row r="40" customFormat="false" ht="15" hidden="false" customHeight="false" outlineLevel="0" collapsed="false">
      <c r="A40" s="2" t="s">
        <v>122</v>
      </c>
      <c r="B40" s="2" t="s">
        <v>123</v>
      </c>
      <c r="C40" s="2" t="s">
        <v>53</v>
      </c>
      <c r="D40" s="2" t="s">
        <v>54</v>
      </c>
      <c r="E40" s="2" t="s">
        <v>19</v>
      </c>
      <c r="F40" s="3" t="n">
        <v>45712</v>
      </c>
      <c r="G40" s="2" t="n">
        <v>28000</v>
      </c>
      <c r="H40" s="2" t="n">
        <v>2.2</v>
      </c>
      <c r="I40" s="2" t="n">
        <f aca="false">ROUND((DATE(2026,8,31)-F40)/365.25,1)</f>
        <v>1.5</v>
      </c>
      <c r="J40" s="2" t="n">
        <f aca="false">ROUND(H40+I40,1)</f>
        <v>3.7</v>
      </c>
      <c r="K40" s="2" t="s">
        <v>20</v>
      </c>
      <c r="L40" s="4" t="n">
        <v>0.12</v>
      </c>
      <c r="M40" s="2" t="n">
        <f aca="false">IF(K40="Yes",ROUND(G40*L40,0),0)</f>
        <v>3360</v>
      </c>
      <c r="N40" s="2" t="n">
        <f aca="false">IF(K40="Yes",ROUND(G40*L40,0),0)</f>
        <v>3360</v>
      </c>
      <c r="O40" s="2" t="s">
        <v>21</v>
      </c>
    </row>
    <row r="41" customFormat="false" ht="15" hidden="false" customHeight="false" outlineLevel="0" collapsed="false">
      <c r="A41" s="2" t="s">
        <v>124</v>
      </c>
      <c r="B41" s="2" t="s">
        <v>125</v>
      </c>
      <c r="C41" s="2" t="s">
        <v>57</v>
      </c>
      <c r="D41" s="2" t="s">
        <v>83</v>
      </c>
      <c r="E41" s="2" t="s">
        <v>19</v>
      </c>
      <c r="F41" s="3" t="n">
        <v>44080</v>
      </c>
      <c r="G41" s="2" t="n">
        <v>76000</v>
      </c>
      <c r="H41" s="2" t="n">
        <v>2.2</v>
      </c>
      <c r="I41" s="2" t="n">
        <f aca="false">ROUND((DATE(2026,8,31)-F41)/365.25,1)</f>
        <v>6</v>
      </c>
      <c r="J41" s="2" t="n">
        <f aca="false">ROUND(H41+I41,1)</f>
        <v>8.2</v>
      </c>
      <c r="K41" s="2" t="s">
        <v>20</v>
      </c>
      <c r="L41" s="4" t="n">
        <v>0.12</v>
      </c>
      <c r="M41" s="2" t="n">
        <f aca="false">IF(K41="Yes",ROUND(G41*L41,0),0)</f>
        <v>9120</v>
      </c>
      <c r="N41" s="2" t="n">
        <f aca="false">IF(K41="Yes",ROUND(G41*L41,0),0)</f>
        <v>9120</v>
      </c>
      <c r="O41" s="2" t="s">
        <v>21</v>
      </c>
    </row>
    <row r="42" customFormat="false" ht="15" hidden="false" customHeight="false" outlineLevel="0" collapsed="false">
      <c r="A42" s="2" t="s">
        <v>126</v>
      </c>
      <c r="B42" s="2" t="s">
        <v>127</v>
      </c>
      <c r="C42" s="2" t="s">
        <v>17</v>
      </c>
      <c r="D42" s="2" t="s">
        <v>25</v>
      </c>
      <c r="E42" s="2" t="s">
        <v>19</v>
      </c>
      <c r="F42" s="3" t="n">
        <v>44213</v>
      </c>
      <c r="G42" s="2" t="n">
        <v>100500</v>
      </c>
      <c r="H42" s="2" t="n">
        <v>2.7</v>
      </c>
      <c r="I42" s="2" t="n">
        <f aca="false">ROUND((DATE(2026,8,31)-F42)/365.25,1)</f>
        <v>5.6</v>
      </c>
      <c r="J42" s="2" t="n">
        <f aca="false">ROUND(H42+I42,1)</f>
        <v>8.3</v>
      </c>
      <c r="K42" s="2" t="s">
        <v>20</v>
      </c>
      <c r="L42" s="4" t="n">
        <v>0.12</v>
      </c>
      <c r="M42" s="2" t="n">
        <f aca="false">IF(K42="Yes",ROUND(G42*L42,0),0)</f>
        <v>12060</v>
      </c>
      <c r="N42" s="2" t="n">
        <f aca="false">IF(K42="Yes",ROUND(G42*L42,0),0)</f>
        <v>12060</v>
      </c>
      <c r="O42" s="2" t="s">
        <v>21</v>
      </c>
    </row>
    <row r="43" customFormat="false" ht="15" hidden="false" customHeight="false" outlineLevel="0" collapsed="false">
      <c r="A43" s="2" t="s">
        <v>128</v>
      </c>
      <c r="B43" s="2" t="s">
        <v>129</v>
      </c>
      <c r="C43" s="2" t="s">
        <v>24</v>
      </c>
      <c r="D43" s="2" t="s">
        <v>18</v>
      </c>
      <c r="E43" s="2" t="s">
        <v>19</v>
      </c>
      <c r="F43" s="3" t="n">
        <v>43718</v>
      </c>
      <c r="G43" s="2" t="n">
        <v>39000</v>
      </c>
      <c r="H43" s="2" t="n">
        <v>1.9</v>
      </c>
      <c r="I43" s="2" t="n">
        <f aca="false">ROUND((DATE(2026,8,31)-F43)/365.25,1)</f>
        <v>7</v>
      </c>
      <c r="J43" s="2" t="n">
        <f aca="false">ROUND(H43+I43,1)</f>
        <v>8.9</v>
      </c>
      <c r="K43" s="2" t="s">
        <v>20</v>
      </c>
      <c r="L43" s="4" t="n">
        <v>0.12</v>
      </c>
      <c r="M43" s="2" t="n">
        <f aca="false">IF(K43="Yes",ROUND(G43*L43,0),0)</f>
        <v>4680</v>
      </c>
      <c r="N43" s="2" t="n">
        <f aca="false">IF(K43="Yes",ROUND(G43*L43,0),0)</f>
        <v>4680</v>
      </c>
      <c r="O43" s="2" t="s">
        <v>21</v>
      </c>
    </row>
    <row r="44" customFormat="false" ht="15" hidden="false" customHeight="false" outlineLevel="0" collapsed="false">
      <c r="A44" s="2" t="s">
        <v>130</v>
      </c>
      <c r="B44" s="2" t="s">
        <v>131</v>
      </c>
      <c r="C44" s="2" t="s">
        <v>28</v>
      </c>
      <c r="D44" s="2" t="s">
        <v>29</v>
      </c>
      <c r="E44" s="2" t="s">
        <v>19</v>
      </c>
      <c r="F44" s="3" t="n">
        <v>44800</v>
      </c>
      <c r="G44" s="2" t="n">
        <v>22000</v>
      </c>
      <c r="H44" s="2" t="n">
        <v>0</v>
      </c>
      <c r="I44" s="2" t="n">
        <f aca="false">ROUND((DATE(2026,8,31)-F44)/365.25,1)</f>
        <v>4</v>
      </c>
      <c r="J44" s="2" t="n">
        <f aca="false">ROUND(H44+I44,1)</f>
        <v>4</v>
      </c>
      <c r="K44" s="2" t="s">
        <v>20</v>
      </c>
      <c r="L44" s="4" t="n">
        <v>0.12</v>
      </c>
      <c r="M44" s="2" t="n">
        <f aca="false">IF(K44="Yes",ROUND(G44*L44,0),0)</f>
        <v>2640</v>
      </c>
      <c r="N44" s="2" t="n">
        <f aca="false">IF(K44="Yes",ROUND(G44*L44,0),0)</f>
        <v>2640</v>
      </c>
      <c r="O44" s="2" t="s">
        <v>21</v>
      </c>
    </row>
    <row r="45" customFormat="false" ht="15" hidden="false" customHeight="false" outlineLevel="0" collapsed="false">
      <c r="A45" s="2" t="s">
        <v>132</v>
      </c>
      <c r="B45" s="2" t="s">
        <v>133</v>
      </c>
      <c r="C45" s="2" t="s">
        <v>32</v>
      </c>
      <c r="D45" s="2" t="s">
        <v>37</v>
      </c>
      <c r="E45" s="2" t="s">
        <v>19</v>
      </c>
      <c r="F45" s="3" t="n">
        <v>43948</v>
      </c>
      <c r="G45" s="2" t="n">
        <v>49000</v>
      </c>
      <c r="H45" s="2" t="n">
        <v>6.7</v>
      </c>
      <c r="I45" s="2" t="n">
        <f aca="false">ROUND((DATE(2026,8,31)-F45)/365.25,1)</f>
        <v>6.3</v>
      </c>
      <c r="J45" s="2" t="n">
        <f aca="false">ROUND(H45+I45,1)</f>
        <v>13</v>
      </c>
      <c r="K45" s="2" t="s">
        <v>20</v>
      </c>
      <c r="L45" s="4" t="n">
        <v>0.12</v>
      </c>
      <c r="M45" s="2" t="n">
        <f aca="false">IF(K45="Yes",ROUND(G45*L45,0),0)</f>
        <v>5880</v>
      </c>
      <c r="N45" s="2" t="n">
        <f aca="false">IF(K45="Yes",ROUND(G45*L45,0),0)</f>
        <v>5880</v>
      </c>
      <c r="O45" s="2" t="s">
        <v>21</v>
      </c>
    </row>
    <row r="46" customFormat="false" ht="15" hidden="false" customHeight="false" outlineLevel="0" collapsed="false">
      <c r="A46" s="2" t="s">
        <v>134</v>
      </c>
      <c r="B46" s="2" t="s">
        <v>135</v>
      </c>
      <c r="C46" s="2" t="s">
        <v>36</v>
      </c>
      <c r="D46" s="2" t="s">
        <v>33</v>
      </c>
      <c r="E46" s="2" t="s">
        <v>38</v>
      </c>
      <c r="F46" s="3" t="n">
        <v>45459</v>
      </c>
      <c r="G46" s="2" t="n">
        <v>47000</v>
      </c>
      <c r="H46" s="2" t="n">
        <v>3</v>
      </c>
      <c r="I46" s="2" t="n">
        <f aca="false">ROUND((DATE(2026,8,31)-F46)/365.25,1)</f>
        <v>2.2</v>
      </c>
      <c r="J46" s="2" t="n">
        <f aca="false">ROUND(H46+I46,1)</f>
        <v>5.2</v>
      </c>
      <c r="K46" s="2" t="s">
        <v>20</v>
      </c>
      <c r="L46" s="4" t="n">
        <v>0.12</v>
      </c>
      <c r="M46" s="2" t="n">
        <f aca="false">IF(K46="Yes",ROUND(G46*L46,0),0)</f>
        <v>5640</v>
      </c>
      <c r="N46" s="2" t="n">
        <f aca="false">IF(K46="Yes",ROUND(G46*L46,0),0)</f>
        <v>5640</v>
      </c>
      <c r="O46" s="2" t="s">
        <v>21</v>
      </c>
    </row>
    <row r="47" customFormat="false" ht="15" hidden="false" customHeight="false" outlineLevel="0" collapsed="false">
      <c r="A47" s="2" t="s">
        <v>136</v>
      </c>
      <c r="B47" s="2" t="s">
        <v>137</v>
      </c>
      <c r="C47" s="2" t="s">
        <v>41</v>
      </c>
      <c r="D47" s="2" t="s">
        <v>73</v>
      </c>
      <c r="E47" s="2" t="s">
        <v>19</v>
      </c>
      <c r="F47" s="3" t="n">
        <v>46187</v>
      </c>
      <c r="G47" s="2" t="n">
        <v>69500</v>
      </c>
      <c r="H47" s="2" t="n">
        <v>3.1</v>
      </c>
      <c r="I47" s="2" t="n">
        <f aca="false">ROUND((DATE(2026,8,31)-F47)/365.25,1)</f>
        <v>0.2</v>
      </c>
      <c r="J47" s="2" t="n">
        <f aca="false">ROUND(H47+I47,1)</f>
        <v>3.3</v>
      </c>
      <c r="K47" s="2" t="s">
        <v>20</v>
      </c>
      <c r="L47" s="4" t="n">
        <v>0.12</v>
      </c>
      <c r="M47" s="2" t="n">
        <f aca="false">IF(K47="Yes",ROUND(G47*L47,0),0)</f>
        <v>8340</v>
      </c>
      <c r="N47" s="2" t="n">
        <f aca="false">IF(K47="Yes",ROUND(G47*L47,0),0)</f>
        <v>8340</v>
      </c>
      <c r="O47" s="2" t="s">
        <v>21</v>
      </c>
    </row>
    <row r="48" customFormat="false" ht="15" hidden="false" customHeight="false" outlineLevel="0" collapsed="false">
      <c r="A48" s="2" t="s">
        <v>138</v>
      </c>
      <c r="B48" s="2" t="s">
        <v>139</v>
      </c>
      <c r="C48" s="2" t="s">
        <v>45</v>
      </c>
      <c r="D48" s="2" t="s">
        <v>76</v>
      </c>
      <c r="E48" s="2" t="s">
        <v>19</v>
      </c>
      <c r="F48" s="3" t="n">
        <v>46162</v>
      </c>
      <c r="G48" s="2" t="n">
        <v>90500</v>
      </c>
      <c r="H48" s="2" t="n">
        <v>5.9</v>
      </c>
      <c r="I48" s="2" t="n">
        <f aca="false">ROUND((DATE(2026,8,31)-F48)/365.25,1)</f>
        <v>0.3</v>
      </c>
      <c r="J48" s="2" t="n">
        <f aca="false">ROUND(H48+I48,1)</f>
        <v>6.2</v>
      </c>
      <c r="K48" s="2" t="s">
        <v>20</v>
      </c>
      <c r="L48" s="4" t="n">
        <v>0.12</v>
      </c>
      <c r="M48" s="2" t="n">
        <f aca="false">IF(K48="Yes",ROUND(G48*L48,0),0)</f>
        <v>10860</v>
      </c>
      <c r="N48" s="2" t="n">
        <f aca="false">IF(K48="Yes",ROUND(G48*L48,0),0)</f>
        <v>10860</v>
      </c>
      <c r="O48" s="2" t="s">
        <v>21</v>
      </c>
    </row>
    <row r="49" customFormat="false" ht="15" hidden="false" customHeight="false" outlineLevel="0" collapsed="false">
      <c r="A49" s="2" t="s">
        <v>140</v>
      </c>
      <c r="B49" s="2" t="s">
        <v>141</v>
      </c>
      <c r="C49" s="2" t="s">
        <v>49</v>
      </c>
      <c r="D49" s="2" t="s">
        <v>50</v>
      </c>
      <c r="E49" s="2" t="s">
        <v>19</v>
      </c>
      <c r="F49" s="3" t="n">
        <v>43999</v>
      </c>
      <c r="G49" s="2" t="n">
        <v>35000</v>
      </c>
      <c r="H49" s="2" t="n">
        <v>2.2</v>
      </c>
      <c r="I49" s="2" t="n">
        <f aca="false">ROUND((DATE(2026,8,31)-F49)/365.25,1)</f>
        <v>6.2</v>
      </c>
      <c r="J49" s="2" t="n">
        <f aca="false">ROUND(H49+I49,1)</f>
        <v>8.4</v>
      </c>
      <c r="K49" s="2" t="s">
        <v>20</v>
      </c>
      <c r="L49" s="4" t="n">
        <v>0.12</v>
      </c>
      <c r="M49" s="2" t="n">
        <f aca="false">IF(K49="Yes",ROUND(G49*L49,0),0)</f>
        <v>4200</v>
      </c>
      <c r="N49" s="2" t="n">
        <f aca="false">IF(K49="Yes",ROUND(G49*L49,0),0)</f>
        <v>4200</v>
      </c>
      <c r="O49" s="2" t="s">
        <v>21</v>
      </c>
    </row>
    <row r="50" customFormat="false" ht="15" hidden="false" customHeight="false" outlineLevel="0" collapsed="false">
      <c r="A50" s="2" t="s">
        <v>142</v>
      </c>
      <c r="B50" s="2" t="s">
        <v>143</v>
      </c>
      <c r="C50" s="2" t="s">
        <v>53</v>
      </c>
      <c r="D50" s="2" t="s">
        <v>54</v>
      </c>
      <c r="E50" s="2" t="s">
        <v>19</v>
      </c>
      <c r="F50" s="3" t="n">
        <v>45840</v>
      </c>
      <c r="G50" s="2" t="n">
        <v>31000</v>
      </c>
      <c r="H50" s="2" t="n">
        <v>5.4</v>
      </c>
      <c r="I50" s="2" t="n">
        <f aca="false">ROUND((DATE(2026,8,31)-F50)/365.25,1)</f>
        <v>1.2</v>
      </c>
      <c r="J50" s="2" t="n">
        <f aca="false">ROUND(H50+I50,1)</f>
        <v>6.6</v>
      </c>
      <c r="K50" s="2" t="s">
        <v>20</v>
      </c>
      <c r="L50" s="4" t="n">
        <v>0.12</v>
      </c>
      <c r="M50" s="2" t="n">
        <f aca="false">IF(K50="Yes",ROUND(G50*L50,0),0)</f>
        <v>3720</v>
      </c>
      <c r="N50" s="2" t="n">
        <f aca="false">IF(K50="Yes",ROUND(G50*L50,0),0)</f>
        <v>3720</v>
      </c>
      <c r="O50" s="2" t="s">
        <v>21</v>
      </c>
    </row>
    <row r="51" customFormat="false" ht="15" hidden="false" customHeight="false" outlineLevel="0" collapsed="false">
      <c r="A51" s="2" t="s">
        <v>144</v>
      </c>
      <c r="B51" s="2" t="s">
        <v>145</v>
      </c>
      <c r="C51" s="2" t="s">
        <v>57</v>
      </c>
      <c r="D51" s="2" t="s">
        <v>58</v>
      </c>
      <c r="E51" s="2" t="s">
        <v>19</v>
      </c>
      <c r="F51" s="3" t="n">
        <v>45015</v>
      </c>
      <c r="G51" s="2" t="n">
        <v>32000</v>
      </c>
      <c r="H51" s="2" t="n">
        <v>0</v>
      </c>
      <c r="I51" s="2" t="n">
        <f aca="false">ROUND((DATE(2026,8,31)-F51)/365.25,1)</f>
        <v>3.4</v>
      </c>
      <c r="J51" s="2" t="n">
        <f aca="false">ROUND(H51+I51,1)</f>
        <v>3.4</v>
      </c>
      <c r="K51" s="2" t="s">
        <v>20</v>
      </c>
      <c r="L51" s="4" t="n">
        <v>0.12</v>
      </c>
      <c r="M51" s="2" t="n">
        <f aca="false">IF(K51="Yes",ROUND(G51*L51,0),0)</f>
        <v>3840</v>
      </c>
      <c r="N51" s="2" t="n">
        <f aca="false">IF(K51="Yes",ROUND(G51*L51,0),0)</f>
        <v>3840</v>
      </c>
      <c r="O51" s="2" t="s">
        <v>21</v>
      </c>
    </row>
    <row r="52" customFormat="false" ht="15" hidden="false" customHeight="false" outlineLevel="0" collapsed="false">
      <c r="A52" s="2" t="s">
        <v>146</v>
      </c>
      <c r="B52" s="2" t="s">
        <v>147</v>
      </c>
      <c r="C52" s="2" t="s">
        <v>17</v>
      </c>
      <c r="D52" s="2" t="s">
        <v>148</v>
      </c>
      <c r="E52" s="2" t="s">
        <v>38</v>
      </c>
      <c r="F52" s="3" t="n">
        <v>45525</v>
      </c>
      <c r="G52" s="2" t="n">
        <v>61000</v>
      </c>
      <c r="H52" s="2" t="n">
        <v>4.5</v>
      </c>
      <c r="I52" s="2" t="n">
        <f aca="false">ROUND((DATE(2026,8,31)-F52)/365.25,1)</f>
        <v>2</v>
      </c>
      <c r="J52" s="2" t="n">
        <f aca="false">ROUND(H52+I52,1)</f>
        <v>6.5</v>
      </c>
      <c r="K52" s="2" t="s">
        <v>20</v>
      </c>
      <c r="L52" s="4" t="n">
        <v>0.12</v>
      </c>
      <c r="M52" s="2" t="n">
        <f aca="false">IF(K52="Yes",ROUND(G52*L52,0),0)</f>
        <v>7320</v>
      </c>
      <c r="N52" s="2" t="n">
        <f aca="false">IF(K52="Yes",ROUND(G52*L52,0),0)</f>
        <v>7320</v>
      </c>
      <c r="O52" s="2" t="s">
        <v>21</v>
      </c>
    </row>
    <row r="53" customFormat="false" ht="15" hidden="false" customHeight="false" outlineLevel="0" collapsed="false">
      <c r="A53" s="2" t="s">
        <v>149</v>
      </c>
      <c r="B53" s="2" t="s">
        <v>150</v>
      </c>
      <c r="C53" s="2" t="s">
        <v>24</v>
      </c>
      <c r="D53" s="2" t="s">
        <v>151</v>
      </c>
      <c r="E53" s="2" t="s">
        <v>19</v>
      </c>
      <c r="F53" s="3" t="n">
        <v>44992</v>
      </c>
      <c r="G53" s="2" t="n">
        <v>41000</v>
      </c>
      <c r="H53" s="2" t="n">
        <v>1.5</v>
      </c>
      <c r="I53" s="2" t="n">
        <f aca="false">ROUND((DATE(2026,8,31)-F53)/365.25,1)</f>
        <v>3.5</v>
      </c>
      <c r="J53" s="2" t="n">
        <f aca="false">ROUND(H53+I53,1)</f>
        <v>5</v>
      </c>
      <c r="K53" s="2" t="s">
        <v>20</v>
      </c>
      <c r="L53" s="4" t="n">
        <v>0.12</v>
      </c>
      <c r="M53" s="2" t="n">
        <f aca="false">IF(K53="Yes",ROUND(G53*L53,0),0)</f>
        <v>4920</v>
      </c>
      <c r="N53" s="2" t="n">
        <f aca="false">IF(K53="Yes",ROUND(G53*L53,0),0)</f>
        <v>4920</v>
      </c>
      <c r="O53" s="2" t="s">
        <v>21</v>
      </c>
    </row>
    <row r="54" customFormat="false" ht="15" hidden="false" customHeight="false" outlineLevel="0" collapsed="false">
      <c r="A54" s="2" t="s">
        <v>152</v>
      </c>
      <c r="B54" s="2" t="s">
        <v>153</v>
      </c>
      <c r="C54" s="2" t="s">
        <v>28</v>
      </c>
      <c r="D54" s="2" t="s">
        <v>66</v>
      </c>
      <c r="E54" s="2" t="s">
        <v>19</v>
      </c>
      <c r="F54" s="3" t="n">
        <v>44963</v>
      </c>
      <c r="G54" s="2" t="n">
        <v>69000</v>
      </c>
      <c r="H54" s="2" t="n">
        <v>2.6</v>
      </c>
      <c r="I54" s="2" t="n">
        <f aca="false">ROUND((DATE(2026,8,31)-F54)/365.25,1)</f>
        <v>3.6</v>
      </c>
      <c r="J54" s="2" t="n">
        <f aca="false">ROUND(H54+I54,1)</f>
        <v>6.2</v>
      </c>
      <c r="K54" s="2" t="s">
        <v>20</v>
      </c>
      <c r="L54" s="4" t="n">
        <v>0.12</v>
      </c>
      <c r="M54" s="2" t="n">
        <f aca="false">IF(K54="Yes",ROUND(G54*L54,0),0)</f>
        <v>8280</v>
      </c>
      <c r="N54" s="2" t="n">
        <f aca="false">IF(K54="Yes",ROUND(G54*L54,0),0)</f>
        <v>8280</v>
      </c>
      <c r="O54" s="2" t="s">
        <v>21</v>
      </c>
    </row>
    <row r="55" customFormat="false" ht="15" hidden="false" customHeight="false" outlineLevel="0" collapsed="false">
      <c r="A55" s="2" t="s">
        <v>154</v>
      </c>
      <c r="B55" s="2" t="s">
        <v>155</v>
      </c>
      <c r="C55" s="2" t="s">
        <v>32</v>
      </c>
      <c r="D55" s="2" t="s">
        <v>37</v>
      </c>
      <c r="E55" s="2" t="s">
        <v>19</v>
      </c>
      <c r="F55" s="3" t="n">
        <v>46181</v>
      </c>
      <c r="G55" s="2" t="n">
        <v>63000</v>
      </c>
      <c r="H55" s="2" t="n">
        <v>7.6</v>
      </c>
      <c r="I55" s="2" t="n">
        <f aca="false">ROUND((DATE(2026,8,31)-F55)/365.25,1)</f>
        <v>0.2</v>
      </c>
      <c r="J55" s="2" t="n">
        <f aca="false">ROUND(H55+I55,1)</f>
        <v>7.8</v>
      </c>
      <c r="K55" s="2" t="s">
        <v>20</v>
      </c>
      <c r="L55" s="4" t="n">
        <v>0.12</v>
      </c>
      <c r="M55" s="2" t="n">
        <f aca="false">IF(K55="Yes",ROUND(G55*L55,0),0)</f>
        <v>7560</v>
      </c>
      <c r="N55" s="2" t="n">
        <f aca="false">IF(K55="Yes",ROUND(G55*L55,0),0)</f>
        <v>7560</v>
      </c>
      <c r="O55" s="2" t="s">
        <v>21</v>
      </c>
    </row>
    <row r="56" customFormat="false" ht="15" hidden="false" customHeight="false" outlineLevel="0" collapsed="false">
      <c r="A56" s="2" t="s">
        <v>156</v>
      </c>
      <c r="B56" s="2" t="s">
        <v>157</v>
      </c>
      <c r="C56" s="2" t="s">
        <v>36</v>
      </c>
      <c r="D56" s="2" t="s">
        <v>33</v>
      </c>
      <c r="E56" s="2" t="s">
        <v>38</v>
      </c>
      <c r="F56" s="3" t="n">
        <v>43180</v>
      </c>
      <c r="G56" s="2" t="n">
        <v>37500</v>
      </c>
      <c r="H56" s="2" t="n">
        <v>6</v>
      </c>
      <c r="I56" s="2" t="n">
        <f aca="false">ROUND((DATE(2026,8,31)-F56)/365.25,1)</f>
        <v>8.4</v>
      </c>
      <c r="J56" s="2" t="n">
        <f aca="false">ROUND(H56+I56,1)</f>
        <v>14.4</v>
      </c>
      <c r="K56" s="2" t="s">
        <v>20</v>
      </c>
      <c r="L56" s="4" t="n">
        <v>0.12</v>
      </c>
      <c r="M56" s="2" t="n">
        <f aca="false">IF(K56="Yes",ROUND(G56*L56,0),0)</f>
        <v>4500</v>
      </c>
      <c r="N56" s="2" t="n">
        <f aca="false">IF(K56="Yes",ROUND(G56*L56,0),0)</f>
        <v>4500</v>
      </c>
      <c r="O56" s="2" t="s">
        <v>21</v>
      </c>
    </row>
    <row r="57" customFormat="false" ht="15" hidden="false" customHeight="false" outlineLevel="0" collapsed="false">
      <c r="A57" s="2" t="s">
        <v>158</v>
      </c>
      <c r="B57" s="2" t="s">
        <v>159</v>
      </c>
      <c r="C57" s="2" t="s">
        <v>41</v>
      </c>
      <c r="D57" s="2" t="s">
        <v>73</v>
      </c>
      <c r="E57" s="2" t="s">
        <v>19</v>
      </c>
      <c r="F57" s="3" t="n">
        <v>45763</v>
      </c>
      <c r="G57" s="2" t="n">
        <v>64500</v>
      </c>
      <c r="H57" s="2" t="n">
        <v>0.5</v>
      </c>
      <c r="I57" s="2" t="n">
        <f aca="false">ROUND((DATE(2026,8,31)-F57)/365.25,1)</f>
        <v>1.4</v>
      </c>
      <c r="J57" s="2" t="n">
        <f aca="false">ROUND(H57+I57,1)</f>
        <v>1.9</v>
      </c>
      <c r="K57" s="2" t="s">
        <v>20</v>
      </c>
      <c r="L57" s="4" t="n">
        <v>0.12</v>
      </c>
      <c r="M57" s="2" t="n">
        <f aca="false">IF(K57="Yes",ROUND(G57*L57,0),0)</f>
        <v>7740</v>
      </c>
      <c r="N57" s="2" t="n">
        <f aca="false">IF(K57="Yes",ROUND(G57*L57,0),0)</f>
        <v>7740</v>
      </c>
      <c r="O57" s="2" t="s">
        <v>21</v>
      </c>
    </row>
    <row r="58" customFormat="false" ht="15" hidden="false" customHeight="false" outlineLevel="0" collapsed="false">
      <c r="A58" s="2" t="s">
        <v>160</v>
      </c>
      <c r="B58" s="2" t="s">
        <v>161</v>
      </c>
      <c r="C58" s="2" t="s">
        <v>45</v>
      </c>
      <c r="D58" s="2" t="s">
        <v>46</v>
      </c>
      <c r="E58" s="2" t="s">
        <v>19</v>
      </c>
      <c r="F58" s="3" t="n">
        <v>43228</v>
      </c>
      <c r="G58" s="2" t="n">
        <v>44500</v>
      </c>
      <c r="H58" s="2" t="n">
        <v>0</v>
      </c>
      <c r="I58" s="2" t="n">
        <f aca="false">ROUND((DATE(2026,8,31)-F58)/365.25,1)</f>
        <v>8.3</v>
      </c>
      <c r="J58" s="2" t="n">
        <f aca="false">ROUND(H58+I58,1)</f>
        <v>8.3</v>
      </c>
      <c r="K58" s="2" t="s">
        <v>20</v>
      </c>
      <c r="L58" s="4" t="n">
        <v>0.12</v>
      </c>
      <c r="M58" s="2" t="n">
        <f aca="false">IF(K58="Yes",ROUND(G58*L58,0),0)</f>
        <v>5340</v>
      </c>
      <c r="N58" s="2" t="n">
        <f aca="false">IF(K58="Yes",ROUND(G58*L58,0),0)</f>
        <v>5340</v>
      </c>
      <c r="O58" s="2" t="s">
        <v>21</v>
      </c>
    </row>
    <row r="59" customFormat="false" ht="15" hidden="false" customHeight="false" outlineLevel="0" collapsed="false">
      <c r="A59" s="2" t="s">
        <v>162</v>
      </c>
      <c r="B59" s="2" t="s">
        <v>163</v>
      </c>
      <c r="C59" s="2" t="s">
        <v>49</v>
      </c>
      <c r="D59" s="2" t="s">
        <v>50</v>
      </c>
      <c r="E59" s="2" t="s">
        <v>19</v>
      </c>
      <c r="F59" s="3" t="n">
        <v>43725</v>
      </c>
      <c r="G59" s="2" t="n">
        <v>39500</v>
      </c>
      <c r="H59" s="2" t="n">
        <v>1.9</v>
      </c>
      <c r="I59" s="2" t="n">
        <f aca="false">ROUND((DATE(2026,8,31)-F59)/365.25,1)</f>
        <v>7</v>
      </c>
      <c r="J59" s="2" t="n">
        <f aca="false">ROUND(H59+I59,1)</f>
        <v>8.9</v>
      </c>
      <c r="K59" s="2" t="s">
        <v>20</v>
      </c>
      <c r="L59" s="4" t="n">
        <v>0.12</v>
      </c>
      <c r="M59" s="2" t="n">
        <f aca="false">IF(K59="Yes",ROUND(G59*L59,0),0)</f>
        <v>4740</v>
      </c>
      <c r="N59" s="2" t="n">
        <f aca="false">IF(K59="Yes",ROUND(G59*L59,0),0)</f>
        <v>4740</v>
      </c>
      <c r="O59" s="2" t="s">
        <v>21</v>
      </c>
    </row>
    <row r="60" customFormat="false" ht="15" hidden="false" customHeight="false" outlineLevel="0" collapsed="false">
      <c r="A60" s="2" t="s">
        <v>164</v>
      </c>
      <c r="B60" s="2" t="s">
        <v>165</v>
      </c>
      <c r="C60" s="2" t="s">
        <v>53</v>
      </c>
      <c r="D60" s="2" t="s">
        <v>103</v>
      </c>
      <c r="E60" s="2" t="s">
        <v>19</v>
      </c>
      <c r="F60" s="3" t="n">
        <v>45005</v>
      </c>
      <c r="G60" s="2" t="n">
        <v>25000</v>
      </c>
      <c r="H60" s="2" t="n">
        <v>5.6</v>
      </c>
      <c r="I60" s="2" t="n">
        <f aca="false">ROUND((DATE(2026,8,31)-F60)/365.25,1)</f>
        <v>3.4</v>
      </c>
      <c r="J60" s="2" t="n">
        <f aca="false">ROUND(H60+I60,1)</f>
        <v>9</v>
      </c>
      <c r="K60" s="2" t="s">
        <v>20</v>
      </c>
      <c r="L60" s="4" t="n">
        <v>0.12</v>
      </c>
      <c r="M60" s="2" t="n">
        <f aca="false">IF(K60="Yes",ROUND(G60*L60,0),0)</f>
        <v>3000</v>
      </c>
      <c r="N60" s="2" t="n">
        <f aca="false">IF(K60="Yes",ROUND(G60*L60,0),0)</f>
        <v>3000</v>
      </c>
      <c r="O60" s="2" t="s">
        <v>21</v>
      </c>
    </row>
    <row r="61" customFormat="false" ht="15" hidden="false" customHeight="false" outlineLevel="0" collapsed="false">
      <c r="A61" s="2" t="s">
        <v>166</v>
      </c>
      <c r="B61" s="2" t="s">
        <v>167</v>
      </c>
      <c r="C61" s="2" t="s">
        <v>57</v>
      </c>
      <c r="D61" s="2" t="s">
        <v>58</v>
      </c>
      <c r="E61" s="2" t="s">
        <v>19</v>
      </c>
      <c r="F61" s="3" t="n">
        <v>45588</v>
      </c>
      <c r="G61" s="2" t="n">
        <v>28000</v>
      </c>
      <c r="H61" s="2" t="n">
        <v>7.7</v>
      </c>
      <c r="I61" s="2" t="n">
        <f aca="false">ROUND((DATE(2026,8,31)-F61)/365.25,1)</f>
        <v>1.9</v>
      </c>
      <c r="J61" s="2" t="n">
        <f aca="false">ROUND(H61+I61,1)</f>
        <v>9.6</v>
      </c>
      <c r="K61" s="2" t="s">
        <v>20</v>
      </c>
      <c r="L61" s="4" t="n">
        <v>0.12</v>
      </c>
      <c r="M61" s="2" t="n">
        <f aca="false">IF(K61="Yes",ROUND(G61*L61,0),0)</f>
        <v>3360</v>
      </c>
      <c r="N61" s="2" t="n">
        <f aca="false">IF(K61="Yes",ROUND(G61*L61,0),0)</f>
        <v>3360</v>
      </c>
      <c r="O61" s="2" t="s">
        <v>21</v>
      </c>
    </row>
    <row r="62" customFormat="false" ht="15" hidden="false" customHeight="false" outlineLevel="0" collapsed="false">
      <c r="A62" s="2" t="s">
        <v>168</v>
      </c>
      <c r="B62" s="2" t="s">
        <v>169</v>
      </c>
      <c r="C62" s="2" t="s">
        <v>17</v>
      </c>
      <c r="D62" s="2" t="s">
        <v>18</v>
      </c>
      <c r="E62" s="2" t="s">
        <v>19</v>
      </c>
      <c r="F62" s="3" t="n">
        <v>43543</v>
      </c>
      <c r="G62" s="2" t="n">
        <v>50500</v>
      </c>
      <c r="H62" s="2" t="n">
        <v>4.6</v>
      </c>
      <c r="I62" s="2" t="n">
        <f aca="false">ROUND((DATE(2026,8,31)-F62)/365.25,1)</f>
        <v>7.5</v>
      </c>
      <c r="J62" s="2" t="n">
        <f aca="false">ROUND(H62+I62,1)</f>
        <v>12.1</v>
      </c>
      <c r="K62" s="2" t="s">
        <v>20</v>
      </c>
      <c r="L62" s="4" t="n">
        <v>0.12</v>
      </c>
      <c r="M62" s="2" t="n">
        <f aca="false">IF(K62="Yes",ROUND(G62*L62,0),0)</f>
        <v>6060</v>
      </c>
      <c r="N62" s="2" t="n">
        <f aca="false">IF(K62="Yes",ROUND(G62*L62,0),0)</f>
        <v>6060</v>
      </c>
      <c r="O62" s="2" t="s">
        <v>21</v>
      </c>
    </row>
    <row r="63" customFormat="false" ht="15" hidden="false" customHeight="false" outlineLevel="0" collapsed="false">
      <c r="A63" s="2" t="s">
        <v>170</v>
      </c>
      <c r="B63" s="2" t="s">
        <v>171</v>
      </c>
      <c r="C63" s="2" t="s">
        <v>24</v>
      </c>
      <c r="D63" s="2" t="s">
        <v>151</v>
      </c>
      <c r="E63" s="2" t="s">
        <v>19</v>
      </c>
      <c r="F63" s="3" t="n">
        <v>46029</v>
      </c>
      <c r="G63" s="2" t="n">
        <v>58000</v>
      </c>
      <c r="H63" s="2" t="n">
        <v>1.6</v>
      </c>
      <c r="I63" s="2" t="n">
        <f aca="false">ROUND((DATE(2026,8,31)-F63)/365.25,1)</f>
        <v>0.6</v>
      </c>
      <c r="J63" s="2" t="n">
        <f aca="false">ROUND(H63+I63,1)</f>
        <v>2.2</v>
      </c>
      <c r="K63" s="2" t="s">
        <v>20</v>
      </c>
      <c r="L63" s="4" t="n">
        <v>0.12</v>
      </c>
      <c r="M63" s="2" t="n">
        <f aca="false">IF(K63="Yes",ROUND(G63*L63,0),0)</f>
        <v>6960</v>
      </c>
      <c r="N63" s="2" t="n">
        <f aca="false">IF(K63="Yes",ROUND(G63*L63,0),0)</f>
        <v>6960</v>
      </c>
      <c r="O63" s="2" t="s">
        <v>21</v>
      </c>
    </row>
    <row r="64" customFormat="false" ht="15" hidden="false" customHeight="false" outlineLevel="0" collapsed="false">
      <c r="A64" s="2" t="s">
        <v>172</v>
      </c>
      <c r="B64" s="2" t="s">
        <v>173</v>
      </c>
      <c r="C64" s="2" t="s">
        <v>28</v>
      </c>
      <c r="D64" s="2" t="s">
        <v>29</v>
      </c>
      <c r="E64" s="2" t="s">
        <v>19</v>
      </c>
      <c r="F64" s="3" t="n">
        <v>45956</v>
      </c>
      <c r="G64" s="2" t="n">
        <v>23500</v>
      </c>
      <c r="H64" s="2" t="n">
        <v>6.2</v>
      </c>
      <c r="I64" s="2" t="n">
        <f aca="false">ROUND((DATE(2026,8,31)-F64)/365.25,1)</f>
        <v>0.8</v>
      </c>
      <c r="J64" s="2" t="n">
        <f aca="false">ROUND(H64+I64,1)</f>
        <v>7</v>
      </c>
      <c r="K64" s="2" t="s">
        <v>20</v>
      </c>
      <c r="L64" s="4" t="n">
        <v>0.12</v>
      </c>
      <c r="M64" s="2" t="n">
        <f aca="false">IF(K64="Yes",ROUND(G64*L64,0),0)</f>
        <v>2820</v>
      </c>
      <c r="N64" s="2" t="n">
        <f aca="false">IF(K64="Yes",ROUND(G64*L64,0),0)</f>
        <v>2820</v>
      </c>
      <c r="O64" s="2" t="s">
        <v>21</v>
      </c>
    </row>
    <row r="65" customFormat="false" ht="15" hidden="false" customHeight="false" outlineLevel="0" collapsed="false">
      <c r="A65" s="2" t="s">
        <v>174</v>
      </c>
      <c r="B65" s="2" t="s">
        <v>175</v>
      </c>
      <c r="C65" s="2" t="s">
        <v>32</v>
      </c>
      <c r="D65" s="2" t="s">
        <v>92</v>
      </c>
      <c r="E65" s="2" t="s">
        <v>19</v>
      </c>
      <c r="F65" s="3" t="n">
        <v>43596</v>
      </c>
      <c r="G65" s="2" t="n">
        <v>51500</v>
      </c>
      <c r="H65" s="2" t="n">
        <v>0</v>
      </c>
      <c r="I65" s="2" t="n">
        <f aca="false">ROUND((DATE(2026,8,31)-F65)/365.25,1)</f>
        <v>7.3</v>
      </c>
      <c r="J65" s="2" t="n">
        <f aca="false">ROUND(H65+I65,1)</f>
        <v>7.3</v>
      </c>
      <c r="K65" s="2" t="s">
        <v>20</v>
      </c>
      <c r="L65" s="4" t="n">
        <v>0.12</v>
      </c>
      <c r="M65" s="2" t="n">
        <f aca="false">IF(K65="Yes",ROUND(G65*L65,0),0)</f>
        <v>6180</v>
      </c>
      <c r="N65" s="2" t="n">
        <f aca="false">IF(K65="Yes",ROUND(G65*L65,0),0)</f>
        <v>6180</v>
      </c>
      <c r="O65" s="2" t="s">
        <v>21</v>
      </c>
    </row>
    <row r="66" customFormat="false" ht="15" hidden="false" customHeight="false" outlineLevel="0" collapsed="false">
      <c r="A66" s="2" t="s">
        <v>176</v>
      </c>
      <c r="B66" s="2" t="s">
        <v>177</v>
      </c>
      <c r="C66" s="2" t="s">
        <v>36</v>
      </c>
      <c r="D66" s="2" t="s">
        <v>33</v>
      </c>
      <c r="E66" s="2" t="s">
        <v>19</v>
      </c>
      <c r="F66" s="3" t="n">
        <v>45283</v>
      </c>
      <c r="G66" s="2" t="n">
        <v>33500</v>
      </c>
      <c r="H66" s="2" t="n">
        <v>3.4</v>
      </c>
      <c r="I66" s="2" t="n">
        <f aca="false">ROUND((DATE(2026,8,31)-F66)/365.25,1)</f>
        <v>2.7</v>
      </c>
      <c r="J66" s="2" t="n">
        <f aca="false">ROUND(H66+I66,1)</f>
        <v>6.1</v>
      </c>
      <c r="K66" s="2" t="s">
        <v>20</v>
      </c>
      <c r="L66" s="4" t="n">
        <v>0.12</v>
      </c>
      <c r="M66" s="2" t="n">
        <f aca="false">IF(K66="Yes",ROUND(G66*L66,0),0)</f>
        <v>4020</v>
      </c>
      <c r="N66" s="2" t="n">
        <f aca="false">IF(K66="Yes",ROUND(G66*L66,0),0)</f>
        <v>4020</v>
      </c>
      <c r="O66" s="2" t="s">
        <v>21</v>
      </c>
    </row>
    <row r="67" customFormat="false" ht="15" hidden="false" customHeight="false" outlineLevel="0" collapsed="false">
      <c r="A67" s="2" t="s">
        <v>178</v>
      </c>
      <c r="B67" s="2" t="s">
        <v>179</v>
      </c>
      <c r="C67" s="2" t="s">
        <v>41</v>
      </c>
      <c r="D67" s="2" t="s">
        <v>73</v>
      </c>
      <c r="E67" s="2" t="s">
        <v>19</v>
      </c>
      <c r="F67" s="3" t="n">
        <v>44821</v>
      </c>
      <c r="G67" s="2" t="n">
        <v>51000</v>
      </c>
      <c r="H67" s="2" t="n">
        <v>6.6</v>
      </c>
      <c r="I67" s="2" t="n">
        <f aca="false">ROUND((DATE(2026,8,31)-F67)/365.25,1)</f>
        <v>4</v>
      </c>
      <c r="J67" s="2" t="n">
        <f aca="false">ROUND(H67+I67,1)</f>
        <v>10.6</v>
      </c>
      <c r="K67" s="2" t="s">
        <v>20</v>
      </c>
      <c r="L67" s="4" t="n">
        <v>0.12</v>
      </c>
      <c r="M67" s="2" t="n">
        <f aca="false">IF(K67="Yes",ROUND(G67*L67,0),0)</f>
        <v>6120</v>
      </c>
      <c r="N67" s="2" t="n">
        <f aca="false">IF(K67="Yes",ROUND(G67*L67,0),0)</f>
        <v>6120</v>
      </c>
      <c r="O67" s="2" t="s">
        <v>21</v>
      </c>
    </row>
    <row r="68" customFormat="false" ht="15" hidden="false" customHeight="false" outlineLevel="0" collapsed="false">
      <c r="A68" s="2" t="s">
        <v>180</v>
      </c>
      <c r="B68" s="2" t="s">
        <v>181</v>
      </c>
      <c r="C68" s="2" t="s">
        <v>45</v>
      </c>
      <c r="D68" s="2" t="s">
        <v>76</v>
      </c>
      <c r="E68" s="2" t="s">
        <v>19</v>
      </c>
      <c r="F68" s="3" t="n">
        <v>44984</v>
      </c>
      <c r="G68" s="2" t="n">
        <v>96500</v>
      </c>
      <c r="H68" s="2" t="n">
        <v>5.7</v>
      </c>
      <c r="I68" s="2" t="n">
        <f aca="false">ROUND((DATE(2026,8,31)-F68)/365.25,1)</f>
        <v>3.5</v>
      </c>
      <c r="J68" s="2" t="n">
        <f aca="false">ROUND(H68+I68,1)</f>
        <v>9.2</v>
      </c>
      <c r="K68" s="2" t="s">
        <v>20</v>
      </c>
      <c r="L68" s="4" t="n">
        <v>0.12</v>
      </c>
      <c r="M68" s="2" t="n">
        <f aca="false">IF(K68="Yes",ROUND(G68*L68,0),0)</f>
        <v>11580</v>
      </c>
      <c r="N68" s="2" t="n">
        <f aca="false">IF(K68="Yes",ROUND(G68*L68,0),0)</f>
        <v>11580</v>
      </c>
      <c r="O68" s="2" t="s">
        <v>21</v>
      </c>
    </row>
    <row r="69" customFormat="false" ht="15" hidden="false" customHeight="false" outlineLevel="0" collapsed="false">
      <c r="A69" s="2" t="s">
        <v>182</v>
      </c>
      <c r="B69" s="2" t="s">
        <v>183</v>
      </c>
      <c r="C69" s="2" t="s">
        <v>49</v>
      </c>
      <c r="D69" s="2" t="s">
        <v>63</v>
      </c>
      <c r="E69" s="2" t="s">
        <v>19</v>
      </c>
      <c r="F69" s="3" t="n">
        <v>45005</v>
      </c>
      <c r="G69" s="2" t="n">
        <v>143500</v>
      </c>
      <c r="H69" s="2" t="n">
        <v>3.5</v>
      </c>
      <c r="I69" s="2" t="n">
        <f aca="false">ROUND((DATE(2026,8,31)-F69)/365.25,1)</f>
        <v>3.4</v>
      </c>
      <c r="J69" s="2" t="n">
        <f aca="false">ROUND(H69+I69,1)</f>
        <v>6.9</v>
      </c>
      <c r="K69" s="2" t="s">
        <v>20</v>
      </c>
      <c r="L69" s="4" t="n">
        <v>0.12</v>
      </c>
      <c r="M69" s="2" t="n">
        <f aca="false">IF(K69="Yes",ROUND(G69*L69,0),0)</f>
        <v>17220</v>
      </c>
      <c r="N69" s="2" t="n">
        <f aca="false">IF(K69="Yes",ROUND(G69*L69,0),0)</f>
        <v>17220</v>
      </c>
      <c r="O69" s="2" t="s">
        <v>21</v>
      </c>
    </row>
    <row r="70" customFormat="false" ht="15" hidden="false" customHeight="false" outlineLevel="0" collapsed="false">
      <c r="A70" s="2" t="s">
        <v>184</v>
      </c>
      <c r="B70" s="2" t="s">
        <v>185</v>
      </c>
      <c r="C70" s="2" t="s">
        <v>53</v>
      </c>
      <c r="D70" s="2" t="s">
        <v>54</v>
      </c>
      <c r="E70" s="2" t="s">
        <v>19</v>
      </c>
      <c r="F70" s="3" t="n">
        <v>44106</v>
      </c>
      <c r="G70" s="2" t="n">
        <v>30500</v>
      </c>
      <c r="H70" s="2" t="n">
        <v>6.6</v>
      </c>
      <c r="I70" s="2" t="n">
        <f aca="false">ROUND((DATE(2026,8,31)-F70)/365.25,1)</f>
        <v>5.9</v>
      </c>
      <c r="J70" s="2" t="n">
        <f aca="false">ROUND(H70+I70,1)</f>
        <v>12.5</v>
      </c>
      <c r="K70" s="2" t="s">
        <v>20</v>
      </c>
      <c r="L70" s="4" t="n">
        <v>0.12</v>
      </c>
      <c r="M70" s="2" t="n">
        <f aca="false">IF(K70="Yes",ROUND(G70*L70,0),0)</f>
        <v>3660</v>
      </c>
      <c r="N70" s="2" t="n">
        <f aca="false">IF(K70="Yes",ROUND(G70*L70,0),0)</f>
        <v>3660</v>
      </c>
      <c r="O70" s="2" t="s">
        <v>21</v>
      </c>
    </row>
    <row r="71" customFormat="false" ht="15" hidden="false" customHeight="false" outlineLevel="0" collapsed="false">
      <c r="A71" s="2" t="s">
        <v>186</v>
      </c>
      <c r="B71" s="2" t="s">
        <v>187</v>
      </c>
      <c r="C71" s="2" t="s">
        <v>57</v>
      </c>
      <c r="D71" s="2" t="s">
        <v>83</v>
      </c>
      <c r="E71" s="2" t="s">
        <v>19</v>
      </c>
      <c r="F71" s="3" t="n">
        <v>46174</v>
      </c>
      <c r="G71" s="2" t="n">
        <v>51000</v>
      </c>
      <c r="H71" s="2" t="n">
        <v>3.7</v>
      </c>
      <c r="I71" s="2" t="n">
        <f aca="false">ROUND((DATE(2026,8,31)-F71)/365.25,1)</f>
        <v>0.2</v>
      </c>
      <c r="J71" s="2" t="n">
        <f aca="false">ROUND(H71+I71,1)</f>
        <v>3.9</v>
      </c>
      <c r="K71" s="2" t="s">
        <v>20</v>
      </c>
      <c r="L71" s="4" t="n">
        <v>0.12</v>
      </c>
      <c r="M71" s="2" t="n">
        <f aca="false">IF(K71="Yes",ROUND(G71*L71,0),0)</f>
        <v>6120</v>
      </c>
      <c r="N71" s="2" t="n">
        <f aca="false">IF(K71="Yes",ROUND(G71*L71,0),0)</f>
        <v>6120</v>
      </c>
      <c r="O71" s="2" t="s">
        <v>21</v>
      </c>
    </row>
    <row r="72" customFormat="false" ht="15" hidden="false" customHeight="false" outlineLevel="0" collapsed="false">
      <c r="A72" s="2" t="s">
        <v>188</v>
      </c>
      <c r="B72" s="2" t="s">
        <v>189</v>
      </c>
      <c r="C72" s="2" t="s">
        <v>17</v>
      </c>
      <c r="D72" s="2" t="s">
        <v>190</v>
      </c>
      <c r="E72" s="2" t="s">
        <v>19</v>
      </c>
      <c r="F72" s="3" t="n">
        <v>43218</v>
      </c>
      <c r="G72" s="2" t="n">
        <v>50000</v>
      </c>
      <c r="H72" s="2" t="n">
        <v>0</v>
      </c>
      <c r="I72" s="2" t="n">
        <f aca="false">ROUND((DATE(2026,8,31)-F72)/365.25,1)</f>
        <v>8.3</v>
      </c>
      <c r="J72" s="2" t="n">
        <f aca="false">ROUND(H72+I72,1)</f>
        <v>8.3</v>
      </c>
      <c r="K72" s="2" t="s">
        <v>20</v>
      </c>
      <c r="L72" s="4" t="n">
        <v>0.12</v>
      </c>
      <c r="M72" s="2" t="n">
        <f aca="false">IF(K72="Yes",ROUND(G72*L72,0),0)</f>
        <v>6000</v>
      </c>
      <c r="N72" s="2" t="n">
        <f aca="false">IF(K72="Yes",ROUND(G72*L72,0),0)</f>
        <v>6000</v>
      </c>
      <c r="O72" s="2" t="s">
        <v>21</v>
      </c>
    </row>
    <row r="73" customFormat="false" ht="15" hidden="false" customHeight="false" outlineLevel="0" collapsed="false">
      <c r="A73" s="2" t="s">
        <v>191</v>
      </c>
      <c r="B73" s="2" t="s">
        <v>192</v>
      </c>
      <c r="C73" s="2" t="s">
        <v>24</v>
      </c>
      <c r="D73" s="2" t="s">
        <v>151</v>
      </c>
      <c r="E73" s="2" t="s">
        <v>19</v>
      </c>
      <c r="F73" s="3" t="n">
        <v>44554</v>
      </c>
      <c r="G73" s="2" t="n">
        <v>46000</v>
      </c>
      <c r="H73" s="2" t="n">
        <v>6.4</v>
      </c>
      <c r="I73" s="2" t="n">
        <f aca="false">ROUND((DATE(2026,8,31)-F73)/365.25,1)</f>
        <v>4.7</v>
      </c>
      <c r="J73" s="2" t="n">
        <f aca="false">ROUND(H73+I73,1)</f>
        <v>11.1</v>
      </c>
      <c r="K73" s="2" t="s">
        <v>20</v>
      </c>
      <c r="L73" s="4" t="n">
        <v>0.12</v>
      </c>
      <c r="M73" s="2" t="n">
        <f aca="false">IF(K73="Yes",ROUND(G73*L73,0),0)</f>
        <v>5520</v>
      </c>
      <c r="N73" s="2" t="n">
        <f aca="false">IF(K73="Yes",ROUND(G73*L73,0),0)</f>
        <v>5520</v>
      </c>
      <c r="O73" s="2" t="s">
        <v>21</v>
      </c>
    </row>
    <row r="74" customFormat="false" ht="15" hidden="false" customHeight="false" outlineLevel="0" collapsed="false">
      <c r="A74" s="2" t="s">
        <v>193</v>
      </c>
      <c r="B74" s="2" t="s">
        <v>194</v>
      </c>
      <c r="C74" s="2" t="s">
        <v>28</v>
      </c>
      <c r="D74" s="2" t="s">
        <v>66</v>
      </c>
      <c r="E74" s="2" t="s">
        <v>19</v>
      </c>
      <c r="F74" s="3" t="n">
        <v>43142</v>
      </c>
      <c r="G74" s="2" t="n">
        <v>91500</v>
      </c>
      <c r="H74" s="2" t="n">
        <v>4.1</v>
      </c>
      <c r="I74" s="2" t="n">
        <f aca="false">ROUND((DATE(2026,8,31)-F74)/365.25,1)</f>
        <v>8.6</v>
      </c>
      <c r="J74" s="2" t="n">
        <f aca="false">ROUND(H74+I74,1)</f>
        <v>12.7</v>
      </c>
      <c r="K74" s="2" t="s">
        <v>20</v>
      </c>
      <c r="L74" s="4" t="n">
        <v>0.12</v>
      </c>
      <c r="M74" s="2" t="n">
        <f aca="false">IF(K74="Yes",ROUND(G74*L74,0),0)</f>
        <v>10980</v>
      </c>
      <c r="N74" s="2" t="n">
        <f aca="false">IF(K74="Yes",ROUND(G74*L74,0),0)</f>
        <v>10980</v>
      </c>
      <c r="O74" s="2" t="s">
        <v>21</v>
      </c>
    </row>
    <row r="75" customFormat="false" ht="15" hidden="false" customHeight="false" outlineLevel="0" collapsed="false">
      <c r="A75" s="2" t="s">
        <v>195</v>
      </c>
      <c r="B75" s="2" t="s">
        <v>196</v>
      </c>
      <c r="C75" s="2" t="s">
        <v>32</v>
      </c>
      <c r="D75" s="2" t="s">
        <v>33</v>
      </c>
      <c r="E75" s="2" t="s">
        <v>19</v>
      </c>
      <c r="F75" s="3" t="n">
        <v>44765</v>
      </c>
      <c r="G75" s="2" t="n">
        <v>45500</v>
      </c>
      <c r="H75" s="2" t="n">
        <v>3.9</v>
      </c>
      <c r="I75" s="2" t="n">
        <f aca="false">ROUND((DATE(2026,8,31)-F75)/365.25,1)</f>
        <v>4.1</v>
      </c>
      <c r="J75" s="2" t="n">
        <f aca="false">ROUND(H75+I75,1)</f>
        <v>8</v>
      </c>
      <c r="K75" s="2" t="s">
        <v>20</v>
      </c>
      <c r="L75" s="4" t="n">
        <v>0.12</v>
      </c>
      <c r="M75" s="2" t="n">
        <f aca="false">IF(K75="Yes",ROUND(G75*L75,0),0)</f>
        <v>5460</v>
      </c>
      <c r="N75" s="2" t="n">
        <f aca="false">IF(K75="Yes",ROUND(G75*L75,0),0)</f>
        <v>5460</v>
      </c>
      <c r="O75" s="2" t="s">
        <v>21</v>
      </c>
    </row>
    <row r="76" customFormat="false" ht="15" hidden="false" customHeight="false" outlineLevel="0" collapsed="false">
      <c r="A76" s="2" t="s">
        <v>197</v>
      </c>
      <c r="B76" s="2" t="s">
        <v>198</v>
      </c>
      <c r="C76" s="2" t="s">
        <v>36</v>
      </c>
      <c r="D76" s="2" t="s">
        <v>37</v>
      </c>
      <c r="E76" s="2" t="s">
        <v>19</v>
      </c>
      <c r="F76" s="3" t="n">
        <v>46016</v>
      </c>
      <c r="G76" s="2" t="n">
        <v>87500</v>
      </c>
      <c r="H76" s="2" t="n">
        <v>3.9</v>
      </c>
      <c r="I76" s="2" t="n">
        <f aca="false">ROUND((DATE(2026,8,31)-F76)/365.25,1)</f>
        <v>0.7</v>
      </c>
      <c r="J76" s="2" t="n">
        <f aca="false">ROUND(H76+I76,1)</f>
        <v>4.6</v>
      </c>
      <c r="K76" s="2" t="s">
        <v>20</v>
      </c>
      <c r="L76" s="4" t="n">
        <v>0.12</v>
      </c>
      <c r="M76" s="2" t="n">
        <f aca="false">IF(K76="Yes",ROUND(G76*L76,0),0)</f>
        <v>10500</v>
      </c>
      <c r="N76" s="2" t="n">
        <f aca="false">IF(K76="Yes",ROUND(G76*L76,0),0)</f>
        <v>10500</v>
      </c>
      <c r="O76" s="2" t="s">
        <v>21</v>
      </c>
    </row>
    <row r="77" customFormat="false" ht="15" hidden="false" customHeight="false" outlineLevel="0" collapsed="false">
      <c r="A77" s="2" t="s">
        <v>199</v>
      </c>
      <c r="B77" s="2" t="s">
        <v>200</v>
      </c>
      <c r="C77" s="2" t="s">
        <v>41</v>
      </c>
      <c r="D77" s="2" t="s">
        <v>42</v>
      </c>
      <c r="E77" s="2" t="s">
        <v>19</v>
      </c>
      <c r="F77" s="3" t="n">
        <v>44008</v>
      </c>
      <c r="G77" s="2" t="n">
        <v>27500</v>
      </c>
      <c r="H77" s="2" t="n">
        <v>3.2</v>
      </c>
      <c r="I77" s="2" t="n">
        <f aca="false">ROUND((DATE(2026,8,31)-F77)/365.25,1)</f>
        <v>6.2</v>
      </c>
      <c r="J77" s="2" t="n">
        <f aca="false">ROUND(H77+I77,1)</f>
        <v>9.4</v>
      </c>
      <c r="K77" s="2" t="s">
        <v>20</v>
      </c>
      <c r="L77" s="4" t="n">
        <v>0.12</v>
      </c>
      <c r="M77" s="2" t="n">
        <f aca="false">IF(K77="Yes",ROUND(G77*L77,0),0)</f>
        <v>3300</v>
      </c>
      <c r="N77" s="2" t="n">
        <f aca="false">IF(K77="Yes",ROUND(G77*L77,0),0)</f>
        <v>3300</v>
      </c>
      <c r="O77" s="2" t="s">
        <v>21</v>
      </c>
    </row>
    <row r="78" customFormat="false" ht="15" hidden="false" customHeight="false" outlineLevel="0" collapsed="false">
      <c r="A78" s="2" t="s">
        <v>201</v>
      </c>
      <c r="B78" s="2" t="s">
        <v>202</v>
      </c>
      <c r="C78" s="2" t="s">
        <v>45</v>
      </c>
      <c r="D78" s="2" t="s">
        <v>76</v>
      </c>
      <c r="E78" s="2" t="s">
        <v>19</v>
      </c>
      <c r="F78" s="3" t="n">
        <v>45368</v>
      </c>
      <c r="G78" s="2" t="n">
        <v>86000</v>
      </c>
      <c r="H78" s="2" t="n">
        <v>4.2</v>
      </c>
      <c r="I78" s="2" t="n">
        <f aca="false">ROUND((DATE(2026,8,31)-F78)/365.25,1)</f>
        <v>2.5</v>
      </c>
      <c r="J78" s="2" t="n">
        <f aca="false">ROUND(H78+I78,1)</f>
        <v>6.7</v>
      </c>
      <c r="K78" s="2" t="s">
        <v>20</v>
      </c>
      <c r="L78" s="4" t="n">
        <v>0.12</v>
      </c>
      <c r="M78" s="2" t="n">
        <f aca="false">IF(K78="Yes",ROUND(G78*L78,0),0)</f>
        <v>10320</v>
      </c>
      <c r="N78" s="2" t="n">
        <f aca="false">IF(K78="Yes",ROUND(G78*L78,0),0)</f>
        <v>10320</v>
      </c>
      <c r="O78" s="2" t="s">
        <v>21</v>
      </c>
    </row>
    <row r="79" customFormat="false" ht="15" hidden="false" customHeight="false" outlineLevel="0" collapsed="false">
      <c r="A79" s="2" t="s">
        <v>203</v>
      </c>
      <c r="B79" s="2" t="s">
        <v>204</v>
      </c>
      <c r="C79" s="2" t="s">
        <v>49</v>
      </c>
      <c r="D79" s="2" t="s">
        <v>63</v>
      </c>
      <c r="E79" s="2" t="s">
        <v>19</v>
      </c>
      <c r="F79" s="3" t="n">
        <v>45979</v>
      </c>
      <c r="G79" s="2" t="n">
        <v>126000</v>
      </c>
      <c r="H79" s="2" t="n">
        <v>0</v>
      </c>
      <c r="I79" s="2" t="n">
        <f aca="false">ROUND((DATE(2026,8,31)-F79)/365.25,1)</f>
        <v>0.8</v>
      </c>
      <c r="J79" s="2" t="n">
        <f aca="false">ROUND(H79+I79,1)</f>
        <v>0.8</v>
      </c>
      <c r="K79" s="2" t="s">
        <v>20</v>
      </c>
      <c r="L79" s="4" t="n">
        <v>0.12</v>
      </c>
      <c r="M79" s="2" t="n">
        <f aca="false">IF(K79="Yes",ROUND(G79*L79,0),0)</f>
        <v>15120</v>
      </c>
      <c r="N79" s="2" t="n">
        <f aca="false">IF(K79="Yes",ROUND(G79*L79,0),0)</f>
        <v>15120</v>
      </c>
      <c r="O79" s="2" t="s">
        <v>21</v>
      </c>
    </row>
    <row r="80" customFormat="false" ht="15" hidden="false" customHeight="false" outlineLevel="0" collapsed="false">
      <c r="A80" s="2" t="s">
        <v>205</v>
      </c>
      <c r="B80" s="2" t="s">
        <v>206</v>
      </c>
      <c r="C80" s="2" t="s">
        <v>53</v>
      </c>
      <c r="D80" s="2" t="s">
        <v>103</v>
      </c>
      <c r="E80" s="2" t="s">
        <v>19</v>
      </c>
      <c r="F80" s="3" t="n">
        <v>46055</v>
      </c>
      <c r="G80" s="2" t="n">
        <v>22000</v>
      </c>
      <c r="H80" s="2" t="n">
        <v>1.5</v>
      </c>
      <c r="I80" s="2" t="n">
        <f aca="false">ROUND((DATE(2026,8,31)-F80)/365.25,1)</f>
        <v>0.6</v>
      </c>
      <c r="J80" s="2" t="n">
        <f aca="false">ROUND(H80+I80,1)</f>
        <v>2.1</v>
      </c>
      <c r="K80" s="2" t="s">
        <v>20</v>
      </c>
      <c r="L80" s="4" t="n">
        <v>0.12</v>
      </c>
      <c r="M80" s="2" t="n">
        <f aca="false">IF(K80="Yes",ROUND(G80*L80,0),0)</f>
        <v>2640</v>
      </c>
      <c r="N80" s="2" t="n">
        <f aca="false">IF(K80="Yes",ROUND(G80*L80,0),0)</f>
        <v>2640</v>
      </c>
      <c r="O80" s="2" t="s">
        <v>21</v>
      </c>
    </row>
    <row r="81" customFormat="false" ht="15" hidden="false" customHeight="false" outlineLevel="0" collapsed="false">
      <c r="A81" s="2" t="s">
        <v>207</v>
      </c>
      <c r="B81" s="2" t="s">
        <v>208</v>
      </c>
      <c r="C81" s="2" t="s">
        <v>57</v>
      </c>
      <c r="D81" s="2" t="s">
        <v>58</v>
      </c>
      <c r="E81" s="2" t="s">
        <v>19</v>
      </c>
      <c r="F81" s="3" t="n">
        <v>43987</v>
      </c>
      <c r="G81" s="2" t="n">
        <v>21000</v>
      </c>
      <c r="H81" s="2" t="n">
        <v>5.9</v>
      </c>
      <c r="I81" s="2" t="n">
        <f aca="false">ROUND((DATE(2026,8,31)-F81)/365.25,1)</f>
        <v>6.2</v>
      </c>
      <c r="J81" s="2" t="n">
        <f aca="false">ROUND(H81+I81,1)</f>
        <v>12.1</v>
      </c>
      <c r="K81" s="2" t="s">
        <v>20</v>
      </c>
      <c r="L81" s="4" t="n">
        <v>0.12</v>
      </c>
      <c r="M81" s="2" t="n">
        <f aca="false">IF(K81="Yes",ROUND(G81*L81,0),0)</f>
        <v>2520</v>
      </c>
      <c r="N81" s="2" t="n">
        <f aca="false">IF(K81="Yes",ROUND(G81*L81,0),0)</f>
        <v>2520</v>
      </c>
      <c r="O81" s="2" t="s">
        <v>21</v>
      </c>
    </row>
    <row r="82" customFormat="false" ht="15" hidden="false" customHeight="false" outlineLevel="0" collapsed="false">
      <c r="A82" s="2" t="s">
        <v>209</v>
      </c>
      <c r="B82" s="2" t="s">
        <v>210</v>
      </c>
      <c r="C82" s="2" t="s">
        <v>17</v>
      </c>
      <c r="D82" s="2" t="s">
        <v>25</v>
      </c>
      <c r="E82" s="2" t="s">
        <v>19</v>
      </c>
      <c r="F82" s="3" t="n">
        <v>43896</v>
      </c>
      <c r="G82" s="2" t="n">
        <v>83000</v>
      </c>
      <c r="H82" s="2" t="n">
        <v>2.4</v>
      </c>
      <c r="I82" s="2" t="n">
        <f aca="false">ROUND((DATE(2026,8,31)-F82)/365.25,1)</f>
        <v>6.5</v>
      </c>
      <c r="J82" s="2" t="n">
        <f aca="false">ROUND(H82+I82,1)</f>
        <v>8.9</v>
      </c>
      <c r="K82" s="2" t="s">
        <v>20</v>
      </c>
      <c r="L82" s="4" t="n">
        <v>0.12</v>
      </c>
      <c r="M82" s="2" t="n">
        <f aca="false">IF(K82="Yes",ROUND(G82*L82,0),0)</f>
        <v>9960</v>
      </c>
      <c r="N82" s="2" t="n">
        <f aca="false">IF(K82="Yes",ROUND(G82*L82,0),0)</f>
        <v>9960</v>
      </c>
      <c r="O82" s="2" t="s">
        <v>21</v>
      </c>
    </row>
    <row r="83" customFormat="false" ht="15" hidden="false" customHeight="false" outlineLevel="0" collapsed="false">
      <c r="A83" s="2" t="s">
        <v>211</v>
      </c>
      <c r="B83" s="2" t="s">
        <v>212</v>
      </c>
      <c r="C83" s="2" t="s">
        <v>24</v>
      </c>
      <c r="D83" s="2" t="s">
        <v>63</v>
      </c>
      <c r="E83" s="2" t="s">
        <v>19</v>
      </c>
      <c r="F83" s="3" t="n">
        <v>46001</v>
      </c>
      <c r="G83" s="2" t="n">
        <v>82000</v>
      </c>
      <c r="H83" s="2" t="n">
        <v>4.3</v>
      </c>
      <c r="I83" s="2" t="n">
        <f aca="false">ROUND((DATE(2026,8,31)-F83)/365.25,1)</f>
        <v>0.7</v>
      </c>
      <c r="J83" s="2" t="n">
        <f aca="false">ROUND(H83+I83,1)</f>
        <v>5</v>
      </c>
      <c r="K83" s="2" t="s">
        <v>20</v>
      </c>
      <c r="L83" s="4" t="n">
        <v>0.12</v>
      </c>
      <c r="M83" s="2" t="n">
        <f aca="false">IF(K83="Yes",ROUND(G83*L83,0),0)</f>
        <v>9840</v>
      </c>
      <c r="N83" s="2" t="n">
        <f aca="false">IF(K83="Yes",ROUND(G83*L83,0),0)</f>
        <v>9840</v>
      </c>
      <c r="O83" s="2" t="s">
        <v>21</v>
      </c>
    </row>
    <row r="84" customFormat="false" ht="15" hidden="false" customHeight="false" outlineLevel="0" collapsed="false">
      <c r="A84" s="2" t="s">
        <v>213</v>
      </c>
      <c r="B84" s="2" t="s">
        <v>214</v>
      </c>
      <c r="C84" s="2" t="s">
        <v>28</v>
      </c>
      <c r="D84" s="2" t="s">
        <v>29</v>
      </c>
      <c r="E84" s="2" t="s">
        <v>19</v>
      </c>
      <c r="F84" s="3" t="n">
        <v>44297</v>
      </c>
      <c r="G84" s="2" t="n">
        <v>38000</v>
      </c>
      <c r="H84" s="2" t="n">
        <v>5.6</v>
      </c>
      <c r="I84" s="2" t="n">
        <f aca="false">ROUND((DATE(2026,8,31)-F84)/365.25,1)</f>
        <v>5.4</v>
      </c>
      <c r="J84" s="2" t="n">
        <f aca="false">ROUND(H84+I84,1)</f>
        <v>11</v>
      </c>
      <c r="K84" s="2" t="s">
        <v>20</v>
      </c>
      <c r="L84" s="4" t="n">
        <v>0.12</v>
      </c>
      <c r="M84" s="2" t="n">
        <f aca="false">IF(K84="Yes",ROUND(G84*L84,0),0)</f>
        <v>4560</v>
      </c>
      <c r="N84" s="2" t="n">
        <f aca="false">IF(K84="Yes",ROUND(G84*L84,0),0)</f>
        <v>4560</v>
      </c>
      <c r="O84" s="2" t="s">
        <v>21</v>
      </c>
    </row>
    <row r="85" customFormat="false" ht="15" hidden="false" customHeight="false" outlineLevel="0" collapsed="false">
      <c r="A85" s="2" t="s">
        <v>215</v>
      </c>
      <c r="B85" s="2" t="s">
        <v>216</v>
      </c>
      <c r="C85" s="2" t="s">
        <v>32</v>
      </c>
      <c r="D85" s="2" t="s">
        <v>37</v>
      </c>
      <c r="E85" s="2" t="s">
        <v>19</v>
      </c>
      <c r="F85" s="3" t="n">
        <v>43151</v>
      </c>
      <c r="G85" s="2" t="n">
        <v>51500</v>
      </c>
      <c r="H85" s="2" t="n">
        <v>4.6</v>
      </c>
      <c r="I85" s="2" t="n">
        <f aca="false">ROUND((DATE(2026,8,31)-F85)/365.25,1)</f>
        <v>8.5</v>
      </c>
      <c r="J85" s="2" t="n">
        <f aca="false">ROUND(H85+I85,1)</f>
        <v>13.1</v>
      </c>
      <c r="K85" s="2" t="s">
        <v>20</v>
      </c>
      <c r="L85" s="4" t="n">
        <v>0.12</v>
      </c>
      <c r="M85" s="2" t="n">
        <f aca="false">IF(K85="Yes",ROUND(G85*L85,0),0)</f>
        <v>6180</v>
      </c>
      <c r="N85" s="2" t="n">
        <f aca="false">IF(K85="Yes",ROUND(G85*L85,0),0)</f>
        <v>6180</v>
      </c>
      <c r="O85" s="2" t="s">
        <v>21</v>
      </c>
    </row>
    <row r="86" customFormat="false" ht="15" hidden="false" customHeight="false" outlineLevel="0" collapsed="false">
      <c r="A86" s="2" t="s">
        <v>217</v>
      </c>
      <c r="B86" s="2" t="s">
        <v>218</v>
      </c>
      <c r="C86" s="2" t="s">
        <v>36</v>
      </c>
      <c r="D86" s="2" t="s">
        <v>37</v>
      </c>
      <c r="E86" s="2" t="s">
        <v>19</v>
      </c>
      <c r="F86" s="3" t="n">
        <v>43856</v>
      </c>
      <c r="G86" s="2" t="n">
        <v>67500</v>
      </c>
      <c r="H86" s="2" t="n">
        <v>0</v>
      </c>
      <c r="I86" s="2" t="n">
        <f aca="false">ROUND((DATE(2026,8,31)-F86)/365.25,1)</f>
        <v>6.6</v>
      </c>
      <c r="J86" s="2" t="n">
        <f aca="false">ROUND(H86+I86,1)</f>
        <v>6.6</v>
      </c>
      <c r="K86" s="2" t="s">
        <v>20</v>
      </c>
      <c r="L86" s="4" t="n">
        <v>0.12</v>
      </c>
      <c r="M86" s="2" t="n">
        <f aca="false">IF(K86="Yes",ROUND(G86*L86,0),0)</f>
        <v>8100</v>
      </c>
      <c r="N86" s="2" t="n">
        <f aca="false">IF(K86="Yes",ROUND(G86*L86,0),0)</f>
        <v>8100</v>
      </c>
      <c r="O86" s="2" t="s">
        <v>21</v>
      </c>
    </row>
    <row r="87" customFormat="false" ht="15" hidden="false" customHeight="false" outlineLevel="0" collapsed="false">
      <c r="A87" s="2" t="s">
        <v>219</v>
      </c>
      <c r="B87" s="2" t="s">
        <v>220</v>
      </c>
      <c r="C87" s="2" t="s">
        <v>41</v>
      </c>
      <c r="D87" s="2" t="s">
        <v>73</v>
      </c>
      <c r="E87" s="2" t="s">
        <v>19</v>
      </c>
      <c r="F87" s="3" t="n">
        <v>43368</v>
      </c>
      <c r="G87" s="2" t="n">
        <v>57500</v>
      </c>
      <c r="H87" s="2" t="n">
        <v>3.2</v>
      </c>
      <c r="I87" s="2" t="n">
        <f aca="false">ROUND((DATE(2026,8,31)-F87)/365.25,1)</f>
        <v>7.9</v>
      </c>
      <c r="J87" s="2" t="n">
        <f aca="false">ROUND(H87+I87,1)</f>
        <v>11.1</v>
      </c>
      <c r="K87" s="2" t="s">
        <v>20</v>
      </c>
      <c r="L87" s="4" t="n">
        <v>0.12</v>
      </c>
      <c r="M87" s="2" t="n">
        <f aca="false">IF(K87="Yes",ROUND(G87*L87,0),0)</f>
        <v>6900</v>
      </c>
      <c r="N87" s="2" t="n">
        <f aca="false">IF(K87="Yes",ROUND(G87*L87,0),0)</f>
        <v>6900</v>
      </c>
      <c r="O87" s="2" t="s">
        <v>21</v>
      </c>
    </row>
    <row r="88" customFormat="false" ht="15" hidden="false" customHeight="false" outlineLevel="0" collapsed="false">
      <c r="A88" s="2" t="s">
        <v>221</v>
      </c>
      <c r="B88" s="2" t="s">
        <v>222</v>
      </c>
      <c r="C88" s="2" t="s">
        <v>45</v>
      </c>
      <c r="D88" s="2" t="s">
        <v>46</v>
      </c>
      <c r="E88" s="2" t="s">
        <v>19</v>
      </c>
      <c r="F88" s="3" t="n">
        <v>43712</v>
      </c>
      <c r="G88" s="2" t="n">
        <v>25000</v>
      </c>
      <c r="H88" s="2" t="n">
        <v>6.5</v>
      </c>
      <c r="I88" s="2" t="n">
        <f aca="false">ROUND((DATE(2026,8,31)-F88)/365.25,1)</f>
        <v>7</v>
      </c>
      <c r="J88" s="2" t="n">
        <f aca="false">ROUND(H88+I88,1)</f>
        <v>13.5</v>
      </c>
      <c r="K88" s="2" t="s">
        <v>20</v>
      </c>
      <c r="L88" s="4" t="n">
        <v>0.12</v>
      </c>
      <c r="M88" s="2" t="n">
        <f aca="false">IF(K88="Yes",ROUND(G88*L88,0),0)</f>
        <v>3000</v>
      </c>
      <c r="N88" s="2" t="n">
        <f aca="false">IF(K88="Yes",ROUND(G88*L88,0),0)</f>
        <v>3000</v>
      </c>
      <c r="O88" s="2" t="s">
        <v>21</v>
      </c>
    </row>
    <row r="89" customFormat="false" ht="15" hidden="false" customHeight="false" outlineLevel="0" collapsed="false">
      <c r="A89" s="2" t="s">
        <v>223</v>
      </c>
      <c r="B89" s="2" t="s">
        <v>224</v>
      </c>
      <c r="C89" s="2" t="s">
        <v>49</v>
      </c>
      <c r="D89" s="2" t="s">
        <v>50</v>
      </c>
      <c r="E89" s="2" t="s">
        <v>19</v>
      </c>
      <c r="F89" s="3" t="n">
        <v>43586</v>
      </c>
      <c r="G89" s="2" t="n">
        <v>27000</v>
      </c>
      <c r="H89" s="2" t="n">
        <v>4.5</v>
      </c>
      <c r="I89" s="2" t="n">
        <f aca="false">ROUND((DATE(2026,8,31)-F89)/365.25,1)</f>
        <v>7.3</v>
      </c>
      <c r="J89" s="2" t="n">
        <f aca="false">ROUND(H89+I89,1)</f>
        <v>11.8</v>
      </c>
      <c r="K89" s="2" t="s">
        <v>20</v>
      </c>
      <c r="L89" s="4" t="n">
        <v>0.12</v>
      </c>
      <c r="M89" s="2" t="n">
        <f aca="false">IF(K89="Yes",ROUND(G89*L89,0),0)</f>
        <v>3240</v>
      </c>
      <c r="N89" s="2" t="n">
        <f aca="false">IF(K89="Yes",ROUND(G89*L89,0),0)</f>
        <v>3240</v>
      </c>
      <c r="O89" s="2" t="s">
        <v>21</v>
      </c>
    </row>
    <row r="90" customFormat="false" ht="15" hidden="false" customHeight="false" outlineLevel="0" collapsed="false">
      <c r="A90" s="2" t="s">
        <v>225</v>
      </c>
      <c r="B90" s="2" t="s">
        <v>226</v>
      </c>
      <c r="C90" s="2" t="s">
        <v>53</v>
      </c>
      <c r="D90" s="2" t="s">
        <v>103</v>
      </c>
      <c r="E90" s="2" t="s">
        <v>19</v>
      </c>
      <c r="F90" s="3" t="n">
        <v>44946</v>
      </c>
      <c r="G90" s="2" t="n">
        <v>30500</v>
      </c>
      <c r="H90" s="2" t="n">
        <v>7.3</v>
      </c>
      <c r="I90" s="2" t="n">
        <f aca="false">ROUND((DATE(2026,8,31)-F90)/365.25,1)</f>
        <v>3.6</v>
      </c>
      <c r="J90" s="2" t="n">
        <f aca="false">ROUND(H90+I90,1)</f>
        <v>10.9</v>
      </c>
      <c r="K90" s="2" t="s">
        <v>20</v>
      </c>
      <c r="L90" s="4" t="n">
        <v>0.12</v>
      </c>
      <c r="M90" s="2" t="n">
        <f aca="false">IF(K90="Yes",ROUND(G90*L90,0),0)</f>
        <v>3660</v>
      </c>
      <c r="N90" s="2" t="n">
        <f aca="false">IF(K90="Yes",ROUND(G90*L90,0),0)</f>
        <v>3660</v>
      </c>
      <c r="O90" s="2" t="s">
        <v>21</v>
      </c>
    </row>
    <row r="91" customFormat="false" ht="15" hidden="false" customHeight="false" outlineLevel="0" collapsed="false">
      <c r="A91" s="2" t="s">
        <v>227</v>
      </c>
      <c r="B91" s="2" t="s">
        <v>228</v>
      </c>
      <c r="C91" s="2" t="s">
        <v>57</v>
      </c>
      <c r="D91" s="2" t="s">
        <v>83</v>
      </c>
      <c r="E91" s="2" t="s">
        <v>19</v>
      </c>
      <c r="F91" s="3" t="n">
        <v>45430</v>
      </c>
      <c r="G91" s="2" t="n">
        <v>55000</v>
      </c>
      <c r="H91" s="2" t="n">
        <v>5</v>
      </c>
      <c r="I91" s="2" t="n">
        <f aca="false">ROUND((DATE(2026,8,31)-F91)/365.25,1)</f>
        <v>2.3</v>
      </c>
      <c r="J91" s="2" t="n">
        <f aca="false">ROUND(H91+I91,1)</f>
        <v>7.3</v>
      </c>
      <c r="K91" s="2" t="s">
        <v>20</v>
      </c>
      <c r="L91" s="4" t="n">
        <v>0.12</v>
      </c>
      <c r="M91" s="2" t="n">
        <f aca="false">IF(K91="Yes",ROUND(G91*L91,0),0)</f>
        <v>6600</v>
      </c>
      <c r="N91" s="2" t="n">
        <f aca="false">IF(K91="Yes",ROUND(G91*L91,0),0)</f>
        <v>6600</v>
      </c>
      <c r="O91" s="2" t="s">
        <v>21</v>
      </c>
    </row>
    <row r="92" customFormat="false" ht="15" hidden="false" customHeight="false" outlineLevel="0" collapsed="false">
      <c r="A92" s="2" t="s">
        <v>229</v>
      </c>
      <c r="B92" s="2" t="s">
        <v>230</v>
      </c>
      <c r="C92" s="2" t="s">
        <v>17</v>
      </c>
      <c r="D92" s="2" t="s">
        <v>148</v>
      </c>
      <c r="E92" s="2" t="s">
        <v>19</v>
      </c>
      <c r="F92" s="3" t="n">
        <v>43952</v>
      </c>
      <c r="G92" s="2" t="n">
        <v>85000</v>
      </c>
      <c r="H92" s="2" t="n">
        <v>5</v>
      </c>
      <c r="I92" s="2" t="n">
        <f aca="false">ROUND((DATE(2026,8,31)-F92)/365.25,1)</f>
        <v>6.3</v>
      </c>
      <c r="J92" s="2" t="n">
        <f aca="false">ROUND(H92+I92,1)</f>
        <v>11.3</v>
      </c>
      <c r="K92" s="2" t="s">
        <v>20</v>
      </c>
      <c r="L92" s="4" t="n">
        <v>0.12</v>
      </c>
      <c r="M92" s="2" t="n">
        <f aca="false">IF(K92="Yes",ROUND(G92*L92,0),0)</f>
        <v>10200</v>
      </c>
      <c r="N92" s="2" t="n">
        <f aca="false">IF(K92="Yes",ROUND(G92*L92,0),0)</f>
        <v>10200</v>
      </c>
      <c r="O92" s="2" t="s">
        <v>21</v>
      </c>
    </row>
    <row r="93" customFormat="false" ht="15" hidden="false" customHeight="false" outlineLevel="0" collapsed="false">
      <c r="A93" s="2" t="s">
        <v>231</v>
      </c>
      <c r="B93" s="2" t="s">
        <v>232</v>
      </c>
      <c r="C93" s="2" t="s">
        <v>24</v>
      </c>
      <c r="D93" s="2" t="s">
        <v>18</v>
      </c>
      <c r="E93" s="2" t="s">
        <v>19</v>
      </c>
      <c r="F93" s="3" t="n">
        <v>44083</v>
      </c>
      <c r="G93" s="2" t="n">
        <v>40500</v>
      </c>
      <c r="H93" s="2" t="n">
        <v>0</v>
      </c>
      <c r="I93" s="2" t="n">
        <f aca="false">ROUND((DATE(2026,8,31)-F93)/365.25,1)</f>
        <v>6</v>
      </c>
      <c r="J93" s="2" t="n">
        <f aca="false">ROUND(H93+I93,1)</f>
        <v>6</v>
      </c>
      <c r="K93" s="2" t="s">
        <v>20</v>
      </c>
      <c r="L93" s="4" t="n">
        <v>0.12</v>
      </c>
      <c r="M93" s="2" t="n">
        <f aca="false">IF(K93="Yes",ROUND(G93*L93,0),0)</f>
        <v>4860</v>
      </c>
      <c r="N93" s="2" t="n">
        <f aca="false">IF(K93="Yes",ROUND(G93*L93,0),0)</f>
        <v>4860</v>
      </c>
      <c r="O93" s="2" t="s">
        <v>21</v>
      </c>
    </row>
    <row r="94" customFormat="false" ht="15" hidden="false" customHeight="false" outlineLevel="0" collapsed="false">
      <c r="A94" s="2" t="s">
        <v>233</v>
      </c>
      <c r="B94" s="2" t="s">
        <v>234</v>
      </c>
      <c r="C94" s="2" t="s">
        <v>28</v>
      </c>
      <c r="D94" s="2" t="s">
        <v>29</v>
      </c>
      <c r="E94" s="2" t="s">
        <v>19</v>
      </c>
      <c r="F94" s="3" t="n">
        <v>44946</v>
      </c>
      <c r="G94" s="2" t="n">
        <v>33500</v>
      </c>
      <c r="H94" s="2" t="n">
        <v>5.5</v>
      </c>
      <c r="I94" s="2" t="n">
        <f aca="false">ROUND((DATE(2026,8,31)-F94)/365.25,1)</f>
        <v>3.6</v>
      </c>
      <c r="J94" s="2" t="n">
        <f aca="false">ROUND(H94+I94,1)</f>
        <v>9.1</v>
      </c>
      <c r="K94" s="2" t="s">
        <v>20</v>
      </c>
      <c r="L94" s="4" t="n">
        <v>0.12</v>
      </c>
      <c r="M94" s="2" t="n">
        <f aca="false">IF(K94="Yes",ROUND(G94*L94,0),0)</f>
        <v>4020</v>
      </c>
      <c r="N94" s="2" t="n">
        <f aca="false">IF(K94="Yes",ROUND(G94*L94,0),0)</f>
        <v>4020</v>
      </c>
      <c r="O94" s="2" t="s">
        <v>21</v>
      </c>
    </row>
    <row r="95" customFormat="false" ht="15" hidden="false" customHeight="false" outlineLevel="0" collapsed="false">
      <c r="A95" s="2" t="s">
        <v>235</v>
      </c>
      <c r="B95" s="2" t="s">
        <v>236</v>
      </c>
      <c r="C95" s="2" t="s">
        <v>32</v>
      </c>
      <c r="D95" s="2" t="s">
        <v>33</v>
      </c>
      <c r="E95" s="2" t="s">
        <v>19</v>
      </c>
      <c r="F95" s="3" t="n">
        <v>44281</v>
      </c>
      <c r="G95" s="2" t="n">
        <v>29500</v>
      </c>
      <c r="H95" s="2" t="n">
        <v>5.7</v>
      </c>
      <c r="I95" s="2" t="n">
        <f aca="false">ROUND((DATE(2026,8,31)-F95)/365.25,1)</f>
        <v>5.4</v>
      </c>
      <c r="J95" s="2" t="n">
        <f aca="false">ROUND(H95+I95,1)</f>
        <v>11.1</v>
      </c>
      <c r="K95" s="2" t="s">
        <v>20</v>
      </c>
      <c r="L95" s="4" t="n">
        <v>0.12</v>
      </c>
      <c r="M95" s="2" t="n">
        <f aca="false">IF(K95="Yes",ROUND(G95*L95,0),0)</f>
        <v>3540</v>
      </c>
      <c r="N95" s="2" t="n">
        <f aca="false">IF(K95="Yes",ROUND(G95*L95,0),0)</f>
        <v>3540</v>
      </c>
      <c r="O95" s="2" t="s">
        <v>21</v>
      </c>
    </row>
    <row r="96" customFormat="false" ht="15" hidden="false" customHeight="false" outlineLevel="0" collapsed="false">
      <c r="A96" s="2" t="s">
        <v>237</v>
      </c>
      <c r="B96" s="2" t="s">
        <v>238</v>
      </c>
      <c r="C96" s="2" t="s">
        <v>36</v>
      </c>
      <c r="D96" s="2" t="s">
        <v>37</v>
      </c>
      <c r="E96" s="2" t="s">
        <v>19</v>
      </c>
      <c r="F96" s="3" t="n">
        <v>45916</v>
      </c>
      <c r="G96" s="2" t="n">
        <v>49500</v>
      </c>
      <c r="H96" s="2" t="n">
        <v>1.9</v>
      </c>
      <c r="I96" s="2" t="n">
        <f aca="false">ROUND((DATE(2026,8,31)-F96)/365.25,1)</f>
        <v>1</v>
      </c>
      <c r="J96" s="2" t="n">
        <f aca="false">ROUND(H96+I96,1)</f>
        <v>2.9</v>
      </c>
      <c r="K96" s="2" t="s">
        <v>20</v>
      </c>
      <c r="L96" s="4" t="n">
        <v>0.12</v>
      </c>
      <c r="M96" s="2" t="n">
        <f aca="false">IF(K96="Yes",ROUND(G96*L96,0),0)</f>
        <v>5940</v>
      </c>
      <c r="N96" s="2" t="n">
        <f aca="false">IF(K96="Yes",ROUND(G96*L96,0),0)</f>
        <v>5940</v>
      </c>
      <c r="O96" s="2" t="s">
        <v>21</v>
      </c>
    </row>
    <row r="97" customFormat="false" ht="15" hidden="false" customHeight="false" outlineLevel="0" collapsed="false">
      <c r="A97" s="2" t="s">
        <v>239</v>
      </c>
      <c r="B97" s="2" t="s">
        <v>240</v>
      </c>
      <c r="C97" s="2" t="s">
        <v>41</v>
      </c>
      <c r="D97" s="2" t="s">
        <v>42</v>
      </c>
      <c r="E97" s="2" t="s">
        <v>19</v>
      </c>
      <c r="F97" s="3" t="n">
        <v>43571</v>
      </c>
      <c r="G97" s="2" t="n">
        <v>32000</v>
      </c>
      <c r="H97" s="2" t="n">
        <v>4.4</v>
      </c>
      <c r="I97" s="2" t="n">
        <f aca="false">ROUND((DATE(2026,8,31)-F97)/365.25,1)</f>
        <v>7.4</v>
      </c>
      <c r="J97" s="2" t="n">
        <f aca="false">ROUND(H97+I97,1)</f>
        <v>11.8</v>
      </c>
      <c r="K97" s="2" t="s">
        <v>20</v>
      </c>
      <c r="L97" s="4" t="n">
        <v>0.12</v>
      </c>
      <c r="M97" s="2" t="n">
        <f aca="false">IF(K97="Yes",ROUND(G97*L97,0),0)</f>
        <v>3840</v>
      </c>
      <c r="N97" s="2" t="n">
        <f aca="false">IF(K97="Yes",ROUND(G97*L97,0),0)</f>
        <v>3840</v>
      </c>
      <c r="O97" s="2" t="s">
        <v>21</v>
      </c>
    </row>
    <row r="98" customFormat="false" ht="15" hidden="false" customHeight="false" outlineLevel="0" collapsed="false">
      <c r="A98" s="2" t="s">
        <v>241</v>
      </c>
      <c r="B98" s="2" t="s">
        <v>242</v>
      </c>
      <c r="C98" s="2" t="s">
        <v>45</v>
      </c>
      <c r="D98" s="2" t="s">
        <v>76</v>
      </c>
      <c r="E98" s="2" t="s">
        <v>19</v>
      </c>
      <c r="F98" s="3" t="n">
        <v>43393</v>
      </c>
      <c r="G98" s="2" t="n">
        <v>64500</v>
      </c>
      <c r="H98" s="2" t="n">
        <v>0.5</v>
      </c>
      <c r="I98" s="2" t="n">
        <f aca="false">ROUND((DATE(2026,8,31)-F98)/365.25,1)</f>
        <v>7.9</v>
      </c>
      <c r="J98" s="2" t="n">
        <f aca="false">ROUND(H98+I98,1)</f>
        <v>8.4</v>
      </c>
      <c r="K98" s="2" t="s">
        <v>20</v>
      </c>
      <c r="L98" s="4" t="n">
        <v>0.12</v>
      </c>
      <c r="M98" s="2" t="n">
        <f aca="false">IF(K98="Yes",ROUND(G98*L98,0),0)</f>
        <v>7740</v>
      </c>
      <c r="N98" s="2" t="n">
        <f aca="false">IF(K98="Yes",ROUND(G98*L98,0),0)</f>
        <v>7740</v>
      </c>
      <c r="O98" s="2" t="s">
        <v>21</v>
      </c>
    </row>
    <row r="99" customFormat="false" ht="15" hidden="false" customHeight="false" outlineLevel="0" collapsed="false">
      <c r="A99" s="2" t="s">
        <v>243</v>
      </c>
      <c r="B99" s="2" t="s">
        <v>244</v>
      </c>
      <c r="C99" s="2" t="s">
        <v>49</v>
      </c>
      <c r="D99" s="2" t="s">
        <v>63</v>
      </c>
      <c r="E99" s="2" t="s">
        <v>19</v>
      </c>
      <c r="F99" s="3" t="n">
        <v>43610</v>
      </c>
      <c r="G99" s="2" t="n">
        <v>137500</v>
      </c>
      <c r="H99" s="2" t="n">
        <v>3.7</v>
      </c>
      <c r="I99" s="2" t="n">
        <f aca="false">ROUND((DATE(2026,8,31)-F99)/365.25,1)</f>
        <v>7.3</v>
      </c>
      <c r="J99" s="2" t="n">
        <f aca="false">ROUND(H99+I99,1)</f>
        <v>11</v>
      </c>
      <c r="K99" s="2" t="s">
        <v>20</v>
      </c>
      <c r="L99" s="4" t="n">
        <v>0.12</v>
      </c>
      <c r="M99" s="2" t="n">
        <f aca="false">IF(K99="Yes",ROUND(G99*L99,0),0)</f>
        <v>16500</v>
      </c>
      <c r="N99" s="2" t="n">
        <f aca="false">IF(K99="Yes",ROUND(G99*L99,0),0)</f>
        <v>16500</v>
      </c>
      <c r="O99" s="2" t="s">
        <v>21</v>
      </c>
    </row>
    <row r="100" customFormat="false" ht="15" hidden="false" customHeight="false" outlineLevel="0" collapsed="false">
      <c r="A100" s="2" t="s">
        <v>245</v>
      </c>
      <c r="B100" s="2" t="s">
        <v>246</v>
      </c>
      <c r="C100" s="2" t="s">
        <v>53</v>
      </c>
      <c r="D100" s="2" t="s">
        <v>54</v>
      </c>
      <c r="E100" s="2" t="s">
        <v>19</v>
      </c>
      <c r="F100" s="3" t="n">
        <v>45150</v>
      </c>
      <c r="G100" s="2" t="n">
        <v>29000</v>
      </c>
      <c r="H100" s="2" t="n">
        <v>0</v>
      </c>
      <c r="I100" s="2" t="n">
        <f aca="false">ROUND((DATE(2026,8,31)-F100)/365.25,1)</f>
        <v>3.1</v>
      </c>
      <c r="J100" s="2" t="n">
        <f aca="false">ROUND(H100+I100,1)</f>
        <v>3.1</v>
      </c>
      <c r="K100" s="2" t="s">
        <v>20</v>
      </c>
      <c r="L100" s="4" t="n">
        <v>0.12</v>
      </c>
      <c r="M100" s="2" t="n">
        <f aca="false">IF(K100="Yes",ROUND(G100*L100,0),0)</f>
        <v>3480</v>
      </c>
      <c r="N100" s="2" t="n">
        <f aca="false">IF(K100="Yes",ROUND(G100*L100,0),0)</f>
        <v>3480</v>
      </c>
      <c r="O100" s="2" t="s">
        <v>21</v>
      </c>
    </row>
    <row r="101" customFormat="false" ht="15" hidden="false" customHeight="false" outlineLevel="0" collapsed="false">
      <c r="A101" s="2" t="s">
        <v>247</v>
      </c>
      <c r="B101" s="2" t="s">
        <v>248</v>
      </c>
      <c r="C101" s="2" t="s">
        <v>57</v>
      </c>
      <c r="D101" s="2" t="s">
        <v>58</v>
      </c>
      <c r="E101" s="2" t="s">
        <v>19</v>
      </c>
      <c r="F101" s="3" t="n">
        <v>46109</v>
      </c>
      <c r="G101" s="2" t="n">
        <v>25000</v>
      </c>
      <c r="H101" s="2" t="n">
        <v>2.6</v>
      </c>
      <c r="I101" s="2" t="n">
        <f aca="false">ROUND((DATE(2026,8,31)-F101)/365.25,1)</f>
        <v>0.4</v>
      </c>
      <c r="J101" s="2" t="n">
        <f aca="false">ROUND(H101+I101,1)</f>
        <v>3</v>
      </c>
      <c r="K101" s="2" t="s">
        <v>20</v>
      </c>
      <c r="L101" s="4" t="n">
        <v>0.12</v>
      </c>
      <c r="M101" s="2" t="n">
        <f aca="false">IF(K101="Yes",ROUND(G101*L101,0),0)</f>
        <v>3000</v>
      </c>
      <c r="N101" s="2" t="n">
        <f aca="false">IF(K101="Yes",ROUND(G101*L101,0),0)</f>
        <v>3000</v>
      </c>
      <c r="O101" s="2" t="s">
        <v>21</v>
      </c>
    </row>
    <row r="102" customFormat="false" ht="15" hidden="false" customHeight="false" outlineLevel="0" collapsed="false">
      <c r="A102" s="2" t="s">
        <v>249</v>
      </c>
      <c r="B102" s="2" t="s">
        <v>250</v>
      </c>
      <c r="C102" s="2" t="s">
        <v>17</v>
      </c>
      <c r="D102" s="2" t="s">
        <v>148</v>
      </c>
      <c r="E102" s="2" t="s">
        <v>19</v>
      </c>
      <c r="F102" s="3" t="n">
        <v>45862</v>
      </c>
      <c r="G102" s="2" t="n">
        <v>50000</v>
      </c>
      <c r="H102" s="2" t="n">
        <v>6.7</v>
      </c>
      <c r="I102" s="2" t="n">
        <f aca="false">ROUND((DATE(2026,8,31)-F102)/365.25,1)</f>
        <v>1.1</v>
      </c>
      <c r="J102" s="2" t="n">
        <f aca="false">ROUND(H102+I102,1)</f>
        <v>7.8</v>
      </c>
      <c r="K102" s="2" t="s">
        <v>20</v>
      </c>
      <c r="L102" s="4" t="n">
        <v>0.12</v>
      </c>
      <c r="M102" s="2" t="n">
        <f aca="false">IF(K102="Yes",ROUND(G102*L102,0),0)</f>
        <v>6000</v>
      </c>
      <c r="N102" s="2" t="n">
        <f aca="false">IF(K102="Yes",ROUND(G102*L102,0),0)</f>
        <v>6000</v>
      </c>
      <c r="O102" s="2" t="s">
        <v>21</v>
      </c>
    </row>
    <row r="103" customFormat="false" ht="15" hidden="false" customHeight="false" outlineLevel="0" collapsed="false">
      <c r="A103" s="2" t="s">
        <v>251</v>
      </c>
      <c r="B103" s="2" t="s">
        <v>252</v>
      </c>
      <c r="C103" s="2" t="s">
        <v>24</v>
      </c>
      <c r="D103" s="2" t="s">
        <v>18</v>
      </c>
      <c r="E103" s="2" t="s">
        <v>19</v>
      </c>
      <c r="F103" s="3" t="n">
        <v>45854</v>
      </c>
      <c r="G103" s="2" t="n">
        <v>80000</v>
      </c>
      <c r="H103" s="2" t="n">
        <v>6.6</v>
      </c>
      <c r="I103" s="2" t="n">
        <f aca="false">ROUND((DATE(2026,8,31)-F103)/365.25,1)</f>
        <v>1.1</v>
      </c>
      <c r="J103" s="2" t="n">
        <f aca="false">ROUND(H103+I103,1)</f>
        <v>7.7</v>
      </c>
      <c r="K103" s="2" t="s">
        <v>20</v>
      </c>
      <c r="L103" s="4" t="n">
        <v>0.12</v>
      </c>
      <c r="M103" s="2" t="n">
        <f aca="false">IF(K103="Yes",ROUND(G103*L103,0),0)</f>
        <v>9600</v>
      </c>
      <c r="N103" s="2" t="n">
        <f aca="false">IF(K103="Yes",ROUND(G103*L103,0),0)</f>
        <v>9600</v>
      </c>
      <c r="O103" s="2" t="s">
        <v>21</v>
      </c>
    </row>
    <row r="104" customFormat="false" ht="15" hidden="false" customHeight="false" outlineLevel="0" collapsed="false">
      <c r="A104" s="2" t="s">
        <v>253</v>
      </c>
      <c r="B104" s="2" t="s">
        <v>254</v>
      </c>
      <c r="C104" s="2" t="s">
        <v>28</v>
      </c>
      <c r="D104" s="2" t="s">
        <v>29</v>
      </c>
      <c r="E104" s="2" t="s">
        <v>19</v>
      </c>
      <c r="F104" s="3" t="n">
        <v>45226</v>
      </c>
      <c r="G104" s="2" t="n">
        <v>35500</v>
      </c>
      <c r="H104" s="2" t="n">
        <v>5.2</v>
      </c>
      <c r="I104" s="2" t="n">
        <f aca="false">ROUND((DATE(2026,8,31)-F104)/365.25,1)</f>
        <v>2.8</v>
      </c>
      <c r="J104" s="2" t="n">
        <f aca="false">ROUND(H104+I104,1)</f>
        <v>8</v>
      </c>
      <c r="K104" s="2" t="s">
        <v>20</v>
      </c>
      <c r="L104" s="4" t="n">
        <v>0.12</v>
      </c>
      <c r="M104" s="2" t="n">
        <f aca="false">IF(K104="Yes",ROUND(G104*L104,0),0)</f>
        <v>4260</v>
      </c>
      <c r="N104" s="2" t="n">
        <f aca="false">IF(K104="Yes",ROUND(G104*L104,0),0)</f>
        <v>4260</v>
      </c>
      <c r="O104" s="2" t="s">
        <v>21</v>
      </c>
    </row>
    <row r="105" customFormat="false" ht="15" hidden="false" customHeight="false" outlineLevel="0" collapsed="false">
      <c r="A105" s="2" t="s">
        <v>255</v>
      </c>
      <c r="B105" s="2" t="s">
        <v>256</v>
      </c>
      <c r="C105" s="2" t="s">
        <v>32</v>
      </c>
      <c r="D105" s="2" t="s">
        <v>33</v>
      </c>
      <c r="E105" s="2" t="s">
        <v>19</v>
      </c>
      <c r="F105" s="3" t="n">
        <v>44886</v>
      </c>
      <c r="G105" s="2" t="n">
        <v>41000</v>
      </c>
      <c r="H105" s="2" t="n">
        <v>5.1</v>
      </c>
      <c r="I105" s="2" t="n">
        <f aca="false">ROUND((DATE(2026,8,31)-F105)/365.25,1)</f>
        <v>3.8</v>
      </c>
      <c r="J105" s="2" t="n">
        <f aca="false">ROUND(H105+I105,1)</f>
        <v>8.9</v>
      </c>
      <c r="K105" s="2" t="s">
        <v>20</v>
      </c>
      <c r="L105" s="4" t="n">
        <v>0.12</v>
      </c>
      <c r="M105" s="2" t="n">
        <f aca="false">IF(K105="Yes",ROUND(G105*L105,0),0)</f>
        <v>4920</v>
      </c>
      <c r="N105" s="2" t="n">
        <f aca="false">IF(K105="Yes",ROUND(G105*L105,0),0)</f>
        <v>4920</v>
      </c>
      <c r="O105" s="2" t="s">
        <v>21</v>
      </c>
    </row>
    <row r="106" customFormat="false" ht="15" hidden="false" customHeight="false" outlineLevel="0" collapsed="false">
      <c r="A106" s="2" t="s">
        <v>257</v>
      </c>
      <c r="B106" s="2" t="s">
        <v>258</v>
      </c>
      <c r="C106" s="2" t="s">
        <v>36</v>
      </c>
      <c r="D106" s="2" t="s">
        <v>33</v>
      </c>
      <c r="E106" s="2" t="s">
        <v>19</v>
      </c>
      <c r="F106" s="3" t="n">
        <v>44526</v>
      </c>
      <c r="G106" s="2" t="n">
        <v>37500</v>
      </c>
      <c r="H106" s="2" t="n">
        <v>3.3</v>
      </c>
      <c r="I106" s="2" t="n">
        <f aca="false">ROUND((DATE(2026,8,31)-F106)/365.25,1)</f>
        <v>4.8</v>
      </c>
      <c r="J106" s="2" t="n">
        <f aca="false">ROUND(H106+I106,1)</f>
        <v>8.1</v>
      </c>
      <c r="K106" s="2" t="s">
        <v>20</v>
      </c>
      <c r="L106" s="4" t="n">
        <v>0.12</v>
      </c>
      <c r="M106" s="2" t="n">
        <f aca="false">IF(K106="Yes",ROUND(G106*L106,0),0)</f>
        <v>4500</v>
      </c>
      <c r="N106" s="2" t="n">
        <f aca="false">IF(K106="Yes",ROUND(G106*L106,0),0)</f>
        <v>4500</v>
      </c>
      <c r="O106" s="2" t="s">
        <v>21</v>
      </c>
    </row>
    <row r="107" customFormat="false" ht="15" hidden="false" customHeight="false" outlineLevel="0" collapsed="false">
      <c r="A107" s="2" t="s">
        <v>259</v>
      </c>
      <c r="B107" s="2" t="s">
        <v>260</v>
      </c>
      <c r="C107" s="2" t="s">
        <v>41</v>
      </c>
      <c r="D107" s="2" t="s">
        <v>42</v>
      </c>
      <c r="E107" s="2" t="s">
        <v>19</v>
      </c>
      <c r="F107" s="3" t="n">
        <v>44451</v>
      </c>
      <c r="G107" s="2" t="n">
        <v>23500</v>
      </c>
      <c r="H107" s="2" t="n">
        <v>0</v>
      </c>
      <c r="I107" s="2" t="n">
        <f aca="false">ROUND((DATE(2026,8,31)-F107)/365.25,1)</f>
        <v>5</v>
      </c>
      <c r="J107" s="2" t="n">
        <f aca="false">ROUND(H107+I107,1)</f>
        <v>5</v>
      </c>
      <c r="K107" s="2" t="s">
        <v>20</v>
      </c>
      <c r="L107" s="4" t="n">
        <v>0.12</v>
      </c>
      <c r="M107" s="2" t="n">
        <f aca="false">IF(K107="Yes",ROUND(G107*L107,0),0)</f>
        <v>2820</v>
      </c>
      <c r="N107" s="2" t="n">
        <f aca="false">IF(K107="Yes",ROUND(G107*L107,0),0)</f>
        <v>2820</v>
      </c>
      <c r="O107" s="2" t="s">
        <v>21</v>
      </c>
    </row>
    <row r="108" customFormat="false" ht="15" hidden="false" customHeight="false" outlineLevel="0" collapsed="false">
      <c r="A108" s="2" t="s">
        <v>261</v>
      </c>
      <c r="B108" s="2" t="s">
        <v>262</v>
      </c>
      <c r="C108" s="2" t="s">
        <v>45</v>
      </c>
      <c r="D108" s="2" t="s">
        <v>76</v>
      </c>
      <c r="E108" s="2" t="s">
        <v>19</v>
      </c>
      <c r="F108" s="3" t="n">
        <v>45354</v>
      </c>
      <c r="G108" s="2" t="n">
        <v>105000</v>
      </c>
      <c r="H108" s="2" t="n">
        <v>0.3</v>
      </c>
      <c r="I108" s="2" t="n">
        <f aca="false">ROUND((DATE(2026,8,31)-F108)/365.25,1)</f>
        <v>2.5</v>
      </c>
      <c r="J108" s="2" t="n">
        <f aca="false">ROUND(H108+I108,1)</f>
        <v>2.8</v>
      </c>
      <c r="K108" s="2" t="s">
        <v>20</v>
      </c>
      <c r="L108" s="4" t="n">
        <v>0.12</v>
      </c>
      <c r="M108" s="2" t="n">
        <f aca="false">IF(K108="Yes",ROUND(G108*L108,0),0)</f>
        <v>12600</v>
      </c>
      <c r="N108" s="2" t="n">
        <f aca="false">IF(K108="Yes",ROUND(G108*L108,0),0)</f>
        <v>12600</v>
      </c>
      <c r="O108" s="2" t="s">
        <v>21</v>
      </c>
    </row>
    <row r="109" customFormat="false" ht="15" hidden="false" customHeight="false" outlineLevel="0" collapsed="false">
      <c r="A109" s="2" t="s">
        <v>263</v>
      </c>
      <c r="B109" s="2" t="s">
        <v>264</v>
      </c>
      <c r="C109" s="2" t="s">
        <v>49</v>
      </c>
      <c r="D109" s="2" t="s">
        <v>63</v>
      </c>
      <c r="E109" s="2" t="s">
        <v>19</v>
      </c>
      <c r="F109" s="3" t="n">
        <v>43575</v>
      </c>
      <c r="G109" s="2" t="n">
        <v>122500</v>
      </c>
      <c r="H109" s="2" t="n">
        <v>7.8</v>
      </c>
      <c r="I109" s="2" t="n">
        <f aca="false">ROUND((DATE(2026,8,31)-F109)/365.25,1)</f>
        <v>7.4</v>
      </c>
      <c r="J109" s="2" t="n">
        <f aca="false">ROUND(H109+I109,1)</f>
        <v>15.2</v>
      </c>
      <c r="K109" s="2" t="s">
        <v>20</v>
      </c>
      <c r="L109" s="4" t="n">
        <v>0.12</v>
      </c>
      <c r="M109" s="2" t="n">
        <f aca="false">IF(K109="Yes",ROUND(G109*L109,0),0)</f>
        <v>14700</v>
      </c>
      <c r="N109" s="2" t="n">
        <f aca="false">IF(K109="Yes",ROUND(G109*L109,0),0)</f>
        <v>14700</v>
      </c>
      <c r="O109" s="2" t="s">
        <v>21</v>
      </c>
    </row>
    <row r="110" customFormat="false" ht="15" hidden="false" customHeight="false" outlineLevel="0" collapsed="false">
      <c r="A110" s="2" t="s">
        <v>265</v>
      </c>
      <c r="B110" s="2" t="s">
        <v>266</v>
      </c>
      <c r="C110" s="2" t="s">
        <v>53</v>
      </c>
      <c r="D110" s="2" t="s">
        <v>103</v>
      </c>
      <c r="E110" s="2" t="s">
        <v>19</v>
      </c>
      <c r="F110" s="3" t="n">
        <v>44793</v>
      </c>
      <c r="G110" s="2" t="n">
        <v>33000</v>
      </c>
      <c r="H110" s="2" t="n">
        <v>0.4</v>
      </c>
      <c r="I110" s="2" t="n">
        <f aca="false">ROUND((DATE(2026,8,31)-F110)/365.25,1)</f>
        <v>4</v>
      </c>
      <c r="J110" s="2" t="n">
        <f aca="false">ROUND(H110+I110,1)</f>
        <v>4.4</v>
      </c>
      <c r="K110" s="2" t="s">
        <v>20</v>
      </c>
      <c r="L110" s="4" t="n">
        <v>0.12</v>
      </c>
      <c r="M110" s="2" t="n">
        <f aca="false">IF(K110="Yes",ROUND(G110*L110,0),0)</f>
        <v>3960</v>
      </c>
      <c r="N110" s="2" t="n">
        <f aca="false">IF(K110="Yes",ROUND(G110*L110,0),0)</f>
        <v>3960</v>
      </c>
      <c r="O110" s="2" t="s">
        <v>21</v>
      </c>
    </row>
    <row r="111" customFormat="false" ht="15" hidden="false" customHeight="false" outlineLevel="0" collapsed="false">
      <c r="A111" s="2" t="s">
        <v>267</v>
      </c>
      <c r="B111" s="2" t="s">
        <v>268</v>
      </c>
      <c r="C111" s="2" t="s">
        <v>57</v>
      </c>
      <c r="D111" s="2" t="s">
        <v>83</v>
      </c>
      <c r="E111" s="2" t="s">
        <v>19</v>
      </c>
      <c r="F111" s="3" t="n">
        <v>44911</v>
      </c>
      <c r="G111" s="2" t="n">
        <v>76000</v>
      </c>
      <c r="H111" s="2" t="n">
        <v>6.1</v>
      </c>
      <c r="I111" s="2" t="n">
        <f aca="false">ROUND((DATE(2026,8,31)-F111)/365.25,1)</f>
        <v>3.7</v>
      </c>
      <c r="J111" s="2" t="n">
        <f aca="false">ROUND(H111+I111,1)</f>
        <v>9.8</v>
      </c>
      <c r="K111" s="2" t="s">
        <v>20</v>
      </c>
      <c r="L111" s="4" t="n">
        <v>0.12</v>
      </c>
      <c r="M111" s="2" t="n">
        <f aca="false">IF(K111="Yes",ROUND(G111*L111,0),0)</f>
        <v>9120</v>
      </c>
      <c r="N111" s="2" t="n">
        <f aca="false">IF(K111="Yes",ROUND(G111*L111,0),0)</f>
        <v>9120</v>
      </c>
      <c r="O111" s="2" t="s">
        <v>21</v>
      </c>
    </row>
    <row r="112" customFormat="false" ht="15" hidden="false" customHeight="false" outlineLevel="0" collapsed="false">
      <c r="A112" s="2" t="s">
        <v>269</v>
      </c>
      <c r="B112" s="2" t="s">
        <v>270</v>
      </c>
      <c r="C112" s="2" t="s">
        <v>17</v>
      </c>
      <c r="D112" s="2" t="s">
        <v>18</v>
      </c>
      <c r="E112" s="2" t="s">
        <v>19</v>
      </c>
      <c r="F112" s="3" t="n">
        <v>44895</v>
      </c>
      <c r="G112" s="2" t="n">
        <v>49000</v>
      </c>
      <c r="H112" s="2" t="n">
        <v>7</v>
      </c>
      <c r="I112" s="2" t="n">
        <f aca="false">ROUND((DATE(2026,8,31)-F112)/365.25,1)</f>
        <v>3.8</v>
      </c>
      <c r="J112" s="2" t="n">
        <f aca="false">ROUND(H112+I112,1)</f>
        <v>10.8</v>
      </c>
      <c r="K112" s="2" t="s">
        <v>20</v>
      </c>
      <c r="L112" s="4" t="n">
        <v>0.12</v>
      </c>
      <c r="M112" s="2" t="n">
        <f aca="false">IF(K112="Yes",ROUND(G112*L112,0),0)</f>
        <v>5880</v>
      </c>
      <c r="N112" s="2" t="n">
        <f aca="false">IF(K112="Yes",ROUND(G112*L112,0),0)</f>
        <v>5880</v>
      </c>
      <c r="O112" s="2" t="s">
        <v>21</v>
      </c>
    </row>
    <row r="113" customFormat="false" ht="15" hidden="false" customHeight="false" outlineLevel="0" collapsed="false">
      <c r="A113" s="2" t="s">
        <v>271</v>
      </c>
      <c r="B113" s="2" t="s">
        <v>272</v>
      </c>
      <c r="C113" s="2" t="s">
        <v>24</v>
      </c>
      <c r="D113" s="2" t="s">
        <v>18</v>
      </c>
      <c r="E113" s="2" t="s">
        <v>19</v>
      </c>
      <c r="F113" s="3" t="n">
        <v>45594</v>
      </c>
      <c r="G113" s="2" t="n">
        <v>71500</v>
      </c>
      <c r="H113" s="2" t="n">
        <v>6.4</v>
      </c>
      <c r="I113" s="2" t="n">
        <f aca="false">ROUND((DATE(2026,8,31)-F113)/365.25,1)</f>
        <v>1.8</v>
      </c>
      <c r="J113" s="2" t="n">
        <f aca="false">ROUND(H113+I113,1)</f>
        <v>8.2</v>
      </c>
      <c r="K113" s="2" t="s">
        <v>20</v>
      </c>
      <c r="L113" s="4" t="n">
        <v>0.12</v>
      </c>
      <c r="M113" s="2" t="n">
        <f aca="false">IF(K113="Yes",ROUND(G113*L113,0),0)</f>
        <v>8580</v>
      </c>
      <c r="N113" s="2" t="n">
        <f aca="false">IF(K113="Yes",ROUND(G113*L113,0),0)</f>
        <v>8580</v>
      </c>
      <c r="O113" s="2" t="s">
        <v>21</v>
      </c>
    </row>
    <row r="114" customFormat="false" ht="15" hidden="false" customHeight="false" outlineLevel="0" collapsed="false">
      <c r="A114" s="2" t="s">
        <v>273</v>
      </c>
      <c r="B114" s="2" t="s">
        <v>274</v>
      </c>
      <c r="C114" s="2" t="s">
        <v>28</v>
      </c>
      <c r="D114" s="2" t="s">
        <v>66</v>
      </c>
      <c r="E114" s="2" t="s">
        <v>19</v>
      </c>
      <c r="F114" s="3" t="n">
        <v>43157</v>
      </c>
      <c r="G114" s="2" t="n">
        <v>91000</v>
      </c>
      <c r="H114" s="2" t="n">
        <v>0</v>
      </c>
      <c r="I114" s="2" t="n">
        <f aca="false">ROUND((DATE(2026,8,31)-F114)/365.25,1)</f>
        <v>8.5</v>
      </c>
      <c r="J114" s="2" t="n">
        <f aca="false">ROUND(H114+I114,1)</f>
        <v>8.5</v>
      </c>
      <c r="K114" s="2" t="s">
        <v>20</v>
      </c>
      <c r="L114" s="4" t="n">
        <v>0.12</v>
      </c>
      <c r="M114" s="2" t="n">
        <f aca="false">IF(K114="Yes",ROUND(G114*L114,0),0)</f>
        <v>10920</v>
      </c>
      <c r="N114" s="2" t="n">
        <f aca="false">IF(K114="Yes",ROUND(G114*L114,0),0)</f>
        <v>10920</v>
      </c>
      <c r="O114" s="2" t="s">
        <v>21</v>
      </c>
    </row>
    <row r="115" customFormat="false" ht="15" hidden="false" customHeight="false" outlineLevel="0" collapsed="false">
      <c r="A115" s="2" t="s">
        <v>275</v>
      </c>
      <c r="B115" s="2" t="s">
        <v>276</v>
      </c>
      <c r="C115" s="2" t="s">
        <v>32</v>
      </c>
      <c r="D115" s="2" t="s">
        <v>33</v>
      </c>
      <c r="E115" s="2" t="s">
        <v>19</v>
      </c>
      <c r="F115" s="3" t="n">
        <v>43582</v>
      </c>
      <c r="G115" s="2" t="n">
        <v>37000</v>
      </c>
      <c r="H115" s="2" t="n">
        <v>5.2</v>
      </c>
      <c r="I115" s="2" t="n">
        <f aca="false">ROUND((DATE(2026,8,31)-F115)/365.25,1)</f>
        <v>7.3</v>
      </c>
      <c r="J115" s="2" t="n">
        <f aca="false">ROUND(H115+I115,1)</f>
        <v>12.5</v>
      </c>
      <c r="K115" s="2" t="s">
        <v>20</v>
      </c>
      <c r="L115" s="4" t="n">
        <v>0.12</v>
      </c>
      <c r="M115" s="2" t="n">
        <f aca="false">IF(K115="Yes",ROUND(G115*L115,0),0)</f>
        <v>4440</v>
      </c>
      <c r="N115" s="2" t="n">
        <f aca="false">IF(K115="Yes",ROUND(G115*L115,0),0)</f>
        <v>4440</v>
      </c>
      <c r="O115" s="2" t="s">
        <v>21</v>
      </c>
    </row>
    <row r="116" customFormat="false" ht="15" hidden="false" customHeight="false" outlineLevel="0" collapsed="false">
      <c r="A116" s="2" t="s">
        <v>277</v>
      </c>
      <c r="B116" s="2" t="s">
        <v>278</v>
      </c>
      <c r="C116" s="2" t="s">
        <v>36</v>
      </c>
      <c r="D116" s="2" t="s">
        <v>37</v>
      </c>
      <c r="E116" s="2" t="s">
        <v>19</v>
      </c>
      <c r="F116" s="3" t="n">
        <v>45990</v>
      </c>
      <c r="G116" s="2" t="n">
        <v>78500</v>
      </c>
      <c r="H116" s="2" t="n">
        <v>2.2</v>
      </c>
      <c r="I116" s="2" t="n">
        <f aca="false">ROUND((DATE(2026,8,31)-F116)/365.25,1)</f>
        <v>0.8</v>
      </c>
      <c r="J116" s="2" t="n">
        <f aca="false">ROUND(H116+I116,1)</f>
        <v>3</v>
      </c>
      <c r="K116" s="2" t="s">
        <v>20</v>
      </c>
      <c r="L116" s="4" t="n">
        <v>0.12</v>
      </c>
      <c r="M116" s="2" t="n">
        <f aca="false">IF(K116="Yes",ROUND(G116*L116,0),0)</f>
        <v>9420</v>
      </c>
      <c r="N116" s="2" t="n">
        <f aca="false">IF(K116="Yes",ROUND(G116*L116,0),0)</f>
        <v>9420</v>
      </c>
      <c r="O116" s="2" t="s">
        <v>21</v>
      </c>
    </row>
    <row r="117" customFormat="false" ht="15" hidden="false" customHeight="false" outlineLevel="0" collapsed="false">
      <c r="A117" s="2" t="s">
        <v>279</v>
      </c>
      <c r="B117" s="2" t="s">
        <v>280</v>
      </c>
      <c r="C117" s="2" t="s">
        <v>41</v>
      </c>
      <c r="D117" s="2" t="s">
        <v>73</v>
      </c>
      <c r="E117" s="2" t="s">
        <v>19</v>
      </c>
      <c r="F117" s="3" t="n">
        <v>44971</v>
      </c>
      <c r="G117" s="2" t="n">
        <v>66000</v>
      </c>
      <c r="H117" s="2" t="n">
        <v>4.4</v>
      </c>
      <c r="I117" s="2" t="n">
        <f aca="false">ROUND((DATE(2026,8,31)-F117)/365.25,1)</f>
        <v>3.5</v>
      </c>
      <c r="J117" s="2" t="n">
        <f aca="false">ROUND(H117+I117,1)</f>
        <v>7.9</v>
      </c>
      <c r="K117" s="2" t="s">
        <v>20</v>
      </c>
      <c r="L117" s="4" t="n">
        <v>0.12</v>
      </c>
      <c r="M117" s="2" t="n">
        <f aca="false">IF(K117="Yes",ROUND(G117*L117,0),0)</f>
        <v>7920</v>
      </c>
      <c r="N117" s="2" t="n">
        <f aca="false">IF(K117="Yes",ROUND(G117*L117,0),0)</f>
        <v>7920</v>
      </c>
      <c r="O117" s="2" t="s">
        <v>21</v>
      </c>
    </row>
    <row r="118" customFormat="false" ht="15" hidden="false" customHeight="false" outlineLevel="0" collapsed="false">
      <c r="A118" s="2" t="s">
        <v>281</v>
      </c>
      <c r="B118" s="2" t="s">
        <v>282</v>
      </c>
      <c r="C118" s="2" t="s">
        <v>45</v>
      </c>
      <c r="D118" s="2" t="s">
        <v>46</v>
      </c>
      <c r="E118" s="2" t="s">
        <v>19</v>
      </c>
      <c r="F118" s="3" t="n">
        <v>44232</v>
      </c>
      <c r="G118" s="2" t="n">
        <v>22500</v>
      </c>
      <c r="H118" s="2" t="n">
        <v>6.2</v>
      </c>
      <c r="I118" s="2" t="n">
        <f aca="false">ROUND((DATE(2026,8,31)-F118)/365.25,1)</f>
        <v>5.6</v>
      </c>
      <c r="J118" s="2" t="n">
        <f aca="false">ROUND(H118+I118,1)</f>
        <v>11.8</v>
      </c>
      <c r="K118" s="2" t="s">
        <v>20</v>
      </c>
      <c r="L118" s="4" t="n">
        <v>0.12</v>
      </c>
      <c r="M118" s="2" t="n">
        <f aca="false">IF(K118="Yes",ROUND(G118*L118,0),0)</f>
        <v>2700</v>
      </c>
      <c r="N118" s="2" t="n">
        <f aca="false">IF(K118="Yes",ROUND(G118*L118,0),0)</f>
        <v>2700</v>
      </c>
      <c r="O118" s="2" t="s">
        <v>21</v>
      </c>
    </row>
    <row r="119" customFormat="false" ht="15" hidden="false" customHeight="false" outlineLevel="0" collapsed="false">
      <c r="A119" s="2" t="s">
        <v>283</v>
      </c>
      <c r="B119" s="2" t="s">
        <v>284</v>
      </c>
      <c r="C119" s="2" t="s">
        <v>49</v>
      </c>
      <c r="D119" s="2" t="s">
        <v>63</v>
      </c>
      <c r="E119" s="2" t="s">
        <v>19</v>
      </c>
      <c r="F119" s="3" t="n">
        <v>44195</v>
      </c>
      <c r="G119" s="2" t="n">
        <v>146500</v>
      </c>
      <c r="H119" s="2" t="n">
        <v>6.6</v>
      </c>
      <c r="I119" s="2" t="n">
        <f aca="false">ROUND((DATE(2026,8,31)-F119)/365.25,1)</f>
        <v>5.7</v>
      </c>
      <c r="J119" s="2" t="n">
        <f aca="false">ROUND(H119+I119,1)</f>
        <v>12.3</v>
      </c>
      <c r="K119" s="2" t="s">
        <v>20</v>
      </c>
      <c r="L119" s="4" t="n">
        <v>0.12</v>
      </c>
      <c r="M119" s="2" t="n">
        <f aca="false">IF(K119="Yes",ROUND(G119*L119,0),0)</f>
        <v>17580</v>
      </c>
      <c r="N119" s="2" t="n">
        <f aca="false">IF(K119="Yes",ROUND(G119*L119,0),0)</f>
        <v>17580</v>
      </c>
      <c r="O119" s="2" t="s">
        <v>21</v>
      </c>
    </row>
    <row r="120" customFormat="false" ht="15" hidden="false" customHeight="false" outlineLevel="0" collapsed="false">
      <c r="A120" s="2" t="s">
        <v>285</v>
      </c>
      <c r="B120" s="2" t="s">
        <v>286</v>
      </c>
      <c r="C120" s="2" t="s">
        <v>53</v>
      </c>
      <c r="D120" s="2" t="s">
        <v>54</v>
      </c>
      <c r="E120" s="2" t="s">
        <v>19</v>
      </c>
      <c r="F120" s="3" t="n">
        <v>43709</v>
      </c>
      <c r="G120" s="2" t="n">
        <v>36000</v>
      </c>
      <c r="H120" s="2" t="n">
        <v>3.6</v>
      </c>
      <c r="I120" s="2" t="n">
        <f aca="false">ROUND((DATE(2026,8,31)-F120)/365.25,1)</f>
        <v>7</v>
      </c>
      <c r="J120" s="2" t="n">
        <f aca="false">ROUND(H120+I120,1)</f>
        <v>10.6</v>
      </c>
      <c r="K120" s="2" t="s">
        <v>20</v>
      </c>
      <c r="L120" s="4" t="n">
        <v>0.12</v>
      </c>
      <c r="M120" s="2" t="n">
        <f aca="false">IF(K120="Yes",ROUND(G120*L120,0),0)</f>
        <v>4320</v>
      </c>
      <c r="N120" s="2" t="n">
        <f aca="false">IF(K120="Yes",ROUND(G120*L120,0),0)</f>
        <v>4320</v>
      </c>
      <c r="O120" s="2" t="s">
        <v>21</v>
      </c>
    </row>
    <row r="121" customFormat="false" ht="15" hidden="false" customHeight="false" outlineLevel="0" collapsed="false">
      <c r="A121" s="2" t="s">
        <v>287</v>
      </c>
      <c r="B121" s="2" t="s">
        <v>288</v>
      </c>
      <c r="C121" s="2" t="s">
        <v>57</v>
      </c>
      <c r="D121" s="2" t="s">
        <v>83</v>
      </c>
      <c r="E121" s="2" t="s">
        <v>19</v>
      </c>
      <c r="F121" s="3" t="n">
        <v>45326</v>
      </c>
      <c r="G121" s="2" t="n">
        <v>71000</v>
      </c>
      <c r="H121" s="2" t="n">
        <v>0</v>
      </c>
      <c r="I121" s="2" t="n">
        <f aca="false">ROUND((DATE(2026,8,31)-F121)/365.25,1)</f>
        <v>2.6</v>
      </c>
      <c r="J121" s="2" t="n">
        <f aca="false">ROUND(H121+I121,1)</f>
        <v>2.6</v>
      </c>
      <c r="K121" s="2" t="s">
        <v>20</v>
      </c>
      <c r="L121" s="4" t="n">
        <v>0.12</v>
      </c>
      <c r="M121" s="2" t="n">
        <f aca="false">IF(K121="Yes",ROUND(G121*L121,0),0)</f>
        <v>8520</v>
      </c>
      <c r="N121" s="2" t="n">
        <f aca="false">IF(K121="Yes",ROUND(G121*L121,0),0)</f>
        <v>8520</v>
      </c>
      <c r="O121" s="2" t="s">
        <v>21</v>
      </c>
    </row>
    <row r="122" customFormat="false" ht="15" hidden="false" customHeight="false" outlineLevel="0" collapsed="false">
      <c r="A122" s="2" t="s">
        <v>289</v>
      </c>
      <c r="B122" s="2" t="s">
        <v>290</v>
      </c>
      <c r="C122" s="2" t="s">
        <v>17</v>
      </c>
      <c r="D122" s="2" t="s">
        <v>18</v>
      </c>
      <c r="E122" s="2" t="s">
        <v>19</v>
      </c>
      <c r="F122" s="3" t="n">
        <v>44079</v>
      </c>
      <c r="G122" s="2" t="n">
        <v>75500</v>
      </c>
      <c r="H122" s="2" t="n">
        <v>4.6</v>
      </c>
      <c r="I122" s="2" t="n">
        <f aca="false">ROUND((DATE(2026,8,31)-F122)/365.25,1)</f>
        <v>6</v>
      </c>
      <c r="J122" s="2" t="n">
        <f aca="false">ROUND(H122+I122,1)</f>
        <v>10.6</v>
      </c>
      <c r="K122" s="2" t="s">
        <v>20</v>
      </c>
      <c r="L122" s="4" t="n">
        <v>0.12</v>
      </c>
      <c r="M122" s="2" t="n">
        <f aca="false">IF(K122="Yes",ROUND(G122*L122,0),0)</f>
        <v>9060</v>
      </c>
      <c r="N122" s="2" t="n">
        <f aca="false">IF(K122="Yes",ROUND(G122*L122,0),0)</f>
        <v>9060</v>
      </c>
      <c r="O122" s="2" t="s">
        <v>21</v>
      </c>
    </row>
    <row r="123" customFormat="false" ht="15" hidden="false" customHeight="false" outlineLevel="0" collapsed="false">
      <c r="A123" s="2" t="s">
        <v>291</v>
      </c>
      <c r="B123" s="2" t="s">
        <v>292</v>
      </c>
      <c r="C123" s="2" t="s">
        <v>24</v>
      </c>
      <c r="D123" s="2" t="s">
        <v>151</v>
      </c>
      <c r="E123" s="2" t="s">
        <v>19</v>
      </c>
      <c r="F123" s="3" t="n">
        <v>44404</v>
      </c>
      <c r="G123" s="2" t="n">
        <v>35000</v>
      </c>
      <c r="H123" s="2" t="n">
        <v>6</v>
      </c>
      <c r="I123" s="2" t="n">
        <f aca="false">ROUND((DATE(2026,8,31)-F123)/365.25,1)</f>
        <v>5.1</v>
      </c>
      <c r="J123" s="2" t="n">
        <f aca="false">ROUND(H123+I123,1)</f>
        <v>11.1</v>
      </c>
      <c r="K123" s="2" t="s">
        <v>20</v>
      </c>
      <c r="L123" s="4" t="n">
        <v>0.12</v>
      </c>
      <c r="M123" s="2" t="n">
        <f aca="false">IF(K123="Yes",ROUND(G123*L123,0),0)</f>
        <v>4200</v>
      </c>
      <c r="N123" s="2" t="n">
        <f aca="false">IF(K123="Yes",ROUND(G123*L123,0),0)</f>
        <v>4200</v>
      </c>
      <c r="O123" s="2" t="s">
        <v>21</v>
      </c>
    </row>
    <row r="124" customFormat="false" ht="15" hidden="false" customHeight="false" outlineLevel="0" collapsed="false">
      <c r="A124" s="2" t="s">
        <v>293</v>
      </c>
      <c r="B124" s="2" t="s">
        <v>294</v>
      </c>
      <c r="C124" s="2" t="s">
        <v>28</v>
      </c>
      <c r="D124" s="2" t="s">
        <v>66</v>
      </c>
      <c r="E124" s="2" t="s">
        <v>19</v>
      </c>
      <c r="F124" s="3" t="n">
        <v>45819</v>
      </c>
      <c r="G124" s="2" t="n">
        <v>80500</v>
      </c>
      <c r="H124" s="2" t="n">
        <v>6.3</v>
      </c>
      <c r="I124" s="2" t="n">
        <f aca="false">ROUND((DATE(2026,8,31)-F124)/365.25,1)</f>
        <v>1.2</v>
      </c>
      <c r="J124" s="2" t="n">
        <f aca="false">ROUND(H124+I124,1)</f>
        <v>7.5</v>
      </c>
      <c r="K124" s="2" t="s">
        <v>20</v>
      </c>
      <c r="L124" s="4" t="n">
        <v>0.12</v>
      </c>
      <c r="M124" s="2" t="n">
        <f aca="false">IF(K124="Yes",ROUND(G124*L124,0),0)</f>
        <v>9660</v>
      </c>
      <c r="N124" s="2" t="n">
        <f aca="false">IF(K124="Yes",ROUND(G124*L124,0),0)</f>
        <v>9660</v>
      </c>
      <c r="O124" s="2" t="s">
        <v>21</v>
      </c>
    </row>
    <row r="125" customFormat="false" ht="15" hidden="false" customHeight="false" outlineLevel="0" collapsed="false">
      <c r="A125" s="2" t="s">
        <v>295</v>
      </c>
      <c r="B125" s="2" t="s">
        <v>296</v>
      </c>
      <c r="C125" s="2" t="s">
        <v>32</v>
      </c>
      <c r="D125" s="2" t="s">
        <v>33</v>
      </c>
      <c r="E125" s="2" t="s">
        <v>19</v>
      </c>
      <c r="F125" s="3" t="n">
        <v>43252</v>
      </c>
      <c r="G125" s="2" t="n">
        <v>38000</v>
      </c>
      <c r="H125" s="2" t="n">
        <v>1</v>
      </c>
      <c r="I125" s="2" t="n">
        <f aca="false">ROUND((DATE(2026,8,31)-F125)/365.25,1)</f>
        <v>8.2</v>
      </c>
      <c r="J125" s="2" t="n">
        <f aca="false">ROUND(H125+I125,1)</f>
        <v>9.2</v>
      </c>
      <c r="K125" s="2" t="s">
        <v>20</v>
      </c>
      <c r="L125" s="4" t="n">
        <v>0.12</v>
      </c>
      <c r="M125" s="2" t="n">
        <f aca="false">IF(K125="Yes",ROUND(G125*L125,0),0)</f>
        <v>4560</v>
      </c>
      <c r="N125" s="2" t="n">
        <f aca="false">IF(K125="Yes",ROUND(G125*L125,0),0)</f>
        <v>4560</v>
      </c>
      <c r="O125" s="2" t="s">
        <v>21</v>
      </c>
    </row>
    <row r="126" customFormat="false" ht="15" hidden="false" customHeight="false" outlineLevel="0" collapsed="false">
      <c r="A126" s="2" t="s">
        <v>297</v>
      </c>
      <c r="B126" s="2" t="s">
        <v>298</v>
      </c>
      <c r="C126" s="2" t="s">
        <v>36</v>
      </c>
      <c r="D126" s="2" t="s">
        <v>37</v>
      </c>
      <c r="E126" s="2" t="s">
        <v>19</v>
      </c>
      <c r="F126" s="3" t="n">
        <v>44904</v>
      </c>
      <c r="G126" s="2" t="n">
        <v>51500</v>
      </c>
      <c r="H126" s="2" t="n">
        <v>0.8</v>
      </c>
      <c r="I126" s="2" t="n">
        <f aca="false">ROUND((DATE(2026,8,31)-F126)/365.25,1)</f>
        <v>3.7</v>
      </c>
      <c r="J126" s="2" t="n">
        <f aca="false">ROUND(H126+I126,1)</f>
        <v>4.5</v>
      </c>
      <c r="K126" s="2" t="s">
        <v>20</v>
      </c>
      <c r="L126" s="4" t="n">
        <v>0.12</v>
      </c>
      <c r="M126" s="2" t="n">
        <f aca="false">IF(K126="Yes",ROUND(G126*L126,0),0)</f>
        <v>6180</v>
      </c>
      <c r="N126" s="2" t="n">
        <f aca="false">IF(K126="Yes",ROUND(G126*L126,0),0)</f>
        <v>6180</v>
      </c>
      <c r="O126" s="2" t="s">
        <v>21</v>
      </c>
    </row>
    <row r="127" customFormat="false" ht="15" hidden="false" customHeight="false" outlineLevel="0" collapsed="false">
      <c r="A127" s="2" t="s">
        <v>299</v>
      </c>
      <c r="B127" s="2" t="s">
        <v>300</v>
      </c>
      <c r="C127" s="2" t="s">
        <v>41</v>
      </c>
      <c r="D127" s="2" t="s">
        <v>42</v>
      </c>
      <c r="E127" s="2" t="s">
        <v>19</v>
      </c>
      <c r="F127" s="3" t="n">
        <v>44780</v>
      </c>
      <c r="G127" s="2" t="n">
        <v>22500</v>
      </c>
      <c r="H127" s="2" t="n">
        <v>7</v>
      </c>
      <c r="I127" s="2" t="n">
        <f aca="false">ROUND((DATE(2026,8,31)-F127)/365.25,1)</f>
        <v>4.1</v>
      </c>
      <c r="J127" s="2" t="n">
        <f aca="false">ROUND(H127+I127,1)</f>
        <v>11.1</v>
      </c>
      <c r="K127" s="2" t="s">
        <v>20</v>
      </c>
      <c r="L127" s="4" t="n">
        <v>0.12</v>
      </c>
      <c r="M127" s="2" t="n">
        <f aca="false">IF(K127="Yes",ROUND(G127*L127,0),0)</f>
        <v>2700</v>
      </c>
      <c r="N127" s="2" t="n">
        <f aca="false">IF(K127="Yes",ROUND(G127*L127,0),0)</f>
        <v>2700</v>
      </c>
      <c r="O127" s="2" t="s">
        <v>21</v>
      </c>
    </row>
    <row r="128" customFormat="false" ht="15" hidden="false" customHeight="false" outlineLevel="0" collapsed="false">
      <c r="A128" s="2" t="s">
        <v>301</v>
      </c>
      <c r="B128" s="2" t="s">
        <v>302</v>
      </c>
      <c r="C128" s="2" t="s">
        <v>45</v>
      </c>
      <c r="D128" s="2" t="s">
        <v>46</v>
      </c>
      <c r="E128" s="2" t="s">
        <v>19</v>
      </c>
      <c r="F128" s="3" t="n">
        <v>44186</v>
      </c>
      <c r="G128" s="2" t="n">
        <v>35500</v>
      </c>
      <c r="H128" s="2" t="n">
        <v>0</v>
      </c>
      <c r="I128" s="2" t="n">
        <f aca="false">ROUND((DATE(2026,8,31)-F128)/365.25,1)</f>
        <v>5.7</v>
      </c>
      <c r="J128" s="2" t="n">
        <f aca="false">ROUND(H128+I128,1)</f>
        <v>5.7</v>
      </c>
      <c r="K128" s="2" t="s">
        <v>20</v>
      </c>
      <c r="L128" s="4" t="n">
        <v>0.12</v>
      </c>
      <c r="M128" s="2" t="n">
        <f aca="false">IF(K128="Yes",ROUND(G128*L128,0),0)</f>
        <v>4260</v>
      </c>
      <c r="N128" s="2" t="n">
        <f aca="false">IF(K128="Yes",ROUND(G128*L128,0),0)</f>
        <v>4260</v>
      </c>
      <c r="O128" s="2" t="s">
        <v>21</v>
      </c>
    </row>
    <row r="129" customFormat="false" ht="15" hidden="false" customHeight="false" outlineLevel="0" collapsed="false">
      <c r="A129" s="2" t="s">
        <v>303</v>
      </c>
      <c r="B129" s="2" t="s">
        <v>304</v>
      </c>
      <c r="C129" s="2" t="s">
        <v>49</v>
      </c>
      <c r="D129" s="2" t="s">
        <v>50</v>
      </c>
      <c r="E129" s="2" t="s">
        <v>19</v>
      </c>
      <c r="F129" s="3" t="n">
        <v>45863</v>
      </c>
      <c r="G129" s="2" t="n">
        <v>30000</v>
      </c>
      <c r="H129" s="2" t="n">
        <v>6.9</v>
      </c>
      <c r="I129" s="2" t="n">
        <f aca="false">ROUND((DATE(2026,8,31)-F129)/365.25,1)</f>
        <v>1.1</v>
      </c>
      <c r="J129" s="2" t="n">
        <f aca="false">ROUND(H129+I129,1)</f>
        <v>8</v>
      </c>
      <c r="K129" s="2" t="s">
        <v>20</v>
      </c>
      <c r="L129" s="4" t="n">
        <v>0.12</v>
      </c>
      <c r="M129" s="2" t="n">
        <f aca="false">IF(K129="Yes",ROUND(G129*L129,0),0)</f>
        <v>3600</v>
      </c>
      <c r="N129" s="2" t="n">
        <f aca="false">IF(K129="Yes",ROUND(G129*L129,0),0)</f>
        <v>3600</v>
      </c>
      <c r="O129" s="2" t="s">
        <v>21</v>
      </c>
    </row>
    <row r="130" customFormat="false" ht="15" hidden="false" customHeight="false" outlineLevel="0" collapsed="false">
      <c r="A130" s="2" t="s">
        <v>305</v>
      </c>
      <c r="B130" s="2" t="s">
        <v>306</v>
      </c>
      <c r="C130" s="2" t="s">
        <v>53</v>
      </c>
      <c r="D130" s="2" t="s">
        <v>54</v>
      </c>
      <c r="E130" s="2" t="s">
        <v>19</v>
      </c>
      <c r="F130" s="3" t="n">
        <v>45317</v>
      </c>
      <c r="G130" s="2" t="n">
        <v>36000</v>
      </c>
      <c r="H130" s="2" t="n">
        <v>0.3</v>
      </c>
      <c r="I130" s="2" t="n">
        <f aca="false">ROUND((DATE(2026,8,31)-F130)/365.25,1)</f>
        <v>2.6</v>
      </c>
      <c r="J130" s="2" t="n">
        <f aca="false">ROUND(H130+I130,1)</f>
        <v>2.9</v>
      </c>
      <c r="K130" s="2" t="s">
        <v>20</v>
      </c>
      <c r="L130" s="4" t="n">
        <v>0.12</v>
      </c>
      <c r="M130" s="2" t="n">
        <f aca="false">IF(K130="Yes",ROUND(G130*L130,0),0)</f>
        <v>4320</v>
      </c>
      <c r="N130" s="2" t="n">
        <f aca="false">IF(K130="Yes",ROUND(G130*L130,0),0)</f>
        <v>4320</v>
      </c>
      <c r="O130" s="2" t="s">
        <v>21</v>
      </c>
    </row>
    <row r="131" customFormat="false" ht="15" hidden="false" customHeight="false" outlineLevel="0" collapsed="false">
      <c r="A131" s="2" t="s">
        <v>307</v>
      </c>
      <c r="B131" s="2" t="s">
        <v>308</v>
      </c>
      <c r="C131" s="2" t="s">
        <v>57</v>
      </c>
      <c r="D131" s="2" t="s">
        <v>83</v>
      </c>
      <c r="E131" s="2" t="s">
        <v>19</v>
      </c>
      <c r="F131" s="3" t="n">
        <v>46159</v>
      </c>
      <c r="G131" s="2" t="n">
        <v>50000</v>
      </c>
      <c r="H131" s="2" t="n">
        <v>0.7</v>
      </c>
      <c r="I131" s="2" t="n">
        <f aca="false">ROUND((DATE(2026,8,31)-F131)/365.25,1)</f>
        <v>0.3</v>
      </c>
      <c r="J131" s="2" t="n">
        <f aca="false">ROUND(H131+I131,1)</f>
        <v>1</v>
      </c>
      <c r="K131" s="2" t="s">
        <v>20</v>
      </c>
      <c r="L131" s="4" t="n">
        <v>0.12</v>
      </c>
      <c r="M131" s="2" t="n">
        <f aca="false">IF(K131="Yes",ROUND(G131*L131,0),0)</f>
        <v>6000</v>
      </c>
      <c r="N131" s="2" t="n">
        <f aca="false">IF(K131="Yes",ROUND(G131*L131,0),0)</f>
        <v>6000</v>
      </c>
      <c r="O131" s="2" t="s">
        <v>21</v>
      </c>
    </row>
    <row r="132" customFormat="false" ht="15" hidden="false" customHeight="false" outlineLevel="0" collapsed="false">
      <c r="A132" s="2" t="s">
        <v>309</v>
      </c>
      <c r="B132" s="2" t="s">
        <v>310</v>
      </c>
      <c r="C132" s="2" t="s">
        <v>17</v>
      </c>
      <c r="D132" s="2" t="s">
        <v>148</v>
      </c>
      <c r="E132" s="2" t="s">
        <v>19</v>
      </c>
      <c r="F132" s="3" t="n">
        <v>43782</v>
      </c>
      <c r="G132" s="2" t="n">
        <v>64000</v>
      </c>
      <c r="H132" s="2" t="n">
        <v>5.6</v>
      </c>
      <c r="I132" s="2" t="n">
        <f aca="false">ROUND((DATE(2026,8,31)-F132)/365.25,1)</f>
        <v>6.8</v>
      </c>
      <c r="J132" s="2" t="n">
        <f aca="false">ROUND(H132+I132,1)</f>
        <v>12.4</v>
      </c>
      <c r="K132" s="2" t="s">
        <v>20</v>
      </c>
      <c r="L132" s="4" t="n">
        <v>0.12</v>
      </c>
      <c r="M132" s="2" t="n">
        <f aca="false">IF(K132="Yes",ROUND(G132*L132,0),0)</f>
        <v>7680</v>
      </c>
      <c r="N132" s="2" t="n">
        <f aca="false">IF(K132="Yes",ROUND(G132*L132,0),0)</f>
        <v>7680</v>
      </c>
      <c r="O132" s="2" t="s">
        <v>21</v>
      </c>
    </row>
    <row r="133" customFormat="false" ht="15" hidden="false" customHeight="false" outlineLevel="0" collapsed="false">
      <c r="A133" s="2" t="s">
        <v>311</v>
      </c>
      <c r="B133" s="2" t="s">
        <v>312</v>
      </c>
      <c r="C133" s="2" t="s">
        <v>24</v>
      </c>
      <c r="D133" s="2" t="s">
        <v>18</v>
      </c>
      <c r="E133" s="2" t="s">
        <v>19</v>
      </c>
      <c r="F133" s="3" t="n">
        <v>43330</v>
      </c>
      <c r="G133" s="2" t="n">
        <v>51500</v>
      </c>
      <c r="H133" s="2" t="n">
        <v>2.3</v>
      </c>
      <c r="I133" s="2" t="n">
        <f aca="false">ROUND((DATE(2026,8,31)-F133)/365.25,1)</f>
        <v>8</v>
      </c>
      <c r="J133" s="2" t="n">
        <f aca="false">ROUND(H133+I133,1)</f>
        <v>10.3</v>
      </c>
      <c r="K133" s="2" t="s">
        <v>20</v>
      </c>
      <c r="L133" s="4" t="n">
        <v>0.12</v>
      </c>
      <c r="M133" s="2" t="n">
        <f aca="false">IF(K133="Yes",ROUND(G133*L133,0),0)</f>
        <v>6180</v>
      </c>
      <c r="N133" s="2" t="n">
        <f aca="false">IF(K133="Yes",ROUND(G133*L133,0),0)</f>
        <v>6180</v>
      </c>
      <c r="O133" s="2" t="s">
        <v>21</v>
      </c>
    </row>
    <row r="134" customFormat="false" ht="15" hidden="false" customHeight="false" outlineLevel="0" collapsed="false">
      <c r="A134" s="2" t="s">
        <v>313</v>
      </c>
      <c r="B134" s="2" t="s">
        <v>314</v>
      </c>
      <c r="C134" s="2" t="s">
        <v>28</v>
      </c>
      <c r="D134" s="2" t="s">
        <v>29</v>
      </c>
      <c r="E134" s="2" t="s">
        <v>19</v>
      </c>
      <c r="F134" s="3" t="n">
        <v>45276</v>
      </c>
      <c r="G134" s="2" t="n">
        <v>28000</v>
      </c>
      <c r="H134" s="2" t="n">
        <v>3.3</v>
      </c>
      <c r="I134" s="2" t="n">
        <f aca="false">ROUND((DATE(2026,8,31)-F134)/365.25,1)</f>
        <v>2.7</v>
      </c>
      <c r="J134" s="2" t="n">
        <f aca="false">ROUND(H134+I134,1)</f>
        <v>6</v>
      </c>
      <c r="K134" s="2" t="s">
        <v>20</v>
      </c>
      <c r="L134" s="4" t="n">
        <v>0.12</v>
      </c>
      <c r="M134" s="2" t="n">
        <f aca="false">IF(K134="Yes",ROUND(G134*L134,0),0)</f>
        <v>3360</v>
      </c>
      <c r="N134" s="2" t="n">
        <f aca="false">IF(K134="Yes",ROUND(G134*L134,0),0)</f>
        <v>3360</v>
      </c>
      <c r="O134" s="2" t="s">
        <v>21</v>
      </c>
    </row>
    <row r="135" customFormat="false" ht="15" hidden="false" customHeight="false" outlineLevel="0" collapsed="false">
      <c r="A135" s="2" t="s">
        <v>315</v>
      </c>
      <c r="B135" s="2" t="s">
        <v>316</v>
      </c>
      <c r="C135" s="2" t="s">
        <v>32</v>
      </c>
      <c r="D135" s="2" t="s">
        <v>33</v>
      </c>
      <c r="E135" s="2" t="s">
        <v>19</v>
      </c>
      <c r="F135" s="3" t="n">
        <v>43818</v>
      </c>
      <c r="G135" s="2" t="n">
        <v>27500</v>
      </c>
      <c r="H135" s="2" t="n">
        <v>0</v>
      </c>
      <c r="I135" s="2" t="n">
        <f aca="false">ROUND((DATE(2026,8,31)-F135)/365.25,1)</f>
        <v>6.7</v>
      </c>
      <c r="J135" s="2" t="n">
        <f aca="false">ROUND(H135+I135,1)</f>
        <v>6.7</v>
      </c>
      <c r="K135" s="2" t="s">
        <v>20</v>
      </c>
      <c r="L135" s="4" t="n">
        <v>0.12</v>
      </c>
      <c r="M135" s="2" t="n">
        <f aca="false">IF(K135="Yes",ROUND(G135*L135,0),0)</f>
        <v>3300</v>
      </c>
      <c r="N135" s="2" t="n">
        <f aca="false">IF(K135="Yes",ROUND(G135*L135,0),0)</f>
        <v>3300</v>
      </c>
      <c r="O135" s="2" t="s">
        <v>21</v>
      </c>
    </row>
    <row r="136" customFormat="false" ht="15" hidden="false" customHeight="false" outlineLevel="0" collapsed="false">
      <c r="A136" s="2" t="s">
        <v>317</v>
      </c>
      <c r="B136" s="2" t="s">
        <v>318</v>
      </c>
      <c r="C136" s="2" t="s">
        <v>36</v>
      </c>
      <c r="D136" s="2" t="s">
        <v>33</v>
      </c>
      <c r="E136" s="2" t="s">
        <v>19</v>
      </c>
      <c r="F136" s="3" t="n">
        <v>45489</v>
      </c>
      <c r="G136" s="2" t="n">
        <v>38500</v>
      </c>
      <c r="H136" s="2" t="n">
        <v>1.1</v>
      </c>
      <c r="I136" s="2" t="n">
        <f aca="false">ROUND((DATE(2026,8,31)-F136)/365.25,1)</f>
        <v>2.1</v>
      </c>
      <c r="J136" s="2" t="n">
        <f aca="false">ROUND(H136+I136,1)</f>
        <v>3.2</v>
      </c>
      <c r="K136" s="2" t="s">
        <v>20</v>
      </c>
      <c r="L136" s="4" t="n">
        <v>0.12</v>
      </c>
      <c r="M136" s="2" t="n">
        <f aca="false">IF(K136="Yes",ROUND(G136*L136,0),0)</f>
        <v>4620</v>
      </c>
      <c r="N136" s="2" t="n">
        <f aca="false">IF(K136="Yes",ROUND(G136*L136,0),0)</f>
        <v>4620</v>
      </c>
      <c r="O136" s="2" t="s">
        <v>21</v>
      </c>
    </row>
    <row r="137" customFormat="false" ht="15" hidden="false" customHeight="false" outlineLevel="0" collapsed="false">
      <c r="A137" s="2" t="s">
        <v>319</v>
      </c>
      <c r="B137" s="2" t="s">
        <v>320</v>
      </c>
      <c r="C137" s="2" t="s">
        <v>41</v>
      </c>
      <c r="D137" s="2" t="s">
        <v>73</v>
      </c>
      <c r="E137" s="2" t="s">
        <v>19</v>
      </c>
      <c r="F137" s="3" t="n">
        <v>44146</v>
      </c>
      <c r="G137" s="2" t="n">
        <v>80000</v>
      </c>
      <c r="H137" s="2" t="n">
        <v>5.3</v>
      </c>
      <c r="I137" s="2" t="n">
        <f aca="false">ROUND((DATE(2026,8,31)-F137)/365.25,1)</f>
        <v>5.8</v>
      </c>
      <c r="J137" s="2" t="n">
        <f aca="false">ROUND(H137+I137,1)</f>
        <v>11.1</v>
      </c>
      <c r="K137" s="2" t="s">
        <v>20</v>
      </c>
      <c r="L137" s="4" t="n">
        <v>0.12</v>
      </c>
      <c r="M137" s="2" t="n">
        <f aca="false">IF(K137="Yes",ROUND(G137*L137,0),0)</f>
        <v>9600</v>
      </c>
      <c r="N137" s="2" t="n">
        <f aca="false">IF(K137="Yes",ROUND(G137*L137,0),0)</f>
        <v>9600</v>
      </c>
      <c r="O137" s="2" t="s">
        <v>21</v>
      </c>
    </row>
    <row r="138" customFormat="false" ht="15" hidden="false" customHeight="false" outlineLevel="0" collapsed="false">
      <c r="A138" s="2" t="s">
        <v>321</v>
      </c>
      <c r="B138" s="2" t="s">
        <v>322</v>
      </c>
      <c r="C138" s="2" t="s">
        <v>45</v>
      </c>
      <c r="D138" s="2" t="s">
        <v>76</v>
      </c>
      <c r="E138" s="2" t="s">
        <v>19</v>
      </c>
      <c r="F138" s="3" t="n">
        <v>45876</v>
      </c>
      <c r="G138" s="2" t="n">
        <v>74000</v>
      </c>
      <c r="H138" s="2" t="n">
        <v>4.4</v>
      </c>
      <c r="I138" s="2" t="n">
        <f aca="false">ROUND((DATE(2026,8,31)-F138)/365.25,1)</f>
        <v>1.1</v>
      </c>
      <c r="J138" s="2" t="n">
        <f aca="false">ROUND(H138+I138,1)</f>
        <v>5.5</v>
      </c>
      <c r="K138" s="2" t="s">
        <v>20</v>
      </c>
      <c r="L138" s="4" t="n">
        <v>0.12</v>
      </c>
      <c r="M138" s="2" t="n">
        <f aca="false">IF(K138="Yes",ROUND(G138*L138,0),0)</f>
        <v>8880</v>
      </c>
      <c r="N138" s="2" t="n">
        <f aca="false">IF(K138="Yes",ROUND(G138*L138,0),0)</f>
        <v>8880</v>
      </c>
      <c r="O138" s="2" t="s">
        <v>21</v>
      </c>
    </row>
    <row r="139" customFormat="false" ht="15" hidden="false" customHeight="false" outlineLevel="0" collapsed="false">
      <c r="A139" s="2" t="s">
        <v>323</v>
      </c>
      <c r="B139" s="2" t="s">
        <v>324</v>
      </c>
      <c r="C139" s="2" t="s">
        <v>49</v>
      </c>
      <c r="D139" s="2" t="s">
        <v>63</v>
      </c>
      <c r="E139" s="2" t="s">
        <v>19</v>
      </c>
      <c r="F139" s="3" t="n">
        <v>45718</v>
      </c>
      <c r="G139" s="2" t="n">
        <v>119000</v>
      </c>
      <c r="H139" s="2" t="n">
        <v>7.7</v>
      </c>
      <c r="I139" s="2" t="n">
        <f aca="false">ROUND((DATE(2026,8,31)-F139)/365.25,1)</f>
        <v>1.5</v>
      </c>
      <c r="J139" s="2" t="n">
        <f aca="false">ROUND(H139+I139,1)</f>
        <v>9.2</v>
      </c>
      <c r="K139" s="2" t="s">
        <v>20</v>
      </c>
      <c r="L139" s="4" t="n">
        <v>0.12</v>
      </c>
      <c r="M139" s="2" t="n">
        <f aca="false">IF(K139="Yes",ROUND(G139*L139,0),0)</f>
        <v>14280</v>
      </c>
      <c r="N139" s="2" t="n">
        <f aca="false">IF(K139="Yes",ROUND(G139*L139,0),0)</f>
        <v>14280</v>
      </c>
      <c r="O139" s="2" t="s">
        <v>21</v>
      </c>
    </row>
    <row r="140" customFormat="false" ht="15" hidden="false" customHeight="false" outlineLevel="0" collapsed="false">
      <c r="A140" s="2" t="s">
        <v>325</v>
      </c>
      <c r="B140" s="2" t="s">
        <v>326</v>
      </c>
      <c r="C140" s="2" t="s">
        <v>53</v>
      </c>
      <c r="D140" s="2" t="s">
        <v>54</v>
      </c>
      <c r="E140" s="2" t="s">
        <v>19</v>
      </c>
      <c r="F140" s="3" t="n">
        <v>43916</v>
      </c>
      <c r="G140" s="2" t="n">
        <v>30000</v>
      </c>
      <c r="H140" s="2" t="n">
        <v>8</v>
      </c>
      <c r="I140" s="2" t="n">
        <f aca="false">ROUND((DATE(2026,8,31)-F140)/365.25,1)</f>
        <v>6.4</v>
      </c>
      <c r="J140" s="2" t="n">
        <f aca="false">ROUND(H140+I140,1)</f>
        <v>14.4</v>
      </c>
      <c r="K140" s="2" t="s">
        <v>20</v>
      </c>
      <c r="L140" s="4" t="n">
        <v>0.12</v>
      </c>
      <c r="M140" s="2" t="n">
        <f aca="false">IF(K140="Yes",ROUND(G140*L140,0),0)</f>
        <v>3600</v>
      </c>
      <c r="N140" s="2" t="n">
        <f aca="false">IF(K140="Yes",ROUND(G140*L140,0),0)</f>
        <v>3600</v>
      </c>
      <c r="O140" s="2" t="s">
        <v>21</v>
      </c>
    </row>
    <row r="141" customFormat="false" ht="15" hidden="false" customHeight="false" outlineLevel="0" collapsed="false">
      <c r="A141" s="2" t="s">
        <v>327</v>
      </c>
      <c r="B141" s="2" t="s">
        <v>328</v>
      </c>
      <c r="C141" s="2" t="s">
        <v>57</v>
      </c>
      <c r="D141" s="2" t="s">
        <v>58</v>
      </c>
      <c r="E141" s="2" t="s">
        <v>19</v>
      </c>
      <c r="F141" s="3" t="n">
        <v>44663</v>
      </c>
      <c r="G141" s="2" t="n">
        <v>22000</v>
      </c>
      <c r="H141" s="2" t="n">
        <v>4.6</v>
      </c>
      <c r="I141" s="2" t="n">
        <f aca="false">ROUND((DATE(2026,8,31)-F141)/365.25,1)</f>
        <v>4.4</v>
      </c>
      <c r="J141" s="2" t="n">
        <f aca="false">ROUND(H141+I141,1)</f>
        <v>9</v>
      </c>
      <c r="K141" s="2" t="s">
        <v>20</v>
      </c>
      <c r="L141" s="4" t="n">
        <v>0.12</v>
      </c>
      <c r="M141" s="2" t="n">
        <f aca="false">IF(K141="Yes",ROUND(G141*L141,0),0)</f>
        <v>2640</v>
      </c>
      <c r="N141" s="2" t="n">
        <f aca="false">IF(K141="Yes",ROUND(G141*L141,0),0)</f>
        <v>2640</v>
      </c>
      <c r="O141" s="2" t="s">
        <v>21</v>
      </c>
    </row>
    <row r="142" customFormat="false" ht="15" hidden="false" customHeight="false" outlineLevel="0" collapsed="false">
      <c r="A142" s="2" t="s">
        <v>329</v>
      </c>
      <c r="B142" s="2" t="s">
        <v>330</v>
      </c>
      <c r="C142" s="2" t="s">
        <v>17</v>
      </c>
      <c r="D142" s="2" t="s">
        <v>25</v>
      </c>
      <c r="E142" s="2" t="s">
        <v>38</v>
      </c>
      <c r="F142" s="3" t="n">
        <v>45797</v>
      </c>
      <c r="G142" s="2" t="n">
        <v>73000</v>
      </c>
      <c r="H142" s="2" t="n">
        <v>0</v>
      </c>
      <c r="I142" s="2" t="n">
        <f aca="false">ROUND((DATE(2026,8,31)-F142)/365.25,1)</f>
        <v>1.3</v>
      </c>
      <c r="J142" s="2" t="n">
        <f aca="false">ROUND(H142+I142,1)</f>
        <v>1.3</v>
      </c>
      <c r="K142" s="2" t="s">
        <v>20</v>
      </c>
      <c r="L142" s="4" t="n">
        <v>0.12</v>
      </c>
      <c r="M142" s="2" t="n">
        <f aca="false">IF(K142="Yes",ROUND(G142*L142,0),0)</f>
        <v>8760</v>
      </c>
      <c r="N142" s="2" t="n">
        <f aca="false">IF(K142="Yes",ROUND(G142*L142,0),0)</f>
        <v>8760</v>
      </c>
      <c r="O142" s="2" t="s">
        <v>21</v>
      </c>
    </row>
    <row r="143" customFormat="false" ht="15" hidden="false" customHeight="false" outlineLevel="0" collapsed="false">
      <c r="A143" s="2" t="s">
        <v>331</v>
      </c>
      <c r="B143" s="2" t="s">
        <v>332</v>
      </c>
      <c r="C143" s="2" t="s">
        <v>24</v>
      </c>
      <c r="D143" s="2" t="s">
        <v>18</v>
      </c>
      <c r="E143" s="2" t="s">
        <v>19</v>
      </c>
      <c r="F143" s="3" t="n">
        <v>46153</v>
      </c>
      <c r="G143" s="2" t="n">
        <v>69500</v>
      </c>
      <c r="H143" s="2" t="n">
        <v>4</v>
      </c>
      <c r="I143" s="2" t="n">
        <f aca="false">ROUND((DATE(2026,8,31)-F143)/365.25,1)</f>
        <v>0.3</v>
      </c>
      <c r="J143" s="2" t="n">
        <f aca="false">ROUND(H143+I143,1)</f>
        <v>4.3</v>
      </c>
      <c r="K143" s="2" t="s">
        <v>20</v>
      </c>
      <c r="L143" s="4" t="n">
        <v>0.12</v>
      </c>
      <c r="M143" s="2" t="n">
        <f aca="false">IF(K143="Yes",ROUND(G143*L143,0),0)</f>
        <v>8340</v>
      </c>
      <c r="N143" s="2" t="n">
        <f aca="false">IF(K143="Yes",ROUND(G143*L143,0),0)</f>
        <v>8340</v>
      </c>
      <c r="O143" s="2" t="s">
        <v>21</v>
      </c>
    </row>
    <row r="144" customFormat="false" ht="15" hidden="false" customHeight="false" outlineLevel="0" collapsed="false">
      <c r="A144" s="2" t="s">
        <v>333</v>
      </c>
      <c r="B144" s="2" t="s">
        <v>334</v>
      </c>
      <c r="C144" s="2" t="s">
        <v>28</v>
      </c>
      <c r="D144" s="2" t="s">
        <v>66</v>
      </c>
      <c r="E144" s="2" t="s">
        <v>19</v>
      </c>
      <c r="F144" s="3" t="n">
        <v>44043</v>
      </c>
      <c r="G144" s="2" t="n">
        <v>106000</v>
      </c>
      <c r="H144" s="2" t="n">
        <v>4.9</v>
      </c>
      <c r="I144" s="2" t="n">
        <f aca="false">ROUND((DATE(2026,8,31)-F144)/365.25,1)</f>
        <v>6.1</v>
      </c>
      <c r="J144" s="2" t="n">
        <f aca="false">ROUND(H144+I144,1)</f>
        <v>11</v>
      </c>
      <c r="K144" s="2" t="s">
        <v>20</v>
      </c>
      <c r="L144" s="4" t="n">
        <v>0.12</v>
      </c>
      <c r="M144" s="2" t="n">
        <f aca="false">IF(K144="Yes",ROUND(G144*L144,0),0)</f>
        <v>12720</v>
      </c>
      <c r="N144" s="2" t="n">
        <f aca="false">IF(K144="Yes",ROUND(G144*L144,0),0)</f>
        <v>12720</v>
      </c>
      <c r="O144" s="2" t="s">
        <v>21</v>
      </c>
    </row>
    <row r="145" customFormat="false" ht="15" hidden="false" customHeight="false" outlineLevel="0" collapsed="false">
      <c r="A145" s="2" t="s">
        <v>335</v>
      </c>
      <c r="B145" s="2" t="s">
        <v>336</v>
      </c>
      <c r="C145" s="2" t="s">
        <v>32</v>
      </c>
      <c r="D145" s="2" t="s">
        <v>92</v>
      </c>
      <c r="E145" s="2" t="s">
        <v>19</v>
      </c>
      <c r="F145" s="3" t="n">
        <v>45644</v>
      </c>
      <c r="G145" s="2" t="n">
        <v>31000</v>
      </c>
      <c r="H145" s="2" t="n">
        <v>2</v>
      </c>
      <c r="I145" s="2" t="n">
        <f aca="false">ROUND((DATE(2026,8,31)-F145)/365.25,1)</f>
        <v>1.7</v>
      </c>
      <c r="J145" s="2" t="n">
        <f aca="false">ROUND(H145+I145,1)</f>
        <v>3.7</v>
      </c>
      <c r="K145" s="2" t="s">
        <v>20</v>
      </c>
      <c r="L145" s="4" t="n">
        <v>0.12</v>
      </c>
      <c r="M145" s="2" t="n">
        <f aca="false">IF(K145="Yes",ROUND(G145*L145,0),0)</f>
        <v>3720</v>
      </c>
      <c r="N145" s="2" t="n">
        <f aca="false">IF(K145="Yes",ROUND(G145*L145,0),0)</f>
        <v>3720</v>
      </c>
      <c r="O145" s="2" t="s">
        <v>21</v>
      </c>
    </row>
    <row r="146" customFormat="false" ht="15" hidden="false" customHeight="false" outlineLevel="0" collapsed="false">
      <c r="A146" s="2" t="s">
        <v>337</v>
      </c>
      <c r="B146" s="2" t="s">
        <v>338</v>
      </c>
      <c r="C146" s="2" t="s">
        <v>36</v>
      </c>
      <c r="D146" s="2" t="s">
        <v>33</v>
      </c>
      <c r="E146" s="2" t="s">
        <v>19</v>
      </c>
      <c r="F146" s="3" t="n">
        <v>43498</v>
      </c>
      <c r="G146" s="2" t="n">
        <v>42500</v>
      </c>
      <c r="H146" s="2" t="n">
        <v>7.2</v>
      </c>
      <c r="I146" s="2" t="n">
        <f aca="false">ROUND((DATE(2026,8,31)-F146)/365.25,1)</f>
        <v>7.6</v>
      </c>
      <c r="J146" s="2" t="n">
        <f aca="false">ROUND(H146+I146,1)</f>
        <v>14.8</v>
      </c>
      <c r="K146" s="2" t="s">
        <v>20</v>
      </c>
      <c r="L146" s="4" t="n">
        <v>0.12</v>
      </c>
      <c r="M146" s="2" t="n">
        <f aca="false">IF(K146="Yes",ROUND(G146*L146,0),0)</f>
        <v>5100</v>
      </c>
      <c r="N146" s="2" t="n">
        <f aca="false">IF(K146="Yes",ROUND(G146*L146,0),0)</f>
        <v>5100</v>
      </c>
      <c r="O146" s="2" t="s">
        <v>21</v>
      </c>
    </row>
    <row r="147" customFormat="false" ht="15" hidden="false" customHeight="false" outlineLevel="0" collapsed="false">
      <c r="A147" s="2" t="s">
        <v>339</v>
      </c>
      <c r="B147" s="2" t="s">
        <v>340</v>
      </c>
      <c r="C147" s="2" t="s">
        <v>41</v>
      </c>
      <c r="D147" s="2" t="s">
        <v>73</v>
      </c>
      <c r="E147" s="2" t="s">
        <v>19</v>
      </c>
      <c r="F147" s="3" t="n">
        <v>43237</v>
      </c>
      <c r="G147" s="2" t="n">
        <v>79000</v>
      </c>
      <c r="H147" s="2" t="n">
        <v>4.6</v>
      </c>
      <c r="I147" s="2" t="n">
        <f aca="false">ROUND((DATE(2026,8,31)-F147)/365.25,1)</f>
        <v>8.3</v>
      </c>
      <c r="J147" s="2" t="n">
        <f aca="false">ROUND(H147+I147,1)</f>
        <v>12.9</v>
      </c>
      <c r="K147" s="2" t="s">
        <v>20</v>
      </c>
      <c r="L147" s="4" t="n">
        <v>0.12</v>
      </c>
      <c r="M147" s="2" t="n">
        <f aca="false">IF(K147="Yes",ROUND(G147*L147,0),0)</f>
        <v>9480</v>
      </c>
      <c r="N147" s="2" t="n">
        <f aca="false">IF(K147="Yes",ROUND(G147*L147,0),0)</f>
        <v>9480</v>
      </c>
      <c r="O147" s="2" t="s">
        <v>21</v>
      </c>
    </row>
    <row r="148" customFormat="false" ht="15" hidden="false" customHeight="false" outlineLevel="0" collapsed="false">
      <c r="A148" s="2" t="s">
        <v>341</v>
      </c>
      <c r="B148" s="2" t="s">
        <v>342</v>
      </c>
      <c r="C148" s="2" t="s">
        <v>45</v>
      </c>
      <c r="D148" s="2" t="s">
        <v>46</v>
      </c>
      <c r="E148" s="2" t="s">
        <v>19</v>
      </c>
      <c r="F148" s="3" t="n">
        <v>44439</v>
      </c>
      <c r="G148" s="2" t="n">
        <v>29500</v>
      </c>
      <c r="H148" s="2" t="n">
        <v>6</v>
      </c>
      <c r="I148" s="2" t="n">
        <f aca="false">ROUND((DATE(2026,8,31)-F148)/365.25,1)</f>
        <v>5</v>
      </c>
      <c r="J148" s="2" t="n">
        <f aca="false">ROUND(H148+I148,1)</f>
        <v>11</v>
      </c>
      <c r="K148" s="2" t="s">
        <v>20</v>
      </c>
      <c r="L148" s="4" t="n">
        <v>0.12</v>
      </c>
      <c r="M148" s="2" t="n">
        <f aca="false">IF(K148="Yes",ROUND(G148*L148,0),0)</f>
        <v>3540</v>
      </c>
      <c r="N148" s="2" t="n">
        <f aca="false">IF(K148="Yes",ROUND(G148*L148,0),0)</f>
        <v>3540</v>
      </c>
      <c r="O148" s="2" t="s">
        <v>21</v>
      </c>
    </row>
    <row r="149" customFormat="false" ht="15" hidden="false" customHeight="false" outlineLevel="0" collapsed="false">
      <c r="A149" s="2" t="s">
        <v>343</v>
      </c>
      <c r="B149" s="2" t="s">
        <v>344</v>
      </c>
      <c r="C149" s="2" t="s">
        <v>49</v>
      </c>
      <c r="D149" s="2" t="s">
        <v>50</v>
      </c>
      <c r="E149" s="2" t="s">
        <v>19</v>
      </c>
      <c r="F149" s="3" t="n">
        <v>44599</v>
      </c>
      <c r="G149" s="2" t="n">
        <v>36500</v>
      </c>
      <c r="H149" s="2" t="n">
        <v>0</v>
      </c>
      <c r="I149" s="2" t="n">
        <f aca="false">ROUND((DATE(2026,8,31)-F149)/365.25,1)</f>
        <v>4.6</v>
      </c>
      <c r="J149" s="2" t="n">
        <f aca="false">ROUND(H149+I149,1)</f>
        <v>4.6</v>
      </c>
      <c r="K149" s="2" t="s">
        <v>20</v>
      </c>
      <c r="L149" s="4" t="n">
        <v>0.12</v>
      </c>
      <c r="M149" s="2" t="n">
        <f aca="false">IF(K149="Yes",ROUND(G149*L149,0),0)</f>
        <v>4380</v>
      </c>
      <c r="N149" s="2" t="n">
        <f aca="false">IF(K149="Yes",ROUND(G149*L149,0),0)</f>
        <v>4380</v>
      </c>
      <c r="O149" s="2" t="s">
        <v>21</v>
      </c>
    </row>
    <row r="150" customFormat="false" ht="15" hidden="false" customHeight="false" outlineLevel="0" collapsed="false">
      <c r="A150" s="2" t="s">
        <v>345</v>
      </c>
      <c r="B150" s="2" t="s">
        <v>346</v>
      </c>
      <c r="C150" s="2" t="s">
        <v>53</v>
      </c>
      <c r="D150" s="2" t="s">
        <v>103</v>
      </c>
      <c r="E150" s="2" t="s">
        <v>19</v>
      </c>
      <c r="F150" s="3" t="n">
        <v>45074</v>
      </c>
      <c r="G150" s="2" t="n">
        <v>26500</v>
      </c>
      <c r="H150" s="2" t="n">
        <v>7.7</v>
      </c>
      <c r="I150" s="2" t="n">
        <f aca="false">ROUND((DATE(2026,8,31)-F150)/365.25,1)</f>
        <v>3.3</v>
      </c>
      <c r="J150" s="2" t="n">
        <f aca="false">ROUND(H150+I150,1)</f>
        <v>11</v>
      </c>
      <c r="K150" s="2" t="s">
        <v>20</v>
      </c>
      <c r="L150" s="4" t="n">
        <v>0.12</v>
      </c>
      <c r="M150" s="2" t="n">
        <f aca="false">IF(K150="Yes",ROUND(G150*L150,0),0)</f>
        <v>3180</v>
      </c>
      <c r="N150" s="2" t="n">
        <f aca="false">IF(K150="Yes",ROUND(G150*L150,0),0)</f>
        <v>3180</v>
      </c>
      <c r="O150" s="2" t="s">
        <v>21</v>
      </c>
    </row>
    <row r="151" customFormat="false" ht="15" hidden="false" customHeight="false" outlineLevel="0" collapsed="false">
      <c r="A151" s="2" t="s">
        <v>347</v>
      </c>
      <c r="B151" s="2" t="s">
        <v>348</v>
      </c>
      <c r="C151" s="2" t="s">
        <v>57</v>
      </c>
      <c r="D151" s="2" t="s">
        <v>83</v>
      </c>
      <c r="E151" s="2" t="s">
        <v>19</v>
      </c>
      <c r="F151" s="3" t="n">
        <v>45019</v>
      </c>
      <c r="G151" s="2" t="n">
        <v>42500</v>
      </c>
      <c r="H151" s="2" t="n">
        <v>7.7</v>
      </c>
      <c r="I151" s="2" t="n">
        <f aca="false">ROUND((DATE(2026,8,31)-F151)/365.25,1)</f>
        <v>3.4</v>
      </c>
      <c r="J151" s="2" t="n">
        <f aca="false">ROUND(H151+I151,1)</f>
        <v>11.1</v>
      </c>
      <c r="K151" s="2" t="s">
        <v>20</v>
      </c>
      <c r="L151" s="4" t="n">
        <v>0.12</v>
      </c>
      <c r="M151" s="2" t="n">
        <f aca="false">IF(K151="Yes",ROUND(G151*L151,0),0)</f>
        <v>5100</v>
      </c>
      <c r="N151" s="2" t="n">
        <f aca="false">IF(K151="Yes",ROUND(G151*L151,0),0)</f>
        <v>5100</v>
      </c>
      <c r="O151" s="2" t="s">
        <v>21</v>
      </c>
    </row>
    <row r="152" customFormat="false" ht="15" hidden="false" customHeight="false" outlineLevel="0" collapsed="false">
      <c r="A152" s="2" t="s">
        <v>349</v>
      </c>
      <c r="B152" s="2" t="s">
        <v>350</v>
      </c>
      <c r="C152" s="2" t="s">
        <v>17</v>
      </c>
      <c r="D152" s="2" t="s">
        <v>18</v>
      </c>
      <c r="E152" s="2" t="s">
        <v>19</v>
      </c>
      <c r="F152" s="3" t="n">
        <v>46067</v>
      </c>
      <c r="G152" s="2" t="n">
        <v>74500</v>
      </c>
      <c r="H152" s="2" t="n">
        <v>5.4</v>
      </c>
      <c r="I152" s="2" t="n">
        <f aca="false">ROUND((DATE(2026,8,31)-F152)/365.25,1)</f>
        <v>0.5</v>
      </c>
      <c r="J152" s="2" t="n">
        <f aca="false">ROUND(H152+I152,1)</f>
        <v>5.9</v>
      </c>
      <c r="K152" s="2" t="s">
        <v>20</v>
      </c>
      <c r="L152" s="4" t="n">
        <v>0.12</v>
      </c>
      <c r="M152" s="2" t="n">
        <f aca="false">IF(K152="Yes",ROUND(G152*L152,0),0)</f>
        <v>8940</v>
      </c>
      <c r="N152" s="2" t="n">
        <f aca="false">IF(K152="Yes",ROUND(G152*L152,0),0)</f>
        <v>8940</v>
      </c>
      <c r="O152" s="2" t="s">
        <v>21</v>
      </c>
    </row>
    <row r="153" customFormat="false" ht="15" hidden="false" customHeight="false" outlineLevel="0" collapsed="false">
      <c r="A153" s="2" t="s">
        <v>351</v>
      </c>
      <c r="B153" s="2" t="s">
        <v>352</v>
      </c>
      <c r="C153" s="2" t="s">
        <v>24</v>
      </c>
      <c r="D153" s="2" t="s">
        <v>63</v>
      </c>
      <c r="E153" s="2" t="s">
        <v>19</v>
      </c>
      <c r="F153" s="3" t="n">
        <v>44717</v>
      </c>
      <c r="G153" s="2" t="n">
        <v>92000</v>
      </c>
      <c r="H153" s="2" t="n">
        <v>0.1</v>
      </c>
      <c r="I153" s="2" t="n">
        <f aca="false">ROUND((DATE(2026,8,31)-F153)/365.25,1)</f>
        <v>4.2</v>
      </c>
      <c r="J153" s="2" t="n">
        <f aca="false">ROUND(H153+I153,1)</f>
        <v>4.3</v>
      </c>
      <c r="K153" s="2" t="s">
        <v>20</v>
      </c>
      <c r="L153" s="4" t="n">
        <v>0.12</v>
      </c>
      <c r="M153" s="2" t="n">
        <f aca="false">IF(K153="Yes",ROUND(G153*L153,0),0)</f>
        <v>11040</v>
      </c>
      <c r="N153" s="2" t="n">
        <f aca="false">IF(K153="Yes",ROUND(G153*L153,0),0)</f>
        <v>11040</v>
      </c>
      <c r="O153" s="2" t="s">
        <v>21</v>
      </c>
    </row>
    <row r="154" customFormat="false" ht="15" hidden="false" customHeight="false" outlineLevel="0" collapsed="false">
      <c r="A154" s="2" t="s">
        <v>353</v>
      </c>
      <c r="B154" s="2" t="s">
        <v>354</v>
      </c>
      <c r="C154" s="2" t="s">
        <v>28</v>
      </c>
      <c r="D154" s="2" t="s">
        <v>66</v>
      </c>
      <c r="E154" s="2" t="s">
        <v>19</v>
      </c>
      <c r="F154" s="3" t="n">
        <v>45856</v>
      </c>
      <c r="G154" s="2" t="n">
        <v>79000</v>
      </c>
      <c r="H154" s="2" t="n">
        <v>6</v>
      </c>
      <c r="I154" s="2" t="n">
        <f aca="false">ROUND((DATE(2026,8,31)-F154)/365.25,1)</f>
        <v>1.1</v>
      </c>
      <c r="J154" s="2" t="n">
        <f aca="false">ROUND(H154+I154,1)</f>
        <v>7.1</v>
      </c>
      <c r="K154" s="2" t="s">
        <v>20</v>
      </c>
      <c r="L154" s="4" t="n">
        <v>0.12</v>
      </c>
      <c r="M154" s="2" t="n">
        <f aca="false">IF(K154="Yes",ROUND(G154*L154,0),0)</f>
        <v>9480</v>
      </c>
      <c r="N154" s="2" t="n">
        <f aca="false">IF(K154="Yes",ROUND(G154*L154,0),0)</f>
        <v>9480</v>
      </c>
      <c r="O154" s="2" t="s">
        <v>21</v>
      </c>
    </row>
    <row r="155" customFormat="false" ht="15" hidden="false" customHeight="false" outlineLevel="0" collapsed="false">
      <c r="A155" s="2" t="s">
        <v>355</v>
      </c>
      <c r="B155" s="2" t="s">
        <v>356</v>
      </c>
      <c r="C155" s="2" t="s">
        <v>32</v>
      </c>
      <c r="D155" s="2" t="s">
        <v>37</v>
      </c>
      <c r="E155" s="2" t="s">
        <v>19</v>
      </c>
      <c r="F155" s="3" t="n">
        <v>44622</v>
      </c>
      <c r="G155" s="2" t="n">
        <v>87000</v>
      </c>
      <c r="H155" s="2" t="n">
        <v>0.9</v>
      </c>
      <c r="I155" s="2" t="n">
        <f aca="false">ROUND((DATE(2026,8,31)-F155)/365.25,1)</f>
        <v>4.5</v>
      </c>
      <c r="J155" s="2" t="n">
        <f aca="false">ROUND(H155+I155,1)</f>
        <v>5.4</v>
      </c>
      <c r="K155" s="2" t="s">
        <v>20</v>
      </c>
      <c r="L155" s="4" t="n">
        <v>0.12</v>
      </c>
      <c r="M155" s="2" t="n">
        <f aca="false">IF(K155="Yes",ROUND(G155*L155,0),0)</f>
        <v>10440</v>
      </c>
      <c r="N155" s="2" t="n">
        <f aca="false">IF(K155="Yes",ROUND(G155*L155,0),0)</f>
        <v>10440</v>
      </c>
      <c r="O155" s="2" t="s">
        <v>21</v>
      </c>
    </row>
    <row r="156" customFormat="false" ht="15" hidden="false" customHeight="false" outlineLevel="0" collapsed="false">
      <c r="A156" s="2" t="s">
        <v>357</v>
      </c>
      <c r="B156" s="2" t="s">
        <v>358</v>
      </c>
      <c r="C156" s="2" t="s">
        <v>36</v>
      </c>
      <c r="D156" s="2" t="s">
        <v>33</v>
      </c>
      <c r="E156" s="2" t="s">
        <v>19</v>
      </c>
      <c r="F156" s="3" t="n">
        <v>45400</v>
      </c>
      <c r="G156" s="2" t="n">
        <v>42500</v>
      </c>
      <c r="H156" s="2" t="n">
        <v>0</v>
      </c>
      <c r="I156" s="2" t="n">
        <f aca="false">ROUND((DATE(2026,8,31)-F156)/365.25,1)</f>
        <v>2.4</v>
      </c>
      <c r="J156" s="2" t="n">
        <f aca="false">ROUND(H156+I156,1)</f>
        <v>2.4</v>
      </c>
      <c r="K156" s="2" t="s">
        <v>20</v>
      </c>
      <c r="L156" s="4" t="n">
        <v>0.12</v>
      </c>
      <c r="M156" s="2" t="n">
        <f aca="false">IF(K156="Yes",ROUND(G156*L156,0),0)</f>
        <v>5100</v>
      </c>
      <c r="N156" s="2" t="n">
        <f aca="false">IF(K156="Yes",ROUND(G156*L156,0),0)</f>
        <v>5100</v>
      </c>
      <c r="O156" s="2" t="s">
        <v>21</v>
      </c>
    </row>
    <row r="157" customFormat="false" ht="15" hidden="false" customHeight="false" outlineLevel="0" collapsed="false">
      <c r="A157" s="2" t="s">
        <v>359</v>
      </c>
      <c r="B157" s="2" t="s">
        <v>360</v>
      </c>
      <c r="C157" s="2" t="s">
        <v>41</v>
      </c>
      <c r="D157" s="2" t="s">
        <v>42</v>
      </c>
      <c r="E157" s="2" t="s">
        <v>19</v>
      </c>
      <c r="F157" s="3" t="n">
        <v>45002</v>
      </c>
      <c r="G157" s="2" t="n">
        <v>39000</v>
      </c>
      <c r="H157" s="2" t="n">
        <v>7.3</v>
      </c>
      <c r="I157" s="2" t="n">
        <f aca="false">ROUND((DATE(2026,8,31)-F157)/365.25,1)</f>
        <v>3.5</v>
      </c>
      <c r="J157" s="2" t="n">
        <f aca="false">ROUND(H157+I157,1)</f>
        <v>10.8</v>
      </c>
      <c r="K157" s="2" t="s">
        <v>20</v>
      </c>
      <c r="L157" s="4" t="n">
        <v>0.12</v>
      </c>
      <c r="M157" s="2" t="n">
        <f aca="false">IF(K157="Yes",ROUND(G157*L157,0),0)</f>
        <v>4680</v>
      </c>
      <c r="N157" s="2" t="n">
        <f aca="false">IF(K157="Yes",ROUND(G157*L157,0),0)</f>
        <v>4680</v>
      </c>
      <c r="O157" s="2" t="s">
        <v>21</v>
      </c>
    </row>
    <row r="158" customFormat="false" ht="15" hidden="false" customHeight="false" outlineLevel="0" collapsed="false">
      <c r="A158" s="2" t="s">
        <v>361</v>
      </c>
      <c r="B158" s="2" t="s">
        <v>362</v>
      </c>
      <c r="C158" s="2" t="s">
        <v>45</v>
      </c>
      <c r="D158" s="2" t="s">
        <v>76</v>
      </c>
      <c r="E158" s="2" t="s">
        <v>38</v>
      </c>
      <c r="F158" s="3" t="n">
        <v>43673</v>
      </c>
      <c r="G158" s="2" t="n">
        <v>62500</v>
      </c>
      <c r="H158" s="2" t="n">
        <v>0.4</v>
      </c>
      <c r="I158" s="2" t="n">
        <f aca="false">ROUND((DATE(2026,8,31)-F158)/365.25,1)</f>
        <v>7.1</v>
      </c>
      <c r="J158" s="2" t="n">
        <f aca="false">ROUND(H158+I158,1)</f>
        <v>7.5</v>
      </c>
      <c r="K158" s="2" t="s">
        <v>20</v>
      </c>
      <c r="L158" s="4" t="n">
        <v>0.12</v>
      </c>
      <c r="M158" s="2" t="n">
        <f aca="false">IF(K158="Yes",ROUND(G158*L158,0),0)</f>
        <v>7500</v>
      </c>
      <c r="N158" s="2" t="n">
        <f aca="false">IF(K158="Yes",ROUND(G158*L158,0),0)</f>
        <v>7500</v>
      </c>
      <c r="O158" s="2" t="s">
        <v>21</v>
      </c>
    </row>
    <row r="159" customFormat="false" ht="15" hidden="false" customHeight="false" outlineLevel="0" collapsed="false">
      <c r="A159" s="2" t="s">
        <v>363</v>
      </c>
      <c r="B159" s="2" t="s">
        <v>364</v>
      </c>
      <c r="C159" s="2" t="s">
        <v>49</v>
      </c>
      <c r="D159" s="2" t="s">
        <v>63</v>
      </c>
      <c r="E159" s="2" t="s">
        <v>19</v>
      </c>
      <c r="F159" s="3" t="n">
        <v>43499</v>
      </c>
      <c r="G159" s="2" t="n">
        <v>95000</v>
      </c>
      <c r="H159" s="2" t="n">
        <v>1.9</v>
      </c>
      <c r="I159" s="2" t="n">
        <f aca="false">ROUND((DATE(2026,8,31)-F159)/365.25,1)</f>
        <v>7.6</v>
      </c>
      <c r="J159" s="2" t="n">
        <f aca="false">ROUND(H159+I159,1)</f>
        <v>9.5</v>
      </c>
      <c r="K159" s="2" t="s">
        <v>20</v>
      </c>
      <c r="L159" s="4" t="n">
        <v>0.12</v>
      </c>
      <c r="M159" s="2" t="n">
        <f aca="false">IF(K159="Yes",ROUND(G159*L159,0),0)</f>
        <v>11400</v>
      </c>
      <c r="N159" s="2" t="n">
        <f aca="false">IF(K159="Yes",ROUND(G159*L159,0),0)</f>
        <v>11400</v>
      </c>
      <c r="O159" s="2" t="s">
        <v>21</v>
      </c>
    </row>
    <row r="160" customFormat="false" ht="15" hidden="false" customHeight="false" outlineLevel="0" collapsed="false">
      <c r="A160" s="2" t="s">
        <v>365</v>
      </c>
      <c r="B160" s="2" t="s">
        <v>366</v>
      </c>
      <c r="C160" s="2" t="s">
        <v>53</v>
      </c>
      <c r="D160" s="2" t="s">
        <v>54</v>
      </c>
      <c r="E160" s="2" t="s">
        <v>19</v>
      </c>
      <c r="F160" s="3" t="n">
        <v>44620</v>
      </c>
      <c r="G160" s="2" t="n">
        <v>35000</v>
      </c>
      <c r="H160" s="2" t="n">
        <v>5.4</v>
      </c>
      <c r="I160" s="2" t="n">
        <f aca="false">ROUND((DATE(2026,8,31)-F160)/365.25,1)</f>
        <v>4.5</v>
      </c>
      <c r="J160" s="2" t="n">
        <f aca="false">ROUND(H160+I160,1)</f>
        <v>9.9</v>
      </c>
      <c r="K160" s="2" t="s">
        <v>20</v>
      </c>
      <c r="L160" s="4" t="n">
        <v>0.12</v>
      </c>
      <c r="M160" s="2" t="n">
        <f aca="false">IF(K160="Yes",ROUND(G160*L160,0),0)</f>
        <v>4200</v>
      </c>
      <c r="N160" s="2" t="n">
        <f aca="false">IF(K160="Yes",ROUND(G160*L160,0),0)</f>
        <v>4200</v>
      </c>
      <c r="O160" s="2" t="s">
        <v>21</v>
      </c>
    </row>
    <row r="161" customFormat="false" ht="15" hidden="false" customHeight="false" outlineLevel="0" collapsed="false">
      <c r="A161" s="2" t="s">
        <v>367</v>
      </c>
      <c r="B161" s="2" t="s">
        <v>368</v>
      </c>
      <c r="C161" s="2" t="s">
        <v>57</v>
      </c>
      <c r="D161" s="2" t="s">
        <v>83</v>
      </c>
      <c r="E161" s="2" t="s">
        <v>19</v>
      </c>
      <c r="F161" s="3" t="n">
        <v>46141</v>
      </c>
      <c r="G161" s="2" t="n">
        <v>73500</v>
      </c>
      <c r="H161" s="2" t="n">
        <v>5.8</v>
      </c>
      <c r="I161" s="2" t="n">
        <f aca="false">ROUND((DATE(2026,8,31)-F161)/365.25,1)</f>
        <v>0.3</v>
      </c>
      <c r="J161" s="2" t="n">
        <f aca="false">ROUND(H161+I161,1)</f>
        <v>6.1</v>
      </c>
      <c r="K161" s="2" t="s">
        <v>20</v>
      </c>
      <c r="L161" s="4" t="n">
        <v>0.12</v>
      </c>
      <c r="M161" s="2" t="n">
        <f aca="false">IF(K161="Yes",ROUND(G161*L161,0),0)</f>
        <v>8820</v>
      </c>
      <c r="N161" s="2" t="n">
        <f aca="false">IF(K161="Yes",ROUND(G161*L161,0),0)</f>
        <v>8820</v>
      </c>
      <c r="O161" s="2" t="s">
        <v>21</v>
      </c>
    </row>
    <row r="162" customFormat="false" ht="15" hidden="false" customHeight="false" outlineLevel="0" collapsed="false">
      <c r="A162" s="2" t="s">
        <v>369</v>
      </c>
      <c r="B162" s="2" t="s">
        <v>370</v>
      </c>
      <c r="C162" s="2" t="s">
        <v>17</v>
      </c>
      <c r="D162" s="2" t="s">
        <v>148</v>
      </c>
      <c r="E162" s="2" t="s">
        <v>19</v>
      </c>
      <c r="F162" s="3" t="n">
        <v>45105</v>
      </c>
      <c r="G162" s="2" t="n">
        <v>89500</v>
      </c>
      <c r="H162" s="2" t="n">
        <v>4.9</v>
      </c>
      <c r="I162" s="2" t="n">
        <f aca="false">ROUND((DATE(2026,8,31)-F162)/365.25,1)</f>
        <v>3.2</v>
      </c>
      <c r="J162" s="2" t="n">
        <f aca="false">ROUND(H162+I162,1)</f>
        <v>8.1</v>
      </c>
      <c r="K162" s="2" t="s">
        <v>20</v>
      </c>
      <c r="L162" s="4" t="n">
        <v>0.12</v>
      </c>
      <c r="M162" s="2" t="n">
        <f aca="false">IF(K162="Yes",ROUND(G162*L162,0),0)</f>
        <v>10740</v>
      </c>
      <c r="N162" s="2" t="n">
        <f aca="false">IF(K162="Yes",ROUND(G162*L162,0),0)</f>
        <v>10740</v>
      </c>
      <c r="O162" s="2" t="s">
        <v>21</v>
      </c>
    </row>
    <row r="163" customFormat="false" ht="15" hidden="false" customHeight="false" outlineLevel="0" collapsed="false">
      <c r="A163" s="2" t="s">
        <v>371</v>
      </c>
      <c r="B163" s="2" t="s">
        <v>372</v>
      </c>
      <c r="C163" s="2" t="s">
        <v>24</v>
      </c>
      <c r="D163" s="2" t="s">
        <v>63</v>
      </c>
      <c r="E163" s="2" t="s">
        <v>19</v>
      </c>
      <c r="F163" s="3" t="n">
        <v>45928</v>
      </c>
      <c r="G163" s="2" t="n">
        <v>84500</v>
      </c>
      <c r="H163" s="2" t="n">
        <v>0</v>
      </c>
      <c r="I163" s="2" t="n">
        <f aca="false">ROUND((DATE(2026,8,31)-F163)/365.25,1)</f>
        <v>0.9</v>
      </c>
      <c r="J163" s="2" t="n">
        <f aca="false">ROUND(H163+I163,1)</f>
        <v>0.9</v>
      </c>
      <c r="K163" s="2" t="s">
        <v>20</v>
      </c>
      <c r="L163" s="4" t="n">
        <v>0.12</v>
      </c>
      <c r="M163" s="2" t="n">
        <f aca="false">IF(K163="Yes",ROUND(G163*L163,0),0)</f>
        <v>10140</v>
      </c>
      <c r="N163" s="2" t="n">
        <f aca="false">IF(K163="Yes",ROUND(G163*L163,0),0)</f>
        <v>10140</v>
      </c>
      <c r="O163" s="2" t="s">
        <v>21</v>
      </c>
    </row>
    <row r="164" customFormat="false" ht="15" hidden="false" customHeight="false" outlineLevel="0" collapsed="false">
      <c r="A164" s="2" t="s">
        <v>373</v>
      </c>
      <c r="B164" s="2" t="s">
        <v>374</v>
      </c>
      <c r="C164" s="2" t="s">
        <v>28</v>
      </c>
      <c r="D164" s="2" t="s">
        <v>29</v>
      </c>
      <c r="E164" s="2" t="s">
        <v>19</v>
      </c>
      <c r="F164" s="3" t="n">
        <v>43507</v>
      </c>
      <c r="G164" s="2" t="n">
        <v>32000</v>
      </c>
      <c r="H164" s="2" t="n">
        <v>7.8</v>
      </c>
      <c r="I164" s="2" t="n">
        <f aca="false">ROUND((DATE(2026,8,31)-F164)/365.25,1)</f>
        <v>7.6</v>
      </c>
      <c r="J164" s="2" t="n">
        <f aca="false">ROUND(H164+I164,1)</f>
        <v>15.4</v>
      </c>
      <c r="K164" s="2" t="s">
        <v>20</v>
      </c>
      <c r="L164" s="4" t="n">
        <v>0.12</v>
      </c>
      <c r="M164" s="2" t="n">
        <f aca="false">IF(K164="Yes",ROUND(G164*L164,0),0)</f>
        <v>3840</v>
      </c>
      <c r="N164" s="2" t="n">
        <f aca="false">IF(K164="Yes",ROUND(G164*L164,0),0)</f>
        <v>3840</v>
      </c>
      <c r="O164" s="2" t="s">
        <v>21</v>
      </c>
    </row>
    <row r="165" customFormat="false" ht="15" hidden="false" customHeight="false" outlineLevel="0" collapsed="false">
      <c r="A165" s="2" t="s">
        <v>375</v>
      </c>
      <c r="B165" s="2" t="s">
        <v>376</v>
      </c>
      <c r="C165" s="2" t="s">
        <v>32</v>
      </c>
      <c r="D165" s="2" t="s">
        <v>92</v>
      </c>
      <c r="E165" s="2" t="s">
        <v>19</v>
      </c>
      <c r="F165" s="3" t="n">
        <v>43349</v>
      </c>
      <c r="G165" s="2" t="n">
        <v>37000</v>
      </c>
      <c r="H165" s="2" t="n">
        <v>3.2</v>
      </c>
      <c r="I165" s="2" t="n">
        <f aca="false">ROUND((DATE(2026,8,31)-F165)/365.25,1)</f>
        <v>8</v>
      </c>
      <c r="J165" s="2" t="n">
        <f aca="false">ROUND(H165+I165,1)</f>
        <v>11.2</v>
      </c>
      <c r="K165" s="2" t="s">
        <v>20</v>
      </c>
      <c r="L165" s="4" t="n">
        <v>0.12</v>
      </c>
      <c r="M165" s="2" t="n">
        <f aca="false">IF(K165="Yes",ROUND(G165*L165,0),0)</f>
        <v>4440</v>
      </c>
      <c r="N165" s="2" t="n">
        <f aca="false">IF(K165="Yes",ROUND(G165*L165,0),0)</f>
        <v>4440</v>
      </c>
      <c r="O165" s="2" t="s">
        <v>21</v>
      </c>
    </row>
    <row r="166" customFormat="false" ht="15" hidden="false" customHeight="false" outlineLevel="0" collapsed="false">
      <c r="A166" s="2" t="s">
        <v>377</v>
      </c>
      <c r="B166" s="2" t="s">
        <v>378</v>
      </c>
      <c r="C166" s="2" t="s">
        <v>36</v>
      </c>
      <c r="D166" s="2" t="s">
        <v>33</v>
      </c>
      <c r="E166" s="2" t="s">
        <v>19</v>
      </c>
      <c r="F166" s="3" t="n">
        <v>44963</v>
      </c>
      <c r="G166" s="2" t="n">
        <v>50000</v>
      </c>
      <c r="H166" s="2" t="n">
        <v>0.7</v>
      </c>
      <c r="I166" s="2" t="n">
        <f aca="false">ROUND((DATE(2026,8,31)-F166)/365.25,1)</f>
        <v>3.6</v>
      </c>
      <c r="J166" s="2" t="n">
        <f aca="false">ROUND(H166+I166,1)</f>
        <v>4.3</v>
      </c>
      <c r="K166" s="2" t="s">
        <v>20</v>
      </c>
      <c r="L166" s="4" t="n">
        <v>0.12</v>
      </c>
      <c r="M166" s="2" t="n">
        <f aca="false">IF(K166="Yes",ROUND(G166*L166,0),0)</f>
        <v>6000</v>
      </c>
      <c r="N166" s="2" t="n">
        <f aca="false">IF(K166="Yes",ROUND(G166*L166,0),0)</f>
        <v>6000</v>
      </c>
      <c r="O166" s="2" t="s">
        <v>21</v>
      </c>
    </row>
    <row r="167" customFormat="false" ht="15" hidden="false" customHeight="false" outlineLevel="0" collapsed="false">
      <c r="A167" s="2" t="s">
        <v>379</v>
      </c>
      <c r="B167" s="2" t="s">
        <v>380</v>
      </c>
      <c r="C167" s="2" t="s">
        <v>41</v>
      </c>
      <c r="D167" s="2" t="s">
        <v>42</v>
      </c>
      <c r="E167" s="2" t="s">
        <v>19</v>
      </c>
      <c r="F167" s="3" t="n">
        <v>44467</v>
      </c>
      <c r="G167" s="2" t="n">
        <v>19500</v>
      </c>
      <c r="H167" s="2" t="n">
        <v>1.9</v>
      </c>
      <c r="I167" s="2" t="n">
        <f aca="false">ROUND((DATE(2026,8,31)-F167)/365.25,1)</f>
        <v>4.9</v>
      </c>
      <c r="J167" s="2" t="n">
        <f aca="false">ROUND(H167+I167,1)</f>
        <v>6.8</v>
      </c>
      <c r="K167" s="2" t="s">
        <v>20</v>
      </c>
      <c r="L167" s="4" t="n">
        <v>0.12</v>
      </c>
      <c r="M167" s="2" t="n">
        <f aca="false">IF(K167="Yes",ROUND(G167*L167,0),0)</f>
        <v>2340</v>
      </c>
      <c r="N167" s="2" t="n">
        <f aca="false">IF(K167="Yes",ROUND(G167*L167,0),0)</f>
        <v>2340</v>
      </c>
      <c r="O167" s="2" t="s">
        <v>21</v>
      </c>
    </row>
    <row r="168" customFormat="false" ht="15" hidden="false" customHeight="false" outlineLevel="0" collapsed="false">
      <c r="A168" s="2" t="s">
        <v>381</v>
      </c>
      <c r="B168" s="2" t="s">
        <v>382</v>
      </c>
      <c r="C168" s="2" t="s">
        <v>45</v>
      </c>
      <c r="D168" s="2" t="s">
        <v>46</v>
      </c>
      <c r="E168" s="2" t="s">
        <v>19</v>
      </c>
      <c r="F168" s="3" t="n">
        <v>45371</v>
      </c>
      <c r="G168" s="2" t="n">
        <v>22000</v>
      </c>
      <c r="H168" s="2" t="n">
        <v>1.7</v>
      </c>
      <c r="I168" s="2" t="n">
        <f aca="false">ROUND((DATE(2026,8,31)-F168)/365.25,1)</f>
        <v>2.4</v>
      </c>
      <c r="J168" s="2" t="n">
        <f aca="false">ROUND(H168+I168,1)</f>
        <v>4.1</v>
      </c>
      <c r="K168" s="2" t="s">
        <v>20</v>
      </c>
      <c r="L168" s="4" t="n">
        <v>0.12</v>
      </c>
      <c r="M168" s="2" t="n">
        <f aca="false">IF(K168="Yes",ROUND(G168*L168,0),0)</f>
        <v>2640</v>
      </c>
      <c r="N168" s="2" t="n">
        <f aca="false">IF(K168="Yes",ROUND(G168*L168,0),0)</f>
        <v>2640</v>
      </c>
      <c r="O168" s="2" t="s">
        <v>21</v>
      </c>
    </row>
    <row r="169" customFormat="false" ht="15" hidden="false" customHeight="false" outlineLevel="0" collapsed="false">
      <c r="A169" s="2" t="s">
        <v>383</v>
      </c>
      <c r="B169" s="2" t="s">
        <v>384</v>
      </c>
      <c r="C169" s="2" t="s">
        <v>49</v>
      </c>
      <c r="D169" s="2" t="s">
        <v>50</v>
      </c>
      <c r="E169" s="2" t="s">
        <v>19</v>
      </c>
      <c r="F169" s="3" t="n">
        <v>43705</v>
      </c>
      <c r="G169" s="2" t="n">
        <v>30000</v>
      </c>
      <c r="H169" s="2" t="n">
        <v>6.3</v>
      </c>
      <c r="I169" s="2" t="n">
        <f aca="false">ROUND((DATE(2026,8,31)-F169)/365.25,1)</f>
        <v>7</v>
      </c>
      <c r="J169" s="2" t="n">
        <f aca="false">ROUND(H169+I169,1)</f>
        <v>13.3</v>
      </c>
      <c r="K169" s="2" t="s">
        <v>20</v>
      </c>
      <c r="L169" s="4" t="n">
        <v>0.12</v>
      </c>
      <c r="M169" s="2" t="n">
        <f aca="false">IF(K169="Yes",ROUND(G169*L169,0),0)</f>
        <v>3600</v>
      </c>
      <c r="N169" s="2" t="n">
        <f aca="false">IF(K169="Yes",ROUND(G169*L169,0),0)</f>
        <v>3600</v>
      </c>
      <c r="O169" s="2" t="s">
        <v>21</v>
      </c>
    </row>
    <row r="170" customFormat="false" ht="15" hidden="false" customHeight="false" outlineLevel="0" collapsed="false">
      <c r="A170" s="2" t="s">
        <v>385</v>
      </c>
      <c r="B170" s="2" t="s">
        <v>386</v>
      </c>
      <c r="C170" s="2" t="s">
        <v>53</v>
      </c>
      <c r="D170" s="2" t="s">
        <v>54</v>
      </c>
      <c r="E170" s="2" t="s">
        <v>19</v>
      </c>
      <c r="F170" s="3" t="n">
        <v>43633</v>
      </c>
      <c r="G170" s="2" t="n">
        <v>24500</v>
      </c>
      <c r="H170" s="2" t="n">
        <v>0</v>
      </c>
      <c r="I170" s="2" t="n">
        <f aca="false">ROUND((DATE(2026,8,31)-F170)/365.25,1)</f>
        <v>7.2</v>
      </c>
      <c r="J170" s="2" t="n">
        <f aca="false">ROUND(H170+I170,1)</f>
        <v>7.2</v>
      </c>
      <c r="K170" s="2" t="s">
        <v>20</v>
      </c>
      <c r="L170" s="4" t="n">
        <v>0.12</v>
      </c>
      <c r="M170" s="2" t="n">
        <f aca="false">IF(K170="Yes",ROUND(G170*L170,0),0)</f>
        <v>2940</v>
      </c>
      <c r="N170" s="2" t="n">
        <f aca="false">IF(K170="Yes",ROUND(G170*L170,0),0)</f>
        <v>2940</v>
      </c>
      <c r="O170" s="2" t="s">
        <v>21</v>
      </c>
    </row>
    <row r="171" customFormat="false" ht="15" hidden="false" customHeight="false" outlineLevel="0" collapsed="false">
      <c r="A171" s="2" t="s">
        <v>387</v>
      </c>
      <c r="B171" s="2" t="s">
        <v>388</v>
      </c>
      <c r="C171" s="2" t="s">
        <v>57</v>
      </c>
      <c r="D171" s="2" t="s">
        <v>58</v>
      </c>
      <c r="E171" s="2" t="s">
        <v>19</v>
      </c>
      <c r="F171" s="3" t="n">
        <v>43206</v>
      </c>
      <c r="G171" s="2" t="n">
        <v>29000</v>
      </c>
      <c r="H171" s="2" t="n">
        <v>1.1</v>
      </c>
      <c r="I171" s="2" t="n">
        <f aca="false">ROUND((DATE(2026,8,31)-F171)/365.25,1)</f>
        <v>8.4</v>
      </c>
      <c r="J171" s="2" t="n">
        <f aca="false">ROUND(H171+I171,1)</f>
        <v>9.5</v>
      </c>
      <c r="K171" s="2" t="s">
        <v>20</v>
      </c>
      <c r="L171" s="4" t="n">
        <v>0.12</v>
      </c>
      <c r="M171" s="2" t="n">
        <f aca="false">IF(K171="Yes",ROUND(G171*L171,0),0)</f>
        <v>3480</v>
      </c>
      <c r="N171" s="2" t="n">
        <f aca="false">IF(K171="Yes",ROUND(G171*L171,0),0)</f>
        <v>3480</v>
      </c>
      <c r="O171" s="2" t="s">
        <v>21</v>
      </c>
    </row>
    <row r="172" customFormat="false" ht="15" hidden="false" customHeight="false" outlineLevel="0" collapsed="false">
      <c r="A172" s="2" t="s">
        <v>389</v>
      </c>
      <c r="B172" s="2" t="s">
        <v>390</v>
      </c>
      <c r="C172" s="2" t="s">
        <v>17</v>
      </c>
      <c r="D172" s="2" t="s">
        <v>18</v>
      </c>
      <c r="E172" s="2" t="s">
        <v>19</v>
      </c>
      <c r="F172" s="3" t="n">
        <v>44427</v>
      </c>
      <c r="G172" s="2" t="n">
        <v>68500</v>
      </c>
      <c r="H172" s="2" t="n">
        <v>0.1</v>
      </c>
      <c r="I172" s="2" t="n">
        <f aca="false">ROUND((DATE(2026,8,31)-F172)/365.25,1)</f>
        <v>5</v>
      </c>
      <c r="J172" s="2" t="n">
        <f aca="false">ROUND(H172+I172,1)</f>
        <v>5.1</v>
      </c>
      <c r="K172" s="2" t="s">
        <v>20</v>
      </c>
      <c r="L172" s="4" t="n">
        <v>0.12</v>
      </c>
      <c r="M172" s="2" t="n">
        <f aca="false">IF(K172="Yes",ROUND(G172*L172,0),0)</f>
        <v>8220</v>
      </c>
      <c r="N172" s="2" t="n">
        <f aca="false">IF(K172="Yes",ROUND(G172*L172,0),0)</f>
        <v>8220</v>
      </c>
      <c r="O172" s="2" t="s">
        <v>21</v>
      </c>
    </row>
    <row r="173" customFormat="false" ht="15" hidden="false" customHeight="false" outlineLevel="0" collapsed="false">
      <c r="A173" s="2" t="s">
        <v>391</v>
      </c>
      <c r="B173" s="2" t="s">
        <v>392</v>
      </c>
      <c r="C173" s="2" t="s">
        <v>24</v>
      </c>
      <c r="D173" s="2" t="s">
        <v>25</v>
      </c>
      <c r="E173" s="2" t="s">
        <v>19</v>
      </c>
      <c r="F173" s="3" t="n">
        <v>45255</v>
      </c>
      <c r="G173" s="2" t="n">
        <v>125000</v>
      </c>
      <c r="H173" s="2" t="n">
        <v>0.9</v>
      </c>
      <c r="I173" s="2" t="n">
        <f aca="false">ROUND((DATE(2026,8,31)-F173)/365.25,1)</f>
        <v>2.8</v>
      </c>
      <c r="J173" s="2" t="n">
        <f aca="false">ROUND(H173+I173,1)</f>
        <v>3.7</v>
      </c>
      <c r="K173" s="2" t="s">
        <v>20</v>
      </c>
      <c r="L173" s="4" t="n">
        <v>0.12</v>
      </c>
      <c r="M173" s="2" t="n">
        <f aca="false">IF(K173="Yes",ROUND(G173*L173,0),0)</f>
        <v>15000</v>
      </c>
      <c r="N173" s="2" t="n">
        <f aca="false">IF(K173="Yes",ROUND(G173*L173,0),0)</f>
        <v>15000</v>
      </c>
      <c r="O173" s="2" t="s">
        <v>21</v>
      </c>
    </row>
    <row r="174" customFormat="false" ht="15" hidden="false" customHeight="false" outlineLevel="0" collapsed="false">
      <c r="A174" s="2" t="s">
        <v>393</v>
      </c>
      <c r="B174" s="2" t="s">
        <v>394</v>
      </c>
      <c r="C174" s="2" t="s">
        <v>28</v>
      </c>
      <c r="D174" s="2" t="s">
        <v>66</v>
      </c>
      <c r="E174" s="2" t="s">
        <v>19</v>
      </c>
      <c r="F174" s="3" t="n">
        <v>44583</v>
      </c>
      <c r="G174" s="2" t="n">
        <v>106000</v>
      </c>
      <c r="H174" s="2" t="n">
        <v>4.1</v>
      </c>
      <c r="I174" s="2" t="n">
        <f aca="false">ROUND((DATE(2026,8,31)-F174)/365.25,1)</f>
        <v>4.6</v>
      </c>
      <c r="J174" s="2" t="n">
        <f aca="false">ROUND(H174+I174,1)</f>
        <v>8.7</v>
      </c>
      <c r="K174" s="2" t="s">
        <v>20</v>
      </c>
      <c r="L174" s="4" t="n">
        <v>0.12</v>
      </c>
      <c r="M174" s="2" t="n">
        <f aca="false">IF(K174="Yes",ROUND(G174*L174,0),0)</f>
        <v>12720</v>
      </c>
      <c r="N174" s="2" t="n">
        <f aca="false">IF(K174="Yes",ROUND(G174*L174,0),0)</f>
        <v>12720</v>
      </c>
      <c r="O174" s="2" t="s">
        <v>21</v>
      </c>
    </row>
    <row r="175" customFormat="false" ht="15" hidden="false" customHeight="false" outlineLevel="0" collapsed="false">
      <c r="A175" s="2" t="s">
        <v>395</v>
      </c>
      <c r="B175" s="2" t="s">
        <v>396</v>
      </c>
      <c r="C175" s="2" t="s">
        <v>32</v>
      </c>
      <c r="D175" s="2" t="s">
        <v>92</v>
      </c>
      <c r="E175" s="2" t="s">
        <v>19</v>
      </c>
      <c r="F175" s="3" t="n">
        <v>45620</v>
      </c>
      <c r="G175" s="2" t="n">
        <v>32500</v>
      </c>
      <c r="H175" s="2" t="n">
        <v>0.3</v>
      </c>
      <c r="I175" s="2" t="n">
        <f aca="false">ROUND((DATE(2026,8,31)-F175)/365.25,1)</f>
        <v>1.8</v>
      </c>
      <c r="J175" s="2" t="n">
        <f aca="false">ROUND(H175+I175,1)</f>
        <v>2.1</v>
      </c>
      <c r="K175" s="2" t="s">
        <v>20</v>
      </c>
      <c r="L175" s="4" t="n">
        <v>0.12</v>
      </c>
      <c r="M175" s="2" t="n">
        <f aca="false">IF(K175="Yes",ROUND(G175*L175,0),0)</f>
        <v>3900</v>
      </c>
      <c r="N175" s="2" t="n">
        <f aca="false">IF(K175="Yes",ROUND(G175*L175,0),0)</f>
        <v>3900</v>
      </c>
      <c r="O175" s="2" t="s">
        <v>21</v>
      </c>
    </row>
    <row r="176" customFormat="false" ht="15" hidden="false" customHeight="false" outlineLevel="0" collapsed="false">
      <c r="A176" s="2" t="s">
        <v>397</v>
      </c>
      <c r="B176" s="2" t="s">
        <v>398</v>
      </c>
      <c r="C176" s="2" t="s">
        <v>36</v>
      </c>
      <c r="D176" s="2" t="s">
        <v>37</v>
      </c>
      <c r="E176" s="2" t="s">
        <v>19</v>
      </c>
      <c r="F176" s="3" t="n">
        <v>45736</v>
      </c>
      <c r="G176" s="2" t="n">
        <v>75000</v>
      </c>
      <c r="H176" s="2" t="n">
        <v>7.7</v>
      </c>
      <c r="I176" s="2" t="n">
        <f aca="false">ROUND((DATE(2026,8,31)-F176)/365.25,1)</f>
        <v>1.4</v>
      </c>
      <c r="J176" s="2" t="n">
        <f aca="false">ROUND(H176+I176,1)</f>
        <v>9.1</v>
      </c>
      <c r="K176" s="2" t="s">
        <v>20</v>
      </c>
      <c r="L176" s="4" t="n">
        <v>0.12</v>
      </c>
      <c r="M176" s="2" t="n">
        <f aca="false">IF(K176="Yes",ROUND(G176*L176,0),0)</f>
        <v>9000</v>
      </c>
      <c r="N176" s="2" t="n">
        <f aca="false">IF(K176="Yes",ROUND(G176*L176,0),0)</f>
        <v>9000</v>
      </c>
      <c r="O176" s="2" t="s">
        <v>21</v>
      </c>
    </row>
    <row r="177" customFormat="false" ht="15" hidden="false" customHeight="false" outlineLevel="0" collapsed="false">
      <c r="A177" s="2" t="s">
        <v>399</v>
      </c>
      <c r="B177" s="2" t="s">
        <v>400</v>
      </c>
      <c r="C177" s="2" t="s">
        <v>41</v>
      </c>
      <c r="D177" s="2" t="s">
        <v>73</v>
      </c>
      <c r="E177" s="2" t="s">
        <v>19</v>
      </c>
      <c r="F177" s="3" t="n">
        <v>44847</v>
      </c>
      <c r="G177" s="2" t="n">
        <v>76500</v>
      </c>
      <c r="H177" s="2" t="n">
        <v>0</v>
      </c>
      <c r="I177" s="2" t="n">
        <f aca="false">ROUND((DATE(2026,8,31)-F177)/365.25,1)</f>
        <v>3.9</v>
      </c>
      <c r="J177" s="2" t="n">
        <f aca="false">ROUND(H177+I177,1)</f>
        <v>3.9</v>
      </c>
      <c r="K177" s="2" t="s">
        <v>20</v>
      </c>
      <c r="L177" s="4" t="n">
        <v>0.12</v>
      </c>
      <c r="M177" s="2" t="n">
        <f aca="false">IF(K177="Yes",ROUND(G177*L177,0),0)</f>
        <v>9180</v>
      </c>
      <c r="N177" s="2" t="n">
        <f aca="false">IF(K177="Yes",ROUND(G177*L177,0),0)</f>
        <v>9180</v>
      </c>
      <c r="O177" s="2" t="s">
        <v>21</v>
      </c>
    </row>
    <row r="178" customFormat="false" ht="15" hidden="false" customHeight="false" outlineLevel="0" collapsed="false">
      <c r="A178" s="2" t="s">
        <v>401</v>
      </c>
      <c r="B178" s="2" t="s">
        <v>402</v>
      </c>
      <c r="C178" s="2" t="s">
        <v>45</v>
      </c>
      <c r="D178" s="2" t="s">
        <v>76</v>
      </c>
      <c r="E178" s="2" t="s">
        <v>19</v>
      </c>
      <c r="F178" s="3" t="n">
        <v>43431</v>
      </c>
      <c r="G178" s="2" t="n">
        <v>60000</v>
      </c>
      <c r="H178" s="2" t="n">
        <v>2.6</v>
      </c>
      <c r="I178" s="2" t="n">
        <f aca="false">ROUND((DATE(2026,8,31)-F178)/365.25,1)</f>
        <v>7.8</v>
      </c>
      <c r="J178" s="2" t="n">
        <f aca="false">ROUND(H178+I178,1)</f>
        <v>10.4</v>
      </c>
      <c r="K178" s="2" t="s">
        <v>20</v>
      </c>
      <c r="L178" s="4" t="n">
        <v>0.12</v>
      </c>
      <c r="M178" s="2" t="n">
        <f aca="false">IF(K178="Yes",ROUND(G178*L178,0),0)</f>
        <v>7200</v>
      </c>
      <c r="N178" s="2" t="n">
        <f aca="false">IF(K178="Yes",ROUND(G178*L178,0),0)</f>
        <v>7200</v>
      </c>
      <c r="O178" s="2" t="s">
        <v>21</v>
      </c>
    </row>
    <row r="179" customFormat="false" ht="15" hidden="false" customHeight="false" outlineLevel="0" collapsed="false">
      <c r="A179" s="2" t="s">
        <v>403</v>
      </c>
      <c r="B179" s="2" t="s">
        <v>404</v>
      </c>
      <c r="C179" s="2" t="s">
        <v>49</v>
      </c>
      <c r="D179" s="2" t="s">
        <v>50</v>
      </c>
      <c r="E179" s="2" t="s">
        <v>19</v>
      </c>
      <c r="F179" s="3" t="n">
        <v>45658</v>
      </c>
      <c r="G179" s="2" t="n">
        <v>28000</v>
      </c>
      <c r="H179" s="2" t="n">
        <v>5.1</v>
      </c>
      <c r="I179" s="2" t="n">
        <f aca="false">ROUND((DATE(2026,8,31)-F179)/365.25,1)</f>
        <v>1.7</v>
      </c>
      <c r="J179" s="2" t="n">
        <f aca="false">ROUND(H179+I179,1)</f>
        <v>6.8</v>
      </c>
      <c r="K179" s="2" t="s">
        <v>20</v>
      </c>
      <c r="L179" s="4" t="n">
        <v>0.12</v>
      </c>
      <c r="M179" s="2" t="n">
        <f aca="false">IF(K179="Yes",ROUND(G179*L179,0),0)</f>
        <v>3360</v>
      </c>
      <c r="N179" s="2" t="n">
        <f aca="false">IF(K179="Yes",ROUND(G179*L179,0),0)</f>
        <v>3360</v>
      </c>
      <c r="O179" s="2" t="s">
        <v>21</v>
      </c>
    </row>
    <row r="180" customFormat="false" ht="15" hidden="false" customHeight="false" outlineLevel="0" collapsed="false">
      <c r="A180" s="2" t="s">
        <v>405</v>
      </c>
      <c r="B180" s="2" t="s">
        <v>406</v>
      </c>
      <c r="C180" s="2" t="s">
        <v>53</v>
      </c>
      <c r="D180" s="2" t="s">
        <v>54</v>
      </c>
      <c r="E180" s="2" t="s">
        <v>19</v>
      </c>
      <c r="F180" s="3" t="n">
        <v>45547</v>
      </c>
      <c r="G180" s="2" t="n">
        <v>32500</v>
      </c>
      <c r="H180" s="2" t="n">
        <v>4.2</v>
      </c>
      <c r="I180" s="2" t="n">
        <f aca="false">ROUND((DATE(2026,8,31)-F180)/365.25,1)</f>
        <v>2</v>
      </c>
      <c r="J180" s="2" t="n">
        <f aca="false">ROUND(H180+I180,1)</f>
        <v>6.2</v>
      </c>
      <c r="K180" s="2" t="s">
        <v>20</v>
      </c>
      <c r="L180" s="4" t="n">
        <v>0.12</v>
      </c>
      <c r="M180" s="2" t="n">
        <f aca="false">IF(K180="Yes",ROUND(G180*L180,0),0)</f>
        <v>3900</v>
      </c>
      <c r="N180" s="2" t="n">
        <f aca="false">IF(K180="Yes",ROUND(G180*L180,0),0)</f>
        <v>3900</v>
      </c>
      <c r="O180" s="2" t="s">
        <v>21</v>
      </c>
    </row>
    <row r="181" customFormat="false" ht="15" hidden="false" customHeight="false" outlineLevel="0" collapsed="false">
      <c r="A181" s="2" t="s">
        <v>407</v>
      </c>
      <c r="B181" s="2" t="s">
        <v>408</v>
      </c>
      <c r="C181" s="2" t="s">
        <v>57</v>
      </c>
      <c r="D181" s="2" t="s">
        <v>83</v>
      </c>
      <c r="E181" s="2" t="s">
        <v>19</v>
      </c>
      <c r="F181" s="3" t="n">
        <v>45975</v>
      </c>
      <c r="G181" s="2" t="n">
        <v>41500</v>
      </c>
      <c r="H181" s="2" t="n">
        <v>0.9</v>
      </c>
      <c r="I181" s="2" t="n">
        <f aca="false">ROUND((DATE(2026,8,31)-F181)/365.25,1)</f>
        <v>0.8</v>
      </c>
      <c r="J181" s="2" t="n">
        <f aca="false">ROUND(H181+I181,1)</f>
        <v>1.7</v>
      </c>
      <c r="K181" s="2" t="s">
        <v>20</v>
      </c>
      <c r="L181" s="4" t="n">
        <v>0.12</v>
      </c>
      <c r="M181" s="2" t="n">
        <f aca="false">IF(K181="Yes",ROUND(G181*L181,0),0)</f>
        <v>4980</v>
      </c>
      <c r="N181" s="2" t="n">
        <f aca="false">IF(K181="Yes",ROUND(G181*L181,0),0)</f>
        <v>4980</v>
      </c>
      <c r="O181" s="2" t="s">
        <v>21</v>
      </c>
    </row>
    <row r="182" customFormat="false" ht="15" hidden="false" customHeight="false" outlineLevel="0" collapsed="false">
      <c r="A182" s="2" t="s">
        <v>409</v>
      </c>
      <c r="B182" s="2" t="s">
        <v>410</v>
      </c>
      <c r="C182" s="2" t="s">
        <v>17</v>
      </c>
      <c r="D182" s="2" t="s">
        <v>18</v>
      </c>
      <c r="E182" s="2" t="s">
        <v>19</v>
      </c>
      <c r="F182" s="3" t="n">
        <v>44950</v>
      </c>
      <c r="G182" s="2" t="n">
        <v>58000</v>
      </c>
      <c r="H182" s="2" t="n">
        <v>7.1</v>
      </c>
      <c r="I182" s="2" t="n">
        <f aca="false">ROUND((DATE(2026,8,31)-F182)/365.25,1)</f>
        <v>3.6</v>
      </c>
      <c r="J182" s="2" t="n">
        <f aca="false">ROUND(H182+I182,1)</f>
        <v>10.7</v>
      </c>
      <c r="K182" s="2" t="s">
        <v>20</v>
      </c>
      <c r="L182" s="4" t="n">
        <v>0.12</v>
      </c>
      <c r="M182" s="2" t="n">
        <f aca="false">IF(K182="Yes",ROUND(G182*L182,0),0)</f>
        <v>6960</v>
      </c>
      <c r="N182" s="2" t="n">
        <f aca="false">IF(K182="Yes",ROUND(G182*L182,0),0)</f>
        <v>6960</v>
      </c>
      <c r="O182" s="2" t="s">
        <v>21</v>
      </c>
    </row>
    <row r="183" customFormat="false" ht="15" hidden="false" customHeight="false" outlineLevel="0" collapsed="false">
      <c r="A183" s="2" t="s">
        <v>411</v>
      </c>
      <c r="B183" s="2" t="s">
        <v>412</v>
      </c>
      <c r="C183" s="2" t="s">
        <v>24</v>
      </c>
      <c r="D183" s="2" t="s">
        <v>151</v>
      </c>
      <c r="E183" s="2" t="s">
        <v>19</v>
      </c>
      <c r="F183" s="3" t="n">
        <v>44804</v>
      </c>
      <c r="G183" s="2" t="n">
        <v>58000</v>
      </c>
      <c r="H183" s="2" t="n">
        <v>5.8</v>
      </c>
      <c r="I183" s="2" t="n">
        <f aca="false">ROUND((DATE(2026,8,31)-F183)/365.25,1)</f>
        <v>4</v>
      </c>
      <c r="J183" s="2" t="n">
        <f aca="false">ROUND(H183+I183,1)</f>
        <v>9.8</v>
      </c>
      <c r="K183" s="2" t="s">
        <v>20</v>
      </c>
      <c r="L183" s="4" t="n">
        <v>0.12</v>
      </c>
      <c r="M183" s="2" t="n">
        <f aca="false">IF(K183="Yes",ROUND(G183*L183,0),0)</f>
        <v>6960</v>
      </c>
      <c r="N183" s="2" t="n">
        <f aca="false">IF(K183="Yes",ROUND(G183*L183,0),0)</f>
        <v>6960</v>
      </c>
      <c r="O183" s="2" t="s">
        <v>21</v>
      </c>
    </row>
    <row r="184" customFormat="false" ht="15" hidden="false" customHeight="false" outlineLevel="0" collapsed="false">
      <c r="A184" s="2" t="s">
        <v>413</v>
      </c>
      <c r="B184" s="2" t="s">
        <v>414</v>
      </c>
      <c r="C184" s="2" t="s">
        <v>28</v>
      </c>
      <c r="D184" s="2" t="s">
        <v>66</v>
      </c>
      <c r="E184" s="2" t="s">
        <v>19</v>
      </c>
      <c r="F184" s="3" t="n">
        <v>44145</v>
      </c>
      <c r="G184" s="2" t="n">
        <v>98500</v>
      </c>
      <c r="H184" s="2" t="n">
        <v>0</v>
      </c>
      <c r="I184" s="2" t="n">
        <f aca="false">ROUND((DATE(2026,8,31)-F184)/365.25,1)</f>
        <v>5.8</v>
      </c>
      <c r="J184" s="2" t="n">
        <f aca="false">ROUND(H184+I184,1)</f>
        <v>5.8</v>
      </c>
      <c r="K184" s="2" t="s">
        <v>20</v>
      </c>
      <c r="L184" s="4" t="n">
        <v>0.12</v>
      </c>
      <c r="M184" s="2" t="n">
        <f aca="false">IF(K184="Yes",ROUND(G184*L184,0),0)</f>
        <v>11820</v>
      </c>
      <c r="N184" s="2" t="n">
        <f aca="false">IF(K184="Yes",ROUND(G184*L184,0),0)</f>
        <v>11820</v>
      </c>
      <c r="O184" s="2" t="s">
        <v>21</v>
      </c>
    </row>
    <row r="185" customFormat="false" ht="15" hidden="false" customHeight="false" outlineLevel="0" collapsed="false">
      <c r="A185" s="2" t="s">
        <v>415</v>
      </c>
      <c r="B185" s="2" t="s">
        <v>416</v>
      </c>
      <c r="C185" s="2" t="s">
        <v>32</v>
      </c>
      <c r="D185" s="2" t="s">
        <v>37</v>
      </c>
      <c r="E185" s="2" t="s">
        <v>19</v>
      </c>
      <c r="F185" s="3" t="n">
        <v>43474</v>
      </c>
      <c r="G185" s="2" t="n">
        <v>49500</v>
      </c>
      <c r="H185" s="2" t="n">
        <v>6.7</v>
      </c>
      <c r="I185" s="2" t="n">
        <f aca="false">ROUND((DATE(2026,8,31)-F185)/365.25,1)</f>
        <v>7.6</v>
      </c>
      <c r="J185" s="2" t="n">
        <f aca="false">ROUND(H185+I185,1)</f>
        <v>14.3</v>
      </c>
      <c r="K185" s="2" t="s">
        <v>20</v>
      </c>
      <c r="L185" s="4" t="n">
        <v>0.12</v>
      </c>
      <c r="M185" s="2" t="n">
        <f aca="false">IF(K185="Yes",ROUND(G185*L185,0),0)</f>
        <v>5940</v>
      </c>
      <c r="N185" s="2" t="n">
        <f aca="false">IF(K185="Yes",ROUND(G185*L185,0),0)</f>
        <v>5940</v>
      </c>
      <c r="O185" s="2" t="s">
        <v>21</v>
      </c>
    </row>
    <row r="186" customFormat="false" ht="15" hidden="false" customHeight="false" outlineLevel="0" collapsed="false">
      <c r="A186" s="2" t="s">
        <v>417</v>
      </c>
      <c r="B186" s="2" t="s">
        <v>418</v>
      </c>
      <c r="C186" s="2" t="s">
        <v>36</v>
      </c>
      <c r="D186" s="2" t="s">
        <v>33</v>
      </c>
      <c r="E186" s="2" t="s">
        <v>19</v>
      </c>
      <c r="F186" s="3" t="n">
        <v>46127</v>
      </c>
      <c r="G186" s="2" t="n">
        <v>46500</v>
      </c>
      <c r="H186" s="2" t="n">
        <v>3</v>
      </c>
      <c r="I186" s="2" t="n">
        <f aca="false">ROUND((DATE(2026,8,31)-F186)/365.25,1)</f>
        <v>0.4</v>
      </c>
      <c r="J186" s="2" t="n">
        <f aca="false">ROUND(H186+I186,1)</f>
        <v>3.4</v>
      </c>
      <c r="K186" s="2" t="s">
        <v>20</v>
      </c>
      <c r="L186" s="4" t="n">
        <v>0.12</v>
      </c>
      <c r="M186" s="2" t="n">
        <f aca="false">IF(K186="Yes",ROUND(G186*L186,0),0)</f>
        <v>5580</v>
      </c>
      <c r="N186" s="2" t="n">
        <f aca="false">IF(K186="Yes",ROUND(G186*L186,0),0)</f>
        <v>5580</v>
      </c>
      <c r="O186" s="2" t="s">
        <v>21</v>
      </c>
    </row>
    <row r="187" customFormat="false" ht="15" hidden="false" customHeight="false" outlineLevel="0" collapsed="false">
      <c r="A187" s="2" t="s">
        <v>419</v>
      </c>
      <c r="B187" s="2" t="s">
        <v>420</v>
      </c>
      <c r="C187" s="2" t="s">
        <v>41</v>
      </c>
      <c r="D187" s="2" t="s">
        <v>42</v>
      </c>
      <c r="E187" s="2" t="s">
        <v>19</v>
      </c>
      <c r="F187" s="3" t="n">
        <v>45401</v>
      </c>
      <c r="G187" s="2" t="n">
        <v>37000</v>
      </c>
      <c r="H187" s="2" t="n">
        <v>4.5</v>
      </c>
      <c r="I187" s="2" t="n">
        <f aca="false">ROUND((DATE(2026,8,31)-F187)/365.25,1)</f>
        <v>2.4</v>
      </c>
      <c r="J187" s="2" t="n">
        <f aca="false">ROUND(H187+I187,1)</f>
        <v>6.9</v>
      </c>
      <c r="K187" s="2" t="s">
        <v>20</v>
      </c>
      <c r="L187" s="4" t="n">
        <v>0.12</v>
      </c>
      <c r="M187" s="2" t="n">
        <f aca="false">IF(K187="Yes",ROUND(G187*L187,0),0)</f>
        <v>4440</v>
      </c>
      <c r="N187" s="2" t="n">
        <f aca="false">IF(K187="Yes",ROUND(G187*L187,0),0)</f>
        <v>4440</v>
      </c>
      <c r="O187" s="2" t="s">
        <v>21</v>
      </c>
    </row>
    <row r="188" customFormat="false" ht="15" hidden="false" customHeight="false" outlineLevel="0" collapsed="false">
      <c r="A188" s="2" t="s">
        <v>421</v>
      </c>
      <c r="B188" s="2" t="s">
        <v>422</v>
      </c>
      <c r="C188" s="2" t="s">
        <v>45</v>
      </c>
      <c r="D188" s="2" t="s">
        <v>76</v>
      </c>
      <c r="E188" s="2" t="s">
        <v>19</v>
      </c>
      <c r="F188" s="3" t="n">
        <v>45826</v>
      </c>
      <c r="G188" s="2" t="n">
        <v>78000</v>
      </c>
      <c r="H188" s="2" t="n">
        <v>7.5</v>
      </c>
      <c r="I188" s="2" t="n">
        <f aca="false">ROUND((DATE(2026,8,31)-F188)/365.25,1)</f>
        <v>1.2</v>
      </c>
      <c r="J188" s="2" t="n">
        <f aca="false">ROUND(H188+I188,1)</f>
        <v>8.7</v>
      </c>
      <c r="K188" s="2" t="s">
        <v>20</v>
      </c>
      <c r="L188" s="4" t="n">
        <v>0.12</v>
      </c>
      <c r="M188" s="2" t="n">
        <f aca="false">IF(K188="Yes",ROUND(G188*L188,0),0)</f>
        <v>9360</v>
      </c>
      <c r="N188" s="2" t="n">
        <f aca="false">IF(K188="Yes",ROUND(G188*L188,0),0)</f>
        <v>9360</v>
      </c>
      <c r="O188" s="2" t="s">
        <v>21</v>
      </c>
    </row>
    <row r="189" customFormat="false" ht="15" hidden="false" customHeight="false" outlineLevel="0" collapsed="false">
      <c r="A189" s="2" t="s">
        <v>423</v>
      </c>
      <c r="B189" s="2" t="s">
        <v>424</v>
      </c>
      <c r="C189" s="2" t="s">
        <v>49</v>
      </c>
      <c r="D189" s="2" t="s">
        <v>50</v>
      </c>
      <c r="E189" s="2" t="s">
        <v>19</v>
      </c>
      <c r="F189" s="3" t="n">
        <v>45560</v>
      </c>
      <c r="G189" s="2" t="n">
        <v>28500</v>
      </c>
      <c r="H189" s="2" t="n">
        <v>2.5</v>
      </c>
      <c r="I189" s="2" t="n">
        <f aca="false">ROUND((DATE(2026,8,31)-F189)/365.25,1)</f>
        <v>1.9</v>
      </c>
      <c r="J189" s="2" t="n">
        <f aca="false">ROUND(H189+I189,1)</f>
        <v>4.4</v>
      </c>
      <c r="K189" s="2" t="s">
        <v>20</v>
      </c>
      <c r="L189" s="4" t="n">
        <v>0.12</v>
      </c>
      <c r="M189" s="2" t="n">
        <f aca="false">IF(K189="Yes",ROUND(G189*L189,0),0)</f>
        <v>3420</v>
      </c>
      <c r="N189" s="2" t="n">
        <f aca="false">IF(K189="Yes",ROUND(G189*L189,0),0)</f>
        <v>3420</v>
      </c>
      <c r="O189" s="2" t="s">
        <v>21</v>
      </c>
    </row>
    <row r="190" customFormat="false" ht="15" hidden="false" customHeight="false" outlineLevel="0" collapsed="false">
      <c r="A190" s="2" t="s">
        <v>425</v>
      </c>
      <c r="B190" s="2" t="s">
        <v>426</v>
      </c>
      <c r="C190" s="2" t="s">
        <v>53</v>
      </c>
      <c r="D190" s="2" t="s">
        <v>103</v>
      </c>
      <c r="E190" s="2" t="s">
        <v>19</v>
      </c>
      <c r="F190" s="3" t="n">
        <v>45790</v>
      </c>
      <c r="G190" s="2" t="n">
        <v>23000</v>
      </c>
      <c r="H190" s="2" t="n">
        <v>3.9</v>
      </c>
      <c r="I190" s="2" t="n">
        <f aca="false">ROUND((DATE(2026,8,31)-F190)/365.25,1)</f>
        <v>1.3</v>
      </c>
      <c r="J190" s="2" t="n">
        <f aca="false">ROUND(H190+I190,1)</f>
        <v>5.2</v>
      </c>
      <c r="K190" s="2" t="s">
        <v>20</v>
      </c>
      <c r="L190" s="4" t="n">
        <v>0.12</v>
      </c>
      <c r="M190" s="2" t="n">
        <f aca="false">IF(K190="Yes",ROUND(G190*L190,0),0)</f>
        <v>2760</v>
      </c>
      <c r="N190" s="2" t="n">
        <f aca="false">IF(K190="Yes",ROUND(G190*L190,0),0)</f>
        <v>2760</v>
      </c>
      <c r="O190" s="2" t="s">
        <v>21</v>
      </c>
    </row>
    <row r="191" customFormat="false" ht="15" hidden="false" customHeight="false" outlineLevel="0" collapsed="false">
      <c r="A191" s="2" t="s">
        <v>427</v>
      </c>
      <c r="B191" s="2" t="s">
        <v>428</v>
      </c>
      <c r="C191" s="2" t="s">
        <v>57</v>
      </c>
      <c r="D191" s="2" t="s">
        <v>83</v>
      </c>
      <c r="E191" s="2" t="s">
        <v>19</v>
      </c>
      <c r="F191" s="3" t="n">
        <v>44606</v>
      </c>
      <c r="G191" s="2" t="n">
        <v>71500</v>
      </c>
      <c r="H191" s="2" t="n">
        <v>0</v>
      </c>
      <c r="I191" s="2" t="n">
        <f aca="false">ROUND((DATE(2026,8,31)-F191)/365.25,1)</f>
        <v>4.5</v>
      </c>
      <c r="J191" s="2" t="n">
        <f aca="false">ROUND(H191+I191,1)</f>
        <v>4.5</v>
      </c>
      <c r="K191" s="2" t="s">
        <v>20</v>
      </c>
      <c r="L191" s="4" t="n">
        <v>0.12</v>
      </c>
      <c r="M191" s="2" t="n">
        <f aca="false">IF(K191="Yes",ROUND(G191*L191,0),0)</f>
        <v>8580</v>
      </c>
      <c r="N191" s="2" t="n">
        <f aca="false">IF(K191="Yes",ROUND(G191*L191,0),0)</f>
        <v>8580</v>
      </c>
      <c r="O191" s="2" t="s">
        <v>21</v>
      </c>
    </row>
    <row r="192" customFormat="false" ht="15" hidden="false" customHeight="false" outlineLevel="0" collapsed="false">
      <c r="A192" s="2" t="s">
        <v>429</v>
      </c>
      <c r="B192" s="2" t="s">
        <v>430</v>
      </c>
      <c r="C192" s="2" t="s">
        <v>17</v>
      </c>
      <c r="D192" s="2" t="s">
        <v>18</v>
      </c>
      <c r="E192" s="2" t="s">
        <v>19</v>
      </c>
      <c r="F192" s="3" t="n">
        <v>44858</v>
      </c>
      <c r="G192" s="2" t="n">
        <v>83000</v>
      </c>
      <c r="H192" s="2" t="n">
        <v>6.8</v>
      </c>
      <c r="I192" s="2" t="n">
        <f aca="false">ROUND((DATE(2026,8,31)-F192)/365.25,1)</f>
        <v>3.9</v>
      </c>
      <c r="J192" s="2" t="n">
        <f aca="false">ROUND(H192+I192,1)</f>
        <v>10.7</v>
      </c>
      <c r="K192" s="2" t="s">
        <v>20</v>
      </c>
      <c r="L192" s="4" t="n">
        <v>0.12</v>
      </c>
      <c r="M192" s="2" t="n">
        <f aca="false">IF(K192="Yes",ROUND(G192*L192,0),0)</f>
        <v>9960</v>
      </c>
      <c r="N192" s="2" t="n">
        <f aca="false">IF(K192="Yes",ROUND(G192*L192,0),0)</f>
        <v>9960</v>
      </c>
      <c r="O192" s="2" t="s">
        <v>21</v>
      </c>
    </row>
    <row r="193" customFormat="false" ht="15" hidden="false" customHeight="false" outlineLevel="0" collapsed="false">
      <c r="A193" s="2" t="s">
        <v>431</v>
      </c>
      <c r="B193" s="2" t="s">
        <v>432</v>
      </c>
      <c r="C193" s="2" t="s">
        <v>24</v>
      </c>
      <c r="D193" s="2" t="s">
        <v>18</v>
      </c>
      <c r="E193" s="2" t="s">
        <v>19</v>
      </c>
      <c r="F193" s="3" t="n">
        <v>45795</v>
      </c>
      <c r="G193" s="2" t="n">
        <v>70000</v>
      </c>
      <c r="H193" s="2" t="n">
        <v>6.6</v>
      </c>
      <c r="I193" s="2" t="n">
        <f aca="false">ROUND((DATE(2026,8,31)-F193)/365.25,1)</f>
        <v>1.3</v>
      </c>
      <c r="J193" s="2" t="n">
        <f aca="false">ROUND(H193+I193,1)</f>
        <v>7.9</v>
      </c>
      <c r="K193" s="2" t="s">
        <v>20</v>
      </c>
      <c r="L193" s="4" t="n">
        <v>0.12</v>
      </c>
      <c r="M193" s="2" t="n">
        <f aca="false">IF(K193="Yes",ROUND(G193*L193,0),0)</f>
        <v>8400</v>
      </c>
      <c r="N193" s="2" t="n">
        <f aca="false">IF(K193="Yes",ROUND(G193*L193,0),0)</f>
        <v>8400</v>
      </c>
      <c r="O193" s="2" t="s">
        <v>21</v>
      </c>
    </row>
    <row r="194" customFormat="false" ht="15" hidden="false" customHeight="false" outlineLevel="0" collapsed="false">
      <c r="A194" s="2" t="s">
        <v>433</v>
      </c>
      <c r="B194" s="2" t="s">
        <v>434</v>
      </c>
      <c r="C194" s="2" t="s">
        <v>28</v>
      </c>
      <c r="D194" s="2" t="s">
        <v>29</v>
      </c>
      <c r="E194" s="2" t="s">
        <v>19</v>
      </c>
      <c r="F194" s="3" t="n">
        <v>45979</v>
      </c>
      <c r="G194" s="2" t="n">
        <v>29000</v>
      </c>
      <c r="H194" s="2" t="n">
        <v>6.1</v>
      </c>
      <c r="I194" s="2" t="n">
        <f aca="false">ROUND((DATE(2026,8,31)-F194)/365.25,1)</f>
        <v>0.8</v>
      </c>
      <c r="J194" s="2" t="n">
        <f aca="false">ROUND(H194+I194,1)</f>
        <v>6.9</v>
      </c>
      <c r="K194" s="2" t="s">
        <v>20</v>
      </c>
      <c r="L194" s="4" t="n">
        <v>0.12</v>
      </c>
      <c r="M194" s="2" t="n">
        <f aca="false">IF(K194="Yes",ROUND(G194*L194,0),0)</f>
        <v>3480</v>
      </c>
      <c r="N194" s="2" t="n">
        <f aca="false">IF(K194="Yes",ROUND(G194*L194,0),0)</f>
        <v>3480</v>
      </c>
      <c r="O194" s="2" t="s">
        <v>21</v>
      </c>
    </row>
    <row r="195" customFormat="false" ht="15" hidden="false" customHeight="false" outlineLevel="0" collapsed="false">
      <c r="A195" s="2" t="s">
        <v>435</v>
      </c>
      <c r="B195" s="2" t="s">
        <v>436</v>
      </c>
      <c r="C195" s="2" t="s">
        <v>32</v>
      </c>
      <c r="D195" s="2" t="s">
        <v>37</v>
      </c>
      <c r="E195" s="2" t="s">
        <v>19</v>
      </c>
      <c r="F195" s="3" t="n">
        <v>43844</v>
      </c>
      <c r="G195" s="2" t="n">
        <v>45500</v>
      </c>
      <c r="H195" s="2" t="n">
        <v>7</v>
      </c>
      <c r="I195" s="2" t="n">
        <f aca="false">ROUND((DATE(2026,8,31)-F195)/365.25,1)</f>
        <v>6.6</v>
      </c>
      <c r="J195" s="2" t="n">
        <f aca="false">ROUND(H195+I195,1)</f>
        <v>13.6</v>
      </c>
      <c r="K195" s="2" t="s">
        <v>20</v>
      </c>
      <c r="L195" s="4" t="n">
        <v>0.12</v>
      </c>
      <c r="M195" s="2" t="n">
        <f aca="false">IF(K195="Yes",ROUND(G195*L195,0),0)</f>
        <v>5460</v>
      </c>
      <c r="N195" s="2" t="n">
        <f aca="false">IF(K195="Yes",ROUND(G195*L195,0),0)</f>
        <v>5460</v>
      </c>
      <c r="O195" s="2" t="s">
        <v>21</v>
      </c>
    </row>
    <row r="196" customFormat="false" ht="15" hidden="false" customHeight="false" outlineLevel="0" collapsed="false">
      <c r="A196" s="2" t="s">
        <v>437</v>
      </c>
      <c r="B196" s="2" t="s">
        <v>438</v>
      </c>
      <c r="C196" s="2" t="s">
        <v>36</v>
      </c>
      <c r="D196" s="2" t="s">
        <v>37</v>
      </c>
      <c r="E196" s="2" t="s">
        <v>19</v>
      </c>
      <c r="F196" s="3" t="n">
        <v>43682</v>
      </c>
      <c r="G196" s="2" t="n">
        <v>49500</v>
      </c>
      <c r="H196" s="2" t="n">
        <v>5.9</v>
      </c>
      <c r="I196" s="2" t="n">
        <f aca="false">ROUND((DATE(2026,8,31)-F196)/365.25,1)</f>
        <v>7.1</v>
      </c>
      <c r="J196" s="2" t="n">
        <f aca="false">ROUND(H196+I196,1)</f>
        <v>13</v>
      </c>
      <c r="K196" s="2" t="s">
        <v>20</v>
      </c>
      <c r="L196" s="4" t="n">
        <v>0.12</v>
      </c>
      <c r="M196" s="2" t="n">
        <f aca="false">IF(K196="Yes",ROUND(G196*L196,0),0)</f>
        <v>5940</v>
      </c>
      <c r="N196" s="2" t="n">
        <f aca="false">IF(K196="Yes",ROUND(G196*L196,0),0)</f>
        <v>5940</v>
      </c>
      <c r="O196" s="2" t="s">
        <v>21</v>
      </c>
    </row>
    <row r="197" customFormat="false" ht="15" hidden="false" customHeight="false" outlineLevel="0" collapsed="false">
      <c r="A197" s="2" t="s">
        <v>439</v>
      </c>
      <c r="B197" s="2" t="s">
        <v>440</v>
      </c>
      <c r="C197" s="2" t="s">
        <v>41</v>
      </c>
      <c r="D197" s="2" t="s">
        <v>42</v>
      </c>
      <c r="E197" s="2" t="s">
        <v>19</v>
      </c>
      <c r="F197" s="3" t="n">
        <v>43982</v>
      </c>
      <c r="G197" s="2" t="n">
        <v>35500</v>
      </c>
      <c r="H197" s="2" t="n">
        <v>3</v>
      </c>
      <c r="I197" s="2" t="n">
        <f aca="false">ROUND((DATE(2026,8,31)-F197)/365.25,1)</f>
        <v>6.3</v>
      </c>
      <c r="J197" s="2" t="n">
        <f aca="false">ROUND(H197+I197,1)</f>
        <v>9.3</v>
      </c>
      <c r="K197" s="2" t="s">
        <v>20</v>
      </c>
      <c r="L197" s="4" t="n">
        <v>0.12</v>
      </c>
      <c r="M197" s="2" t="n">
        <f aca="false">IF(K197="Yes",ROUND(G197*L197,0),0)</f>
        <v>4260</v>
      </c>
      <c r="N197" s="2" t="n">
        <f aca="false">IF(K197="Yes",ROUND(G197*L197,0),0)</f>
        <v>4260</v>
      </c>
      <c r="O197" s="2" t="s">
        <v>21</v>
      </c>
    </row>
    <row r="198" customFormat="false" ht="15" hidden="false" customHeight="false" outlineLevel="0" collapsed="false">
      <c r="A198" s="2" t="s">
        <v>441</v>
      </c>
      <c r="B198" s="2" t="s">
        <v>442</v>
      </c>
      <c r="C198" s="2" t="s">
        <v>45</v>
      </c>
      <c r="D198" s="2" t="s">
        <v>46</v>
      </c>
      <c r="E198" s="2" t="s">
        <v>19</v>
      </c>
      <c r="F198" s="3" t="n">
        <v>44377</v>
      </c>
      <c r="G198" s="2" t="n">
        <v>32000</v>
      </c>
      <c r="H198" s="2" t="n">
        <v>0</v>
      </c>
      <c r="I198" s="2" t="n">
        <f aca="false">ROUND((DATE(2026,8,31)-F198)/365.25,1)</f>
        <v>5.2</v>
      </c>
      <c r="J198" s="2" t="n">
        <f aca="false">ROUND(H198+I198,1)</f>
        <v>5.2</v>
      </c>
      <c r="K198" s="2" t="s">
        <v>20</v>
      </c>
      <c r="L198" s="4" t="n">
        <v>0.12</v>
      </c>
      <c r="M198" s="2" t="n">
        <f aca="false">IF(K198="Yes",ROUND(G198*L198,0),0)</f>
        <v>3840</v>
      </c>
      <c r="N198" s="2" t="n">
        <f aca="false">IF(K198="Yes",ROUND(G198*L198,0),0)</f>
        <v>3840</v>
      </c>
      <c r="O198" s="2" t="s">
        <v>21</v>
      </c>
    </row>
    <row r="199" customFormat="false" ht="15" hidden="false" customHeight="false" outlineLevel="0" collapsed="false">
      <c r="A199" s="2" t="s">
        <v>443</v>
      </c>
      <c r="B199" s="2" t="s">
        <v>444</v>
      </c>
      <c r="C199" s="2" t="s">
        <v>49</v>
      </c>
      <c r="D199" s="2" t="s">
        <v>50</v>
      </c>
      <c r="E199" s="2" t="s">
        <v>19</v>
      </c>
      <c r="F199" s="3" t="n">
        <v>43738</v>
      </c>
      <c r="G199" s="2" t="n">
        <v>20500</v>
      </c>
      <c r="H199" s="2" t="n">
        <v>1.3</v>
      </c>
      <c r="I199" s="2" t="n">
        <f aca="false">ROUND((DATE(2026,8,31)-F199)/365.25,1)</f>
        <v>6.9</v>
      </c>
      <c r="J199" s="2" t="n">
        <f aca="false">ROUND(H199+I199,1)</f>
        <v>8.2</v>
      </c>
      <c r="K199" s="2" t="s">
        <v>20</v>
      </c>
      <c r="L199" s="4" t="n">
        <v>0.12</v>
      </c>
      <c r="M199" s="2" t="n">
        <f aca="false">IF(K199="Yes",ROUND(G199*L199,0),0)</f>
        <v>2460</v>
      </c>
      <c r="N199" s="2" t="n">
        <f aca="false">IF(K199="Yes",ROUND(G199*L199,0),0)</f>
        <v>2460</v>
      </c>
      <c r="O199" s="2" t="s">
        <v>21</v>
      </c>
    </row>
    <row r="200" customFormat="false" ht="15" hidden="false" customHeight="false" outlineLevel="0" collapsed="false">
      <c r="A200" s="2" t="s">
        <v>445</v>
      </c>
      <c r="B200" s="2" t="s">
        <v>446</v>
      </c>
      <c r="C200" s="2" t="s">
        <v>53</v>
      </c>
      <c r="D200" s="2" t="s">
        <v>103</v>
      </c>
      <c r="E200" s="2" t="s">
        <v>19</v>
      </c>
      <c r="F200" s="3" t="n">
        <v>44915</v>
      </c>
      <c r="G200" s="2" t="n">
        <v>27000</v>
      </c>
      <c r="H200" s="2" t="n">
        <v>5.3</v>
      </c>
      <c r="I200" s="2" t="n">
        <f aca="false">ROUND((DATE(2026,8,31)-F200)/365.25,1)</f>
        <v>3.7</v>
      </c>
      <c r="J200" s="2" t="n">
        <f aca="false">ROUND(H200+I200,1)</f>
        <v>9</v>
      </c>
      <c r="K200" s="2" t="s">
        <v>20</v>
      </c>
      <c r="L200" s="4" t="n">
        <v>0.12</v>
      </c>
      <c r="M200" s="2" t="n">
        <f aca="false">IF(K200="Yes",ROUND(G200*L200,0),0)</f>
        <v>3240</v>
      </c>
      <c r="N200" s="2" t="n">
        <f aca="false">IF(K200="Yes",ROUND(G200*L200,0),0)</f>
        <v>3240</v>
      </c>
      <c r="O200" s="2" t="s">
        <v>21</v>
      </c>
    </row>
    <row r="201" customFormat="false" ht="15" hidden="false" customHeight="false" outlineLevel="0" collapsed="false">
      <c r="A201" s="2" t="s">
        <v>447</v>
      </c>
      <c r="B201" s="2" t="s">
        <v>448</v>
      </c>
      <c r="C201" s="2" t="s">
        <v>57</v>
      </c>
      <c r="D201" s="2" t="s">
        <v>83</v>
      </c>
      <c r="E201" s="2" t="s">
        <v>19</v>
      </c>
      <c r="F201" s="3" t="n">
        <v>44219</v>
      </c>
      <c r="G201" s="2" t="n">
        <v>62000</v>
      </c>
      <c r="H201" s="2" t="n">
        <v>1.7</v>
      </c>
      <c r="I201" s="2" t="n">
        <f aca="false">ROUND((DATE(2026,8,31)-F201)/365.25,1)</f>
        <v>5.6</v>
      </c>
      <c r="J201" s="2" t="n">
        <f aca="false">ROUND(H201+I201,1)</f>
        <v>7.3</v>
      </c>
      <c r="K201" s="2" t="s">
        <v>20</v>
      </c>
      <c r="L201" s="4" t="n">
        <v>0.12</v>
      </c>
      <c r="M201" s="2" t="n">
        <f aca="false">IF(K201="Yes",ROUND(G201*L201,0),0)</f>
        <v>7440</v>
      </c>
      <c r="N201" s="2" t="n">
        <f aca="false">IF(K201="Yes",ROUND(G201*L201,0),0)</f>
        <v>7440</v>
      </c>
      <c r="O201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449</v>
      </c>
      <c r="E1" s="1" t="s">
        <v>450</v>
      </c>
      <c r="F1" s="1" t="s">
        <v>451</v>
      </c>
      <c r="G1" s="1" t="s">
        <v>452</v>
      </c>
      <c r="H1" s="1" t="s">
        <v>453</v>
      </c>
      <c r="I1" s="1" t="s">
        <v>454</v>
      </c>
      <c r="J1" s="1" t="s">
        <v>455</v>
      </c>
      <c r="K1" s="1" t="s">
        <v>456</v>
      </c>
    </row>
    <row r="2" customFormat="false" ht="15" hidden="false" customHeight="false" outlineLevel="0" collapsed="false">
      <c r="A2" s="2" t="s">
        <v>15</v>
      </c>
      <c r="B2" s="2" t="s">
        <v>16</v>
      </c>
      <c r="C2" s="2" t="s">
        <v>17</v>
      </c>
      <c r="D2" s="3" t="n">
        <v>46235</v>
      </c>
      <c r="E2" s="2" t="str">
        <f aca="false">TEXT(D2,"dddd")</f>
        <v>Saturday</v>
      </c>
      <c r="F2" s="2" t="s">
        <v>457</v>
      </c>
      <c r="G2" s="2" t="s">
        <v>458</v>
      </c>
      <c r="H2" s="2" t="s">
        <v>459</v>
      </c>
      <c r="I2" s="2" t="n">
        <f aca="false">IF(F2="Present",9,IF(F2="Half Day",4,0))</f>
        <v>9</v>
      </c>
      <c r="J2" s="2"/>
      <c r="K2" s="2"/>
    </row>
    <row r="3" customFormat="false" ht="15" hidden="false" customHeight="false" outlineLevel="0" collapsed="false">
      <c r="A3" s="2" t="s">
        <v>15</v>
      </c>
      <c r="B3" s="2" t="s">
        <v>16</v>
      </c>
      <c r="C3" s="2" t="s">
        <v>17</v>
      </c>
      <c r="D3" s="3" t="n">
        <v>46236</v>
      </c>
      <c r="E3" s="2" t="str">
        <f aca="false">TEXT(D3,"dddd")</f>
        <v>Sunday</v>
      </c>
      <c r="F3" s="2" t="s">
        <v>460</v>
      </c>
      <c r="G3" s="2"/>
      <c r="H3" s="2"/>
      <c r="I3" s="2" t="n">
        <f aca="false">IF(F3="Present",9,IF(F3="Half Day",4,0))</f>
        <v>0</v>
      </c>
      <c r="J3" s="2"/>
      <c r="K3" s="2" t="s">
        <v>460</v>
      </c>
    </row>
    <row r="4" customFormat="false" ht="15" hidden="false" customHeight="false" outlineLevel="0" collapsed="false">
      <c r="A4" s="2" t="s">
        <v>15</v>
      </c>
      <c r="B4" s="2" t="s">
        <v>16</v>
      </c>
      <c r="C4" s="2" t="s">
        <v>17</v>
      </c>
      <c r="D4" s="3" t="n">
        <v>46237</v>
      </c>
      <c r="E4" s="2" t="str">
        <f aca="false">TEXT(D4,"dddd")</f>
        <v>Monday</v>
      </c>
      <c r="F4" s="2" t="s">
        <v>457</v>
      </c>
      <c r="G4" s="2" t="s">
        <v>458</v>
      </c>
      <c r="H4" s="2" t="s">
        <v>459</v>
      </c>
      <c r="I4" s="2" t="n">
        <f aca="false">IF(F4="Present",9,IF(F4="Half Day",4,0))</f>
        <v>9</v>
      </c>
      <c r="J4" s="2"/>
      <c r="K4" s="2"/>
    </row>
    <row r="5" customFormat="false" ht="15" hidden="false" customHeight="false" outlineLevel="0" collapsed="false">
      <c r="A5" s="2" t="s">
        <v>15</v>
      </c>
      <c r="B5" s="2" t="s">
        <v>16</v>
      </c>
      <c r="C5" s="2" t="s">
        <v>17</v>
      </c>
      <c r="D5" s="3" t="n">
        <v>46238</v>
      </c>
      <c r="E5" s="2" t="str">
        <f aca="false">TEXT(D5,"dddd")</f>
        <v>Tuesday</v>
      </c>
      <c r="F5" s="2" t="s">
        <v>457</v>
      </c>
      <c r="G5" s="2" t="s">
        <v>458</v>
      </c>
      <c r="H5" s="2" t="s">
        <v>459</v>
      </c>
      <c r="I5" s="2" t="n">
        <f aca="false">IF(F5="Present",9,IF(F5="Half Day",4,0))</f>
        <v>9</v>
      </c>
      <c r="J5" s="2"/>
      <c r="K5" s="2"/>
    </row>
    <row r="6" customFormat="false" ht="15" hidden="false" customHeight="false" outlineLevel="0" collapsed="false">
      <c r="A6" s="2" t="s">
        <v>15</v>
      </c>
      <c r="B6" s="2" t="s">
        <v>16</v>
      </c>
      <c r="C6" s="2" t="s">
        <v>17</v>
      </c>
      <c r="D6" s="3" t="n">
        <v>46239</v>
      </c>
      <c r="E6" s="2" t="str">
        <f aca="false">TEXT(D6,"dddd")</f>
        <v>Wednesday</v>
      </c>
      <c r="F6" s="2" t="s">
        <v>457</v>
      </c>
      <c r="G6" s="2" t="s">
        <v>458</v>
      </c>
      <c r="H6" s="2" t="s">
        <v>459</v>
      </c>
      <c r="I6" s="2" t="n">
        <f aca="false">IF(F6="Present",9,IF(F6="Half Day",4,0))</f>
        <v>9</v>
      </c>
      <c r="J6" s="2"/>
      <c r="K6" s="2"/>
    </row>
    <row r="7" customFormat="false" ht="15" hidden="false" customHeight="false" outlineLevel="0" collapsed="false">
      <c r="A7" s="2" t="s">
        <v>15</v>
      </c>
      <c r="B7" s="2" t="s">
        <v>16</v>
      </c>
      <c r="C7" s="2" t="s">
        <v>17</v>
      </c>
      <c r="D7" s="3" t="n">
        <v>46240</v>
      </c>
      <c r="E7" s="2" t="str">
        <f aca="false">TEXT(D7,"dddd")</f>
        <v>Thursday</v>
      </c>
      <c r="F7" s="2" t="s">
        <v>457</v>
      </c>
      <c r="G7" s="2" t="s">
        <v>458</v>
      </c>
      <c r="H7" s="2" t="s">
        <v>459</v>
      </c>
      <c r="I7" s="2" t="n">
        <f aca="false">IF(F7="Present",9,IF(F7="Half Day",4,0))</f>
        <v>9</v>
      </c>
      <c r="J7" s="2"/>
      <c r="K7" s="2"/>
    </row>
    <row r="8" customFormat="false" ht="15" hidden="false" customHeight="false" outlineLevel="0" collapsed="false">
      <c r="A8" s="2" t="s">
        <v>15</v>
      </c>
      <c r="B8" s="2" t="s">
        <v>16</v>
      </c>
      <c r="C8" s="2" t="s">
        <v>17</v>
      </c>
      <c r="D8" s="3" t="n">
        <v>46241</v>
      </c>
      <c r="E8" s="2" t="str">
        <f aca="false">TEXT(D8,"dddd")</f>
        <v>Friday</v>
      </c>
      <c r="F8" s="2" t="s">
        <v>457</v>
      </c>
      <c r="G8" s="2" t="s">
        <v>458</v>
      </c>
      <c r="H8" s="2" t="s">
        <v>459</v>
      </c>
      <c r="I8" s="2" t="n">
        <f aca="false">IF(F8="Present",9,IF(F8="Half Day",4,0))</f>
        <v>9</v>
      </c>
      <c r="J8" s="2"/>
      <c r="K8" s="2"/>
    </row>
    <row r="9" customFormat="false" ht="15" hidden="false" customHeight="false" outlineLevel="0" collapsed="false">
      <c r="A9" s="2" t="s">
        <v>15</v>
      </c>
      <c r="B9" s="2" t="s">
        <v>16</v>
      </c>
      <c r="C9" s="2" t="s">
        <v>17</v>
      </c>
      <c r="D9" s="3" t="n">
        <v>46242</v>
      </c>
      <c r="E9" s="2" t="str">
        <f aca="false">TEXT(D9,"dddd")</f>
        <v>Saturday</v>
      </c>
      <c r="F9" s="2" t="s">
        <v>457</v>
      </c>
      <c r="G9" s="2" t="s">
        <v>458</v>
      </c>
      <c r="H9" s="2" t="s">
        <v>459</v>
      </c>
      <c r="I9" s="2" t="n">
        <f aca="false">IF(F9="Present",9,IF(F9="Half Day",4,0))</f>
        <v>9</v>
      </c>
      <c r="J9" s="2"/>
      <c r="K9" s="2"/>
    </row>
    <row r="10" customFormat="false" ht="15" hidden="false" customHeight="false" outlineLevel="0" collapsed="false">
      <c r="A10" s="2" t="s">
        <v>15</v>
      </c>
      <c r="B10" s="2" t="s">
        <v>16</v>
      </c>
      <c r="C10" s="2" t="s">
        <v>17</v>
      </c>
      <c r="D10" s="3" t="n">
        <v>46243</v>
      </c>
      <c r="E10" s="2" t="str">
        <f aca="false">TEXT(D10,"dddd")</f>
        <v>Sunday</v>
      </c>
      <c r="F10" s="2" t="s">
        <v>460</v>
      </c>
      <c r="G10" s="2"/>
      <c r="H10" s="2"/>
      <c r="I10" s="2" t="n">
        <f aca="false">IF(F10="Present",9,IF(F10="Half Day",4,0))</f>
        <v>0</v>
      </c>
      <c r="J10" s="2"/>
      <c r="K10" s="2" t="s">
        <v>460</v>
      </c>
    </row>
    <row r="11" customFormat="false" ht="15" hidden="false" customHeight="false" outlineLevel="0" collapsed="false">
      <c r="A11" s="2" t="s">
        <v>15</v>
      </c>
      <c r="B11" s="2" t="s">
        <v>16</v>
      </c>
      <c r="C11" s="2" t="s">
        <v>17</v>
      </c>
      <c r="D11" s="3" t="n">
        <v>46244</v>
      </c>
      <c r="E11" s="2" t="str">
        <f aca="false">TEXT(D11,"dddd")</f>
        <v>Monday</v>
      </c>
      <c r="F11" s="2" t="s">
        <v>457</v>
      </c>
      <c r="G11" s="2" t="s">
        <v>458</v>
      </c>
      <c r="H11" s="2" t="s">
        <v>459</v>
      </c>
      <c r="I11" s="2" t="n">
        <f aca="false">IF(F11="Present",9,IF(F11="Half Day",4,0))</f>
        <v>9</v>
      </c>
      <c r="J11" s="2"/>
      <c r="K11" s="2"/>
    </row>
    <row r="12" customFormat="false" ht="15" hidden="false" customHeight="false" outlineLevel="0" collapsed="false">
      <c r="A12" s="2" t="s">
        <v>15</v>
      </c>
      <c r="B12" s="2" t="s">
        <v>16</v>
      </c>
      <c r="C12" s="2" t="s">
        <v>17</v>
      </c>
      <c r="D12" s="3" t="n">
        <v>46245</v>
      </c>
      <c r="E12" s="2" t="str">
        <f aca="false">TEXT(D12,"dddd")</f>
        <v>Tuesday</v>
      </c>
      <c r="F12" s="2" t="s">
        <v>457</v>
      </c>
      <c r="G12" s="2" t="s">
        <v>458</v>
      </c>
      <c r="H12" s="2" t="s">
        <v>459</v>
      </c>
      <c r="I12" s="2" t="n">
        <f aca="false">IF(F12="Present",9,IF(F12="Half Day",4,0))</f>
        <v>9</v>
      </c>
      <c r="J12" s="2"/>
      <c r="K12" s="2"/>
    </row>
    <row r="13" customFormat="false" ht="15" hidden="false" customHeight="false" outlineLevel="0" collapsed="false">
      <c r="A13" s="2" t="s">
        <v>15</v>
      </c>
      <c r="B13" s="2" t="s">
        <v>16</v>
      </c>
      <c r="C13" s="2" t="s">
        <v>17</v>
      </c>
      <c r="D13" s="3" t="n">
        <v>46246</v>
      </c>
      <c r="E13" s="2" t="str">
        <f aca="false">TEXT(D13,"dddd")</f>
        <v>Wednesday</v>
      </c>
      <c r="F13" s="2" t="s">
        <v>457</v>
      </c>
      <c r="G13" s="2" t="s">
        <v>458</v>
      </c>
      <c r="H13" s="2" t="s">
        <v>459</v>
      </c>
      <c r="I13" s="2" t="n">
        <f aca="false">IF(F13="Present",9,IF(F13="Half Day",4,0))</f>
        <v>9</v>
      </c>
      <c r="J13" s="2"/>
      <c r="K13" s="2"/>
    </row>
    <row r="14" customFormat="false" ht="15" hidden="false" customHeight="false" outlineLevel="0" collapsed="false">
      <c r="A14" s="2" t="s">
        <v>15</v>
      </c>
      <c r="B14" s="2" t="s">
        <v>16</v>
      </c>
      <c r="C14" s="2" t="s">
        <v>17</v>
      </c>
      <c r="D14" s="3" t="n">
        <v>46247</v>
      </c>
      <c r="E14" s="2" t="str">
        <f aca="false">TEXT(D14,"dddd")</f>
        <v>Thursday</v>
      </c>
      <c r="F14" s="2" t="s">
        <v>457</v>
      </c>
      <c r="G14" s="2" t="s">
        <v>458</v>
      </c>
      <c r="H14" s="2" t="s">
        <v>459</v>
      </c>
      <c r="I14" s="2" t="n">
        <f aca="false">IF(F14="Present",9,IF(F14="Half Day",4,0))</f>
        <v>9</v>
      </c>
      <c r="J14" s="2"/>
      <c r="K14" s="2"/>
    </row>
    <row r="15" customFormat="false" ht="15" hidden="false" customHeight="false" outlineLevel="0" collapsed="false">
      <c r="A15" s="2" t="s">
        <v>15</v>
      </c>
      <c r="B15" s="2" t="s">
        <v>16</v>
      </c>
      <c r="C15" s="2" t="s">
        <v>17</v>
      </c>
      <c r="D15" s="3" t="n">
        <v>46248</v>
      </c>
      <c r="E15" s="2" t="str">
        <f aca="false">TEXT(D15,"dddd")</f>
        <v>Friday</v>
      </c>
      <c r="F15" s="2" t="s">
        <v>457</v>
      </c>
      <c r="G15" s="2" t="s">
        <v>458</v>
      </c>
      <c r="H15" s="2" t="s">
        <v>459</v>
      </c>
      <c r="I15" s="2" t="n">
        <f aca="false">IF(F15="Present",9,IF(F15="Half Day",4,0))</f>
        <v>9</v>
      </c>
      <c r="J15" s="2"/>
      <c r="K15" s="2"/>
    </row>
    <row r="16" customFormat="false" ht="15" hidden="false" customHeight="false" outlineLevel="0" collapsed="false">
      <c r="A16" s="2" t="s">
        <v>15</v>
      </c>
      <c r="B16" s="2" t="s">
        <v>16</v>
      </c>
      <c r="C16" s="2" t="s">
        <v>17</v>
      </c>
      <c r="D16" s="3" t="n">
        <v>46249</v>
      </c>
      <c r="E16" s="2" t="str">
        <f aca="false">TEXT(D16,"dddd")</f>
        <v>Saturday</v>
      </c>
      <c r="F16" s="2" t="s">
        <v>457</v>
      </c>
      <c r="G16" s="2" t="s">
        <v>458</v>
      </c>
      <c r="H16" s="2" t="s">
        <v>459</v>
      </c>
      <c r="I16" s="2" t="n">
        <f aca="false">IF(F16="Present",9,IF(F16="Half Day",4,0))</f>
        <v>9</v>
      </c>
      <c r="J16" s="2"/>
      <c r="K16" s="2"/>
    </row>
    <row r="17" customFormat="false" ht="15" hidden="false" customHeight="false" outlineLevel="0" collapsed="false">
      <c r="A17" s="2" t="s">
        <v>15</v>
      </c>
      <c r="B17" s="2" t="s">
        <v>16</v>
      </c>
      <c r="C17" s="2" t="s">
        <v>17</v>
      </c>
      <c r="D17" s="3" t="n">
        <v>46250</v>
      </c>
      <c r="E17" s="2" t="str">
        <f aca="false">TEXT(D17,"dddd")</f>
        <v>Sunday</v>
      </c>
      <c r="F17" s="2" t="s">
        <v>460</v>
      </c>
      <c r="G17" s="2"/>
      <c r="H17" s="2"/>
      <c r="I17" s="2" t="n">
        <f aca="false">IF(F17="Present",9,IF(F17="Half Day",4,0))</f>
        <v>0</v>
      </c>
      <c r="J17" s="2"/>
      <c r="K17" s="2" t="s">
        <v>460</v>
      </c>
    </row>
    <row r="18" customFormat="false" ht="15" hidden="false" customHeight="false" outlineLevel="0" collapsed="false">
      <c r="A18" s="2" t="s">
        <v>15</v>
      </c>
      <c r="B18" s="2" t="s">
        <v>16</v>
      </c>
      <c r="C18" s="2" t="s">
        <v>17</v>
      </c>
      <c r="D18" s="3" t="n">
        <v>46251</v>
      </c>
      <c r="E18" s="2" t="str">
        <f aca="false">TEXT(D18,"dddd")</f>
        <v>Monday</v>
      </c>
      <c r="F18" s="2" t="s">
        <v>457</v>
      </c>
      <c r="G18" s="2" t="s">
        <v>458</v>
      </c>
      <c r="H18" s="2" t="s">
        <v>459</v>
      </c>
      <c r="I18" s="2" t="n">
        <f aca="false">IF(F18="Present",9,IF(F18="Half Day",4,0))</f>
        <v>9</v>
      </c>
      <c r="J18" s="2"/>
      <c r="K18" s="2"/>
    </row>
    <row r="19" customFormat="false" ht="15" hidden="false" customHeight="false" outlineLevel="0" collapsed="false">
      <c r="A19" s="2" t="s">
        <v>15</v>
      </c>
      <c r="B19" s="2" t="s">
        <v>16</v>
      </c>
      <c r="C19" s="2" t="s">
        <v>17</v>
      </c>
      <c r="D19" s="3" t="n">
        <v>46252</v>
      </c>
      <c r="E19" s="2" t="str">
        <f aca="false">TEXT(D19,"dddd")</f>
        <v>Tuesday</v>
      </c>
      <c r="F19" s="2" t="s">
        <v>457</v>
      </c>
      <c r="G19" s="2" t="s">
        <v>458</v>
      </c>
      <c r="H19" s="2" t="s">
        <v>459</v>
      </c>
      <c r="I19" s="2" t="n">
        <f aca="false">IF(F19="Present",9,IF(F19="Half Day",4,0))</f>
        <v>9</v>
      </c>
      <c r="J19" s="2"/>
      <c r="K19" s="2"/>
    </row>
    <row r="20" customFormat="false" ht="15" hidden="false" customHeight="false" outlineLevel="0" collapsed="false">
      <c r="A20" s="2" t="s">
        <v>15</v>
      </c>
      <c r="B20" s="2" t="s">
        <v>16</v>
      </c>
      <c r="C20" s="2" t="s">
        <v>17</v>
      </c>
      <c r="D20" s="3" t="n">
        <v>46253</v>
      </c>
      <c r="E20" s="2" t="str">
        <f aca="false">TEXT(D20,"dddd")</f>
        <v>Wednesday</v>
      </c>
      <c r="F20" s="2" t="s">
        <v>457</v>
      </c>
      <c r="G20" s="2" t="s">
        <v>458</v>
      </c>
      <c r="H20" s="2" t="s">
        <v>459</v>
      </c>
      <c r="I20" s="2" t="n">
        <f aca="false">IF(F20="Present",9,IF(F20="Half Day",4,0))</f>
        <v>9</v>
      </c>
      <c r="J20" s="2"/>
      <c r="K20" s="2"/>
    </row>
    <row r="21" customFormat="false" ht="15" hidden="false" customHeight="false" outlineLevel="0" collapsed="false">
      <c r="A21" s="2" t="s">
        <v>15</v>
      </c>
      <c r="B21" s="2" t="s">
        <v>16</v>
      </c>
      <c r="C21" s="2" t="s">
        <v>17</v>
      </c>
      <c r="D21" s="3" t="n">
        <v>46254</v>
      </c>
      <c r="E21" s="2" t="str">
        <f aca="false">TEXT(D21,"dddd")</f>
        <v>Thursday</v>
      </c>
      <c r="F21" s="2" t="s">
        <v>457</v>
      </c>
      <c r="G21" s="2" t="s">
        <v>458</v>
      </c>
      <c r="H21" s="2" t="s">
        <v>459</v>
      </c>
      <c r="I21" s="2" t="n">
        <f aca="false">IF(F21="Present",9,IF(F21="Half Day",4,0))</f>
        <v>9</v>
      </c>
      <c r="J21" s="2"/>
      <c r="K21" s="2"/>
    </row>
    <row r="22" customFormat="false" ht="15" hidden="false" customHeight="false" outlineLevel="0" collapsed="false">
      <c r="A22" s="2" t="s">
        <v>15</v>
      </c>
      <c r="B22" s="2" t="s">
        <v>16</v>
      </c>
      <c r="C22" s="2" t="s">
        <v>17</v>
      </c>
      <c r="D22" s="3" t="n">
        <v>46255</v>
      </c>
      <c r="E22" s="2" t="str">
        <f aca="false">TEXT(D22,"dddd")</f>
        <v>Friday</v>
      </c>
      <c r="F22" s="2" t="s">
        <v>457</v>
      </c>
      <c r="G22" s="2" t="s">
        <v>458</v>
      </c>
      <c r="H22" s="2" t="s">
        <v>459</v>
      </c>
      <c r="I22" s="2" t="n">
        <f aca="false">IF(F22="Present",9,IF(F22="Half Day",4,0))</f>
        <v>9</v>
      </c>
      <c r="J22" s="2"/>
      <c r="K22" s="2"/>
    </row>
    <row r="23" customFormat="false" ht="15" hidden="false" customHeight="false" outlineLevel="0" collapsed="false">
      <c r="A23" s="2" t="s">
        <v>15</v>
      </c>
      <c r="B23" s="2" t="s">
        <v>16</v>
      </c>
      <c r="C23" s="2" t="s">
        <v>17</v>
      </c>
      <c r="D23" s="3" t="n">
        <v>46256</v>
      </c>
      <c r="E23" s="2" t="str">
        <f aca="false">TEXT(D23,"dddd")</f>
        <v>Saturday</v>
      </c>
      <c r="F23" s="2" t="s">
        <v>457</v>
      </c>
      <c r="G23" s="2" t="s">
        <v>458</v>
      </c>
      <c r="H23" s="2" t="s">
        <v>459</v>
      </c>
      <c r="I23" s="2" t="n">
        <f aca="false">IF(F23="Present",9,IF(F23="Half Day",4,0))</f>
        <v>9</v>
      </c>
      <c r="J23" s="2"/>
      <c r="K23" s="2"/>
    </row>
    <row r="24" customFormat="false" ht="15" hidden="false" customHeight="false" outlineLevel="0" collapsed="false">
      <c r="A24" s="2" t="s">
        <v>15</v>
      </c>
      <c r="B24" s="2" t="s">
        <v>16</v>
      </c>
      <c r="C24" s="2" t="s">
        <v>17</v>
      </c>
      <c r="D24" s="3" t="n">
        <v>46257</v>
      </c>
      <c r="E24" s="2" t="str">
        <f aca="false">TEXT(D24,"dddd")</f>
        <v>Sunday</v>
      </c>
      <c r="F24" s="2" t="s">
        <v>460</v>
      </c>
      <c r="G24" s="2"/>
      <c r="H24" s="2"/>
      <c r="I24" s="2" t="n">
        <f aca="false">IF(F24="Present",9,IF(F24="Half Day",4,0))</f>
        <v>0</v>
      </c>
      <c r="J24" s="2"/>
      <c r="K24" s="2" t="s">
        <v>460</v>
      </c>
    </row>
    <row r="25" customFormat="false" ht="15" hidden="false" customHeight="false" outlineLevel="0" collapsed="false">
      <c r="A25" s="2" t="s">
        <v>15</v>
      </c>
      <c r="B25" s="2" t="s">
        <v>16</v>
      </c>
      <c r="C25" s="2" t="s">
        <v>17</v>
      </c>
      <c r="D25" s="3" t="n">
        <v>46258</v>
      </c>
      <c r="E25" s="2" t="str">
        <f aca="false">TEXT(D25,"dddd")</f>
        <v>Monday</v>
      </c>
      <c r="F25" s="2" t="s">
        <v>457</v>
      </c>
      <c r="G25" s="2" t="s">
        <v>458</v>
      </c>
      <c r="H25" s="2" t="s">
        <v>459</v>
      </c>
      <c r="I25" s="2" t="n">
        <f aca="false">IF(F25="Present",9,IF(F25="Half Day",4,0))</f>
        <v>9</v>
      </c>
      <c r="J25" s="2"/>
      <c r="K25" s="2"/>
    </row>
    <row r="26" customFormat="false" ht="15" hidden="false" customHeight="false" outlineLevel="0" collapsed="false">
      <c r="A26" s="2" t="s">
        <v>15</v>
      </c>
      <c r="B26" s="2" t="s">
        <v>16</v>
      </c>
      <c r="C26" s="2" t="s">
        <v>17</v>
      </c>
      <c r="D26" s="3" t="n">
        <v>46259</v>
      </c>
      <c r="E26" s="2" t="str">
        <f aca="false">TEXT(D26,"dddd")</f>
        <v>Tuesday</v>
      </c>
      <c r="F26" s="2" t="s">
        <v>457</v>
      </c>
      <c r="G26" s="2" t="s">
        <v>458</v>
      </c>
      <c r="H26" s="2" t="s">
        <v>459</v>
      </c>
      <c r="I26" s="2" t="n">
        <f aca="false">IF(F26="Present",9,IF(F26="Half Day",4,0))</f>
        <v>9</v>
      </c>
      <c r="J26" s="2"/>
      <c r="K26" s="2"/>
    </row>
    <row r="27" customFormat="false" ht="15" hidden="false" customHeight="false" outlineLevel="0" collapsed="false">
      <c r="A27" s="2" t="s">
        <v>15</v>
      </c>
      <c r="B27" s="2" t="s">
        <v>16</v>
      </c>
      <c r="C27" s="2" t="s">
        <v>17</v>
      </c>
      <c r="D27" s="3" t="n">
        <v>46260</v>
      </c>
      <c r="E27" s="2" t="str">
        <f aca="false">TEXT(D27,"dddd")</f>
        <v>Wednesday</v>
      </c>
      <c r="F27" s="2" t="s">
        <v>457</v>
      </c>
      <c r="G27" s="2" t="s">
        <v>458</v>
      </c>
      <c r="H27" s="2" t="s">
        <v>459</v>
      </c>
      <c r="I27" s="2" t="n">
        <f aca="false">IF(F27="Present",9,IF(F27="Half Day",4,0))</f>
        <v>9</v>
      </c>
      <c r="J27" s="2"/>
      <c r="K27" s="2"/>
    </row>
    <row r="28" customFormat="false" ht="15" hidden="false" customHeight="false" outlineLevel="0" collapsed="false">
      <c r="A28" s="2" t="s">
        <v>15</v>
      </c>
      <c r="B28" s="2" t="s">
        <v>16</v>
      </c>
      <c r="C28" s="2" t="s">
        <v>17</v>
      </c>
      <c r="D28" s="3" t="n">
        <v>46261</v>
      </c>
      <c r="E28" s="2" t="str">
        <f aca="false">TEXT(D28,"dddd")</f>
        <v>Thursday</v>
      </c>
      <c r="F28" s="2" t="s">
        <v>457</v>
      </c>
      <c r="G28" s="2" t="s">
        <v>458</v>
      </c>
      <c r="H28" s="2" t="s">
        <v>459</v>
      </c>
      <c r="I28" s="2" t="n">
        <f aca="false">IF(F28="Present",9,IF(F28="Half Day",4,0))</f>
        <v>9</v>
      </c>
      <c r="J28" s="2"/>
      <c r="K28" s="2"/>
    </row>
    <row r="29" customFormat="false" ht="15" hidden="false" customHeight="false" outlineLevel="0" collapsed="false">
      <c r="A29" s="2" t="s">
        <v>15</v>
      </c>
      <c r="B29" s="2" t="s">
        <v>16</v>
      </c>
      <c r="C29" s="2" t="s">
        <v>17</v>
      </c>
      <c r="D29" s="3" t="n">
        <v>46262</v>
      </c>
      <c r="E29" s="2" t="str">
        <f aca="false">TEXT(D29,"dddd")</f>
        <v>Friday</v>
      </c>
      <c r="F29" s="2" t="s">
        <v>457</v>
      </c>
      <c r="G29" s="2" t="s">
        <v>458</v>
      </c>
      <c r="H29" s="2" t="s">
        <v>459</v>
      </c>
      <c r="I29" s="2" t="n">
        <f aca="false">IF(F29="Present",9,IF(F29="Half Day",4,0))</f>
        <v>9</v>
      </c>
      <c r="J29" s="2"/>
      <c r="K29" s="2"/>
    </row>
    <row r="30" customFormat="false" ht="15" hidden="false" customHeight="false" outlineLevel="0" collapsed="false">
      <c r="A30" s="2" t="s">
        <v>15</v>
      </c>
      <c r="B30" s="2" t="s">
        <v>16</v>
      </c>
      <c r="C30" s="2" t="s">
        <v>17</v>
      </c>
      <c r="D30" s="3" t="n">
        <v>46263</v>
      </c>
      <c r="E30" s="2" t="str">
        <f aca="false">TEXT(D30,"dddd")</f>
        <v>Saturday</v>
      </c>
      <c r="F30" s="2" t="s">
        <v>457</v>
      </c>
      <c r="G30" s="2" t="s">
        <v>458</v>
      </c>
      <c r="H30" s="2" t="s">
        <v>459</v>
      </c>
      <c r="I30" s="2" t="n">
        <f aca="false">IF(F30="Present",9,IF(F30="Half Day",4,0))</f>
        <v>9</v>
      </c>
      <c r="J30" s="2"/>
      <c r="K30" s="2"/>
    </row>
    <row r="31" customFormat="false" ht="15" hidden="false" customHeight="false" outlineLevel="0" collapsed="false">
      <c r="A31" s="2" t="s">
        <v>15</v>
      </c>
      <c r="B31" s="2" t="s">
        <v>16</v>
      </c>
      <c r="C31" s="2" t="s">
        <v>17</v>
      </c>
      <c r="D31" s="3" t="n">
        <v>46264</v>
      </c>
      <c r="E31" s="2" t="str">
        <f aca="false">TEXT(D31,"dddd")</f>
        <v>Sunday</v>
      </c>
      <c r="F31" s="2" t="s">
        <v>460</v>
      </c>
      <c r="G31" s="2"/>
      <c r="H31" s="2"/>
      <c r="I31" s="2" t="n">
        <f aca="false">IF(F31="Present",9,IF(F31="Half Day",4,0))</f>
        <v>0</v>
      </c>
      <c r="J31" s="2"/>
      <c r="K31" s="2" t="s">
        <v>460</v>
      </c>
    </row>
    <row r="32" customFormat="false" ht="15" hidden="false" customHeight="false" outlineLevel="0" collapsed="false">
      <c r="A32" s="2" t="s">
        <v>15</v>
      </c>
      <c r="B32" s="2" t="s">
        <v>16</v>
      </c>
      <c r="C32" s="2" t="s">
        <v>17</v>
      </c>
      <c r="D32" s="3" t="n">
        <v>46265</v>
      </c>
      <c r="E32" s="2" t="str">
        <f aca="false">TEXT(D32,"dddd")</f>
        <v>Monday</v>
      </c>
      <c r="F32" s="2" t="s">
        <v>457</v>
      </c>
      <c r="G32" s="2" t="s">
        <v>458</v>
      </c>
      <c r="H32" s="2" t="s">
        <v>459</v>
      </c>
      <c r="I32" s="2" t="n">
        <f aca="false">IF(F32="Present",9,IF(F32="Half Day",4,0))</f>
        <v>9</v>
      </c>
      <c r="J32" s="2"/>
      <c r="K32" s="2"/>
    </row>
    <row r="33" customFormat="false" ht="15" hidden="false" customHeight="false" outlineLevel="0" collapsed="false">
      <c r="A33" s="2" t="s">
        <v>22</v>
      </c>
      <c r="B33" s="2" t="s">
        <v>23</v>
      </c>
      <c r="C33" s="2" t="s">
        <v>24</v>
      </c>
      <c r="D33" s="3" t="n">
        <v>46235</v>
      </c>
      <c r="E33" s="2" t="str">
        <f aca="false">TEXT(D33,"dddd")</f>
        <v>Saturday</v>
      </c>
      <c r="F33" s="2" t="s">
        <v>457</v>
      </c>
      <c r="G33" s="2" t="s">
        <v>458</v>
      </c>
      <c r="H33" s="2" t="s">
        <v>459</v>
      </c>
      <c r="I33" s="2" t="n">
        <f aca="false">IF(F33="Present",9,IF(F33="Half Day",4,0))</f>
        <v>9</v>
      </c>
      <c r="J33" s="2"/>
      <c r="K33" s="2"/>
    </row>
    <row r="34" customFormat="false" ht="15" hidden="false" customHeight="false" outlineLevel="0" collapsed="false">
      <c r="A34" s="2" t="s">
        <v>22</v>
      </c>
      <c r="B34" s="2" t="s">
        <v>23</v>
      </c>
      <c r="C34" s="2" t="s">
        <v>24</v>
      </c>
      <c r="D34" s="3" t="n">
        <v>46236</v>
      </c>
      <c r="E34" s="2" t="str">
        <f aca="false">TEXT(D34,"dddd")</f>
        <v>Sunday</v>
      </c>
      <c r="F34" s="2" t="s">
        <v>460</v>
      </c>
      <c r="G34" s="2"/>
      <c r="H34" s="2"/>
      <c r="I34" s="2" t="n">
        <f aca="false">IF(F34="Present",9,IF(F34="Half Day",4,0))</f>
        <v>0</v>
      </c>
      <c r="J34" s="2"/>
      <c r="K34" s="2" t="s">
        <v>460</v>
      </c>
    </row>
    <row r="35" customFormat="false" ht="15" hidden="false" customHeight="false" outlineLevel="0" collapsed="false">
      <c r="A35" s="2" t="s">
        <v>22</v>
      </c>
      <c r="B35" s="2" t="s">
        <v>23</v>
      </c>
      <c r="C35" s="2" t="s">
        <v>24</v>
      </c>
      <c r="D35" s="3" t="n">
        <v>46237</v>
      </c>
      <c r="E35" s="2" t="str">
        <f aca="false">TEXT(D35,"dddd")</f>
        <v>Monday</v>
      </c>
      <c r="F35" s="2" t="s">
        <v>457</v>
      </c>
      <c r="G35" s="2" t="s">
        <v>458</v>
      </c>
      <c r="H35" s="2" t="s">
        <v>459</v>
      </c>
      <c r="I35" s="2" t="n">
        <f aca="false">IF(F35="Present",9,IF(F35="Half Day",4,0))</f>
        <v>9</v>
      </c>
      <c r="J35" s="2"/>
      <c r="K35" s="2"/>
    </row>
    <row r="36" customFormat="false" ht="15" hidden="false" customHeight="false" outlineLevel="0" collapsed="false">
      <c r="A36" s="2" t="s">
        <v>22</v>
      </c>
      <c r="B36" s="2" t="s">
        <v>23</v>
      </c>
      <c r="C36" s="2" t="s">
        <v>24</v>
      </c>
      <c r="D36" s="3" t="n">
        <v>46238</v>
      </c>
      <c r="E36" s="2" t="str">
        <f aca="false">TEXT(D36,"dddd")</f>
        <v>Tuesday</v>
      </c>
      <c r="F36" s="2" t="s">
        <v>457</v>
      </c>
      <c r="G36" s="2" t="s">
        <v>458</v>
      </c>
      <c r="H36" s="2" t="s">
        <v>459</v>
      </c>
      <c r="I36" s="2" t="n">
        <f aca="false">IF(F36="Present",9,IF(F36="Half Day",4,0))</f>
        <v>9</v>
      </c>
      <c r="J36" s="2"/>
      <c r="K36" s="2"/>
    </row>
    <row r="37" customFormat="false" ht="15" hidden="false" customHeight="false" outlineLevel="0" collapsed="false">
      <c r="A37" s="2" t="s">
        <v>22</v>
      </c>
      <c r="B37" s="2" t="s">
        <v>23</v>
      </c>
      <c r="C37" s="2" t="s">
        <v>24</v>
      </c>
      <c r="D37" s="3" t="n">
        <v>46239</v>
      </c>
      <c r="E37" s="2" t="str">
        <f aca="false">TEXT(D37,"dddd")</f>
        <v>Wednesday</v>
      </c>
      <c r="F37" s="2" t="s">
        <v>457</v>
      </c>
      <c r="G37" s="2" t="s">
        <v>458</v>
      </c>
      <c r="H37" s="2" t="s">
        <v>459</v>
      </c>
      <c r="I37" s="2" t="n">
        <f aca="false">IF(F37="Present",9,IF(F37="Half Day",4,0))</f>
        <v>9</v>
      </c>
      <c r="J37" s="2"/>
      <c r="K37" s="2"/>
    </row>
    <row r="38" customFormat="false" ht="15" hidden="false" customHeight="false" outlineLevel="0" collapsed="false">
      <c r="A38" s="2" t="s">
        <v>22</v>
      </c>
      <c r="B38" s="2" t="s">
        <v>23</v>
      </c>
      <c r="C38" s="2" t="s">
        <v>24</v>
      </c>
      <c r="D38" s="3" t="n">
        <v>46240</v>
      </c>
      <c r="E38" s="2" t="str">
        <f aca="false">TEXT(D38,"dddd")</f>
        <v>Thursday</v>
      </c>
      <c r="F38" s="2" t="s">
        <v>457</v>
      </c>
      <c r="G38" s="2" t="s">
        <v>458</v>
      </c>
      <c r="H38" s="2" t="s">
        <v>459</v>
      </c>
      <c r="I38" s="2" t="n">
        <f aca="false">IF(F38="Present",9,IF(F38="Half Day",4,0))</f>
        <v>9</v>
      </c>
      <c r="J38" s="2"/>
      <c r="K38" s="2"/>
    </row>
    <row r="39" customFormat="false" ht="15" hidden="false" customHeight="false" outlineLevel="0" collapsed="false">
      <c r="A39" s="2" t="s">
        <v>22</v>
      </c>
      <c r="B39" s="2" t="s">
        <v>23</v>
      </c>
      <c r="C39" s="2" t="s">
        <v>24</v>
      </c>
      <c r="D39" s="3" t="n">
        <v>46241</v>
      </c>
      <c r="E39" s="2" t="str">
        <f aca="false">TEXT(D39,"dddd")</f>
        <v>Friday</v>
      </c>
      <c r="F39" s="2" t="s">
        <v>457</v>
      </c>
      <c r="G39" s="2" t="s">
        <v>458</v>
      </c>
      <c r="H39" s="2" t="s">
        <v>459</v>
      </c>
      <c r="I39" s="2" t="n">
        <f aca="false">IF(F39="Present",9,IF(F39="Half Day",4,0))</f>
        <v>9</v>
      </c>
      <c r="J39" s="2"/>
      <c r="K39" s="2"/>
    </row>
    <row r="40" customFormat="false" ht="15" hidden="false" customHeight="false" outlineLevel="0" collapsed="false">
      <c r="A40" s="2" t="s">
        <v>22</v>
      </c>
      <c r="B40" s="2" t="s">
        <v>23</v>
      </c>
      <c r="C40" s="2" t="s">
        <v>24</v>
      </c>
      <c r="D40" s="3" t="n">
        <v>46242</v>
      </c>
      <c r="E40" s="2" t="str">
        <f aca="false">TEXT(D40,"dddd")</f>
        <v>Saturday</v>
      </c>
      <c r="F40" s="2" t="s">
        <v>457</v>
      </c>
      <c r="G40" s="2" t="s">
        <v>458</v>
      </c>
      <c r="H40" s="2" t="s">
        <v>459</v>
      </c>
      <c r="I40" s="2" t="n">
        <f aca="false">IF(F40="Present",9,IF(F40="Half Day",4,0))</f>
        <v>9</v>
      </c>
      <c r="J40" s="2"/>
      <c r="K40" s="2"/>
    </row>
    <row r="41" customFormat="false" ht="15" hidden="false" customHeight="false" outlineLevel="0" collapsed="false">
      <c r="A41" s="2" t="s">
        <v>22</v>
      </c>
      <c r="B41" s="2" t="s">
        <v>23</v>
      </c>
      <c r="C41" s="2" t="s">
        <v>24</v>
      </c>
      <c r="D41" s="3" t="n">
        <v>46243</v>
      </c>
      <c r="E41" s="2" t="str">
        <f aca="false">TEXT(D41,"dddd")</f>
        <v>Sunday</v>
      </c>
      <c r="F41" s="2" t="s">
        <v>460</v>
      </c>
      <c r="G41" s="2"/>
      <c r="H41" s="2"/>
      <c r="I41" s="2" t="n">
        <f aca="false">IF(F41="Present",9,IF(F41="Half Day",4,0))</f>
        <v>0</v>
      </c>
      <c r="J41" s="2"/>
      <c r="K41" s="2" t="s">
        <v>460</v>
      </c>
    </row>
    <row r="42" customFormat="false" ht="15" hidden="false" customHeight="false" outlineLevel="0" collapsed="false">
      <c r="A42" s="2" t="s">
        <v>22</v>
      </c>
      <c r="B42" s="2" t="s">
        <v>23</v>
      </c>
      <c r="C42" s="2" t="s">
        <v>24</v>
      </c>
      <c r="D42" s="3" t="n">
        <v>46244</v>
      </c>
      <c r="E42" s="2" t="str">
        <f aca="false">TEXT(D42,"dddd")</f>
        <v>Monday</v>
      </c>
      <c r="F42" s="2" t="s">
        <v>457</v>
      </c>
      <c r="G42" s="2" t="s">
        <v>458</v>
      </c>
      <c r="H42" s="2" t="s">
        <v>459</v>
      </c>
      <c r="I42" s="2" t="n">
        <f aca="false">IF(F42="Present",9,IF(F42="Half Day",4,0))</f>
        <v>9</v>
      </c>
      <c r="J42" s="2"/>
      <c r="K42" s="2"/>
    </row>
    <row r="43" customFormat="false" ht="15" hidden="false" customHeight="false" outlineLevel="0" collapsed="false">
      <c r="A43" s="2" t="s">
        <v>22</v>
      </c>
      <c r="B43" s="2" t="s">
        <v>23</v>
      </c>
      <c r="C43" s="2" t="s">
        <v>24</v>
      </c>
      <c r="D43" s="3" t="n">
        <v>46245</v>
      </c>
      <c r="E43" s="2" t="str">
        <f aca="false">TEXT(D43,"dddd")</f>
        <v>Tuesday</v>
      </c>
      <c r="F43" s="2" t="s">
        <v>457</v>
      </c>
      <c r="G43" s="2" t="s">
        <v>458</v>
      </c>
      <c r="H43" s="2" t="s">
        <v>459</v>
      </c>
      <c r="I43" s="2" t="n">
        <f aca="false">IF(F43="Present",9,IF(F43="Half Day",4,0))</f>
        <v>9</v>
      </c>
      <c r="J43" s="2"/>
      <c r="K43" s="2"/>
    </row>
    <row r="44" customFormat="false" ht="15" hidden="false" customHeight="false" outlineLevel="0" collapsed="false">
      <c r="A44" s="2" t="s">
        <v>22</v>
      </c>
      <c r="B44" s="2" t="s">
        <v>23</v>
      </c>
      <c r="C44" s="2" t="s">
        <v>24</v>
      </c>
      <c r="D44" s="3" t="n">
        <v>46246</v>
      </c>
      <c r="E44" s="2" t="str">
        <f aca="false">TEXT(D44,"dddd")</f>
        <v>Wednesday</v>
      </c>
      <c r="F44" s="2" t="s">
        <v>457</v>
      </c>
      <c r="G44" s="2" t="s">
        <v>458</v>
      </c>
      <c r="H44" s="2" t="s">
        <v>459</v>
      </c>
      <c r="I44" s="2" t="n">
        <f aca="false">IF(F44="Present",9,IF(F44="Half Day",4,0))</f>
        <v>9</v>
      </c>
      <c r="J44" s="2"/>
      <c r="K44" s="2"/>
    </row>
    <row r="45" customFormat="false" ht="15" hidden="false" customHeight="false" outlineLevel="0" collapsed="false">
      <c r="A45" s="2" t="s">
        <v>22</v>
      </c>
      <c r="B45" s="2" t="s">
        <v>23</v>
      </c>
      <c r="C45" s="2" t="s">
        <v>24</v>
      </c>
      <c r="D45" s="3" t="n">
        <v>46247</v>
      </c>
      <c r="E45" s="2" t="str">
        <f aca="false">TEXT(D45,"dddd")</f>
        <v>Thursday</v>
      </c>
      <c r="F45" s="2" t="s">
        <v>457</v>
      </c>
      <c r="G45" s="2" t="s">
        <v>458</v>
      </c>
      <c r="H45" s="2" t="s">
        <v>459</v>
      </c>
      <c r="I45" s="2" t="n">
        <f aca="false">IF(F45="Present",9,IF(F45="Half Day",4,0))</f>
        <v>9</v>
      </c>
      <c r="J45" s="2"/>
      <c r="K45" s="2"/>
    </row>
    <row r="46" customFormat="false" ht="15" hidden="false" customHeight="false" outlineLevel="0" collapsed="false">
      <c r="A46" s="2" t="s">
        <v>22</v>
      </c>
      <c r="B46" s="2" t="s">
        <v>23</v>
      </c>
      <c r="C46" s="2" t="s">
        <v>24</v>
      </c>
      <c r="D46" s="3" t="n">
        <v>46248</v>
      </c>
      <c r="E46" s="2" t="str">
        <f aca="false">TEXT(D46,"dddd")</f>
        <v>Friday</v>
      </c>
      <c r="F46" s="2" t="s">
        <v>457</v>
      </c>
      <c r="G46" s="2" t="s">
        <v>458</v>
      </c>
      <c r="H46" s="2" t="s">
        <v>459</v>
      </c>
      <c r="I46" s="2" t="n">
        <f aca="false">IF(F46="Present",9,IF(F46="Half Day",4,0))</f>
        <v>9</v>
      </c>
      <c r="J46" s="2"/>
      <c r="K46" s="2"/>
    </row>
    <row r="47" customFormat="false" ht="15" hidden="false" customHeight="false" outlineLevel="0" collapsed="false">
      <c r="A47" s="2" t="s">
        <v>22</v>
      </c>
      <c r="B47" s="2" t="s">
        <v>23</v>
      </c>
      <c r="C47" s="2" t="s">
        <v>24</v>
      </c>
      <c r="D47" s="3" t="n">
        <v>46249</v>
      </c>
      <c r="E47" s="2" t="str">
        <f aca="false">TEXT(D47,"dddd")</f>
        <v>Saturday</v>
      </c>
      <c r="F47" s="2" t="s">
        <v>457</v>
      </c>
      <c r="G47" s="2" t="s">
        <v>458</v>
      </c>
      <c r="H47" s="2" t="s">
        <v>459</v>
      </c>
      <c r="I47" s="2" t="n">
        <f aca="false">IF(F47="Present",9,IF(F47="Half Day",4,0))</f>
        <v>9</v>
      </c>
      <c r="J47" s="2"/>
      <c r="K47" s="2"/>
    </row>
    <row r="48" customFormat="false" ht="15" hidden="false" customHeight="false" outlineLevel="0" collapsed="false">
      <c r="A48" s="2" t="s">
        <v>22</v>
      </c>
      <c r="B48" s="2" t="s">
        <v>23</v>
      </c>
      <c r="C48" s="2" t="s">
        <v>24</v>
      </c>
      <c r="D48" s="3" t="n">
        <v>46250</v>
      </c>
      <c r="E48" s="2" t="str">
        <f aca="false">TEXT(D48,"dddd")</f>
        <v>Sunday</v>
      </c>
      <c r="F48" s="2" t="s">
        <v>460</v>
      </c>
      <c r="G48" s="2"/>
      <c r="H48" s="2"/>
      <c r="I48" s="2" t="n">
        <f aca="false">IF(F48="Present",9,IF(F48="Half Day",4,0))</f>
        <v>0</v>
      </c>
      <c r="J48" s="2"/>
      <c r="K48" s="2" t="s">
        <v>460</v>
      </c>
    </row>
    <row r="49" customFormat="false" ht="15" hidden="false" customHeight="false" outlineLevel="0" collapsed="false">
      <c r="A49" s="2" t="s">
        <v>22</v>
      </c>
      <c r="B49" s="2" t="s">
        <v>23</v>
      </c>
      <c r="C49" s="2" t="s">
        <v>24</v>
      </c>
      <c r="D49" s="3" t="n">
        <v>46251</v>
      </c>
      <c r="E49" s="2" t="str">
        <f aca="false">TEXT(D49,"dddd")</f>
        <v>Monday</v>
      </c>
      <c r="F49" s="2" t="s">
        <v>457</v>
      </c>
      <c r="G49" s="2" t="s">
        <v>458</v>
      </c>
      <c r="H49" s="2" t="s">
        <v>459</v>
      </c>
      <c r="I49" s="2" t="n">
        <f aca="false">IF(F49="Present",9,IF(F49="Half Day",4,0))</f>
        <v>9</v>
      </c>
      <c r="J49" s="2"/>
      <c r="K49" s="2"/>
    </row>
    <row r="50" customFormat="false" ht="15" hidden="false" customHeight="false" outlineLevel="0" collapsed="false">
      <c r="A50" s="2" t="s">
        <v>22</v>
      </c>
      <c r="B50" s="2" t="s">
        <v>23</v>
      </c>
      <c r="C50" s="2" t="s">
        <v>24</v>
      </c>
      <c r="D50" s="3" t="n">
        <v>46252</v>
      </c>
      <c r="E50" s="2" t="str">
        <f aca="false">TEXT(D50,"dddd")</f>
        <v>Tuesday</v>
      </c>
      <c r="F50" s="2" t="s">
        <v>457</v>
      </c>
      <c r="G50" s="2" t="s">
        <v>458</v>
      </c>
      <c r="H50" s="2" t="s">
        <v>459</v>
      </c>
      <c r="I50" s="2" t="n">
        <f aca="false">IF(F50="Present",9,IF(F50="Half Day",4,0))</f>
        <v>9</v>
      </c>
      <c r="J50" s="2"/>
      <c r="K50" s="2"/>
    </row>
    <row r="51" customFormat="false" ht="15" hidden="false" customHeight="false" outlineLevel="0" collapsed="false">
      <c r="A51" s="2" t="s">
        <v>22</v>
      </c>
      <c r="B51" s="2" t="s">
        <v>23</v>
      </c>
      <c r="C51" s="2" t="s">
        <v>24</v>
      </c>
      <c r="D51" s="3" t="n">
        <v>46253</v>
      </c>
      <c r="E51" s="2" t="str">
        <f aca="false">TEXT(D51,"dddd")</f>
        <v>Wednesday</v>
      </c>
      <c r="F51" s="2" t="s">
        <v>457</v>
      </c>
      <c r="G51" s="2" t="s">
        <v>458</v>
      </c>
      <c r="H51" s="2" t="s">
        <v>459</v>
      </c>
      <c r="I51" s="2" t="n">
        <f aca="false">IF(F51="Present",9,IF(F51="Half Day",4,0))</f>
        <v>9</v>
      </c>
      <c r="J51" s="2"/>
      <c r="K51" s="2"/>
    </row>
    <row r="52" customFormat="false" ht="15" hidden="false" customHeight="false" outlineLevel="0" collapsed="false">
      <c r="A52" s="2" t="s">
        <v>22</v>
      </c>
      <c r="B52" s="2" t="s">
        <v>23</v>
      </c>
      <c r="C52" s="2" t="s">
        <v>24</v>
      </c>
      <c r="D52" s="3" t="n">
        <v>46254</v>
      </c>
      <c r="E52" s="2" t="str">
        <f aca="false">TEXT(D52,"dddd")</f>
        <v>Thursday</v>
      </c>
      <c r="F52" s="2" t="s">
        <v>457</v>
      </c>
      <c r="G52" s="2" t="s">
        <v>458</v>
      </c>
      <c r="H52" s="2" t="s">
        <v>459</v>
      </c>
      <c r="I52" s="2" t="n">
        <f aca="false">IF(F52="Present",9,IF(F52="Half Day",4,0))</f>
        <v>9</v>
      </c>
      <c r="J52" s="2"/>
      <c r="K52" s="2"/>
    </row>
    <row r="53" customFormat="false" ht="15" hidden="false" customHeight="false" outlineLevel="0" collapsed="false">
      <c r="A53" s="2" t="s">
        <v>22</v>
      </c>
      <c r="B53" s="2" t="s">
        <v>23</v>
      </c>
      <c r="C53" s="2" t="s">
        <v>24</v>
      </c>
      <c r="D53" s="3" t="n">
        <v>46255</v>
      </c>
      <c r="E53" s="2" t="str">
        <f aca="false">TEXT(D53,"dddd")</f>
        <v>Friday</v>
      </c>
      <c r="F53" s="2" t="s">
        <v>457</v>
      </c>
      <c r="G53" s="2" t="s">
        <v>458</v>
      </c>
      <c r="H53" s="2" t="s">
        <v>459</v>
      </c>
      <c r="I53" s="2" t="n">
        <f aca="false">IF(F53="Present",9,IF(F53="Half Day",4,0))</f>
        <v>9</v>
      </c>
      <c r="J53" s="2"/>
      <c r="K53" s="2"/>
    </row>
    <row r="54" customFormat="false" ht="15" hidden="false" customHeight="false" outlineLevel="0" collapsed="false">
      <c r="A54" s="2" t="s">
        <v>22</v>
      </c>
      <c r="B54" s="2" t="s">
        <v>23</v>
      </c>
      <c r="C54" s="2" t="s">
        <v>24</v>
      </c>
      <c r="D54" s="3" t="n">
        <v>46256</v>
      </c>
      <c r="E54" s="2" t="str">
        <f aca="false">TEXT(D54,"dddd")</f>
        <v>Saturday</v>
      </c>
      <c r="F54" s="2" t="s">
        <v>457</v>
      </c>
      <c r="G54" s="2" t="s">
        <v>458</v>
      </c>
      <c r="H54" s="2" t="s">
        <v>459</v>
      </c>
      <c r="I54" s="2" t="n">
        <f aca="false">IF(F54="Present",9,IF(F54="Half Day",4,0))</f>
        <v>9</v>
      </c>
      <c r="J54" s="2"/>
      <c r="K54" s="2"/>
    </row>
    <row r="55" customFormat="false" ht="15" hidden="false" customHeight="false" outlineLevel="0" collapsed="false">
      <c r="A55" s="2" t="s">
        <v>22</v>
      </c>
      <c r="B55" s="2" t="s">
        <v>23</v>
      </c>
      <c r="C55" s="2" t="s">
        <v>24</v>
      </c>
      <c r="D55" s="3" t="n">
        <v>46257</v>
      </c>
      <c r="E55" s="2" t="str">
        <f aca="false">TEXT(D55,"dddd")</f>
        <v>Sunday</v>
      </c>
      <c r="F55" s="2" t="s">
        <v>460</v>
      </c>
      <c r="G55" s="2"/>
      <c r="H55" s="2"/>
      <c r="I55" s="2" t="n">
        <f aca="false">IF(F55="Present",9,IF(F55="Half Day",4,0))</f>
        <v>0</v>
      </c>
      <c r="J55" s="2"/>
      <c r="K55" s="2" t="s">
        <v>460</v>
      </c>
    </row>
    <row r="56" customFormat="false" ht="15" hidden="false" customHeight="false" outlineLevel="0" collapsed="false">
      <c r="A56" s="2" t="s">
        <v>22</v>
      </c>
      <c r="B56" s="2" t="s">
        <v>23</v>
      </c>
      <c r="C56" s="2" t="s">
        <v>24</v>
      </c>
      <c r="D56" s="3" t="n">
        <v>46258</v>
      </c>
      <c r="E56" s="2" t="str">
        <f aca="false">TEXT(D56,"dddd")</f>
        <v>Monday</v>
      </c>
      <c r="F56" s="2" t="s">
        <v>457</v>
      </c>
      <c r="G56" s="2" t="s">
        <v>458</v>
      </c>
      <c r="H56" s="2" t="s">
        <v>459</v>
      </c>
      <c r="I56" s="2" t="n">
        <f aca="false">IF(F56="Present",9,IF(F56="Half Day",4,0))</f>
        <v>9</v>
      </c>
      <c r="J56" s="2"/>
      <c r="K56" s="2"/>
    </row>
    <row r="57" customFormat="false" ht="15" hidden="false" customHeight="false" outlineLevel="0" collapsed="false">
      <c r="A57" s="2" t="s">
        <v>22</v>
      </c>
      <c r="B57" s="2" t="s">
        <v>23</v>
      </c>
      <c r="C57" s="2" t="s">
        <v>24</v>
      </c>
      <c r="D57" s="3" t="n">
        <v>46259</v>
      </c>
      <c r="E57" s="2" t="str">
        <f aca="false">TEXT(D57,"dddd")</f>
        <v>Tuesday</v>
      </c>
      <c r="F57" s="2" t="s">
        <v>457</v>
      </c>
      <c r="G57" s="2" t="s">
        <v>458</v>
      </c>
      <c r="H57" s="2" t="s">
        <v>459</v>
      </c>
      <c r="I57" s="2" t="n">
        <f aca="false">IF(F57="Present",9,IF(F57="Half Day",4,0))</f>
        <v>9</v>
      </c>
      <c r="J57" s="2"/>
      <c r="K57" s="2"/>
    </row>
    <row r="58" customFormat="false" ht="15" hidden="false" customHeight="false" outlineLevel="0" collapsed="false">
      <c r="A58" s="2" t="s">
        <v>22</v>
      </c>
      <c r="B58" s="2" t="s">
        <v>23</v>
      </c>
      <c r="C58" s="2" t="s">
        <v>24</v>
      </c>
      <c r="D58" s="3" t="n">
        <v>46260</v>
      </c>
      <c r="E58" s="2" t="str">
        <f aca="false">TEXT(D58,"dddd")</f>
        <v>Wednesday</v>
      </c>
      <c r="F58" s="2" t="s">
        <v>457</v>
      </c>
      <c r="G58" s="2" t="s">
        <v>458</v>
      </c>
      <c r="H58" s="2" t="s">
        <v>459</v>
      </c>
      <c r="I58" s="2" t="n">
        <f aca="false">IF(F58="Present",9,IF(F58="Half Day",4,0))</f>
        <v>9</v>
      </c>
      <c r="J58" s="2"/>
      <c r="K58" s="2"/>
    </row>
    <row r="59" customFormat="false" ht="15" hidden="false" customHeight="false" outlineLevel="0" collapsed="false">
      <c r="A59" s="2" t="s">
        <v>22</v>
      </c>
      <c r="B59" s="2" t="s">
        <v>23</v>
      </c>
      <c r="C59" s="2" t="s">
        <v>24</v>
      </c>
      <c r="D59" s="3" t="n">
        <v>46261</v>
      </c>
      <c r="E59" s="2" t="str">
        <f aca="false">TEXT(D59,"dddd")</f>
        <v>Thursday</v>
      </c>
      <c r="F59" s="2" t="s">
        <v>457</v>
      </c>
      <c r="G59" s="2" t="s">
        <v>458</v>
      </c>
      <c r="H59" s="2" t="s">
        <v>459</v>
      </c>
      <c r="I59" s="2" t="n">
        <f aca="false">IF(F59="Present",9,IF(F59="Half Day",4,0))</f>
        <v>9</v>
      </c>
      <c r="J59" s="2"/>
      <c r="K59" s="2"/>
    </row>
    <row r="60" customFormat="false" ht="15" hidden="false" customHeight="false" outlineLevel="0" collapsed="false">
      <c r="A60" s="2" t="s">
        <v>22</v>
      </c>
      <c r="B60" s="2" t="s">
        <v>23</v>
      </c>
      <c r="C60" s="2" t="s">
        <v>24</v>
      </c>
      <c r="D60" s="3" t="n">
        <v>46262</v>
      </c>
      <c r="E60" s="2" t="str">
        <f aca="false">TEXT(D60,"dddd")</f>
        <v>Friday</v>
      </c>
      <c r="F60" s="2" t="s">
        <v>457</v>
      </c>
      <c r="G60" s="2" t="s">
        <v>458</v>
      </c>
      <c r="H60" s="2" t="s">
        <v>459</v>
      </c>
      <c r="I60" s="2" t="n">
        <f aca="false">IF(F60="Present",9,IF(F60="Half Day",4,0))</f>
        <v>9</v>
      </c>
      <c r="J60" s="2"/>
      <c r="K60" s="2"/>
    </row>
    <row r="61" customFormat="false" ht="15" hidden="false" customHeight="false" outlineLevel="0" collapsed="false">
      <c r="A61" s="2" t="s">
        <v>22</v>
      </c>
      <c r="B61" s="2" t="s">
        <v>23</v>
      </c>
      <c r="C61" s="2" t="s">
        <v>24</v>
      </c>
      <c r="D61" s="3" t="n">
        <v>46263</v>
      </c>
      <c r="E61" s="2" t="str">
        <f aca="false">TEXT(D61,"dddd")</f>
        <v>Saturday</v>
      </c>
      <c r="F61" s="2" t="s">
        <v>457</v>
      </c>
      <c r="G61" s="2" t="s">
        <v>458</v>
      </c>
      <c r="H61" s="2" t="s">
        <v>459</v>
      </c>
      <c r="I61" s="2" t="n">
        <f aca="false">IF(F61="Present",9,IF(F61="Half Day",4,0))</f>
        <v>9</v>
      </c>
      <c r="J61" s="2"/>
      <c r="K61" s="2"/>
    </row>
    <row r="62" customFormat="false" ht="15" hidden="false" customHeight="false" outlineLevel="0" collapsed="false">
      <c r="A62" s="2" t="s">
        <v>22</v>
      </c>
      <c r="B62" s="2" t="s">
        <v>23</v>
      </c>
      <c r="C62" s="2" t="s">
        <v>24</v>
      </c>
      <c r="D62" s="3" t="n">
        <v>46264</v>
      </c>
      <c r="E62" s="2" t="str">
        <f aca="false">TEXT(D62,"dddd")</f>
        <v>Sunday</v>
      </c>
      <c r="F62" s="2" t="s">
        <v>460</v>
      </c>
      <c r="G62" s="2"/>
      <c r="H62" s="2"/>
      <c r="I62" s="2" t="n">
        <f aca="false">IF(F62="Present",9,IF(F62="Half Day",4,0))</f>
        <v>0</v>
      </c>
      <c r="J62" s="2"/>
      <c r="K62" s="2" t="s">
        <v>460</v>
      </c>
    </row>
    <row r="63" customFormat="false" ht="15" hidden="false" customHeight="false" outlineLevel="0" collapsed="false">
      <c r="A63" s="2" t="s">
        <v>22</v>
      </c>
      <c r="B63" s="2" t="s">
        <v>23</v>
      </c>
      <c r="C63" s="2" t="s">
        <v>24</v>
      </c>
      <c r="D63" s="3" t="n">
        <v>46265</v>
      </c>
      <c r="E63" s="2" t="str">
        <f aca="false">TEXT(D63,"dddd")</f>
        <v>Monday</v>
      </c>
      <c r="F63" s="2" t="s">
        <v>457</v>
      </c>
      <c r="G63" s="2" t="s">
        <v>458</v>
      </c>
      <c r="H63" s="2" t="s">
        <v>459</v>
      </c>
      <c r="I63" s="2" t="n">
        <f aca="false">IF(F63="Present",9,IF(F63="Half Day",4,0))</f>
        <v>9</v>
      </c>
      <c r="J63" s="2"/>
      <c r="K63" s="2"/>
    </row>
    <row r="64" customFormat="false" ht="15" hidden="false" customHeight="false" outlineLevel="0" collapsed="false">
      <c r="A64" s="2" t="s">
        <v>26</v>
      </c>
      <c r="B64" s="2" t="s">
        <v>27</v>
      </c>
      <c r="C64" s="2" t="s">
        <v>28</v>
      </c>
      <c r="D64" s="3" t="n">
        <v>46235</v>
      </c>
      <c r="E64" s="2" t="str">
        <f aca="false">TEXT(D64,"dddd")</f>
        <v>Saturday</v>
      </c>
      <c r="F64" s="2" t="s">
        <v>457</v>
      </c>
      <c r="G64" s="2" t="s">
        <v>458</v>
      </c>
      <c r="H64" s="2" t="s">
        <v>459</v>
      </c>
      <c r="I64" s="2" t="n">
        <f aca="false">IF(F64="Present",9,IF(F64="Half Day",4,0))</f>
        <v>9</v>
      </c>
      <c r="J64" s="2"/>
      <c r="K64" s="2"/>
    </row>
    <row r="65" customFormat="false" ht="15" hidden="false" customHeight="false" outlineLevel="0" collapsed="false">
      <c r="A65" s="2" t="s">
        <v>26</v>
      </c>
      <c r="B65" s="2" t="s">
        <v>27</v>
      </c>
      <c r="C65" s="2" t="s">
        <v>28</v>
      </c>
      <c r="D65" s="3" t="n">
        <v>46236</v>
      </c>
      <c r="E65" s="2" t="str">
        <f aca="false">TEXT(D65,"dddd")</f>
        <v>Sunday</v>
      </c>
      <c r="F65" s="2" t="s">
        <v>460</v>
      </c>
      <c r="G65" s="2"/>
      <c r="H65" s="2"/>
      <c r="I65" s="2" t="n">
        <f aca="false">IF(F65="Present",9,IF(F65="Half Day",4,0))</f>
        <v>0</v>
      </c>
      <c r="J65" s="2"/>
      <c r="K65" s="2" t="s">
        <v>460</v>
      </c>
    </row>
    <row r="66" customFormat="false" ht="15" hidden="false" customHeight="false" outlineLevel="0" collapsed="false">
      <c r="A66" s="2" t="s">
        <v>26</v>
      </c>
      <c r="B66" s="2" t="s">
        <v>27</v>
      </c>
      <c r="C66" s="2" t="s">
        <v>28</v>
      </c>
      <c r="D66" s="3" t="n">
        <v>46237</v>
      </c>
      <c r="E66" s="2" t="str">
        <f aca="false">TEXT(D66,"dddd")</f>
        <v>Monday</v>
      </c>
      <c r="F66" s="2" t="s">
        <v>461</v>
      </c>
      <c r="G66" s="2"/>
      <c r="H66" s="2"/>
      <c r="I66" s="2" t="n">
        <f aca="false">IF(F66="Present",9,IF(F66="Half Day",4,0))</f>
        <v>0</v>
      </c>
      <c r="J66" s="2"/>
      <c r="K66" s="2" t="s">
        <v>462</v>
      </c>
    </row>
    <row r="67" customFormat="false" ht="15" hidden="false" customHeight="false" outlineLevel="0" collapsed="false">
      <c r="A67" s="2" t="s">
        <v>26</v>
      </c>
      <c r="B67" s="2" t="s">
        <v>27</v>
      </c>
      <c r="C67" s="2" t="s">
        <v>28</v>
      </c>
      <c r="D67" s="3" t="n">
        <v>46238</v>
      </c>
      <c r="E67" s="2" t="str">
        <f aca="false">TEXT(D67,"dddd")</f>
        <v>Tuesday</v>
      </c>
      <c r="F67" s="2" t="s">
        <v>461</v>
      </c>
      <c r="G67" s="2"/>
      <c r="H67" s="2"/>
      <c r="I67" s="2" t="n">
        <f aca="false">IF(F67="Present",9,IF(F67="Half Day",4,0))</f>
        <v>0</v>
      </c>
      <c r="J67" s="2"/>
      <c r="K67" s="2" t="s">
        <v>462</v>
      </c>
    </row>
    <row r="68" customFormat="false" ht="15" hidden="false" customHeight="false" outlineLevel="0" collapsed="false">
      <c r="A68" s="2" t="s">
        <v>26</v>
      </c>
      <c r="B68" s="2" t="s">
        <v>27</v>
      </c>
      <c r="C68" s="2" t="s">
        <v>28</v>
      </c>
      <c r="D68" s="3" t="n">
        <v>46239</v>
      </c>
      <c r="E68" s="2" t="str">
        <f aca="false">TEXT(D68,"dddd")</f>
        <v>Wednesday</v>
      </c>
      <c r="F68" s="2" t="s">
        <v>457</v>
      </c>
      <c r="G68" s="2" t="s">
        <v>458</v>
      </c>
      <c r="H68" s="2" t="s">
        <v>459</v>
      </c>
      <c r="I68" s="2" t="n">
        <f aca="false">IF(F68="Present",9,IF(F68="Half Day",4,0))</f>
        <v>9</v>
      </c>
      <c r="J68" s="2"/>
      <c r="K68" s="2"/>
    </row>
    <row r="69" customFormat="false" ht="15" hidden="false" customHeight="false" outlineLevel="0" collapsed="false">
      <c r="A69" s="2" t="s">
        <v>26</v>
      </c>
      <c r="B69" s="2" t="s">
        <v>27</v>
      </c>
      <c r="C69" s="2" t="s">
        <v>28</v>
      </c>
      <c r="D69" s="3" t="n">
        <v>46240</v>
      </c>
      <c r="E69" s="2" t="str">
        <f aca="false">TEXT(D69,"dddd")</f>
        <v>Thursday</v>
      </c>
      <c r="F69" s="2" t="s">
        <v>457</v>
      </c>
      <c r="G69" s="2" t="s">
        <v>458</v>
      </c>
      <c r="H69" s="2" t="s">
        <v>459</v>
      </c>
      <c r="I69" s="2" t="n">
        <f aca="false">IF(F69="Present",9,IF(F69="Half Day",4,0))</f>
        <v>9</v>
      </c>
      <c r="J69" s="2"/>
      <c r="K69" s="2"/>
    </row>
    <row r="70" customFormat="false" ht="15" hidden="false" customHeight="false" outlineLevel="0" collapsed="false">
      <c r="A70" s="2" t="s">
        <v>26</v>
      </c>
      <c r="B70" s="2" t="s">
        <v>27</v>
      </c>
      <c r="C70" s="2" t="s">
        <v>28</v>
      </c>
      <c r="D70" s="3" t="n">
        <v>46241</v>
      </c>
      <c r="E70" s="2" t="str">
        <f aca="false">TEXT(D70,"dddd")</f>
        <v>Friday</v>
      </c>
      <c r="F70" s="2" t="s">
        <v>457</v>
      </c>
      <c r="G70" s="2" t="s">
        <v>458</v>
      </c>
      <c r="H70" s="2" t="s">
        <v>459</v>
      </c>
      <c r="I70" s="2" t="n">
        <f aca="false">IF(F70="Present",9,IF(F70="Half Day",4,0))</f>
        <v>9</v>
      </c>
      <c r="J70" s="2"/>
      <c r="K70" s="2"/>
    </row>
    <row r="71" customFormat="false" ht="15" hidden="false" customHeight="false" outlineLevel="0" collapsed="false">
      <c r="A71" s="2" t="s">
        <v>26</v>
      </c>
      <c r="B71" s="2" t="s">
        <v>27</v>
      </c>
      <c r="C71" s="2" t="s">
        <v>28</v>
      </c>
      <c r="D71" s="3" t="n">
        <v>46242</v>
      </c>
      <c r="E71" s="2" t="str">
        <f aca="false">TEXT(D71,"dddd")</f>
        <v>Saturday</v>
      </c>
      <c r="F71" s="2" t="s">
        <v>457</v>
      </c>
      <c r="G71" s="2" t="s">
        <v>458</v>
      </c>
      <c r="H71" s="2" t="s">
        <v>459</v>
      </c>
      <c r="I71" s="2" t="n">
        <f aca="false">IF(F71="Present",9,IF(F71="Half Day",4,0))</f>
        <v>9</v>
      </c>
      <c r="J71" s="2"/>
      <c r="K71" s="2"/>
    </row>
    <row r="72" customFormat="false" ht="15" hidden="false" customHeight="false" outlineLevel="0" collapsed="false">
      <c r="A72" s="2" t="s">
        <v>26</v>
      </c>
      <c r="B72" s="2" t="s">
        <v>27</v>
      </c>
      <c r="C72" s="2" t="s">
        <v>28</v>
      </c>
      <c r="D72" s="3" t="n">
        <v>46243</v>
      </c>
      <c r="E72" s="2" t="str">
        <f aca="false">TEXT(D72,"dddd")</f>
        <v>Sunday</v>
      </c>
      <c r="F72" s="2" t="s">
        <v>460</v>
      </c>
      <c r="G72" s="2"/>
      <c r="H72" s="2"/>
      <c r="I72" s="2" t="n">
        <f aca="false">IF(F72="Present",9,IF(F72="Half Day",4,0))</f>
        <v>0</v>
      </c>
      <c r="J72" s="2"/>
      <c r="K72" s="2" t="s">
        <v>460</v>
      </c>
    </row>
    <row r="73" customFormat="false" ht="15" hidden="false" customHeight="false" outlineLevel="0" collapsed="false">
      <c r="A73" s="2" t="s">
        <v>26</v>
      </c>
      <c r="B73" s="2" t="s">
        <v>27</v>
      </c>
      <c r="C73" s="2" t="s">
        <v>28</v>
      </c>
      <c r="D73" s="3" t="n">
        <v>46244</v>
      </c>
      <c r="E73" s="2" t="str">
        <f aca="false">TEXT(D73,"dddd")</f>
        <v>Monday</v>
      </c>
      <c r="F73" s="2" t="s">
        <v>457</v>
      </c>
      <c r="G73" s="2" t="s">
        <v>458</v>
      </c>
      <c r="H73" s="2" t="s">
        <v>459</v>
      </c>
      <c r="I73" s="2" t="n">
        <f aca="false">IF(F73="Present",9,IF(F73="Half Day",4,0))</f>
        <v>9</v>
      </c>
      <c r="J73" s="2"/>
      <c r="K73" s="2"/>
    </row>
    <row r="74" customFormat="false" ht="15" hidden="false" customHeight="false" outlineLevel="0" collapsed="false">
      <c r="A74" s="2" t="s">
        <v>26</v>
      </c>
      <c r="B74" s="2" t="s">
        <v>27</v>
      </c>
      <c r="C74" s="2" t="s">
        <v>28</v>
      </c>
      <c r="D74" s="3" t="n">
        <v>46245</v>
      </c>
      <c r="E74" s="2" t="str">
        <f aca="false">TEXT(D74,"dddd")</f>
        <v>Tuesday</v>
      </c>
      <c r="F74" s="2" t="s">
        <v>461</v>
      </c>
      <c r="G74" s="2"/>
      <c r="H74" s="2"/>
      <c r="I74" s="2" t="n">
        <f aca="false">IF(F74="Present",9,IF(F74="Half Day",4,0))</f>
        <v>0</v>
      </c>
      <c r="J74" s="2"/>
      <c r="K74" s="2" t="s">
        <v>462</v>
      </c>
    </row>
    <row r="75" customFormat="false" ht="15" hidden="false" customHeight="false" outlineLevel="0" collapsed="false">
      <c r="A75" s="2" t="s">
        <v>26</v>
      </c>
      <c r="B75" s="2" t="s">
        <v>27</v>
      </c>
      <c r="C75" s="2" t="s">
        <v>28</v>
      </c>
      <c r="D75" s="3" t="n">
        <v>46246</v>
      </c>
      <c r="E75" s="2" t="str">
        <f aca="false">TEXT(D75,"dddd")</f>
        <v>Wednesday</v>
      </c>
      <c r="F75" s="2" t="s">
        <v>457</v>
      </c>
      <c r="G75" s="2" t="s">
        <v>458</v>
      </c>
      <c r="H75" s="2" t="s">
        <v>459</v>
      </c>
      <c r="I75" s="2" t="n">
        <f aca="false">IF(F75="Present",9,IF(F75="Half Day",4,0))</f>
        <v>9</v>
      </c>
      <c r="J75" s="2"/>
      <c r="K75" s="2"/>
    </row>
    <row r="76" customFormat="false" ht="15" hidden="false" customHeight="false" outlineLevel="0" collapsed="false">
      <c r="A76" s="2" t="s">
        <v>26</v>
      </c>
      <c r="B76" s="2" t="s">
        <v>27</v>
      </c>
      <c r="C76" s="2" t="s">
        <v>28</v>
      </c>
      <c r="D76" s="3" t="n">
        <v>46247</v>
      </c>
      <c r="E76" s="2" t="str">
        <f aca="false">TEXT(D76,"dddd")</f>
        <v>Thursday</v>
      </c>
      <c r="F76" s="2" t="s">
        <v>457</v>
      </c>
      <c r="G76" s="2" t="s">
        <v>458</v>
      </c>
      <c r="H76" s="2" t="s">
        <v>459</v>
      </c>
      <c r="I76" s="2" t="n">
        <f aca="false">IF(F76="Present",9,IF(F76="Half Day",4,0))</f>
        <v>9</v>
      </c>
      <c r="J76" s="2"/>
      <c r="K76" s="2"/>
    </row>
    <row r="77" customFormat="false" ht="15" hidden="false" customHeight="false" outlineLevel="0" collapsed="false">
      <c r="A77" s="2" t="s">
        <v>26</v>
      </c>
      <c r="B77" s="2" t="s">
        <v>27</v>
      </c>
      <c r="C77" s="2" t="s">
        <v>28</v>
      </c>
      <c r="D77" s="3" t="n">
        <v>46248</v>
      </c>
      <c r="E77" s="2" t="str">
        <f aca="false">TEXT(D77,"dddd")</f>
        <v>Friday</v>
      </c>
      <c r="F77" s="2" t="s">
        <v>457</v>
      </c>
      <c r="G77" s="2" t="s">
        <v>458</v>
      </c>
      <c r="H77" s="2" t="s">
        <v>459</v>
      </c>
      <c r="I77" s="2" t="n">
        <f aca="false">IF(F77="Present",9,IF(F77="Half Day",4,0))</f>
        <v>9</v>
      </c>
      <c r="J77" s="2"/>
      <c r="K77" s="2"/>
    </row>
    <row r="78" customFormat="false" ht="15" hidden="false" customHeight="false" outlineLevel="0" collapsed="false">
      <c r="A78" s="2" t="s">
        <v>26</v>
      </c>
      <c r="B78" s="2" t="s">
        <v>27</v>
      </c>
      <c r="C78" s="2" t="s">
        <v>28</v>
      </c>
      <c r="D78" s="3" t="n">
        <v>46249</v>
      </c>
      <c r="E78" s="2" t="str">
        <f aca="false">TEXT(D78,"dddd")</f>
        <v>Saturday</v>
      </c>
      <c r="F78" s="2" t="s">
        <v>461</v>
      </c>
      <c r="G78" s="2"/>
      <c r="H78" s="2"/>
      <c r="I78" s="2" t="n">
        <f aca="false">IF(F78="Present",9,IF(F78="Half Day",4,0))</f>
        <v>0</v>
      </c>
      <c r="J78" s="2"/>
      <c r="K78" s="2" t="s">
        <v>462</v>
      </c>
    </row>
    <row r="79" customFormat="false" ht="15" hidden="false" customHeight="false" outlineLevel="0" collapsed="false">
      <c r="A79" s="2" t="s">
        <v>26</v>
      </c>
      <c r="B79" s="2" t="s">
        <v>27</v>
      </c>
      <c r="C79" s="2" t="s">
        <v>28</v>
      </c>
      <c r="D79" s="3" t="n">
        <v>46250</v>
      </c>
      <c r="E79" s="2" t="str">
        <f aca="false">TEXT(D79,"dddd")</f>
        <v>Sunday</v>
      </c>
      <c r="F79" s="2" t="s">
        <v>460</v>
      </c>
      <c r="G79" s="2"/>
      <c r="H79" s="2"/>
      <c r="I79" s="2" t="n">
        <f aca="false">IF(F79="Present",9,IF(F79="Half Day",4,0))</f>
        <v>0</v>
      </c>
      <c r="J79" s="2"/>
      <c r="K79" s="2" t="s">
        <v>460</v>
      </c>
    </row>
    <row r="80" customFormat="false" ht="15" hidden="false" customHeight="false" outlineLevel="0" collapsed="false">
      <c r="A80" s="2" t="s">
        <v>26</v>
      </c>
      <c r="B80" s="2" t="s">
        <v>27</v>
      </c>
      <c r="C80" s="2" t="s">
        <v>28</v>
      </c>
      <c r="D80" s="3" t="n">
        <v>46251</v>
      </c>
      <c r="E80" s="2" t="str">
        <f aca="false">TEXT(D80,"dddd")</f>
        <v>Monday</v>
      </c>
      <c r="F80" s="2" t="s">
        <v>463</v>
      </c>
      <c r="G80" s="2"/>
      <c r="H80" s="2"/>
      <c r="I80" s="2" t="n">
        <f aca="false">IF(F80="Present",9,IF(F80="Half Day",4,0))</f>
        <v>0</v>
      </c>
      <c r="J80" s="2" t="s">
        <v>464</v>
      </c>
      <c r="K80" s="2" t="s">
        <v>465</v>
      </c>
    </row>
    <row r="81" customFormat="false" ht="15" hidden="false" customHeight="false" outlineLevel="0" collapsed="false">
      <c r="A81" s="2" t="s">
        <v>26</v>
      </c>
      <c r="B81" s="2" t="s">
        <v>27</v>
      </c>
      <c r="C81" s="2" t="s">
        <v>28</v>
      </c>
      <c r="D81" s="3" t="n">
        <v>46252</v>
      </c>
      <c r="E81" s="2" t="str">
        <f aca="false">TEXT(D81,"dddd")</f>
        <v>Tuesday</v>
      </c>
      <c r="F81" s="2" t="s">
        <v>457</v>
      </c>
      <c r="G81" s="2" t="s">
        <v>458</v>
      </c>
      <c r="H81" s="2" t="s">
        <v>459</v>
      </c>
      <c r="I81" s="2" t="n">
        <f aca="false">IF(F81="Present",9,IF(F81="Half Day",4,0))</f>
        <v>9</v>
      </c>
      <c r="J81" s="2"/>
      <c r="K81" s="2"/>
    </row>
    <row r="82" customFormat="false" ht="15" hidden="false" customHeight="false" outlineLevel="0" collapsed="false">
      <c r="A82" s="2" t="s">
        <v>26</v>
      </c>
      <c r="B82" s="2" t="s">
        <v>27</v>
      </c>
      <c r="C82" s="2" t="s">
        <v>28</v>
      </c>
      <c r="D82" s="3" t="n">
        <v>46253</v>
      </c>
      <c r="E82" s="2" t="str">
        <f aca="false">TEXT(D82,"dddd")</f>
        <v>Wednesday</v>
      </c>
      <c r="F82" s="2" t="s">
        <v>457</v>
      </c>
      <c r="G82" s="2" t="s">
        <v>458</v>
      </c>
      <c r="H82" s="2" t="s">
        <v>459</v>
      </c>
      <c r="I82" s="2" t="n">
        <f aca="false">IF(F82="Present",9,IF(F82="Half Day",4,0))</f>
        <v>9</v>
      </c>
      <c r="J82" s="2"/>
      <c r="K82" s="2"/>
    </row>
    <row r="83" customFormat="false" ht="15" hidden="false" customHeight="false" outlineLevel="0" collapsed="false">
      <c r="A83" s="2" t="s">
        <v>26</v>
      </c>
      <c r="B83" s="2" t="s">
        <v>27</v>
      </c>
      <c r="C83" s="2" t="s">
        <v>28</v>
      </c>
      <c r="D83" s="3" t="n">
        <v>46254</v>
      </c>
      <c r="E83" s="2" t="str">
        <f aca="false">TEXT(D83,"dddd")</f>
        <v>Thursday</v>
      </c>
      <c r="F83" s="2" t="s">
        <v>461</v>
      </c>
      <c r="G83" s="2"/>
      <c r="H83" s="2"/>
      <c r="I83" s="2" t="n">
        <f aca="false">IF(F83="Present",9,IF(F83="Half Day",4,0))</f>
        <v>0</v>
      </c>
      <c r="J83" s="2"/>
      <c r="K83" s="2" t="s">
        <v>462</v>
      </c>
    </row>
    <row r="84" customFormat="false" ht="15" hidden="false" customHeight="false" outlineLevel="0" collapsed="false">
      <c r="A84" s="2" t="s">
        <v>26</v>
      </c>
      <c r="B84" s="2" t="s">
        <v>27</v>
      </c>
      <c r="C84" s="2" t="s">
        <v>28</v>
      </c>
      <c r="D84" s="3" t="n">
        <v>46255</v>
      </c>
      <c r="E84" s="2" t="str">
        <f aca="false">TEXT(D84,"dddd")</f>
        <v>Friday</v>
      </c>
      <c r="F84" s="2" t="s">
        <v>457</v>
      </c>
      <c r="G84" s="2" t="s">
        <v>458</v>
      </c>
      <c r="H84" s="2" t="s">
        <v>459</v>
      </c>
      <c r="I84" s="2" t="n">
        <f aca="false">IF(F84="Present",9,IF(F84="Half Day",4,0))</f>
        <v>9</v>
      </c>
      <c r="J84" s="2"/>
      <c r="K84" s="2"/>
    </row>
    <row r="85" customFormat="false" ht="15" hidden="false" customHeight="false" outlineLevel="0" collapsed="false">
      <c r="A85" s="2" t="s">
        <v>26</v>
      </c>
      <c r="B85" s="2" t="s">
        <v>27</v>
      </c>
      <c r="C85" s="2" t="s">
        <v>28</v>
      </c>
      <c r="D85" s="3" t="n">
        <v>46256</v>
      </c>
      <c r="E85" s="2" t="str">
        <f aca="false">TEXT(D85,"dddd")</f>
        <v>Saturday</v>
      </c>
      <c r="F85" s="2" t="s">
        <v>457</v>
      </c>
      <c r="G85" s="2" t="s">
        <v>458</v>
      </c>
      <c r="H85" s="2" t="s">
        <v>459</v>
      </c>
      <c r="I85" s="2" t="n">
        <f aca="false">IF(F85="Present",9,IF(F85="Half Day",4,0))</f>
        <v>9</v>
      </c>
      <c r="J85" s="2"/>
      <c r="K85" s="2"/>
    </row>
    <row r="86" customFormat="false" ht="15" hidden="false" customHeight="false" outlineLevel="0" collapsed="false">
      <c r="A86" s="2" t="s">
        <v>26</v>
      </c>
      <c r="B86" s="2" t="s">
        <v>27</v>
      </c>
      <c r="C86" s="2" t="s">
        <v>28</v>
      </c>
      <c r="D86" s="3" t="n">
        <v>46257</v>
      </c>
      <c r="E86" s="2" t="str">
        <f aca="false">TEXT(D86,"dddd")</f>
        <v>Sunday</v>
      </c>
      <c r="F86" s="2" t="s">
        <v>460</v>
      </c>
      <c r="G86" s="2"/>
      <c r="H86" s="2"/>
      <c r="I86" s="2" t="n">
        <f aca="false">IF(F86="Present",9,IF(F86="Half Day",4,0))</f>
        <v>0</v>
      </c>
      <c r="J86" s="2"/>
      <c r="K86" s="2" t="s">
        <v>460</v>
      </c>
    </row>
    <row r="87" customFormat="false" ht="15" hidden="false" customHeight="false" outlineLevel="0" collapsed="false">
      <c r="A87" s="2" t="s">
        <v>26</v>
      </c>
      <c r="B87" s="2" t="s">
        <v>27</v>
      </c>
      <c r="C87" s="2" t="s">
        <v>28</v>
      </c>
      <c r="D87" s="3" t="n">
        <v>46258</v>
      </c>
      <c r="E87" s="2" t="str">
        <f aca="false">TEXT(D87,"dddd")</f>
        <v>Monday</v>
      </c>
      <c r="F87" s="2" t="s">
        <v>457</v>
      </c>
      <c r="G87" s="2" t="s">
        <v>458</v>
      </c>
      <c r="H87" s="2" t="s">
        <v>459</v>
      </c>
      <c r="I87" s="2" t="n">
        <f aca="false">IF(F87="Present",9,IF(F87="Half Day",4,0))</f>
        <v>9</v>
      </c>
      <c r="J87" s="2"/>
      <c r="K87" s="2"/>
    </row>
    <row r="88" customFormat="false" ht="15" hidden="false" customHeight="false" outlineLevel="0" collapsed="false">
      <c r="A88" s="2" t="s">
        <v>26</v>
      </c>
      <c r="B88" s="2" t="s">
        <v>27</v>
      </c>
      <c r="C88" s="2" t="s">
        <v>28</v>
      </c>
      <c r="D88" s="3" t="n">
        <v>46259</v>
      </c>
      <c r="E88" s="2" t="str">
        <f aca="false">TEXT(D88,"dddd")</f>
        <v>Tuesday</v>
      </c>
      <c r="F88" s="2" t="s">
        <v>457</v>
      </c>
      <c r="G88" s="2" t="s">
        <v>458</v>
      </c>
      <c r="H88" s="2" t="s">
        <v>459</v>
      </c>
      <c r="I88" s="2" t="n">
        <f aca="false">IF(F88="Present",9,IF(F88="Half Day",4,0))</f>
        <v>9</v>
      </c>
      <c r="J88" s="2"/>
      <c r="K88" s="2"/>
    </row>
    <row r="89" customFormat="false" ht="15" hidden="false" customHeight="false" outlineLevel="0" collapsed="false">
      <c r="A89" s="2" t="s">
        <v>26</v>
      </c>
      <c r="B89" s="2" t="s">
        <v>27</v>
      </c>
      <c r="C89" s="2" t="s">
        <v>28</v>
      </c>
      <c r="D89" s="3" t="n">
        <v>46260</v>
      </c>
      <c r="E89" s="2" t="str">
        <f aca="false">TEXT(D89,"dddd")</f>
        <v>Wednesday</v>
      </c>
      <c r="F89" s="2" t="s">
        <v>457</v>
      </c>
      <c r="G89" s="2" t="s">
        <v>458</v>
      </c>
      <c r="H89" s="2" t="s">
        <v>459</v>
      </c>
      <c r="I89" s="2" t="n">
        <f aca="false">IF(F89="Present",9,IF(F89="Half Day",4,0))</f>
        <v>9</v>
      </c>
      <c r="J89" s="2"/>
      <c r="K89" s="2"/>
    </row>
    <row r="90" customFormat="false" ht="15" hidden="false" customHeight="false" outlineLevel="0" collapsed="false">
      <c r="A90" s="2" t="s">
        <v>26</v>
      </c>
      <c r="B90" s="2" t="s">
        <v>27</v>
      </c>
      <c r="C90" s="2" t="s">
        <v>28</v>
      </c>
      <c r="D90" s="3" t="n">
        <v>46261</v>
      </c>
      <c r="E90" s="2" t="str">
        <f aca="false">TEXT(D90,"dddd")</f>
        <v>Thursday</v>
      </c>
      <c r="F90" s="2" t="s">
        <v>457</v>
      </c>
      <c r="G90" s="2" t="s">
        <v>458</v>
      </c>
      <c r="H90" s="2" t="s">
        <v>459</v>
      </c>
      <c r="I90" s="2" t="n">
        <f aca="false">IF(F90="Present",9,IF(F90="Half Day",4,0))</f>
        <v>9</v>
      </c>
      <c r="J90" s="2"/>
      <c r="K90" s="2"/>
    </row>
    <row r="91" customFormat="false" ht="15" hidden="false" customHeight="false" outlineLevel="0" collapsed="false">
      <c r="A91" s="2" t="s">
        <v>26</v>
      </c>
      <c r="B91" s="2" t="s">
        <v>27</v>
      </c>
      <c r="C91" s="2" t="s">
        <v>28</v>
      </c>
      <c r="D91" s="3" t="n">
        <v>46262</v>
      </c>
      <c r="E91" s="2" t="str">
        <f aca="false">TEXT(D91,"dddd")</f>
        <v>Friday</v>
      </c>
      <c r="F91" s="2" t="s">
        <v>457</v>
      </c>
      <c r="G91" s="2" t="s">
        <v>458</v>
      </c>
      <c r="H91" s="2" t="s">
        <v>459</v>
      </c>
      <c r="I91" s="2" t="n">
        <f aca="false">IF(F91="Present",9,IF(F91="Half Day",4,0))</f>
        <v>9</v>
      </c>
      <c r="J91" s="2"/>
      <c r="K91" s="2"/>
    </row>
    <row r="92" customFormat="false" ht="15" hidden="false" customHeight="false" outlineLevel="0" collapsed="false">
      <c r="A92" s="2" t="s">
        <v>26</v>
      </c>
      <c r="B92" s="2" t="s">
        <v>27</v>
      </c>
      <c r="C92" s="2" t="s">
        <v>28</v>
      </c>
      <c r="D92" s="3" t="n">
        <v>46263</v>
      </c>
      <c r="E92" s="2" t="str">
        <f aca="false">TEXT(D92,"dddd")</f>
        <v>Saturday</v>
      </c>
      <c r="F92" s="2" t="s">
        <v>457</v>
      </c>
      <c r="G92" s="2" t="s">
        <v>458</v>
      </c>
      <c r="H92" s="2" t="s">
        <v>459</v>
      </c>
      <c r="I92" s="2" t="n">
        <f aca="false">IF(F92="Present",9,IF(F92="Half Day",4,0))</f>
        <v>9</v>
      </c>
      <c r="J92" s="2"/>
      <c r="K92" s="2"/>
    </row>
    <row r="93" customFormat="false" ht="15" hidden="false" customHeight="false" outlineLevel="0" collapsed="false">
      <c r="A93" s="2" t="s">
        <v>26</v>
      </c>
      <c r="B93" s="2" t="s">
        <v>27</v>
      </c>
      <c r="C93" s="2" t="s">
        <v>28</v>
      </c>
      <c r="D93" s="3" t="n">
        <v>46264</v>
      </c>
      <c r="E93" s="2" t="str">
        <f aca="false">TEXT(D93,"dddd")</f>
        <v>Sunday</v>
      </c>
      <c r="F93" s="2" t="s">
        <v>460</v>
      </c>
      <c r="G93" s="2"/>
      <c r="H93" s="2"/>
      <c r="I93" s="2" t="n">
        <f aca="false">IF(F93="Present",9,IF(F93="Half Day",4,0))</f>
        <v>0</v>
      </c>
      <c r="J93" s="2"/>
      <c r="K93" s="2" t="s">
        <v>460</v>
      </c>
    </row>
    <row r="94" customFormat="false" ht="15" hidden="false" customHeight="false" outlineLevel="0" collapsed="false">
      <c r="A94" s="2" t="s">
        <v>26</v>
      </c>
      <c r="B94" s="2" t="s">
        <v>27</v>
      </c>
      <c r="C94" s="2" t="s">
        <v>28</v>
      </c>
      <c r="D94" s="3" t="n">
        <v>46265</v>
      </c>
      <c r="E94" s="2" t="str">
        <f aca="false">TEXT(D94,"dddd")</f>
        <v>Monday</v>
      </c>
      <c r="F94" s="2" t="s">
        <v>457</v>
      </c>
      <c r="G94" s="2" t="s">
        <v>458</v>
      </c>
      <c r="H94" s="2" t="s">
        <v>459</v>
      </c>
      <c r="I94" s="2" t="n">
        <f aca="false">IF(F94="Present",9,IF(F94="Half Day",4,0))</f>
        <v>9</v>
      </c>
      <c r="J94" s="2"/>
      <c r="K94" s="2"/>
    </row>
    <row r="95" customFormat="false" ht="15" hidden="false" customHeight="false" outlineLevel="0" collapsed="false">
      <c r="A95" s="2" t="s">
        <v>30</v>
      </c>
      <c r="B95" s="2" t="s">
        <v>31</v>
      </c>
      <c r="C95" s="2" t="s">
        <v>32</v>
      </c>
      <c r="D95" s="3" t="n">
        <v>46235</v>
      </c>
      <c r="E95" s="2" t="str">
        <f aca="false">TEXT(D95,"dddd")</f>
        <v>Saturday</v>
      </c>
      <c r="F95" s="2" t="s">
        <v>457</v>
      </c>
      <c r="G95" s="2" t="s">
        <v>458</v>
      </c>
      <c r="H95" s="2" t="s">
        <v>459</v>
      </c>
      <c r="I95" s="2" t="n">
        <f aca="false">IF(F95="Present",9,IF(F95="Half Day",4,0))</f>
        <v>9</v>
      </c>
      <c r="J95" s="2"/>
      <c r="K95" s="2"/>
    </row>
    <row r="96" customFormat="false" ht="15" hidden="false" customHeight="false" outlineLevel="0" collapsed="false">
      <c r="A96" s="2" t="s">
        <v>30</v>
      </c>
      <c r="B96" s="2" t="s">
        <v>31</v>
      </c>
      <c r="C96" s="2" t="s">
        <v>32</v>
      </c>
      <c r="D96" s="3" t="n">
        <v>46236</v>
      </c>
      <c r="E96" s="2" t="str">
        <f aca="false">TEXT(D96,"dddd")</f>
        <v>Sunday</v>
      </c>
      <c r="F96" s="2" t="s">
        <v>460</v>
      </c>
      <c r="G96" s="2"/>
      <c r="H96" s="2"/>
      <c r="I96" s="2" t="n">
        <f aca="false">IF(F96="Present",9,IF(F96="Half Day",4,0))</f>
        <v>0</v>
      </c>
      <c r="J96" s="2"/>
      <c r="K96" s="2" t="s">
        <v>460</v>
      </c>
    </row>
    <row r="97" customFormat="false" ht="15" hidden="false" customHeight="false" outlineLevel="0" collapsed="false">
      <c r="A97" s="2" t="s">
        <v>30</v>
      </c>
      <c r="B97" s="2" t="s">
        <v>31</v>
      </c>
      <c r="C97" s="2" t="s">
        <v>32</v>
      </c>
      <c r="D97" s="3" t="n">
        <v>46237</v>
      </c>
      <c r="E97" s="2" t="str">
        <f aca="false">TEXT(D97,"dddd")</f>
        <v>Monday</v>
      </c>
      <c r="F97" s="2" t="s">
        <v>457</v>
      </c>
      <c r="G97" s="2" t="s">
        <v>458</v>
      </c>
      <c r="H97" s="2" t="s">
        <v>459</v>
      </c>
      <c r="I97" s="2" t="n">
        <f aca="false">IF(F97="Present",9,IF(F97="Half Day",4,0))</f>
        <v>9</v>
      </c>
      <c r="J97" s="2"/>
      <c r="K97" s="2"/>
    </row>
    <row r="98" customFormat="false" ht="15" hidden="false" customHeight="false" outlineLevel="0" collapsed="false">
      <c r="A98" s="2" t="s">
        <v>30</v>
      </c>
      <c r="B98" s="2" t="s">
        <v>31</v>
      </c>
      <c r="C98" s="2" t="s">
        <v>32</v>
      </c>
      <c r="D98" s="3" t="n">
        <v>46238</v>
      </c>
      <c r="E98" s="2" t="str">
        <f aca="false">TEXT(D98,"dddd")</f>
        <v>Tuesday</v>
      </c>
      <c r="F98" s="2" t="s">
        <v>457</v>
      </c>
      <c r="G98" s="2" t="s">
        <v>458</v>
      </c>
      <c r="H98" s="2" t="s">
        <v>459</v>
      </c>
      <c r="I98" s="2" t="n">
        <f aca="false">IF(F98="Present",9,IF(F98="Half Day",4,0))</f>
        <v>9</v>
      </c>
      <c r="J98" s="2"/>
      <c r="K98" s="2"/>
    </row>
    <row r="99" customFormat="false" ht="15" hidden="false" customHeight="false" outlineLevel="0" collapsed="false">
      <c r="A99" s="2" t="s">
        <v>30</v>
      </c>
      <c r="B99" s="2" t="s">
        <v>31</v>
      </c>
      <c r="C99" s="2" t="s">
        <v>32</v>
      </c>
      <c r="D99" s="3" t="n">
        <v>46239</v>
      </c>
      <c r="E99" s="2" t="str">
        <f aca="false">TEXT(D99,"dddd")</f>
        <v>Wednesday</v>
      </c>
      <c r="F99" s="2" t="s">
        <v>457</v>
      </c>
      <c r="G99" s="2" t="s">
        <v>458</v>
      </c>
      <c r="H99" s="2" t="s">
        <v>459</v>
      </c>
      <c r="I99" s="2" t="n">
        <f aca="false">IF(F99="Present",9,IF(F99="Half Day",4,0))</f>
        <v>9</v>
      </c>
      <c r="J99" s="2"/>
      <c r="K99" s="2"/>
    </row>
    <row r="100" customFormat="false" ht="15" hidden="false" customHeight="false" outlineLevel="0" collapsed="false">
      <c r="A100" s="2" t="s">
        <v>30</v>
      </c>
      <c r="B100" s="2" t="s">
        <v>31</v>
      </c>
      <c r="C100" s="2" t="s">
        <v>32</v>
      </c>
      <c r="D100" s="3" t="n">
        <v>46240</v>
      </c>
      <c r="E100" s="2" t="str">
        <f aca="false">TEXT(D100,"dddd")</f>
        <v>Thursday</v>
      </c>
      <c r="F100" s="2" t="s">
        <v>457</v>
      </c>
      <c r="G100" s="2" t="s">
        <v>458</v>
      </c>
      <c r="H100" s="2" t="s">
        <v>459</v>
      </c>
      <c r="I100" s="2" t="n">
        <f aca="false">IF(F100="Present",9,IF(F100="Half Day",4,0))</f>
        <v>9</v>
      </c>
      <c r="J100" s="2"/>
      <c r="K100" s="2"/>
    </row>
    <row r="101" customFormat="false" ht="15" hidden="false" customHeight="false" outlineLevel="0" collapsed="false">
      <c r="A101" s="2" t="s">
        <v>30</v>
      </c>
      <c r="B101" s="2" t="s">
        <v>31</v>
      </c>
      <c r="C101" s="2" t="s">
        <v>32</v>
      </c>
      <c r="D101" s="3" t="n">
        <v>46241</v>
      </c>
      <c r="E101" s="2" t="str">
        <f aca="false">TEXT(D101,"dddd")</f>
        <v>Friday</v>
      </c>
      <c r="F101" s="2" t="s">
        <v>457</v>
      </c>
      <c r="G101" s="2" t="s">
        <v>458</v>
      </c>
      <c r="H101" s="2" t="s">
        <v>459</v>
      </c>
      <c r="I101" s="2" t="n">
        <f aca="false">IF(F101="Present",9,IF(F101="Half Day",4,0))</f>
        <v>9</v>
      </c>
      <c r="J101" s="2"/>
      <c r="K101" s="2"/>
    </row>
    <row r="102" customFormat="false" ht="15" hidden="false" customHeight="false" outlineLevel="0" collapsed="false">
      <c r="A102" s="2" t="s">
        <v>30</v>
      </c>
      <c r="B102" s="2" t="s">
        <v>31</v>
      </c>
      <c r="C102" s="2" t="s">
        <v>32</v>
      </c>
      <c r="D102" s="3" t="n">
        <v>46242</v>
      </c>
      <c r="E102" s="2" t="str">
        <f aca="false">TEXT(D102,"dddd")</f>
        <v>Saturday</v>
      </c>
      <c r="F102" s="2" t="s">
        <v>457</v>
      </c>
      <c r="G102" s="2" t="s">
        <v>458</v>
      </c>
      <c r="H102" s="2" t="s">
        <v>459</v>
      </c>
      <c r="I102" s="2" t="n">
        <f aca="false">IF(F102="Present",9,IF(F102="Half Day",4,0))</f>
        <v>9</v>
      </c>
      <c r="J102" s="2"/>
      <c r="K102" s="2"/>
    </row>
    <row r="103" customFormat="false" ht="15" hidden="false" customHeight="false" outlineLevel="0" collapsed="false">
      <c r="A103" s="2" t="s">
        <v>30</v>
      </c>
      <c r="B103" s="2" t="s">
        <v>31</v>
      </c>
      <c r="C103" s="2" t="s">
        <v>32</v>
      </c>
      <c r="D103" s="3" t="n">
        <v>46243</v>
      </c>
      <c r="E103" s="2" t="str">
        <f aca="false">TEXT(D103,"dddd")</f>
        <v>Sunday</v>
      </c>
      <c r="F103" s="2" t="s">
        <v>460</v>
      </c>
      <c r="G103" s="2"/>
      <c r="H103" s="2"/>
      <c r="I103" s="2" t="n">
        <f aca="false">IF(F103="Present",9,IF(F103="Half Day",4,0))</f>
        <v>0</v>
      </c>
      <c r="J103" s="2"/>
      <c r="K103" s="2" t="s">
        <v>460</v>
      </c>
    </row>
    <row r="104" customFormat="false" ht="15" hidden="false" customHeight="false" outlineLevel="0" collapsed="false">
      <c r="A104" s="2" t="s">
        <v>30</v>
      </c>
      <c r="B104" s="2" t="s">
        <v>31</v>
      </c>
      <c r="C104" s="2" t="s">
        <v>32</v>
      </c>
      <c r="D104" s="3" t="n">
        <v>46244</v>
      </c>
      <c r="E104" s="2" t="str">
        <f aca="false">TEXT(D104,"dddd")</f>
        <v>Monday</v>
      </c>
      <c r="F104" s="2" t="s">
        <v>457</v>
      </c>
      <c r="G104" s="2" t="s">
        <v>458</v>
      </c>
      <c r="H104" s="2" t="s">
        <v>459</v>
      </c>
      <c r="I104" s="2" t="n">
        <f aca="false">IF(F104="Present",9,IF(F104="Half Day",4,0))</f>
        <v>9</v>
      </c>
      <c r="J104" s="2"/>
      <c r="K104" s="2"/>
    </row>
    <row r="105" customFormat="false" ht="15" hidden="false" customHeight="false" outlineLevel="0" collapsed="false">
      <c r="A105" s="2" t="s">
        <v>30</v>
      </c>
      <c r="B105" s="2" t="s">
        <v>31</v>
      </c>
      <c r="C105" s="2" t="s">
        <v>32</v>
      </c>
      <c r="D105" s="3" t="n">
        <v>46245</v>
      </c>
      <c r="E105" s="2" t="str">
        <f aca="false">TEXT(D105,"dddd")</f>
        <v>Tuesday</v>
      </c>
      <c r="F105" s="2" t="s">
        <v>457</v>
      </c>
      <c r="G105" s="2" t="s">
        <v>458</v>
      </c>
      <c r="H105" s="2" t="s">
        <v>459</v>
      </c>
      <c r="I105" s="2" t="n">
        <f aca="false">IF(F105="Present",9,IF(F105="Half Day",4,0))</f>
        <v>9</v>
      </c>
      <c r="J105" s="2"/>
      <c r="K105" s="2"/>
    </row>
    <row r="106" customFormat="false" ht="15" hidden="false" customHeight="false" outlineLevel="0" collapsed="false">
      <c r="A106" s="2" t="s">
        <v>30</v>
      </c>
      <c r="B106" s="2" t="s">
        <v>31</v>
      </c>
      <c r="C106" s="2" t="s">
        <v>32</v>
      </c>
      <c r="D106" s="3" t="n">
        <v>46246</v>
      </c>
      <c r="E106" s="2" t="str">
        <f aca="false">TEXT(D106,"dddd")</f>
        <v>Wednesday</v>
      </c>
      <c r="F106" s="2" t="s">
        <v>457</v>
      </c>
      <c r="G106" s="2" t="s">
        <v>458</v>
      </c>
      <c r="H106" s="2" t="s">
        <v>459</v>
      </c>
      <c r="I106" s="2" t="n">
        <f aca="false">IF(F106="Present",9,IF(F106="Half Day",4,0))</f>
        <v>9</v>
      </c>
      <c r="J106" s="2"/>
      <c r="K106" s="2"/>
    </row>
    <row r="107" customFormat="false" ht="15" hidden="false" customHeight="false" outlineLevel="0" collapsed="false">
      <c r="A107" s="2" t="s">
        <v>30</v>
      </c>
      <c r="B107" s="2" t="s">
        <v>31</v>
      </c>
      <c r="C107" s="2" t="s">
        <v>32</v>
      </c>
      <c r="D107" s="3" t="n">
        <v>46247</v>
      </c>
      <c r="E107" s="2" t="str">
        <f aca="false">TEXT(D107,"dddd")</f>
        <v>Thursday</v>
      </c>
      <c r="F107" s="2" t="s">
        <v>457</v>
      </c>
      <c r="G107" s="2" t="s">
        <v>458</v>
      </c>
      <c r="H107" s="2" t="s">
        <v>459</v>
      </c>
      <c r="I107" s="2" t="n">
        <f aca="false">IF(F107="Present",9,IF(F107="Half Day",4,0))</f>
        <v>9</v>
      </c>
      <c r="J107" s="2"/>
      <c r="K107" s="2"/>
    </row>
    <row r="108" customFormat="false" ht="15" hidden="false" customHeight="false" outlineLevel="0" collapsed="false">
      <c r="A108" s="2" t="s">
        <v>30</v>
      </c>
      <c r="B108" s="2" t="s">
        <v>31</v>
      </c>
      <c r="C108" s="2" t="s">
        <v>32</v>
      </c>
      <c r="D108" s="3" t="n">
        <v>46248</v>
      </c>
      <c r="E108" s="2" t="str">
        <f aca="false">TEXT(D108,"dddd")</f>
        <v>Friday</v>
      </c>
      <c r="F108" s="2" t="s">
        <v>457</v>
      </c>
      <c r="G108" s="2" t="s">
        <v>458</v>
      </c>
      <c r="H108" s="2" t="s">
        <v>459</v>
      </c>
      <c r="I108" s="2" t="n">
        <f aca="false">IF(F108="Present",9,IF(F108="Half Day",4,0))</f>
        <v>9</v>
      </c>
      <c r="J108" s="2"/>
      <c r="K108" s="2"/>
    </row>
    <row r="109" customFormat="false" ht="15" hidden="false" customHeight="false" outlineLevel="0" collapsed="false">
      <c r="A109" s="2" t="s">
        <v>30</v>
      </c>
      <c r="B109" s="2" t="s">
        <v>31</v>
      </c>
      <c r="C109" s="2" t="s">
        <v>32</v>
      </c>
      <c r="D109" s="3" t="n">
        <v>46249</v>
      </c>
      <c r="E109" s="2" t="str">
        <f aca="false">TEXT(D109,"dddd")</f>
        <v>Saturday</v>
      </c>
      <c r="F109" s="2" t="s">
        <v>461</v>
      </c>
      <c r="G109" s="2"/>
      <c r="H109" s="2"/>
      <c r="I109" s="2" t="n">
        <f aca="false">IF(F109="Present",9,IF(F109="Half Day",4,0))</f>
        <v>0</v>
      </c>
      <c r="J109" s="2"/>
      <c r="K109" s="2" t="s">
        <v>462</v>
      </c>
    </row>
    <row r="110" customFormat="false" ht="15" hidden="false" customHeight="false" outlineLevel="0" collapsed="false">
      <c r="A110" s="2" t="s">
        <v>30</v>
      </c>
      <c r="B110" s="2" t="s">
        <v>31</v>
      </c>
      <c r="C110" s="2" t="s">
        <v>32</v>
      </c>
      <c r="D110" s="3" t="n">
        <v>46250</v>
      </c>
      <c r="E110" s="2" t="str">
        <f aca="false">TEXT(D110,"dddd")</f>
        <v>Sunday</v>
      </c>
      <c r="F110" s="2" t="s">
        <v>460</v>
      </c>
      <c r="G110" s="2"/>
      <c r="H110" s="2"/>
      <c r="I110" s="2" t="n">
        <f aca="false">IF(F110="Present",9,IF(F110="Half Day",4,0))</f>
        <v>0</v>
      </c>
      <c r="J110" s="2"/>
      <c r="K110" s="2" t="s">
        <v>460</v>
      </c>
    </row>
    <row r="111" customFormat="false" ht="15" hidden="false" customHeight="false" outlineLevel="0" collapsed="false">
      <c r="A111" s="2" t="s">
        <v>30</v>
      </c>
      <c r="B111" s="2" t="s">
        <v>31</v>
      </c>
      <c r="C111" s="2" t="s">
        <v>32</v>
      </c>
      <c r="D111" s="3" t="n">
        <v>46251</v>
      </c>
      <c r="E111" s="2" t="str">
        <f aca="false">TEXT(D111,"dddd")</f>
        <v>Monday</v>
      </c>
      <c r="F111" s="2" t="s">
        <v>457</v>
      </c>
      <c r="G111" s="2" t="s">
        <v>458</v>
      </c>
      <c r="H111" s="2" t="s">
        <v>459</v>
      </c>
      <c r="I111" s="2" t="n">
        <f aca="false">IF(F111="Present",9,IF(F111="Half Day",4,0))</f>
        <v>9</v>
      </c>
      <c r="J111" s="2"/>
      <c r="K111" s="2"/>
    </row>
    <row r="112" customFormat="false" ht="15" hidden="false" customHeight="false" outlineLevel="0" collapsed="false">
      <c r="A112" s="2" t="s">
        <v>30</v>
      </c>
      <c r="B112" s="2" t="s">
        <v>31</v>
      </c>
      <c r="C112" s="2" t="s">
        <v>32</v>
      </c>
      <c r="D112" s="3" t="n">
        <v>46252</v>
      </c>
      <c r="E112" s="2" t="str">
        <f aca="false">TEXT(D112,"dddd")</f>
        <v>Tuesday</v>
      </c>
      <c r="F112" s="2" t="s">
        <v>457</v>
      </c>
      <c r="G112" s="2" t="s">
        <v>458</v>
      </c>
      <c r="H112" s="2" t="s">
        <v>459</v>
      </c>
      <c r="I112" s="2" t="n">
        <f aca="false">IF(F112="Present",9,IF(F112="Half Day",4,0))</f>
        <v>9</v>
      </c>
      <c r="J112" s="2"/>
      <c r="K112" s="2"/>
    </row>
    <row r="113" customFormat="false" ht="15" hidden="false" customHeight="false" outlineLevel="0" collapsed="false">
      <c r="A113" s="2" t="s">
        <v>30</v>
      </c>
      <c r="B113" s="2" t="s">
        <v>31</v>
      </c>
      <c r="C113" s="2" t="s">
        <v>32</v>
      </c>
      <c r="D113" s="3" t="n">
        <v>46253</v>
      </c>
      <c r="E113" s="2" t="str">
        <f aca="false">TEXT(D113,"dddd")</f>
        <v>Wednesday</v>
      </c>
      <c r="F113" s="2" t="s">
        <v>457</v>
      </c>
      <c r="G113" s="2" t="s">
        <v>458</v>
      </c>
      <c r="H113" s="2" t="s">
        <v>459</v>
      </c>
      <c r="I113" s="2" t="n">
        <f aca="false">IF(F113="Present",9,IF(F113="Half Day",4,0))</f>
        <v>9</v>
      </c>
      <c r="J113" s="2"/>
      <c r="K113" s="2"/>
    </row>
    <row r="114" customFormat="false" ht="15" hidden="false" customHeight="false" outlineLevel="0" collapsed="false">
      <c r="A114" s="2" t="s">
        <v>30</v>
      </c>
      <c r="B114" s="2" t="s">
        <v>31</v>
      </c>
      <c r="C114" s="2" t="s">
        <v>32</v>
      </c>
      <c r="D114" s="3" t="n">
        <v>46254</v>
      </c>
      <c r="E114" s="2" t="str">
        <f aca="false">TEXT(D114,"dddd")</f>
        <v>Thursday</v>
      </c>
      <c r="F114" s="2" t="s">
        <v>457</v>
      </c>
      <c r="G114" s="2" t="s">
        <v>458</v>
      </c>
      <c r="H114" s="2" t="s">
        <v>459</v>
      </c>
      <c r="I114" s="2" t="n">
        <f aca="false">IF(F114="Present",9,IF(F114="Half Day",4,0))</f>
        <v>9</v>
      </c>
      <c r="J114" s="2"/>
      <c r="K114" s="2"/>
    </row>
    <row r="115" customFormat="false" ht="15" hidden="false" customHeight="false" outlineLevel="0" collapsed="false">
      <c r="A115" s="2" t="s">
        <v>30</v>
      </c>
      <c r="B115" s="2" t="s">
        <v>31</v>
      </c>
      <c r="C115" s="2" t="s">
        <v>32</v>
      </c>
      <c r="D115" s="3" t="n">
        <v>46255</v>
      </c>
      <c r="E115" s="2" t="str">
        <f aca="false">TEXT(D115,"dddd")</f>
        <v>Friday</v>
      </c>
      <c r="F115" s="2" t="s">
        <v>457</v>
      </c>
      <c r="G115" s="2" t="s">
        <v>458</v>
      </c>
      <c r="H115" s="2" t="s">
        <v>459</v>
      </c>
      <c r="I115" s="2" t="n">
        <f aca="false">IF(F115="Present",9,IF(F115="Half Day",4,0))</f>
        <v>9</v>
      </c>
      <c r="J115" s="2"/>
      <c r="K115" s="2"/>
    </row>
    <row r="116" customFormat="false" ht="15" hidden="false" customHeight="false" outlineLevel="0" collapsed="false">
      <c r="A116" s="2" t="s">
        <v>30</v>
      </c>
      <c r="B116" s="2" t="s">
        <v>31</v>
      </c>
      <c r="C116" s="2" t="s">
        <v>32</v>
      </c>
      <c r="D116" s="3" t="n">
        <v>46256</v>
      </c>
      <c r="E116" s="2" t="str">
        <f aca="false">TEXT(D116,"dddd")</f>
        <v>Saturday</v>
      </c>
      <c r="F116" s="2" t="s">
        <v>461</v>
      </c>
      <c r="G116" s="2"/>
      <c r="H116" s="2"/>
      <c r="I116" s="2" t="n">
        <f aca="false">IF(F116="Present",9,IF(F116="Half Day",4,0))</f>
        <v>0</v>
      </c>
      <c r="J116" s="2"/>
      <c r="K116" s="2" t="s">
        <v>462</v>
      </c>
    </row>
    <row r="117" customFormat="false" ht="15" hidden="false" customHeight="false" outlineLevel="0" collapsed="false">
      <c r="A117" s="2" t="s">
        <v>30</v>
      </c>
      <c r="B117" s="2" t="s">
        <v>31</v>
      </c>
      <c r="C117" s="2" t="s">
        <v>32</v>
      </c>
      <c r="D117" s="3" t="n">
        <v>46257</v>
      </c>
      <c r="E117" s="2" t="str">
        <f aca="false">TEXT(D117,"dddd")</f>
        <v>Sunday</v>
      </c>
      <c r="F117" s="2" t="s">
        <v>460</v>
      </c>
      <c r="G117" s="2"/>
      <c r="H117" s="2"/>
      <c r="I117" s="2" t="n">
        <f aca="false">IF(F117="Present",9,IF(F117="Half Day",4,0))</f>
        <v>0</v>
      </c>
      <c r="J117" s="2"/>
      <c r="K117" s="2" t="s">
        <v>460</v>
      </c>
    </row>
    <row r="118" customFormat="false" ht="15" hidden="false" customHeight="false" outlineLevel="0" collapsed="false">
      <c r="A118" s="2" t="s">
        <v>30</v>
      </c>
      <c r="B118" s="2" t="s">
        <v>31</v>
      </c>
      <c r="C118" s="2" t="s">
        <v>32</v>
      </c>
      <c r="D118" s="3" t="n">
        <v>46258</v>
      </c>
      <c r="E118" s="2" t="str">
        <f aca="false">TEXT(D118,"dddd")</f>
        <v>Monday</v>
      </c>
      <c r="F118" s="2" t="s">
        <v>457</v>
      </c>
      <c r="G118" s="2" t="s">
        <v>458</v>
      </c>
      <c r="H118" s="2" t="s">
        <v>459</v>
      </c>
      <c r="I118" s="2" t="n">
        <f aca="false">IF(F118="Present",9,IF(F118="Half Day",4,0))</f>
        <v>9</v>
      </c>
      <c r="J118" s="2"/>
      <c r="K118" s="2"/>
    </row>
    <row r="119" customFormat="false" ht="15" hidden="false" customHeight="false" outlineLevel="0" collapsed="false">
      <c r="A119" s="2" t="s">
        <v>30</v>
      </c>
      <c r="B119" s="2" t="s">
        <v>31</v>
      </c>
      <c r="C119" s="2" t="s">
        <v>32</v>
      </c>
      <c r="D119" s="3" t="n">
        <v>46259</v>
      </c>
      <c r="E119" s="2" t="str">
        <f aca="false">TEXT(D119,"dddd")</f>
        <v>Tuesday</v>
      </c>
      <c r="F119" s="2" t="s">
        <v>457</v>
      </c>
      <c r="G119" s="2" t="s">
        <v>458</v>
      </c>
      <c r="H119" s="2" t="s">
        <v>459</v>
      </c>
      <c r="I119" s="2" t="n">
        <f aca="false">IF(F119="Present",9,IF(F119="Half Day",4,0))</f>
        <v>9</v>
      </c>
      <c r="J119" s="2"/>
      <c r="K119" s="2"/>
    </row>
    <row r="120" customFormat="false" ht="15" hidden="false" customHeight="false" outlineLevel="0" collapsed="false">
      <c r="A120" s="2" t="s">
        <v>30</v>
      </c>
      <c r="B120" s="2" t="s">
        <v>31</v>
      </c>
      <c r="C120" s="2" t="s">
        <v>32</v>
      </c>
      <c r="D120" s="3" t="n">
        <v>46260</v>
      </c>
      <c r="E120" s="2" t="str">
        <f aca="false">TEXT(D120,"dddd")</f>
        <v>Wednesday</v>
      </c>
      <c r="F120" s="2" t="s">
        <v>457</v>
      </c>
      <c r="G120" s="2" t="s">
        <v>458</v>
      </c>
      <c r="H120" s="2" t="s">
        <v>459</v>
      </c>
      <c r="I120" s="2" t="n">
        <f aca="false">IF(F120="Present",9,IF(F120="Half Day",4,0))</f>
        <v>9</v>
      </c>
      <c r="J120" s="2"/>
      <c r="K120" s="2"/>
    </row>
    <row r="121" customFormat="false" ht="15" hidden="false" customHeight="false" outlineLevel="0" collapsed="false">
      <c r="A121" s="2" t="s">
        <v>30</v>
      </c>
      <c r="B121" s="2" t="s">
        <v>31</v>
      </c>
      <c r="C121" s="2" t="s">
        <v>32</v>
      </c>
      <c r="D121" s="3" t="n">
        <v>46261</v>
      </c>
      <c r="E121" s="2" t="str">
        <f aca="false">TEXT(D121,"dddd")</f>
        <v>Thursday</v>
      </c>
      <c r="F121" s="2" t="s">
        <v>457</v>
      </c>
      <c r="G121" s="2" t="s">
        <v>458</v>
      </c>
      <c r="H121" s="2" t="s">
        <v>459</v>
      </c>
      <c r="I121" s="2" t="n">
        <f aca="false">IF(F121="Present",9,IF(F121="Half Day",4,0))</f>
        <v>9</v>
      </c>
      <c r="J121" s="2"/>
      <c r="K121" s="2"/>
    </row>
    <row r="122" customFormat="false" ht="15" hidden="false" customHeight="false" outlineLevel="0" collapsed="false">
      <c r="A122" s="2" t="s">
        <v>30</v>
      </c>
      <c r="B122" s="2" t="s">
        <v>31</v>
      </c>
      <c r="C122" s="2" t="s">
        <v>32</v>
      </c>
      <c r="D122" s="3" t="n">
        <v>46262</v>
      </c>
      <c r="E122" s="2" t="str">
        <f aca="false">TEXT(D122,"dddd")</f>
        <v>Friday</v>
      </c>
      <c r="F122" s="2" t="s">
        <v>457</v>
      </c>
      <c r="G122" s="2" t="s">
        <v>458</v>
      </c>
      <c r="H122" s="2" t="s">
        <v>459</v>
      </c>
      <c r="I122" s="2" t="n">
        <f aca="false">IF(F122="Present",9,IF(F122="Half Day",4,0))</f>
        <v>9</v>
      </c>
      <c r="J122" s="2"/>
      <c r="K122" s="2"/>
    </row>
    <row r="123" customFormat="false" ht="15" hidden="false" customHeight="false" outlineLevel="0" collapsed="false">
      <c r="A123" s="2" t="s">
        <v>30</v>
      </c>
      <c r="B123" s="2" t="s">
        <v>31</v>
      </c>
      <c r="C123" s="2" t="s">
        <v>32</v>
      </c>
      <c r="D123" s="3" t="n">
        <v>46263</v>
      </c>
      <c r="E123" s="2" t="str">
        <f aca="false">TEXT(D123,"dddd")</f>
        <v>Saturday</v>
      </c>
      <c r="F123" s="2" t="s">
        <v>457</v>
      </c>
      <c r="G123" s="2" t="s">
        <v>458</v>
      </c>
      <c r="H123" s="2" t="s">
        <v>459</v>
      </c>
      <c r="I123" s="2" t="n">
        <f aca="false">IF(F123="Present",9,IF(F123="Half Day",4,0))</f>
        <v>9</v>
      </c>
      <c r="J123" s="2"/>
      <c r="K123" s="2"/>
    </row>
    <row r="124" customFormat="false" ht="15" hidden="false" customHeight="false" outlineLevel="0" collapsed="false">
      <c r="A124" s="2" t="s">
        <v>30</v>
      </c>
      <c r="B124" s="2" t="s">
        <v>31</v>
      </c>
      <c r="C124" s="2" t="s">
        <v>32</v>
      </c>
      <c r="D124" s="3" t="n">
        <v>46264</v>
      </c>
      <c r="E124" s="2" t="str">
        <f aca="false">TEXT(D124,"dddd")</f>
        <v>Sunday</v>
      </c>
      <c r="F124" s="2" t="s">
        <v>460</v>
      </c>
      <c r="G124" s="2"/>
      <c r="H124" s="2"/>
      <c r="I124" s="2" t="n">
        <f aca="false">IF(F124="Present",9,IF(F124="Half Day",4,0))</f>
        <v>0</v>
      </c>
      <c r="J124" s="2"/>
      <c r="K124" s="2" t="s">
        <v>460</v>
      </c>
    </row>
    <row r="125" customFormat="false" ht="15" hidden="false" customHeight="false" outlineLevel="0" collapsed="false">
      <c r="A125" s="2" t="s">
        <v>30</v>
      </c>
      <c r="B125" s="2" t="s">
        <v>31</v>
      </c>
      <c r="C125" s="2" t="s">
        <v>32</v>
      </c>
      <c r="D125" s="3" t="n">
        <v>46265</v>
      </c>
      <c r="E125" s="2" t="str">
        <f aca="false">TEXT(D125,"dddd")</f>
        <v>Monday</v>
      </c>
      <c r="F125" s="2" t="s">
        <v>457</v>
      </c>
      <c r="G125" s="2" t="s">
        <v>458</v>
      </c>
      <c r="H125" s="2" t="s">
        <v>459</v>
      </c>
      <c r="I125" s="2" t="n">
        <f aca="false">IF(F125="Present",9,IF(F125="Half Day",4,0))</f>
        <v>9</v>
      </c>
      <c r="J125" s="2"/>
      <c r="K125" s="2"/>
    </row>
    <row r="126" customFormat="false" ht="15" hidden="false" customHeight="false" outlineLevel="0" collapsed="false">
      <c r="A126" s="2" t="s">
        <v>34</v>
      </c>
      <c r="B126" s="2" t="s">
        <v>35</v>
      </c>
      <c r="C126" s="2" t="s">
        <v>36</v>
      </c>
      <c r="D126" s="3" t="n">
        <v>46235</v>
      </c>
      <c r="E126" s="2" t="str">
        <f aca="false">TEXT(D126,"dddd")</f>
        <v>Saturday</v>
      </c>
      <c r="F126" s="2" t="s">
        <v>457</v>
      </c>
      <c r="G126" s="2" t="s">
        <v>458</v>
      </c>
      <c r="H126" s="2" t="s">
        <v>459</v>
      </c>
      <c r="I126" s="2" t="n">
        <f aca="false">IF(F126="Present",9,IF(F126="Half Day",4,0))</f>
        <v>9</v>
      </c>
      <c r="J126" s="2"/>
      <c r="K126" s="2"/>
    </row>
    <row r="127" customFormat="false" ht="15" hidden="false" customHeight="false" outlineLevel="0" collapsed="false">
      <c r="A127" s="2" t="s">
        <v>34</v>
      </c>
      <c r="B127" s="2" t="s">
        <v>35</v>
      </c>
      <c r="C127" s="2" t="s">
        <v>36</v>
      </c>
      <c r="D127" s="3" t="n">
        <v>46236</v>
      </c>
      <c r="E127" s="2" t="str">
        <f aca="false">TEXT(D127,"dddd")</f>
        <v>Sunday</v>
      </c>
      <c r="F127" s="2" t="s">
        <v>460</v>
      </c>
      <c r="G127" s="2"/>
      <c r="H127" s="2"/>
      <c r="I127" s="2" t="n">
        <f aca="false">IF(F127="Present",9,IF(F127="Half Day",4,0))</f>
        <v>0</v>
      </c>
      <c r="J127" s="2"/>
      <c r="K127" s="2" t="s">
        <v>460</v>
      </c>
    </row>
    <row r="128" customFormat="false" ht="15" hidden="false" customHeight="false" outlineLevel="0" collapsed="false">
      <c r="A128" s="2" t="s">
        <v>34</v>
      </c>
      <c r="B128" s="2" t="s">
        <v>35</v>
      </c>
      <c r="C128" s="2" t="s">
        <v>36</v>
      </c>
      <c r="D128" s="3" t="n">
        <v>46237</v>
      </c>
      <c r="E128" s="2" t="str">
        <f aca="false">TEXT(D128,"dddd")</f>
        <v>Monday</v>
      </c>
      <c r="F128" s="2" t="s">
        <v>457</v>
      </c>
      <c r="G128" s="2" t="s">
        <v>458</v>
      </c>
      <c r="H128" s="2" t="s">
        <v>459</v>
      </c>
      <c r="I128" s="2" t="n">
        <f aca="false">IF(F128="Present",9,IF(F128="Half Day",4,0))</f>
        <v>9</v>
      </c>
      <c r="J128" s="2"/>
      <c r="K128" s="2"/>
    </row>
    <row r="129" customFormat="false" ht="15" hidden="false" customHeight="false" outlineLevel="0" collapsed="false">
      <c r="A129" s="2" t="s">
        <v>34</v>
      </c>
      <c r="B129" s="2" t="s">
        <v>35</v>
      </c>
      <c r="C129" s="2" t="s">
        <v>36</v>
      </c>
      <c r="D129" s="3" t="n">
        <v>46238</v>
      </c>
      <c r="E129" s="2" t="str">
        <f aca="false">TEXT(D129,"dddd")</f>
        <v>Tuesday</v>
      </c>
      <c r="F129" s="2" t="s">
        <v>457</v>
      </c>
      <c r="G129" s="2" t="s">
        <v>458</v>
      </c>
      <c r="H129" s="2" t="s">
        <v>459</v>
      </c>
      <c r="I129" s="2" t="n">
        <f aca="false">IF(F129="Present",9,IF(F129="Half Day",4,0))</f>
        <v>9</v>
      </c>
      <c r="J129" s="2"/>
      <c r="K129" s="2"/>
    </row>
    <row r="130" customFormat="false" ht="15" hidden="false" customHeight="false" outlineLevel="0" collapsed="false">
      <c r="A130" s="2" t="s">
        <v>34</v>
      </c>
      <c r="B130" s="2" t="s">
        <v>35</v>
      </c>
      <c r="C130" s="2" t="s">
        <v>36</v>
      </c>
      <c r="D130" s="3" t="n">
        <v>46239</v>
      </c>
      <c r="E130" s="2" t="str">
        <f aca="false">TEXT(D130,"dddd")</f>
        <v>Wednesday</v>
      </c>
      <c r="F130" s="2" t="s">
        <v>457</v>
      </c>
      <c r="G130" s="2" t="s">
        <v>458</v>
      </c>
      <c r="H130" s="2" t="s">
        <v>459</v>
      </c>
      <c r="I130" s="2" t="n">
        <f aca="false">IF(F130="Present",9,IF(F130="Half Day",4,0))</f>
        <v>9</v>
      </c>
      <c r="J130" s="2"/>
      <c r="K130" s="2"/>
    </row>
    <row r="131" customFormat="false" ht="15" hidden="false" customHeight="false" outlineLevel="0" collapsed="false">
      <c r="A131" s="2" t="s">
        <v>34</v>
      </c>
      <c r="B131" s="2" t="s">
        <v>35</v>
      </c>
      <c r="C131" s="2" t="s">
        <v>36</v>
      </c>
      <c r="D131" s="3" t="n">
        <v>46240</v>
      </c>
      <c r="E131" s="2" t="str">
        <f aca="false">TEXT(D131,"dddd")</f>
        <v>Thursday</v>
      </c>
      <c r="F131" s="2" t="s">
        <v>457</v>
      </c>
      <c r="G131" s="2" t="s">
        <v>458</v>
      </c>
      <c r="H131" s="2" t="s">
        <v>459</v>
      </c>
      <c r="I131" s="2" t="n">
        <f aca="false">IF(F131="Present",9,IF(F131="Half Day",4,0))</f>
        <v>9</v>
      </c>
      <c r="J131" s="2"/>
      <c r="K131" s="2"/>
    </row>
    <row r="132" customFormat="false" ht="15" hidden="false" customHeight="false" outlineLevel="0" collapsed="false">
      <c r="A132" s="2" t="s">
        <v>34</v>
      </c>
      <c r="B132" s="2" t="s">
        <v>35</v>
      </c>
      <c r="C132" s="2" t="s">
        <v>36</v>
      </c>
      <c r="D132" s="3" t="n">
        <v>46241</v>
      </c>
      <c r="E132" s="2" t="str">
        <f aca="false">TEXT(D132,"dddd")</f>
        <v>Friday</v>
      </c>
      <c r="F132" s="2" t="s">
        <v>457</v>
      </c>
      <c r="G132" s="2" t="s">
        <v>458</v>
      </c>
      <c r="H132" s="2" t="s">
        <v>459</v>
      </c>
      <c r="I132" s="2" t="n">
        <f aca="false">IF(F132="Present",9,IF(F132="Half Day",4,0))</f>
        <v>9</v>
      </c>
      <c r="J132" s="2"/>
      <c r="K132" s="2"/>
    </row>
    <row r="133" customFormat="false" ht="15" hidden="false" customHeight="false" outlineLevel="0" collapsed="false">
      <c r="A133" s="2" t="s">
        <v>34</v>
      </c>
      <c r="B133" s="2" t="s">
        <v>35</v>
      </c>
      <c r="C133" s="2" t="s">
        <v>36</v>
      </c>
      <c r="D133" s="3" t="n">
        <v>46242</v>
      </c>
      <c r="E133" s="2" t="str">
        <f aca="false">TEXT(D133,"dddd")</f>
        <v>Saturday</v>
      </c>
      <c r="F133" s="2" t="s">
        <v>457</v>
      </c>
      <c r="G133" s="2" t="s">
        <v>458</v>
      </c>
      <c r="H133" s="2" t="s">
        <v>459</v>
      </c>
      <c r="I133" s="2" t="n">
        <f aca="false">IF(F133="Present",9,IF(F133="Half Day",4,0))</f>
        <v>9</v>
      </c>
      <c r="J133" s="2"/>
      <c r="K133" s="2"/>
    </row>
    <row r="134" customFormat="false" ht="15" hidden="false" customHeight="false" outlineLevel="0" collapsed="false">
      <c r="A134" s="2" t="s">
        <v>34</v>
      </c>
      <c r="B134" s="2" t="s">
        <v>35</v>
      </c>
      <c r="C134" s="2" t="s">
        <v>36</v>
      </c>
      <c r="D134" s="3" t="n">
        <v>46243</v>
      </c>
      <c r="E134" s="2" t="str">
        <f aca="false">TEXT(D134,"dddd")</f>
        <v>Sunday</v>
      </c>
      <c r="F134" s="2" t="s">
        <v>460</v>
      </c>
      <c r="G134" s="2"/>
      <c r="H134" s="2"/>
      <c r="I134" s="2" t="n">
        <f aca="false">IF(F134="Present",9,IF(F134="Half Day",4,0))</f>
        <v>0</v>
      </c>
      <c r="J134" s="2"/>
      <c r="K134" s="2" t="s">
        <v>460</v>
      </c>
    </row>
    <row r="135" customFormat="false" ht="15" hidden="false" customHeight="false" outlineLevel="0" collapsed="false">
      <c r="A135" s="2" t="s">
        <v>34</v>
      </c>
      <c r="B135" s="2" t="s">
        <v>35</v>
      </c>
      <c r="C135" s="2" t="s">
        <v>36</v>
      </c>
      <c r="D135" s="3" t="n">
        <v>46244</v>
      </c>
      <c r="E135" s="2" t="str">
        <f aca="false">TEXT(D135,"dddd")</f>
        <v>Monday</v>
      </c>
      <c r="F135" s="2" t="s">
        <v>457</v>
      </c>
      <c r="G135" s="2" t="s">
        <v>458</v>
      </c>
      <c r="H135" s="2" t="s">
        <v>459</v>
      </c>
      <c r="I135" s="2" t="n">
        <f aca="false">IF(F135="Present",9,IF(F135="Half Day",4,0))</f>
        <v>9</v>
      </c>
      <c r="J135" s="2"/>
      <c r="K135" s="2"/>
    </row>
    <row r="136" customFormat="false" ht="15" hidden="false" customHeight="false" outlineLevel="0" collapsed="false">
      <c r="A136" s="2" t="s">
        <v>34</v>
      </c>
      <c r="B136" s="2" t="s">
        <v>35</v>
      </c>
      <c r="C136" s="2" t="s">
        <v>36</v>
      </c>
      <c r="D136" s="3" t="n">
        <v>46245</v>
      </c>
      <c r="E136" s="2" t="str">
        <f aca="false">TEXT(D136,"dddd")</f>
        <v>Tuesday</v>
      </c>
      <c r="F136" s="2" t="s">
        <v>457</v>
      </c>
      <c r="G136" s="2" t="s">
        <v>458</v>
      </c>
      <c r="H136" s="2" t="s">
        <v>459</v>
      </c>
      <c r="I136" s="2" t="n">
        <f aca="false">IF(F136="Present",9,IF(F136="Half Day",4,0))</f>
        <v>9</v>
      </c>
      <c r="J136" s="2"/>
      <c r="K136" s="2"/>
    </row>
    <row r="137" customFormat="false" ht="15" hidden="false" customHeight="false" outlineLevel="0" collapsed="false">
      <c r="A137" s="2" t="s">
        <v>34</v>
      </c>
      <c r="B137" s="2" t="s">
        <v>35</v>
      </c>
      <c r="C137" s="2" t="s">
        <v>36</v>
      </c>
      <c r="D137" s="3" t="n">
        <v>46246</v>
      </c>
      <c r="E137" s="2" t="str">
        <f aca="false">TEXT(D137,"dddd")</f>
        <v>Wednesday</v>
      </c>
      <c r="F137" s="2" t="s">
        <v>457</v>
      </c>
      <c r="G137" s="2" t="s">
        <v>458</v>
      </c>
      <c r="H137" s="2" t="s">
        <v>459</v>
      </c>
      <c r="I137" s="2" t="n">
        <f aca="false">IF(F137="Present",9,IF(F137="Half Day",4,0))</f>
        <v>9</v>
      </c>
      <c r="J137" s="2"/>
      <c r="K137" s="2"/>
    </row>
    <row r="138" customFormat="false" ht="15" hidden="false" customHeight="false" outlineLevel="0" collapsed="false">
      <c r="A138" s="2" t="s">
        <v>34</v>
      </c>
      <c r="B138" s="2" t="s">
        <v>35</v>
      </c>
      <c r="C138" s="2" t="s">
        <v>36</v>
      </c>
      <c r="D138" s="3" t="n">
        <v>46247</v>
      </c>
      <c r="E138" s="2" t="str">
        <f aca="false">TEXT(D138,"dddd")</f>
        <v>Thursday</v>
      </c>
      <c r="F138" s="2" t="s">
        <v>461</v>
      </c>
      <c r="G138" s="2"/>
      <c r="H138" s="2"/>
      <c r="I138" s="2" t="n">
        <f aca="false">IF(F138="Present",9,IF(F138="Half Day",4,0))</f>
        <v>0</v>
      </c>
      <c r="J138" s="2"/>
      <c r="K138" s="2" t="s">
        <v>462</v>
      </c>
    </row>
    <row r="139" customFormat="false" ht="15" hidden="false" customHeight="false" outlineLevel="0" collapsed="false">
      <c r="A139" s="2" t="s">
        <v>34</v>
      </c>
      <c r="B139" s="2" t="s">
        <v>35</v>
      </c>
      <c r="C139" s="2" t="s">
        <v>36</v>
      </c>
      <c r="D139" s="3" t="n">
        <v>46248</v>
      </c>
      <c r="E139" s="2" t="str">
        <f aca="false">TEXT(D139,"dddd")</f>
        <v>Friday</v>
      </c>
      <c r="F139" s="2" t="s">
        <v>457</v>
      </c>
      <c r="G139" s="2" t="s">
        <v>458</v>
      </c>
      <c r="H139" s="2" t="s">
        <v>459</v>
      </c>
      <c r="I139" s="2" t="n">
        <f aca="false">IF(F139="Present",9,IF(F139="Half Day",4,0))</f>
        <v>9</v>
      </c>
      <c r="J139" s="2"/>
      <c r="K139" s="2"/>
    </row>
    <row r="140" customFormat="false" ht="15" hidden="false" customHeight="false" outlineLevel="0" collapsed="false">
      <c r="A140" s="2" t="s">
        <v>34</v>
      </c>
      <c r="B140" s="2" t="s">
        <v>35</v>
      </c>
      <c r="C140" s="2" t="s">
        <v>36</v>
      </c>
      <c r="D140" s="3" t="n">
        <v>46249</v>
      </c>
      <c r="E140" s="2" t="str">
        <f aca="false">TEXT(D140,"dddd")</f>
        <v>Saturday</v>
      </c>
      <c r="F140" s="2" t="s">
        <v>457</v>
      </c>
      <c r="G140" s="2" t="s">
        <v>458</v>
      </c>
      <c r="H140" s="2" t="s">
        <v>459</v>
      </c>
      <c r="I140" s="2" t="n">
        <f aca="false">IF(F140="Present",9,IF(F140="Half Day",4,0))</f>
        <v>9</v>
      </c>
      <c r="J140" s="2"/>
      <c r="K140" s="2"/>
    </row>
    <row r="141" customFormat="false" ht="15" hidden="false" customHeight="false" outlineLevel="0" collapsed="false">
      <c r="A141" s="2" t="s">
        <v>34</v>
      </c>
      <c r="B141" s="2" t="s">
        <v>35</v>
      </c>
      <c r="C141" s="2" t="s">
        <v>36</v>
      </c>
      <c r="D141" s="3" t="n">
        <v>46250</v>
      </c>
      <c r="E141" s="2" t="str">
        <f aca="false">TEXT(D141,"dddd")</f>
        <v>Sunday</v>
      </c>
      <c r="F141" s="2" t="s">
        <v>460</v>
      </c>
      <c r="G141" s="2"/>
      <c r="H141" s="2"/>
      <c r="I141" s="2" t="n">
        <f aca="false">IF(F141="Present",9,IF(F141="Half Day",4,0))</f>
        <v>0</v>
      </c>
      <c r="J141" s="2"/>
      <c r="K141" s="2" t="s">
        <v>460</v>
      </c>
    </row>
    <row r="142" customFormat="false" ht="15" hidden="false" customHeight="false" outlineLevel="0" collapsed="false">
      <c r="A142" s="2" t="s">
        <v>34</v>
      </c>
      <c r="B142" s="2" t="s">
        <v>35</v>
      </c>
      <c r="C142" s="2" t="s">
        <v>36</v>
      </c>
      <c r="D142" s="3" t="n">
        <v>46251</v>
      </c>
      <c r="E142" s="2" t="str">
        <f aca="false">TEXT(D142,"dddd")</f>
        <v>Monday</v>
      </c>
      <c r="F142" s="2" t="s">
        <v>457</v>
      </c>
      <c r="G142" s="2" t="s">
        <v>458</v>
      </c>
      <c r="H142" s="2" t="s">
        <v>459</v>
      </c>
      <c r="I142" s="2" t="n">
        <f aca="false">IF(F142="Present",9,IF(F142="Half Day",4,0))</f>
        <v>9</v>
      </c>
      <c r="J142" s="2"/>
      <c r="K142" s="2"/>
    </row>
    <row r="143" customFormat="false" ht="15" hidden="false" customHeight="false" outlineLevel="0" collapsed="false">
      <c r="A143" s="2" t="s">
        <v>34</v>
      </c>
      <c r="B143" s="2" t="s">
        <v>35</v>
      </c>
      <c r="C143" s="2" t="s">
        <v>36</v>
      </c>
      <c r="D143" s="3" t="n">
        <v>46252</v>
      </c>
      <c r="E143" s="2" t="str">
        <f aca="false">TEXT(D143,"dddd")</f>
        <v>Tuesday</v>
      </c>
      <c r="F143" s="2" t="s">
        <v>457</v>
      </c>
      <c r="G143" s="2" t="s">
        <v>458</v>
      </c>
      <c r="H143" s="2" t="s">
        <v>459</v>
      </c>
      <c r="I143" s="2" t="n">
        <f aca="false">IF(F143="Present",9,IF(F143="Half Day",4,0))</f>
        <v>9</v>
      </c>
      <c r="J143" s="2"/>
      <c r="K143" s="2"/>
    </row>
    <row r="144" customFormat="false" ht="15" hidden="false" customHeight="false" outlineLevel="0" collapsed="false">
      <c r="A144" s="2" t="s">
        <v>34</v>
      </c>
      <c r="B144" s="2" t="s">
        <v>35</v>
      </c>
      <c r="C144" s="2" t="s">
        <v>36</v>
      </c>
      <c r="D144" s="3" t="n">
        <v>46253</v>
      </c>
      <c r="E144" s="2" t="str">
        <f aca="false">TEXT(D144,"dddd")</f>
        <v>Wednesday</v>
      </c>
      <c r="F144" s="2" t="s">
        <v>457</v>
      </c>
      <c r="G144" s="2" t="s">
        <v>458</v>
      </c>
      <c r="H144" s="2" t="s">
        <v>459</v>
      </c>
      <c r="I144" s="2" t="n">
        <f aca="false">IF(F144="Present",9,IF(F144="Half Day",4,0))</f>
        <v>9</v>
      </c>
      <c r="J144" s="2"/>
      <c r="K144" s="2"/>
    </row>
    <row r="145" customFormat="false" ht="15" hidden="false" customHeight="false" outlineLevel="0" collapsed="false">
      <c r="A145" s="2" t="s">
        <v>34</v>
      </c>
      <c r="B145" s="2" t="s">
        <v>35</v>
      </c>
      <c r="C145" s="2" t="s">
        <v>36</v>
      </c>
      <c r="D145" s="3" t="n">
        <v>46254</v>
      </c>
      <c r="E145" s="2" t="str">
        <f aca="false">TEXT(D145,"dddd")</f>
        <v>Thursday</v>
      </c>
      <c r="F145" s="2" t="s">
        <v>457</v>
      </c>
      <c r="G145" s="2" t="s">
        <v>458</v>
      </c>
      <c r="H145" s="2" t="s">
        <v>459</v>
      </c>
      <c r="I145" s="2" t="n">
        <f aca="false">IF(F145="Present",9,IF(F145="Half Day",4,0))</f>
        <v>9</v>
      </c>
      <c r="J145" s="2"/>
      <c r="K145" s="2"/>
    </row>
    <row r="146" customFormat="false" ht="15" hidden="false" customHeight="false" outlineLevel="0" collapsed="false">
      <c r="A146" s="2" t="s">
        <v>34</v>
      </c>
      <c r="B146" s="2" t="s">
        <v>35</v>
      </c>
      <c r="C146" s="2" t="s">
        <v>36</v>
      </c>
      <c r="D146" s="3" t="n">
        <v>46255</v>
      </c>
      <c r="E146" s="2" t="str">
        <f aca="false">TEXT(D146,"dddd")</f>
        <v>Friday</v>
      </c>
      <c r="F146" s="2" t="s">
        <v>457</v>
      </c>
      <c r="G146" s="2" t="s">
        <v>458</v>
      </c>
      <c r="H146" s="2" t="s">
        <v>459</v>
      </c>
      <c r="I146" s="2" t="n">
        <f aca="false">IF(F146="Present",9,IF(F146="Half Day",4,0))</f>
        <v>9</v>
      </c>
      <c r="J146" s="2"/>
      <c r="K146" s="2"/>
    </row>
    <row r="147" customFormat="false" ht="15" hidden="false" customHeight="false" outlineLevel="0" collapsed="false">
      <c r="A147" s="2" t="s">
        <v>34</v>
      </c>
      <c r="B147" s="2" t="s">
        <v>35</v>
      </c>
      <c r="C147" s="2" t="s">
        <v>36</v>
      </c>
      <c r="D147" s="3" t="n">
        <v>46256</v>
      </c>
      <c r="E147" s="2" t="str">
        <f aca="false">TEXT(D147,"dddd")</f>
        <v>Saturday</v>
      </c>
      <c r="F147" s="2" t="s">
        <v>457</v>
      </c>
      <c r="G147" s="2" t="s">
        <v>458</v>
      </c>
      <c r="H147" s="2" t="s">
        <v>459</v>
      </c>
      <c r="I147" s="2" t="n">
        <f aca="false">IF(F147="Present",9,IF(F147="Half Day",4,0))</f>
        <v>9</v>
      </c>
      <c r="J147" s="2"/>
      <c r="K147" s="2"/>
    </row>
    <row r="148" customFormat="false" ht="15" hidden="false" customHeight="false" outlineLevel="0" collapsed="false">
      <c r="A148" s="2" t="s">
        <v>34</v>
      </c>
      <c r="B148" s="2" t="s">
        <v>35</v>
      </c>
      <c r="C148" s="2" t="s">
        <v>36</v>
      </c>
      <c r="D148" s="3" t="n">
        <v>46257</v>
      </c>
      <c r="E148" s="2" t="str">
        <f aca="false">TEXT(D148,"dddd")</f>
        <v>Sunday</v>
      </c>
      <c r="F148" s="2" t="s">
        <v>460</v>
      </c>
      <c r="G148" s="2"/>
      <c r="H148" s="2"/>
      <c r="I148" s="2" t="n">
        <f aca="false">IF(F148="Present",9,IF(F148="Half Day",4,0))</f>
        <v>0</v>
      </c>
      <c r="J148" s="2"/>
      <c r="K148" s="2" t="s">
        <v>460</v>
      </c>
    </row>
    <row r="149" customFormat="false" ht="15" hidden="false" customHeight="false" outlineLevel="0" collapsed="false">
      <c r="A149" s="2" t="s">
        <v>34</v>
      </c>
      <c r="B149" s="2" t="s">
        <v>35</v>
      </c>
      <c r="C149" s="2" t="s">
        <v>36</v>
      </c>
      <c r="D149" s="3" t="n">
        <v>46258</v>
      </c>
      <c r="E149" s="2" t="str">
        <f aca="false">TEXT(D149,"dddd")</f>
        <v>Monday</v>
      </c>
      <c r="F149" s="2" t="s">
        <v>457</v>
      </c>
      <c r="G149" s="2" t="s">
        <v>458</v>
      </c>
      <c r="H149" s="2" t="s">
        <v>459</v>
      </c>
      <c r="I149" s="2" t="n">
        <f aca="false">IF(F149="Present",9,IF(F149="Half Day",4,0))</f>
        <v>9</v>
      </c>
      <c r="J149" s="2"/>
      <c r="K149" s="2"/>
    </row>
    <row r="150" customFormat="false" ht="15" hidden="false" customHeight="false" outlineLevel="0" collapsed="false">
      <c r="A150" s="2" t="s">
        <v>34</v>
      </c>
      <c r="B150" s="2" t="s">
        <v>35</v>
      </c>
      <c r="C150" s="2" t="s">
        <v>36</v>
      </c>
      <c r="D150" s="3" t="n">
        <v>46259</v>
      </c>
      <c r="E150" s="2" t="str">
        <f aca="false">TEXT(D150,"dddd")</f>
        <v>Tuesday</v>
      </c>
      <c r="F150" s="2" t="s">
        <v>457</v>
      </c>
      <c r="G150" s="2" t="s">
        <v>458</v>
      </c>
      <c r="H150" s="2" t="s">
        <v>459</v>
      </c>
      <c r="I150" s="2" t="n">
        <f aca="false">IF(F150="Present",9,IF(F150="Half Day",4,0))</f>
        <v>9</v>
      </c>
      <c r="J150" s="2"/>
      <c r="K150" s="2"/>
    </row>
    <row r="151" customFormat="false" ht="15" hidden="false" customHeight="false" outlineLevel="0" collapsed="false">
      <c r="A151" s="2" t="s">
        <v>34</v>
      </c>
      <c r="B151" s="2" t="s">
        <v>35</v>
      </c>
      <c r="C151" s="2" t="s">
        <v>36</v>
      </c>
      <c r="D151" s="3" t="n">
        <v>46260</v>
      </c>
      <c r="E151" s="2" t="str">
        <f aca="false">TEXT(D151,"dddd")</f>
        <v>Wednesday</v>
      </c>
      <c r="F151" s="2" t="s">
        <v>457</v>
      </c>
      <c r="G151" s="2" t="s">
        <v>458</v>
      </c>
      <c r="H151" s="2" t="s">
        <v>459</v>
      </c>
      <c r="I151" s="2" t="n">
        <f aca="false">IF(F151="Present",9,IF(F151="Half Day",4,0))</f>
        <v>9</v>
      </c>
      <c r="J151" s="2"/>
      <c r="K151" s="2"/>
    </row>
    <row r="152" customFormat="false" ht="15" hidden="false" customHeight="false" outlineLevel="0" collapsed="false">
      <c r="A152" s="2" t="s">
        <v>34</v>
      </c>
      <c r="B152" s="2" t="s">
        <v>35</v>
      </c>
      <c r="C152" s="2" t="s">
        <v>36</v>
      </c>
      <c r="D152" s="3" t="n">
        <v>46261</v>
      </c>
      <c r="E152" s="2" t="str">
        <f aca="false">TEXT(D152,"dddd")</f>
        <v>Thursday</v>
      </c>
      <c r="F152" s="2" t="s">
        <v>457</v>
      </c>
      <c r="G152" s="2" t="s">
        <v>458</v>
      </c>
      <c r="H152" s="2" t="s">
        <v>459</v>
      </c>
      <c r="I152" s="2" t="n">
        <f aca="false">IF(F152="Present",9,IF(F152="Half Day",4,0))</f>
        <v>9</v>
      </c>
      <c r="J152" s="2"/>
      <c r="K152" s="2"/>
    </row>
    <row r="153" customFormat="false" ht="15" hidden="false" customHeight="false" outlineLevel="0" collapsed="false">
      <c r="A153" s="2" t="s">
        <v>34</v>
      </c>
      <c r="B153" s="2" t="s">
        <v>35</v>
      </c>
      <c r="C153" s="2" t="s">
        <v>36</v>
      </c>
      <c r="D153" s="3" t="n">
        <v>46262</v>
      </c>
      <c r="E153" s="2" t="str">
        <f aca="false">TEXT(D153,"dddd")</f>
        <v>Friday</v>
      </c>
      <c r="F153" s="2" t="s">
        <v>457</v>
      </c>
      <c r="G153" s="2" t="s">
        <v>458</v>
      </c>
      <c r="H153" s="2" t="s">
        <v>459</v>
      </c>
      <c r="I153" s="2" t="n">
        <f aca="false">IF(F153="Present",9,IF(F153="Half Day",4,0))</f>
        <v>9</v>
      </c>
      <c r="J153" s="2"/>
      <c r="K153" s="2"/>
    </row>
    <row r="154" customFormat="false" ht="15" hidden="false" customHeight="false" outlineLevel="0" collapsed="false">
      <c r="A154" s="2" t="s">
        <v>34</v>
      </c>
      <c r="B154" s="2" t="s">
        <v>35</v>
      </c>
      <c r="C154" s="2" t="s">
        <v>36</v>
      </c>
      <c r="D154" s="3" t="n">
        <v>46263</v>
      </c>
      <c r="E154" s="2" t="str">
        <f aca="false">TEXT(D154,"dddd")</f>
        <v>Saturday</v>
      </c>
      <c r="F154" s="2" t="s">
        <v>457</v>
      </c>
      <c r="G154" s="2" t="s">
        <v>458</v>
      </c>
      <c r="H154" s="2" t="s">
        <v>459</v>
      </c>
      <c r="I154" s="2" t="n">
        <f aca="false">IF(F154="Present",9,IF(F154="Half Day",4,0))</f>
        <v>9</v>
      </c>
      <c r="J154" s="2"/>
      <c r="K154" s="2"/>
    </row>
    <row r="155" customFormat="false" ht="15" hidden="false" customHeight="false" outlineLevel="0" collapsed="false">
      <c r="A155" s="2" t="s">
        <v>34</v>
      </c>
      <c r="B155" s="2" t="s">
        <v>35</v>
      </c>
      <c r="C155" s="2" t="s">
        <v>36</v>
      </c>
      <c r="D155" s="3" t="n">
        <v>46264</v>
      </c>
      <c r="E155" s="2" t="str">
        <f aca="false">TEXT(D155,"dddd")</f>
        <v>Sunday</v>
      </c>
      <c r="F155" s="2" t="s">
        <v>460</v>
      </c>
      <c r="G155" s="2"/>
      <c r="H155" s="2"/>
      <c r="I155" s="2" t="n">
        <f aca="false">IF(F155="Present",9,IF(F155="Half Day",4,0))</f>
        <v>0</v>
      </c>
      <c r="J155" s="2"/>
      <c r="K155" s="2" t="s">
        <v>460</v>
      </c>
    </row>
    <row r="156" customFormat="false" ht="15" hidden="false" customHeight="false" outlineLevel="0" collapsed="false">
      <c r="A156" s="2" t="s">
        <v>34</v>
      </c>
      <c r="B156" s="2" t="s">
        <v>35</v>
      </c>
      <c r="C156" s="2" t="s">
        <v>36</v>
      </c>
      <c r="D156" s="3" t="n">
        <v>46265</v>
      </c>
      <c r="E156" s="2" t="str">
        <f aca="false">TEXT(D156,"dddd")</f>
        <v>Monday</v>
      </c>
      <c r="F156" s="2" t="s">
        <v>457</v>
      </c>
      <c r="G156" s="2" t="s">
        <v>458</v>
      </c>
      <c r="H156" s="2" t="s">
        <v>459</v>
      </c>
      <c r="I156" s="2" t="n">
        <f aca="false">IF(F156="Present",9,IF(F156="Half Day",4,0))</f>
        <v>9</v>
      </c>
      <c r="J156" s="2"/>
      <c r="K156" s="2"/>
    </row>
    <row r="157" customFormat="false" ht="15" hidden="false" customHeight="false" outlineLevel="0" collapsed="false">
      <c r="A157" s="2" t="s">
        <v>39</v>
      </c>
      <c r="B157" s="2" t="s">
        <v>40</v>
      </c>
      <c r="C157" s="2" t="s">
        <v>41</v>
      </c>
      <c r="D157" s="3" t="n">
        <v>46235</v>
      </c>
      <c r="E157" s="2" t="str">
        <f aca="false">TEXT(D157,"dddd")</f>
        <v>Saturday</v>
      </c>
      <c r="F157" s="2" t="s">
        <v>457</v>
      </c>
      <c r="G157" s="2" t="s">
        <v>458</v>
      </c>
      <c r="H157" s="2" t="s">
        <v>459</v>
      </c>
      <c r="I157" s="2" t="n">
        <f aca="false">IF(F157="Present",9,IF(F157="Half Day",4,0))</f>
        <v>9</v>
      </c>
      <c r="J157" s="2"/>
      <c r="K157" s="2"/>
    </row>
    <row r="158" customFormat="false" ht="15" hidden="false" customHeight="false" outlineLevel="0" collapsed="false">
      <c r="A158" s="2" t="s">
        <v>39</v>
      </c>
      <c r="B158" s="2" t="s">
        <v>40</v>
      </c>
      <c r="C158" s="2" t="s">
        <v>41</v>
      </c>
      <c r="D158" s="3" t="n">
        <v>46236</v>
      </c>
      <c r="E158" s="2" t="str">
        <f aca="false">TEXT(D158,"dddd")</f>
        <v>Sunday</v>
      </c>
      <c r="F158" s="2" t="s">
        <v>460</v>
      </c>
      <c r="G158" s="2"/>
      <c r="H158" s="2"/>
      <c r="I158" s="2" t="n">
        <f aca="false">IF(F158="Present",9,IF(F158="Half Day",4,0))</f>
        <v>0</v>
      </c>
      <c r="J158" s="2"/>
      <c r="K158" s="2" t="s">
        <v>460</v>
      </c>
    </row>
    <row r="159" customFormat="false" ht="15" hidden="false" customHeight="false" outlineLevel="0" collapsed="false">
      <c r="A159" s="2" t="s">
        <v>39</v>
      </c>
      <c r="B159" s="2" t="s">
        <v>40</v>
      </c>
      <c r="C159" s="2" t="s">
        <v>41</v>
      </c>
      <c r="D159" s="3" t="n">
        <v>46237</v>
      </c>
      <c r="E159" s="2" t="str">
        <f aca="false">TEXT(D159,"dddd")</f>
        <v>Monday</v>
      </c>
      <c r="F159" s="2" t="s">
        <v>457</v>
      </c>
      <c r="G159" s="2" t="s">
        <v>458</v>
      </c>
      <c r="H159" s="2" t="s">
        <v>459</v>
      </c>
      <c r="I159" s="2" t="n">
        <f aca="false">IF(F159="Present",9,IF(F159="Half Day",4,0))</f>
        <v>9</v>
      </c>
      <c r="J159" s="2"/>
      <c r="K159" s="2"/>
    </row>
    <row r="160" customFormat="false" ht="15" hidden="false" customHeight="false" outlineLevel="0" collapsed="false">
      <c r="A160" s="2" t="s">
        <v>39</v>
      </c>
      <c r="B160" s="2" t="s">
        <v>40</v>
      </c>
      <c r="C160" s="2" t="s">
        <v>41</v>
      </c>
      <c r="D160" s="3" t="n">
        <v>46238</v>
      </c>
      <c r="E160" s="2" t="str">
        <f aca="false">TEXT(D160,"dddd")</f>
        <v>Tuesday</v>
      </c>
      <c r="F160" s="2" t="s">
        <v>457</v>
      </c>
      <c r="G160" s="2" t="s">
        <v>458</v>
      </c>
      <c r="H160" s="2" t="s">
        <v>459</v>
      </c>
      <c r="I160" s="2" t="n">
        <f aca="false">IF(F160="Present",9,IF(F160="Half Day",4,0))</f>
        <v>9</v>
      </c>
      <c r="J160" s="2"/>
      <c r="K160" s="2"/>
    </row>
    <row r="161" customFormat="false" ht="15" hidden="false" customHeight="false" outlineLevel="0" collapsed="false">
      <c r="A161" s="2" t="s">
        <v>39</v>
      </c>
      <c r="B161" s="2" t="s">
        <v>40</v>
      </c>
      <c r="C161" s="2" t="s">
        <v>41</v>
      </c>
      <c r="D161" s="3" t="n">
        <v>46239</v>
      </c>
      <c r="E161" s="2" t="str">
        <f aca="false">TEXT(D161,"dddd")</f>
        <v>Wednesday</v>
      </c>
      <c r="F161" s="2" t="s">
        <v>461</v>
      </c>
      <c r="G161" s="2"/>
      <c r="H161" s="2"/>
      <c r="I161" s="2" t="n">
        <f aca="false">IF(F161="Present",9,IF(F161="Half Day",4,0))</f>
        <v>0</v>
      </c>
      <c r="J161" s="2"/>
      <c r="K161" s="2" t="s">
        <v>462</v>
      </c>
    </row>
    <row r="162" customFormat="false" ht="15" hidden="false" customHeight="false" outlineLevel="0" collapsed="false">
      <c r="A162" s="2" t="s">
        <v>39</v>
      </c>
      <c r="B162" s="2" t="s">
        <v>40</v>
      </c>
      <c r="C162" s="2" t="s">
        <v>41</v>
      </c>
      <c r="D162" s="3" t="n">
        <v>46240</v>
      </c>
      <c r="E162" s="2" t="str">
        <f aca="false">TEXT(D162,"dddd")</f>
        <v>Thursday</v>
      </c>
      <c r="F162" s="2" t="s">
        <v>457</v>
      </c>
      <c r="G162" s="2" t="s">
        <v>458</v>
      </c>
      <c r="H162" s="2" t="s">
        <v>459</v>
      </c>
      <c r="I162" s="2" t="n">
        <f aca="false">IF(F162="Present",9,IF(F162="Half Day",4,0))</f>
        <v>9</v>
      </c>
      <c r="J162" s="2"/>
      <c r="K162" s="2"/>
    </row>
    <row r="163" customFormat="false" ht="15" hidden="false" customHeight="false" outlineLevel="0" collapsed="false">
      <c r="A163" s="2" t="s">
        <v>39</v>
      </c>
      <c r="B163" s="2" t="s">
        <v>40</v>
      </c>
      <c r="C163" s="2" t="s">
        <v>41</v>
      </c>
      <c r="D163" s="3" t="n">
        <v>46241</v>
      </c>
      <c r="E163" s="2" t="str">
        <f aca="false">TEXT(D163,"dddd")</f>
        <v>Friday</v>
      </c>
      <c r="F163" s="2" t="s">
        <v>457</v>
      </c>
      <c r="G163" s="2" t="s">
        <v>458</v>
      </c>
      <c r="H163" s="2" t="s">
        <v>459</v>
      </c>
      <c r="I163" s="2" t="n">
        <f aca="false">IF(F163="Present",9,IF(F163="Half Day",4,0))</f>
        <v>9</v>
      </c>
      <c r="J163" s="2"/>
      <c r="K163" s="2"/>
    </row>
    <row r="164" customFormat="false" ht="15" hidden="false" customHeight="false" outlineLevel="0" collapsed="false">
      <c r="A164" s="2" t="s">
        <v>39</v>
      </c>
      <c r="B164" s="2" t="s">
        <v>40</v>
      </c>
      <c r="C164" s="2" t="s">
        <v>41</v>
      </c>
      <c r="D164" s="3" t="n">
        <v>46242</v>
      </c>
      <c r="E164" s="2" t="str">
        <f aca="false">TEXT(D164,"dddd")</f>
        <v>Saturday</v>
      </c>
      <c r="F164" s="2" t="s">
        <v>457</v>
      </c>
      <c r="G164" s="2" t="s">
        <v>458</v>
      </c>
      <c r="H164" s="2" t="s">
        <v>459</v>
      </c>
      <c r="I164" s="2" t="n">
        <f aca="false">IF(F164="Present",9,IF(F164="Half Day",4,0))</f>
        <v>9</v>
      </c>
      <c r="J164" s="2"/>
      <c r="K164" s="2"/>
    </row>
    <row r="165" customFormat="false" ht="15" hidden="false" customHeight="false" outlineLevel="0" collapsed="false">
      <c r="A165" s="2" t="s">
        <v>39</v>
      </c>
      <c r="B165" s="2" t="s">
        <v>40</v>
      </c>
      <c r="C165" s="2" t="s">
        <v>41</v>
      </c>
      <c r="D165" s="3" t="n">
        <v>46243</v>
      </c>
      <c r="E165" s="2" t="str">
        <f aca="false">TEXT(D165,"dddd")</f>
        <v>Sunday</v>
      </c>
      <c r="F165" s="2" t="s">
        <v>460</v>
      </c>
      <c r="G165" s="2"/>
      <c r="H165" s="2"/>
      <c r="I165" s="2" t="n">
        <f aca="false">IF(F165="Present",9,IF(F165="Half Day",4,0))</f>
        <v>0</v>
      </c>
      <c r="J165" s="2"/>
      <c r="K165" s="2" t="s">
        <v>460</v>
      </c>
    </row>
    <row r="166" customFormat="false" ht="15" hidden="false" customHeight="false" outlineLevel="0" collapsed="false">
      <c r="A166" s="2" t="s">
        <v>39</v>
      </c>
      <c r="B166" s="2" t="s">
        <v>40</v>
      </c>
      <c r="C166" s="2" t="s">
        <v>41</v>
      </c>
      <c r="D166" s="3" t="n">
        <v>46244</v>
      </c>
      <c r="E166" s="2" t="str">
        <f aca="false">TEXT(D166,"dddd")</f>
        <v>Monday</v>
      </c>
      <c r="F166" s="2" t="s">
        <v>466</v>
      </c>
      <c r="G166" s="2" t="s">
        <v>458</v>
      </c>
      <c r="H166" s="2" t="s">
        <v>467</v>
      </c>
      <c r="I166" s="2" t="n">
        <f aca="false">IF(F166="Present",9,IF(F166="Half Day",4,0))</f>
        <v>4</v>
      </c>
      <c r="J166" s="2"/>
      <c r="K166" s="2" t="s">
        <v>466</v>
      </c>
    </row>
    <row r="167" customFormat="false" ht="15" hidden="false" customHeight="false" outlineLevel="0" collapsed="false">
      <c r="A167" s="2" t="s">
        <v>39</v>
      </c>
      <c r="B167" s="2" t="s">
        <v>40</v>
      </c>
      <c r="C167" s="2" t="s">
        <v>41</v>
      </c>
      <c r="D167" s="3" t="n">
        <v>46245</v>
      </c>
      <c r="E167" s="2" t="str">
        <f aca="false">TEXT(D167,"dddd")</f>
        <v>Tuesday</v>
      </c>
      <c r="F167" s="2" t="s">
        <v>466</v>
      </c>
      <c r="G167" s="2" t="s">
        <v>458</v>
      </c>
      <c r="H167" s="2" t="s">
        <v>467</v>
      </c>
      <c r="I167" s="2" t="n">
        <f aca="false">IF(F167="Present",9,IF(F167="Half Day",4,0))</f>
        <v>4</v>
      </c>
      <c r="J167" s="2"/>
      <c r="K167" s="2" t="s">
        <v>466</v>
      </c>
    </row>
    <row r="168" customFormat="false" ht="15" hidden="false" customHeight="false" outlineLevel="0" collapsed="false">
      <c r="A168" s="2" t="s">
        <v>39</v>
      </c>
      <c r="B168" s="2" t="s">
        <v>40</v>
      </c>
      <c r="C168" s="2" t="s">
        <v>41</v>
      </c>
      <c r="D168" s="3" t="n">
        <v>46246</v>
      </c>
      <c r="E168" s="2" t="str">
        <f aca="false">TEXT(D168,"dddd")</f>
        <v>Wednesday</v>
      </c>
      <c r="F168" s="2" t="s">
        <v>457</v>
      </c>
      <c r="G168" s="2" t="s">
        <v>458</v>
      </c>
      <c r="H168" s="2" t="s">
        <v>459</v>
      </c>
      <c r="I168" s="2" t="n">
        <f aca="false">IF(F168="Present",9,IF(F168="Half Day",4,0))</f>
        <v>9</v>
      </c>
      <c r="J168" s="2"/>
      <c r="K168" s="2"/>
    </row>
    <row r="169" customFormat="false" ht="15" hidden="false" customHeight="false" outlineLevel="0" collapsed="false">
      <c r="A169" s="2" t="s">
        <v>39</v>
      </c>
      <c r="B169" s="2" t="s">
        <v>40</v>
      </c>
      <c r="C169" s="2" t="s">
        <v>41</v>
      </c>
      <c r="D169" s="3" t="n">
        <v>46247</v>
      </c>
      <c r="E169" s="2" t="str">
        <f aca="false">TEXT(D169,"dddd")</f>
        <v>Thursday</v>
      </c>
      <c r="F169" s="2" t="s">
        <v>463</v>
      </c>
      <c r="G169" s="2"/>
      <c r="H169" s="2"/>
      <c r="I169" s="2" t="n">
        <f aca="false">IF(F169="Present",9,IF(F169="Half Day",4,0))</f>
        <v>0</v>
      </c>
      <c r="J169" s="2" t="s">
        <v>468</v>
      </c>
      <c r="K169" s="2" t="s">
        <v>469</v>
      </c>
    </row>
    <row r="170" customFormat="false" ht="15" hidden="false" customHeight="false" outlineLevel="0" collapsed="false">
      <c r="A170" s="2" t="s">
        <v>39</v>
      </c>
      <c r="B170" s="2" t="s">
        <v>40</v>
      </c>
      <c r="C170" s="2" t="s">
        <v>41</v>
      </c>
      <c r="D170" s="3" t="n">
        <v>46248</v>
      </c>
      <c r="E170" s="2" t="str">
        <f aca="false">TEXT(D170,"dddd")</f>
        <v>Friday</v>
      </c>
      <c r="F170" s="2" t="s">
        <v>457</v>
      </c>
      <c r="G170" s="2" t="s">
        <v>458</v>
      </c>
      <c r="H170" s="2" t="s">
        <v>459</v>
      </c>
      <c r="I170" s="2" t="n">
        <f aca="false">IF(F170="Present",9,IF(F170="Half Day",4,0))</f>
        <v>9</v>
      </c>
      <c r="J170" s="2"/>
      <c r="K170" s="2"/>
    </row>
    <row r="171" customFormat="false" ht="15" hidden="false" customHeight="false" outlineLevel="0" collapsed="false">
      <c r="A171" s="2" t="s">
        <v>39</v>
      </c>
      <c r="B171" s="2" t="s">
        <v>40</v>
      </c>
      <c r="C171" s="2" t="s">
        <v>41</v>
      </c>
      <c r="D171" s="3" t="n">
        <v>46249</v>
      </c>
      <c r="E171" s="2" t="str">
        <f aca="false">TEXT(D171,"dddd")</f>
        <v>Saturday</v>
      </c>
      <c r="F171" s="2" t="s">
        <v>461</v>
      </c>
      <c r="G171" s="2"/>
      <c r="H171" s="2"/>
      <c r="I171" s="2" t="n">
        <f aca="false">IF(F171="Present",9,IF(F171="Half Day",4,0))</f>
        <v>0</v>
      </c>
      <c r="J171" s="2"/>
      <c r="K171" s="2" t="s">
        <v>462</v>
      </c>
    </row>
    <row r="172" customFormat="false" ht="15" hidden="false" customHeight="false" outlineLevel="0" collapsed="false">
      <c r="A172" s="2" t="s">
        <v>39</v>
      </c>
      <c r="B172" s="2" t="s">
        <v>40</v>
      </c>
      <c r="C172" s="2" t="s">
        <v>41</v>
      </c>
      <c r="D172" s="3" t="n">
        <v>46250</v>
      </c>
      <c r="E172" s="2" t="str">
        <f aca="false">TEXT(D172,"dddd")</f>
        <v>Sunday</v>
      </c>
      <c r="F172" s="2" t="s">
        <v>460</v>
      </c>
      <c r="G172" s="2"/>
      <c r="H172" s="2"/>
      <c r="I172" s="2" t="n">
        <f aca="false">IF(F172="Present",9,IF(F172="Half Day",4,0))</f>
        <v>0</v>
      </c>
      <c r="J172" s="2"/>
      <c r="K172" s="2" t="s">
        <v>460</v>
      </c>
    </row>
    <row r="173" customFormat="false" ht="15" hidden="false" customHeight="false" outlineLevel="0" collapsed="false">
      <c r="A173" s="2" t="s">
        <v>39</v>
      </c>
      <c r="B173" s="2" t="s">
        <v>40</v>
      </c>
      <c r="C173" s="2" t="s">
        <v>41</v>
      </c>
      <c r="D173" s="3" t="n">
        <v>46251</v>
      </c>
      <c r="E173" s="2" t="str">
        <f aca="false">TEXT(D173,"dddd")</f>
        <v>Monday</v>
      </c>
      <c r="F173" s="2" t="s">
        <v>461</v>
      </c>
      <c r="G173" s="2"/>
      <c r="H173" s="2"/>
      <c r="I173" s="2" t="n">
        <f aca="false">IF(F173="Present",9,IF(F173="Half Day",4,0))</f>
        <v>0</v>
      </c>
      <c r="J173" s="2"/>
      <c r="K173" s="2" t="s">
        <v>462</v>
      </c>
    </row>
    <row r="174" customFormat="false" ht="15" hidden="false" customHeight="false" outlineLevel="0" collapsed="false">
      <c r="A174" s="2" t="s">
        <v>39</v>
      </c>
      <c r="B174" s="2" t="s">
        <v>40</v>
      </c>
      <c r="C174" s="2" t="s">
        <v>41</v>
      </c>
      <c r="D174" s="3" t="n">
        <v>46252</v>
      </c>
      <c r="E174" s="2" t="str">
        <f aca="false">TEXT(D174,"dddd")</f>
        <v>Tuesday</v>
      </c>
      <c r="F174" s="2" t="s">
        <v>457</v>
      </c>
      <c r="G174" s="2" t="s">
        <v>458</v>
      </c>
      <c r="H174" s="2" t="s">
        <v>459</v>
      </c>
      <c r="I174" s="2" t="n">
        <f aca="false">IF(F174="Present",9,IF(F174="Half Day",4,0))</f>
        <v>9</v>
      </c>
      <c r="J174" s="2"/>
      <c r="K174" s="2"/>
    </row>
    <row r="175" customFormat="false" ht="15" hidden="false" customHeight="false" outlineLevel="0" collapsed="false">
      <c r="A175" s="2" t="s">
        <v>39</v>
      </c>
      <c r="B175" s="2" t="s">
        <v>40</v>
      </c>
      <c r="C175" s="2" t="s">
        <v>41</v>
      </c>
      <c r="D175" s="3" t="n">
        <v>46253</v>
      </c>
      <c r="E175" s="2" t="str">
        <f aca="false">TEXT(D175,"dddd")</f>
        <v>Wednesday</v>
      </c>
      <c r="F175" s="2" t="s">
        <v>457</v>
      </c>
      <c r="G175" s="2" t="s">
        <v>458</v>
      </c>
      <c r="H175" s="2" t="s">
        <v>459</v>
      </c>
      <c r="I175" s="2" t="n">
        <f aca="false">IF(F175="Present",9,IF(F175="Half Day",4,0))</f>
        <v>9</v>
      </c>
      <c r="J175" s="2"/>
      <c r="K175" s="2"/>
    </row>
    <row r="176" customFormat="false" ht="15" hidden="false" customHeight="false" outlineLevel="0" collapsed="false">
      <c r="A176" s="2" t="s">
        <v>39</v>
      </c>
      <c r="B176" s="2" t="s">
        <v>40</v>
      </c>
      <c r="C176" s="2" t="s">
        <v>41</v>
      </c>
      <c r="D176" s="3" t="n">
        <v>46254</v>
      </c>
      <c r="E176" s="2" t="str">
        <f aca="false">TEXT(D176,"dddd")</f>
        <v>Thursday</v>
      </c>
      <c r="F176" s="2" t="s">
        <v>457</v>
      </c>
      <c r="G176" s="2" t="s">
        <v>458</v>
      </c>
      <c r="H176" s="2" t="s">
        <v>459</v>
      </c>
      <c r="I176" s="2" t="n">
        <f aca="false">IF(F176="Present",9,IF(F176="Half Day",4,0))</f>
        <v>9</v>
      </c>
      <c r="J176" s="2"/>
      <c r="K176" s="2"/>
    </row>
    <row r="177" customFormat="false" ht="15" hidden="false" customHeight="false" outlineLevel="0" collapsed="false">
      <c r="A177" s="2" t="s">
        <v>39</v>
      </c>
      <c r="B177" s="2" t="s">
        <v>40</v>
      </c>
      <c r="C177" s="2" t="s">
        <v>41</v>
      </c>
      <c r="D177" s="3" t="n">
        <v>46255</v>
      </c>
      <c r="E177" s="2" t="str">
        <f aca="false">TEXT(D177,"dddd")</f>
        <v>Friday</v>
      </c>
      <c r="F177" s="2" t="s">
        <v>457</v>
      </c>
      <c r="G177" s="2" t="s">
        <v>458</v>
      </c>
      <c r="H177" s="2" t="s">
        <v>459</v>
      </c>
      <c r="I177" s="2" t="n">
        <f aca="false">IF(F177="Present",9,IF(F177="Half Day",4,0))</f>
        <v>9</v>
      </c>
      <c r="J177" s="2"/>
      <c r="K177" s="2"/>
    </row>
    <row r="178" customFormat="false" ht="15" hidden="false" customHeight="false" outlineLevel="0" collapsed="false">
      <c r="A178" s="2" t="s">
        <v>39</v>
      </c>
      <c r="B178" s="2" t="s">
        <v>40</v>
      </c>
      <c r="C178" s="2" t="s">
        <v>41</v>
      </c>
      <c r="D178" s="3" t="n">
        <v>46256</v>
      </c>
      <c r="E178" s="2" t="str">
        <f aca="false">TEXT(D178,"dddd")</f>
        <v>Saturday</v>
      </c>
      <c r="F178" s="2" t="s">
        <v>457</v>
      </c>
      <c r="G178" s="2" t="s">
        <v>458</v>
      </c>
      <c r="H178" s="2" t="s">
        <v>459</v>
      </c>
      <c r="I178" s="2" t="n">
        <f aca="false">IF(F178="Present",9,IF(F178="Half Day",4,0))</f>
        <v>9</v>
      </c>
      <c r="J178" s="2"/>
      <c r="K178" s="2"/>
    </row>
    <row r="179" customFormat="false" ht="15" hidden="false" customHeight="false" outlineLevel="0" collapsed="false">
      <c r="A179" s="2" t="s">
        <v>39</v>
      </c>
      <c r="B179" s="2" t="s">
        <v>40</v>
      </c>
      <c r="C179" s="2" t="s">
        <v>41</v>
      </c>
      <c r="D179" s="3" t="n">
        <v>46257</v>
      </c>
      <c r="E179" s="2" t="str">
        <f aca="false">TEXT(D179,"dddd")</f>
        <v>Sunday</v>
      </c>
      <c r="F179" s="2" t="s">
        <v>460</v>
      </c>
      <c r="G179" s="2"/>
      <c r="H179" s="2"/>
      <c r="I179" s="2" t="n">
        <f aca="false">IF(F179="Present",9,IF(F179="Half Day",4,0))</f>
        <v>0</v>
      </c>
      <c r="J179" s="2"/>
      <c r="K179" s="2" t="s">
        <v>460</v>
      </c>
    </row>
    <row r="180" customFormat="false" ht="15" hidden="false" customHeight="false" outlineLevel="0" collapsed="false">
      <c r="A180" s="2" t="s">
        <v>39</v>
      </c>
      <c r="B180" s="2" t="s">
        <v>40</v>
      </c>
      <c r="C180" s="2" t="s">
        <v>41</v>
      </c>
      <c r="D180" s="3" t="n">
        <v>46258</v>
      </c>
      <c r="E180" s="2" t="str">
        <f aca="false">TEXT(D180,"dddd")</f>
        <v>Monday</v>
      </c>
      <c r="F180" s="2" t="s">
        <v>457</v>
      </c>
      <c r="G180" s="2" t="s">
        <v>458</v>
      </c>
      <c r="H180" s="2" t="s">
        <v>459</v>
      </c>
      <c r="I180" s="2" t="n">
        <f aca="false">IF(F180="Present",9,IF(F180="Half Day",4,0))</f>
        <v>9</v>
      </c>
      <c r="J180" s="2"/>
      <c r="K180" s="2"/>
    </row>
    <row r="181" customFormat="false" ht="15" hidden="false" customHeight="false" outlineLevel="0" collapsed="false">
      <c r="A181" s="2" t="s">
        <v>39</v>
      </c>
      <c r="B181" s="2" t="s">
        <v>40</v>
      </c>
      <c r="C181" s="2" t="s">
        <v>41</v>
      </c>
      <c r="D181" s="3" t="n">
        <v>46259</v>
      </c>
      <c r="E181" s="2" t="str">
        <f aca="false">TEXT(D181,"dddd")</f>
        <v>Tuesday</v>
      </c>
      <c r="F181" s="2" t="s">
        <v>457</v>
      </c>
      <c r="G181" s="2" t="s">
        <v>458</v>
      </c>
      <c r="H181" s="2" t="s">
        <v>459</v>
      </c>
      <c r="I181" s="2" t="n">
        <f aca="false">IF(F181="Present",9,IF(F181="Half Day",4,0))</f>
        <v>9</v>
      </c>
      <c r="J181" s="2"/>
      <c r="K181" s="2"/>
    </row>
    <row r="182" customFormat="false" ht="15" hidden="false" customHeight="false" outlineLevel="0" collapsed="false">
      <c r="A182" s="2" t="s">
        <v>39</v>
      </c>
      <c r="B182" s="2" t="s">
        <v>40</v>
      </c>
      <c r="C182" s="2" t="s">
        <v>41</v>
      </c>
      <c r="D182" s="3" t="n">
        <v>46260</v>
      </c>
      <c r="E182" s="2" t="str">
        <f aca="false">TEXT(D182,"dddd")</f>
        <v>Wednesday</v>
      </c>
      <c r="F182" s="2" t="s">
        <v>457</v>
      </c>
      <c r="G182" s="2" t="s">
        <v>458</v>
      </c>
      <c r="H182" s="2" t="s">
        <v>459</v>
      </c>
      <c r="I182" s="2" t="n">
        <f aca="false">IF(F182="Present",9,IF(F182="Half Day",4,0))</f>
        <v>9</v>
      </c>
      <c r="J182" s="2"/>
      <c r="K182" s="2"/>
    </row>
    <row r="183" customFormat="false" ht="15" hidden="false" customHeight="false" outlineLevel="0" collapsed="false">
      <c r="A183" s="2" t="s">
        <v>39</v>
      </c>
      <c r="B183" s="2" t="s">
        <v>40</v>
      </c>
      <c r="C183" s="2" t="s">
        <v>41</v>
      </c>
      <c r="D183" s="3" t="n">
        <v>46261</v>
      </c>
      <c r="E183" s="2" t="str">
        <f aca="false">TEXT(D183,"dddd")</f>
        <v>Thursday</v>
      </c>
      <c r="F183" s="2" t="s">
        <v>457</v>
      </c>
      <c r="G183" s="2" t="s">
        <v>458</v>
      </c>
      <c r="H183" s="2" t="s">
        <v>459</v>
      </c>
      <c r="I183" s="2" t="n">
        <f aca="false">IF(F183="Present",9,IF(F183="Half Day",4,0))</f>
        <v>9</v>
      </c>
      <c r="J183" s="2"/>
      <c r="K183" s="2"/>
    </row>
    <row r="184" customFormat="false" ht="15" hidden="false" customHeight="false" outlineLevel="0" collapsed="false">
      <c r="A184" s="2" t="s">
        <v>39</v>
      </c>
      <c r="B184" s="2" t="s">
        <v>40</v>
      </c>
      <c r="C184" s="2" t="s">
        <v>41</v>
      </c>
      <c r="D184" s="3" t="n">
        <v>46262</v>
      </c>
      <c r="E184" s="2" t="str">
        <f aca="false">TEXT(D184,"dddd")</f>
        <v>Friday</v>
      </c>
      <c r="F184" s="2" t="s">
        <v>457</v>
      </c>
      <c r="G184" s="2" t="s">
        <v>458</v>
      </c>
      <c r="H184" s="2" t="s">
        <v>459</v>
      </c>
      <c r="I184" s="2" t="n">
        <f aca="false">IF(F184="Present",9,IF(F184="Half Day",4,0))</f>
        <v>9</v>
      </c>
      <c r="J184" s="2"/>
      <c r="K184" s="2"/>
    </row>
    <row r="185" customFormat="false" ht="15" hidden="false" customHeight="false" outlineLevel="0" collapsed="false">
      <c r="A185" s="2" t="s">
        <v>39</v>
      </c>
      <c r="B185" s="2" t="s">
        <v>40</v>
      </c>
      <c r="C185" s="2" t="s">
        <v>41</v>
      </c>
      <c r="D185" s="3" t="n">
        <v>46263</v>
      </c>
      <c r="E185" s="2" t="str">
        <f aca="false">TEXT(D185,"dddd")</f>
        <v>Saturday</v>
      </c>
      <c r="F185" s="2" t="s">
        <v>457</v>
      </c>
      <c r="G185" s="2" t="s">
        <v>458</v>
      </c>
      <c r="H185" s="2" t="s">
        <v>459</v>
      </c>
      <c r="I185" s="2" t="n">
        <f aca="false">IF(F185="Present",9,IF(F185="Half Day",4,0))</f>
        <v>9</v>
      </c>
      <c r="J185" s="2"/>
      <c r="K185" s="2"/>
    </row>
    <row r="186" customFormat="false" ht="15" hidden="false" customHeight="false" outlineLevel="0" collapsed="false">
      <c r="A186" s="2" t="s">
        <v>39</v>
      </c>
      <c r="B186" s="2" t="s">
        <v>40</v>
      </c>
      <c r="C186" s="2" t="s">
        <v>41</v>
      </c>
      <c r="D186" s="3" t="n">
        <v>46264</v>
      </c>
      <c r="E186" s="2" t="str">
        <f aca="false">TEXT(D186,"dddd")</f>
        <v>Sunday</v>
      </c>
      <c r="F186" s="2" t="s">
        <v>460</v>
      </c>
      <c r="G186" s="2"/>
      <c r="H186" s="2"/>
      <c r="I186" s="2" t="n">
        <f aca="false">IF(F186="Present",9,IF(F186="Half Day",4,0))</f>
        <v>0</v>
      </c>
      <c r="J186" s="2"/>
      <c r="K186" s="2" t="s">
        <v>460</v>
      </c>
    </row>
    <row r="187" customFormat="false" ht="15" hidden="false" customHeight="false" outlineLevel="0" collapsed="false">
      <c r="A187" s="2" t="s">
        <v>39</v>
      </c>
      <c r="B187" s="2" t="s">
        <v>40</v>
      </c>
      <c r="C187" s="2" t="s">
        <v>41</v>
      </c>
      <c r="D187" s="3" t="n">
        <v>46265</v>
      </c>
      <c r="E187" s="2" t="str">
        <f aca="false">TEXT(D187,"dddd")</f>
        <v>Monday</v>
      </c>
      <c r="F187" s="2" t="s">
        <v>457</v>
      </c>
      <c r="G187" s="2" t="s">
        <v>458</v>
      </c>
      <c r="H187" s="2" t="s">
        <v>459</v>
      </c>
      <c r="I187" s="2" t="n">
        <f aca="false">IF(F187="Present",9,IF(F187="Half Day",4,0))</f>
        <v>9</v>
      </c>
      <c r="J187" s="2"/>
      <c r="K187" s="2"/>
    </row>
    <row r="188" customFormat="false" ht="15" hidden="false" customHeight="false" outlineLevel="0" collapsed="false">
      <c r="A188" s="2" t="s">
        <v>43</v>
      </c>
      <c r="B188" s="2" t="s">
        <v>44</v>
      </c>
      <c r="C188" s="2" t="s">
        <v>45</v>
      </c>
      <c r="D188" s="3" t="n">
        <v>46235</v>
      </c>
      <c r="E188" s="2" t="str">
        <f aca="false">TEXT(D188,"dddd")</f>
        <v>Saturday</v>
      </c>
      <c r="F188" s="2" t="s">
        <v>457</v>
      </c>
      <c r="G188" s="2" t="s">
        <v>458</v>
      </c>
      <c r="H188" s="2" t="s">
        <v>459</v>
      </c>
      <c r="I188" s="2" t="n">
        <f aca="false">IF(F188="Present",9,IF(F188="Half Day",4,0))</f>
        <v>9</v>
      </c>
      <c r="J188" s="2"/>
      <c r="K188" s="2"/>
    </row>
    <row r="189" customFormat="false" ht="15" hidden="false" customHeight="false" outlineLevel="0" collapsed="false">
      <c r="A189" s="2" t="s">
        <v>43</v>
      </c>
      <c r="B189" s="2" t="s">
        <v>44</v>
      </c>
      <c r="C189" s="2" t="s">
        <v>45</v>
      </c>
      <c r="D189" s="3" t="n">
        <v>46236</v>
      </c>
      <c r="E189" s="2" t="str">
        <f aca="false">TEXT(D189,"dddd")</f>
        <v>Sunday</v>
      </c>
      <c r="F189" s="2" t="s">
        <v>460</v>
      </c>
      <c r="G189" s="2"/>
      <c r="H189" s="2"/>
      <c r="I189" s="2" t="n">
        <f aca="false">IF(F189="Present",9,IF(F189="Half Day",4,0))</f>
        <v>0</v>
      </c>
      <c r="J189" s="2"/>
      <c r="K189" s="2" t="s">
        <v>460</v>
      </c>
    </row>
    <row r="190" customFormat="false" ht="15" hidden="false" customHeight="false" outlineLevel="0" collapsed="false">
      <c r="A190" s="2" t="s">
        <v>43</v>
      </c>
      <c r="B190" s="2" t="s">
        <v>44</v>
      </c>
      <c r="C190" s="2" t="s">
        <v>45</v>
      </c>
      <c r="D190" s="3" t="n">
        <v>46237</v>
      </c>
      <c r="E190" s="2" t="str">
        <f aca="false">TEXT(D190,"dddd")</f>
        <v>Monday</v>
      </c>
      <c r="F190" s="2" t="s">
        <v>457</v>
      </c>
      <c r="G190" s="2" t="s">
        <v>458</v>
      </c>
      <c r="H190" s="2" t="s">
        <v>459</v>
      </c>
      <c r="I190" s="2" t="n">
        <f aca="false">IF(F190="Present",9,IF(F190="Half Day",4,0))</f>
        <v>9</v>
      </c>
      <c r="J190" s="2"/>
      <c r="K190" s="2"/>
    </row>
    <row r="191" customFormat="false" ht="15" hidden="false" customHeight="false" outlineLevel="0" collapsed="false">
      <c r="A191" s="2" t="s">
        <v>43</v>
      </c>
      <c r="B191" s="2" t="s">
        <v>44</v>
      </c>
      <c r="C191" s="2" t="s">
        <v>45</v>
      </c>
      <c r="D191" s="3" t="n">
        <v>46238</v>
      </c>
      <c r="E191" s="2" t="str">
        <f aca="false">TEXT(D191,"dddd")</f>
        <v>Tuesday</v>
      </c>
      <c r="F191" s="2" t="s">
        <v>457</v>
      </c>
      <c r="G191" s="2" t="s">
        <v>458</v>
      </c>
      <c r="H191" s="2" t="s">
        <v>459</v>
      </c>
      <c r="I191" s="2" t="n">
        <f aca="false">IF(F191="Present",9,IF(F191="Half Day",4,0))</f>
        <v>9</v>
      </c>
      <c r="J191" s="2"/>
      <c r="K191" s="2"/>
    </row>
    <row r="192" customFormat="false" ht="15" hidden="false" customHeight="false" outlineLevel="0" collapsed="false">
      <c r="A192" s="2" t="s">
        <v>43</v>
      </c>
      <c r="B192" s="2" t="s">
        <v>44</v>
      </c>
      <c r="C192" s="2" t="s">
        <v>45</v>
      </c>
      <c r="D192" s="3" t="n">
        <v>46239</v>
      </c>
      <c r="E192" s="2" t="str">
        <f aca="false">TEXT(D192,"dddd")</f>
        <v>Wednesday</v>
      </c>
      <c r="F192" s="2" t="s">
        <v>457</v>
      </c>
      <c r="G192" s="2" t="s">
        <v>458</v>
      </c>
      <c r="H192" s="2" t="s">
        <v>459</v>
      </c>
      <c r="I192" s="2" t="n">
        <f aca="false">IF(F192="Present",9,IF(F192="Half Day",4,0))</f>
        <v>9</v>
      </c>
      <c r="J192" s="2"/>
      <c r="K192" s="2"/>
    </row>
    <row r="193" customFormat="false" ht="15" hidden="false" customHeight="false" outlineLevel="0" collapsed="false">
      <c r="A193" s="2" t="s">
        <v>43</v>
      </c>
      <c r="B193" s="2" t="s">
        <v>44</v>
      </c>
      <c r="C193" s="2" t="s">
        <v>45</v>
      </c>
      <c r="D193" s="3" t="n">
        <v>46240</v>
      </c>
      <c r="E193" s="2" t="str">
        <f aca="false">TEXT(D193,"dddd")</f>
        <v>Thursday</v>
      </c>
      <c r="F193" s="2" t="s">
        <v>457</v>
      </c>
      <c r="G193" s="2" t="s">
        <v>458</v>
      </c>
      <c r="H193" s="2" t="s">
        <v>459</v>
      </c>
      <c r="I193" s="2" t="n">
        <f aca="false">IF(F193="Present",9,IF(F193="Half Day",4,0))</f>
        <v>9</v>
      </c>
      <c r="J193" s="2"/>
      <c r="K193" s="2"/>
    </row>
    <row r="194" customFormat="false" ht="15" hidden="false" customHeight="false" outlineLevel="0" collapsed="false">
      <c r="A194" s="2" t="s">
        <v>43</v>
      </c>
      <c r="B194" s="2" t="s">
        <v>44</v>
      </c>
      <c r="C194" s="2" t="s">
        <v>45</v>
      </c>
      <c r="D194" s="3" t="n">
        <v>46241</v>
      </c>
      <c r="E194" s="2" t="str">
        <f aca="false">TEXT(D194,"dddd")</f>
        <v>Friday</v>
      </c>
      <c r="F194" s="2" t="s">
        <v>457</v>
      </c>
      <c r="G194" s="2" t="s">
        <v>458</v>
      </c>
      <c r="H194" s="2" t="s">
        <v>459</v>
      </c>
      <c r="I194" s="2" t="n">
        <f aca="false">IF(F194="Present",9,IF(F194="Half Day",4,0))</f>
        <v>9</v>
      </c>
      <c r="J194" s="2"/>
      <c r="K194" s="2"/>
    </row>
    <row r="195" customFormat="false" ht="15" hidden="false" customHeight="false" outlineLevel="0" collapsed="false">
      <c r="A195" s="2" t="s">
        <v>43</v>
      </c>
      <c r="B195" s="2" t="s">
        <v>44</v>
      </c>
      <c r="C195" s="2" t="s">
        <v>45</v>
      </c>
      <c r="D195" s="3" t="n">
        <v>46242</v>
      </c>
      <c r="E195" s="2" t="str">
        <f aca="false">TEXT(D195,"dddd")</f>
        <v>Saturday</v>
      </c>
      <c r="F195" s="2" t="s">
        <v>457</v>
      </c>
      <c r="G195" s="2" t="s">
        <v>458</v>
      </c>
      <c r="H195" s="2" t="s">
        <v>459</v>
      </c>
      <c r="I195" s="2" t="n">
        <f aca="false">IF(F195="Present",9,IF(F195="Half Day",4,0))</f>
        <v>9</v>
      </c>
      <c r="J195" s="2"/>
      <c r="K195" s="2"/>
    </row>
    <row r="196" customFormat="false" ht="15" hidden="false" customHeight="false" outlineLevel="0" collapsed="false">
      <c r="A196" s="2" t="s">
        <v>43</v>
      </c>
      <c r="B196" s="2" t="s">
        <v>44</v>
      </c>
      <c r="C196" s="2" t="s">
        <v>45</v>
      </c>
      <c r="D196" s="3" t="n">
        <v>46243</v>
      </c>
      <c r="E196" s="2" t="str">
        <f aca="false">TEXT(D196,"dddd")</f>
        <v>Sunday</v>
      </c>
      <c r="F196" s="2" t="s">
        <v>460</v>
      </c>
      <c r="G196" s="2"/>
      <c r="H196" s="2"/>
      <c r="I196" s="2" t="n">
        <f aca="false">IF(F196="Present",9,IF(F196="Half Day",4,0))</f>
        <v>0</v>
      </c>
      <c r="J196" s="2"/>
      <c r="K196" s="2" t="s">
        <v>460</v>
      </c>
    </row>
    <row r="197" customFormat="false" ht="15" hidden="false" customHeight="false" outlineLevel="0" collapsed="false">
      <c r="A197" s="2" t="s">
        <v>43</v>
      </c>
      <c r="B197" s="2" t="s">
        <v>44</v>
      </c>
      <c r="C197" s="2" t="s">
        <v>45</v>
      </c>
      <c r="D197" s="3" t="n">
        <v>46244</v>
      </c>
      <c r="E197" s="2" t="str">
        <f aca="false">TEXT(D197,"dddd")</f>
        <v>Monday</v>
      </c>
      <c r="F197" s="2" t="s">
        <v>457</v>
      </c>
      <c r="G197" s="2" t="s">
        <v>458</v>
      </c>
      <c r="H197" s="2" t="s">
        <v>459</v>
      </c>
      <c r="I197" s="2" t="n">
        <f aca="false">IF(F197="Present",9,IF(F197="Half Day",4,0))</f>
        <v>9</v>
      </c>
      <c r="J197" s="2"/>
      <c r="K197" s="2"/>
    </row>
    <row r="198" customFormat="false" ht="15" hidden="false" customHeight="false" outlineLevel="0" collapsed="false">
      <c r="A198" s="2" t="s">
        <v>43</v>
      </c>
      <c r="B198" s="2" t="s">
        <v>44</v>
      </c>
      <c r="C198" s="2" t="s">
        <v>45</v>
      </c>
      <c r="D198" s="3" t="n">
        <v>46245</v>
      </c>
      <c r="E198" s="2" t="str">
        <f aca="false">TEXT(D198,"dddd")</f>
        <v>Tuesday</v>
      </c>
      <c r="F198" s="2" t="s">
        <v>457</v>
      </c>
      <c r="G198" s="2" t="s">
        <v>458</v>
      </c>
      <c r="H198" s="2" t="s">
        <v>459</v>
      </c>
      <c r="I198" s="2" t="n">
        <f aca="false">IF(F198="Present",9,IF(F198="Half Day",4,0))</f>
        <v>9</v>
      </c>
      <c r="J198" s="2"/>
      <c r="K198" s="2"/>
    </row>
    <row r="199" customFormat="false" ht="15" hidden="false" customHeight="false" outlineLevel="0" collapsed="false">
      <c r="A199" s="2" t="s">
        <v>43</v>
      </c>
      <c r="B199" s="2" t="s">
        <v>44</v>
      </c>
      <c r="C199" s="2" t="s">
        <v>45</v>
      </c>
      <c r="D199" s="3" t="n">
        <v>46246</v>
      </c>
      <c r="E199" s="2" t="str">
        <f aca="false">TEXT(D199,"dddd")</f>
        <v>Wednesday</v>
      </c>
      <c r="F199" s="2" t="s">
        <v>457</v>
      </c>
      <c r="G199" s="2" t="s">
        <v>458</v>
      </c>
      <c r="H199" s="2" t="s">
        <v>459</v>
      </c>
      <c r="I199" s="2" t="n">
        <f aca="false">IF(F199="Present",9,IF(F199="Half Day",4,0))</f>
        <v>9</v>
      </c>
      <c r="J199" s="2"/>
      <c r="K199" s="2"/>
    </row>
    <row r="200" customFormat="false" ht="15" hidden="false" customHeight="false" outlineLevel="0" collapsed="false">
      <c r="A200" s="2" t="s">
        <v>43</v>
      </c>
      <c r="B200" s="2" t="s">
        <v>44</v>
      </c>
      <c r="C200" s="2" t="s">
        <v>45</v>
      </c>
      <c r="D200" s="3" t="n">
        <v>46247</v>
      </c>
      <c r="E200" s="2" t="str">
        <f aca="false">TEXT(D200,"dddd")</f>
        <v>Thursday</v>
      </c>
      <c r="F200" s="2" t="s">
        <v>457</v>
      </c>
      <c r="G200" s="2" t="s">
        <v>458</v>
      </c>
      <c r="H200" s="2" t="s">
        <v>459</v>
      </c>
      <c r="I200" s="2" t="n">
        <f aca="false">IF(F200="Present",9,IF(F200="Half Day",4,0))</f>
        <v>9</v>
      </c>
      <c r="J200" s="2"/>
      <c r="K200" s="2"/>
    </row>
    <row r="201" customFormat="false" ht="15" hidden="false" customHeight="false" outlineLevel="0" collapsed="false">
      <c r="A201" s="2" t="s">
        <v>43</v>
      </c>
      <c r="B201" s="2" t="s">
        <v>44</v>
      </c>
      <c r="C201" s="2" t="s">
        <v>45</v>
      </c>
      <c r="D201" s="3" t="n">
        <v>46248</v>
      </c>
      <c r="E201" s="2" t="str">
        <f aca="false">TEXT(D201,"dddd")</f>
        <v>Friday</v>
      </c>
      <c r="F201" s="2" t="s">
        <v>457</v>
      </c>
      <c r="G201" s="2" t="s">
        <v>458</v>
      </c>
      <c r="H201" s="2" t="s">
        <v>459</v>
      </c>
      <c r="I201" s="2" t="n">
        <f aca="false">IF(F201="Present",9,IF(F201="Half Day",4,0))</f>
        <v>9</v>
      </c>
      <c r="J201" s="2"/>
      <c r="K201" s="2"/>
    </row>
    <row r="202" customFormat="false" ht="15" hidden="false" customHeight="false" outlineLevel="0" collapsed="false">
      <c r="A202" s="2" t="s">
        <v>43</v>
      </c>
      <c r="B202" s="2" t="s">
        <v>44</v>
      </c>
      <c r="C202" s="2" t="s">
        <v>45</v>
      </c>
      <c r="D202" s="3" t="n">
        <v>46249</v>
      </c>
      <c r="E202" s="2" t="str">
        <f aca="false">TEXT(D202,"dddd")</f>
        <v>Saturday</v>
      </c>
      <c r="F202" s="2" t="s">
        <v>457</v>
      </c>
      <c r="G202" s="2" t="s">
        <v>458</v>
      </c>
      <c r="H202" s="2" t="s">
        <v>459</v>
      </c>
      <c r="I202" s="2" t="n">
        <f aca="false">IF(F202="Present",9,IF(F202="Half Day",4,0))</f>
        <v>9</v>
      </c>
      <c r="J202" s="2"/>
      <c r="K202" s="2"/>
    </row>
    <row r="203" customFormat="false" ht="15" hidden="false" customHeight="false" outlineLevel="0" collapsed="false">
      <c r="A203" s="2" t="s">
        <v>43</v>
      </c>
      <c r="B203" s="2" t="s">
        <v>44</v>
      </c>
      <c r="C203" s="2" t="s">
        <v>45</v>
      </c>
      <c r="D203" s="3" t="n">
        <v>46250</v>
      </c>
      <c r="E203" s="2" t="str">
        <f aca="false">TEXT(D203,"dddd")</f>
        <v>Sunday</v>
      </c>
      <c r="F203" s="2" t="s">
        <v>460</v>
      </c>
      <c r="G203" s="2"/>
      <c r="H203" s="2"/>
      <c r="I203" s="2" t="n">
        <f aca="false">IF(F203="Present",9,IF(F203="Half Day",4,0))</f>
        <v>0</v>
      </c>
      <c r="J203" s="2"/>
      <c r="K203" s="2" t="s">
        <v>460</v>
      </c>
    </row>
    <row r="204" customFormat="false" ht="15" hidden="false" customHeight="false" outlineLevel="0" collapsed="false">
      <c r="A204" s="2" t="s">
        <v>43</v>
      </c>
      <c r="B204" s="2" t="s">
        <v>44</v>
      </c>
      <c r="C204" s="2" t="s">
        <v>45</v>
      </c>
      <c r="D204" s="3" t="n">
        <v>46251</v>
      </c>
      <c r="E204" s="2" t="str">
        <f aca="false">TEXT(D204,"dddd")</f>
        <v>Monday</v>
      </c>
      <c r="F204" s="2" t="s">
        <v>457</v>
      </c>
      <c r="G204" s="2" t="s">
        <v>458</v>
      </c>
      <c r="H204" s="2" t="s">
        <v>459</v>
      </c>
      <c r="I204" s="2" t="n">
        <f aca="false">IF(F204="Present",9,IF(F204="Half Day",4,0))</f>
        <v>9</v>
      </c>
      <c r="J204" s="2"/>
      <c r="K204" s="2"/>
    </row>
    <row r="205" customFormat="false" ht="15" hidden="false" customHeight="false" outlineLevel="0" collapsed="false">
      <c r="A205" s="2" t="s">
        <v>43</v>
      </c>
      <c r="B205" s="2" t="s">
        <v>44</v>
      </c>
      <c r="C205" s="2" t="s">
        <v>45</v>
      </c>
      <c r="D205" s="3" t="n">
        <v>46252</v>
      </c>
      <c r="E205" s="2" t="str">
        <f aca="false">TEXT(D205,"dddd")</f>
        <v>Tuesday</v>
      </c>
      <c r="F205" s="2" t="s">
        <v>457</v>
      </c>
      <c r="G205" s="2" t="s">
        <v>458</v>
      </c>
      <c r="H205" s="2" t="s">
        <v>459</v>
      </c>
      <c r="I205" s="2" t="n">
        <f aca="false">IF(F205="Present",9,IF(F205="Half Day",4,0))</f>
        <v>9</v>
      </c>
      <c r="J205" s="2"/>
      <c r="K205" s="2"/>
    </row>
    <row r="206" customFormat="false" ht="15" hidden="false" customHeight="false" outlineLevel="0" collapsed="false">
      <c r="A206" s="2" t="s">
        <v>43</v>
      </c>
      <c r="B206" s="2" t="s">
        <v>44</v>
      </c>
      <c r="C206" s="2" t="s">
        <v>45</v>
      </c>
      <c r="D206" s="3" t="n">
        <v>46253</v>
      </c>
      <c r="E206" s="2" t="str">
        <f aca="false">TEXT(D206,"dddd")</f>
        <v>Wednesday</v>
      </c>
      <c r="F206" s="2" t="s">
        <v>457</v>
      </c>
      <c r="G206" s="2" t="s">
        <v>458</v>
      </c>
      <c r="H206" s="2" t="s">
        <v>459</v>
      </c>
      <c r="I206" s="2" t="n">
        <f aca="false">IF(F206="Present",9,IF(F206="Half Day",4,0))</f>
        <v>9</v>
      </c>
      <c r="J206" s="2"/>
      <c r="K206" s="2"/>
    </row>
    <row r="207" customFormat="false" ht="15" hidden="false" customHeight="false" outlineLevel="0" collapsed="false">
      <c r="A207" s="2" t="s">
        <v>43</v>
      </c>
      <c r="B207" s="2" t="s">
        <v>44</v>
      </c>
      <c r="C207" s="2" t="s">
        <v>45</v>
      </c>
      <c r="D207" s="3" t="n">
        <v>46254</v>
      </c>
      <c r="E207" s="2" t="str">
        <f aca="false">TEXT(D207,"dddd")</f>
        <v>Thursday</v>
      </c>
      <c r="F207" s="2" t="s">
        <v>457</v>
      </c>
      <c r="G207" s="2" t="s">
        <v>458</v>
      </c>
      <c r="H207" s="2" t="s">
        <v>459</v>
      </c>
      <c r="I207" s="2" t="n">
        <f aca="false">IF(F207="Present",9,IF(F207="Half Day",4,0))</f>
        <v>9</v>
      </c>
      <c r="J207" s="2"/>
      <c r="K207" s="2"/>
    </row>
    <row r="208" customFormat="false" ht="15" hidden="false" customHeight="false" outlineLevel="0" collapsed="false">
      <c r="A208" s="2" t="s">
        <v>43</v>
      </c>
      <c r="B208" s="2" t="s">
        <v>44</v>
      </c>
      <c r="C208" s="2" t="s">
        <v>45</v>
      </c>
      <c r="D208" s="3" t="n">
        <v>46255</v>
      </c>
      <c r="E208" s="2" t="str">
        <f aca="false">TEXT(D208,"dddd")</f>
        <v>Friday</v>
      </c>
      <c r="F208" s="2" t="s">
        <v>457</v>
      </c>
      <c r="G208" s="2" t="s">
        <v>458</v>
      </c>
      <c r="H208" s="2" t="s">
        <v>459</v>
      </c>
      <c r="I208" s="2" t="n">
        <f aca="false">IF(F208="Present",9,IF(F208="Half Day",4,0))</f>
        <v>9</v>
      </c>
      <c r="J208" s="2"/>
      <c r="K208" s="2"/>
    </row>
    <row r="209" customFormat="false" ht="15" hidden="false" customHeight="false" outlineLevel="0" collapsed="false">
      <c r="A209" s="2" t="s">
        <v>43</v>
      </c>
      <c r="B209" s="2" t="s">
        <v>44</v>
      </c>
      <c r="C209" s="2" t="s">
        <v>45</v>
      </c>
      <c r="D209" s="3" t="n">
        <v>46256</v>
      </c>
      <c r="E209" s="2" t="str">
        <f aca="false">TEXT(D209,"dddd")</f>
        <v>Saturday</v>
      </c>
      <c r="F209" s="2" t="s">
        <v>457</v>
      </c>
      <c r="G209" s="2" t="s">
        <v>458</v>
      </c>
      <c r="H209" s="2" t="s">
        <v>459</v>
      </c>
      <c r="I209" s="2" t="n">
        <f aca="false">IF(F209="Present",9,IF(F209="Half Day",4,0))</f>
        <v>9</v>
      </c>
      <c r="J209" s="2"/>
      <c r="K209" s="2"/>
    </row>
    <row r="210" customFormat="false" ht="15" hidden="false" customHeight="false" outlineLevel="0" collapsed="false">
      <c r="A210" s="2" t="s">
        <v>43</v>
      </c>
      <c r="B210" s="2" t="s">
        <v>44</v>
      </c>
      <c r="C210" s="2" t="s">
        <v>45</v>
      </c>
      <c r="D210" s="3" t="n">
        <v>46257</v>
      </c>
      <c r="E210" s="2" t="str">
        <f aca="false">TEXT(D210,"dddd")</f>
        <v>Sunday</v>
      </c>
      <c r="F210" s="2" t="s">
        <v>460</v>
      </c>
      <c r="G210" s="2"/>
      <c r="H210" s="2"/>
      <c r="I210" s="2" t="n">
        <f aca="false">IF(F210="Present",9,IF(F210="Half Day",4,0))</f>
        <v>0</v>
      </c>
      <c r="J210" s="2"/>
      <c r="K210" s="2" t="s">
        <v>460</v>
      </c>
    </row>
    <row r="211" customFormat="false" ht="15" hidden="false" customHeight="false" outlineLevel="0" collapsed="false">
      <c r="A211" s="2" t="s">
        <v>43</v>
      </c>
      <c r="B211" s="2" t="s">
        <v>44</v>
      </c>
      <c r="C211" s="2" t="s">
        <v>45</v>
      </c>
      <c r="D211" s="3" t="n">
        <v>46258</v>
      </c>
      <c r="E211" s="2" t="str">
        <f aca="false">TEXT(D211,"dddd")</f>
        <v>Monday</v>
      </c>
      <c r="F211" s="2" t="s">
        <v>457</v>
      </c>
      <c r="G211" s="2" t="s">
        <v>458</v>
      </c>
      <c r="H211" s="2" t="s">
        <v>459</v>
      </c>
      <c r="I211" s="2" t="n">
        <f aca="false">IF(F211="Present",9,IF(F211="Half Day",4,0))</f>
        <v>9</v>
      </c>
      <c r="J211" s="2"/>
      <c r="K211" s="2"/>
    </row>
    <row r="212" customFormat="false" ht="15" hidden="false" customHeight="false" outlineLevel="0" collapsed="false">
      <c r="A212" s="2" t="s">
        <v>43</v>
      </c>
      <c r="B212" s="2" t="s">
        <v>44</v>
      </c>
      <c r="C212" s="2" t="s">
        <v>45</v>
      </c>
      <c r="D212" s="3" t="n">
        <v>46259</v>
      </c>
      <c r="E212" s="2" t="str">
        <f aca="false">TEXT(D212,"dddd")</f>
        <v>Tuesday</v>
      </c>
      <c r="F212" s="2" t="s">
        <v>457</v>
      </c>
      <c r="G212" s="2" t="s">
        <v>458</v>
      </c>
      <c r="H212" s="2" t="s">
        <v>459</v>
      </c>
      <c r="I212" s="2" t="n">
        <f aca="false">IF(F212="Present",9,IF(F212="Half Day",4,0))</f>
        <v>9</v>
      </c>
      <c r="J212" s="2"/>
      <c r="K212" s="2"/>
    </row>
    <row r="213" customFormat="false" ht="15" hidden="false" customHeight="false" outlineLevel="0" collapsed="false">
      <c r="A213" s="2" t="s">
        <v>43</v>
      </c>
      <c r="B213" s="2" t="s">
        <v>44</v>
      </c>
      <c r="C213" s="2" t="s">
        <v>45</v>
      </c>
      <c r="D213" s="3" t="n">
        <v>46260</v>
      </c>
      <c r="E213" s="2" t="str">
        <f aca="false">TEXT(D213,"dddd")</f>
        <v>Wednesday</v>
      </c>
      <c r="F213" s="2" t="s">
        <v>457</v>
      </c>
      <c r="G213" s="2" t="s">
        <v>458</v>
      </c>
      <c r="H213" s="2" t="s">
        <v>459</v>
      </c>
      <c r="I213" s="2" t="n">
        <f aca="false">IF(F213="Present",9,IF(F213="Half Day",4,0))</f>
        <v>9</v>
      </c>
      <c r="J213" s="2"/>
      <c r="K213" s="2"/>
    </row>
    <row r="214" customFormat="false" ht="15" hidden="false" customHeight="false" outlineLevel="0" collapsed="false">
      <c r="A214" s="2" t="s">
        <v>43</v>
      </c>
      <c r="B214" s="2" t="s">
        <v>44</v>
      </c>
      <c r="C214" s="2" t="s">
        <v>45</v>
      </c>
      <c r="D214" s="3" t="n">
        <v>46261</v>
      </c>
      <c r="E214" s="2" t="str">
        <f aca="false">TEXT(D214,"dddd")</f>
        <v>Thursday</v>
      </c>
      <c r="F214" s="2" t="s">
        <v>457</v>
      </c>
      <c r="G214" s="2" t="s">
        <v>458</v>
      </c>
      <c r="H214" s="2" t="s">
        <v>459</v>
      </c>
      <c r="I214" s="2" t="n">
        <f aca="false">IF(F214="Present",9,IF(F214="Half Day",4,0))</f>
        <v>9</v>
      </c>
      <c r="J214" s="2"/>
      <c r="K214" s="2"/>
    </row>
    <row r="215" customFormat="false" ht="15" hidden="false" customHeight="false" outlineLevel="0" collapsed="false">
      <c r="A215" s="2" t="s">
        <v>43</v>
      </c>
      <c r="B215" s="2" t="s">
        <v>44</v>
      </c>
      <c r="C215" s="2" t="s">
        <v>45</v>
      </c>
      <c r="D215" s="3" t="n">
        <v>46262</v>
      </c>
      <c r="E215" s="2" t="str">
        <f aca="false">TEXT(D215,"dddd")</f>
        <v>Friday</v>
      </c>
      <c r="F215" s="2" t="s">
        <v>457</v>
      </c>
      <c r="G215" s="2" t="s">
        <v>458</v>
      </c>
      <c r="H215" s="2" t="s">
        <v>459</v>
      </c>
      <c r="I215" s="2" t="n">
        <f aca="false">IF(F215="Present",9,IF(F215="Half Day",4,0))</f>
        <v>9</v>
      </c>
      <c r="J215" s="2"/>
      <c r="K215" s="2"/>
    </row>
    <row r="216" customFormat="false" ht="15" hidden="false" customHeight="false" outlineLevel="0" collapsed="false">
      <c r="A216" s="2" t="s">
        <v>43</v>
      </c>
      <c r="B216" s="2" t="s">
        <v>44</v>
      </c>
      <c r="C216" s="2" t="s">
        <v>45</v>
      </c>
      <c r="D216" s="3" t="n">
        <v>46263</v>
      </c>
      <c r="E216" s="2" t="str">
        <f aca="false">TEXT(D216,"dddd")</f>
        <v>Saturday</v>
      </c>
      <c r="F216" s="2" t="s">
        <v>457</v>
      </c>
      <c r="G216" s="2" t="s">
        <v>458</v>
      </c>
      <c r="H216" s="2" t="s">
        <v>459</v>
      </c>
      <c r="I216" s="2" t="n">
        <f aca="false">IF(F216="Present",9,IF(F216="Half Day",4,0))</f>
        <v>9</v>
      </c>
      <c r="J216" s="2"/>
      <c r="K216" s="2"/>
    </row>
    <row r="217" customFormat="false" ht="15" hidden="false" customHeight="false" outlineLevel="0" collapsed="false">
      <c r="A217" s="2" t="s">
        <v>43</v>
      </c>
      <c r="B217" s="2" t="s">
        <v>44</v>
      </c>
      <c r="C217" s="2" t="s">
        <v>45</v>
      </c>
      <c r="D217" s="3" t="n">
        <v>46264</v>
      </c>
      <c r="E217" s="2" t="str">
        <f aca="false">TEXT(D217,"dddd")</f>
        <v>Sunday</v>
      </c>
      <c r="F217" s="2" t="s">
        <v>460</v>
      </c>
      <c r="G217" s="2"/>
      <c r="H217" s="2"/>
      <c r="I217" s="2" t="n">
        <f aca="false">IF(F217="Present",9,IF(F217="Half Day",4,0))</f>
        <v>0</v>
      </c>
      <c r="J217" s="2"/>
      <c r="K217" s="2" t="s">
        <v>460</v>
      </c>
    </row>
    <row r="218" customFormat="false" ht="15" hidden="false" customHeight="false" outlineLevel="0" collapsed="false">
      <c r="A218" s="2" t="s">
        <v>43</v>
      </c>
      <c r="B218" s="2" t="s">
        <v>44</v>
      </c>
      <c r="C218" s="2" t="s">
        <v>45</v>
      </c>
      <c r="D218" s="3" t="n">
        <v>46265</v>
      </c>
      <c r="E218" s="2" t="str">
        <f aca="false">TEXT(D218,"dddd")</f>
        <v>Monday</v>
      </c>
      <c r="F218" s="2" t="s">
        <v>457</v>
      </c>
      <c r="G218" s="2" t="s">
        <v>458</v>
      </c>
      <c r="H218" s="2" t="s">
        <v>459</v>
      </c>
      <c r="I218" s="2" t="n">
        <f aca="false">IF(F218="Present",9,IF(F218="Half Day",4,0))</f>
        <v>9</v>
      </c>
      <c r="J218" s="2"/>
      <c r="K218" s="2"/>
    </row>
    <row r="219" customFormat="false" ht="15" hidden="false" customHeight="false" outlineLevel="0" collapsed="false">
      <c r="A219" s="2" t="s">
        <v>47</v>
      </c>
      <c r="B219" s="2" t="s">
        <v>48</v>
      </c>
      <c r="C219" s="2" t="s">
        <v>49</v>
      </c>
      <c r="D219" s="3" t="n">
        <v>46235</v>
      </c>
      <c r="E219" s="2" t="str">
        <f aca="false">TEXT(D219,"dddd")</f>
        <v>Saturday</v>
      </c>
      <c r="F219" s="2" t="s">
        <v>457</v>
      </c>
      <c r="G219" s="2" t="s">
        <v>458</v>
      </c>
      <c r="H219" s="2" t="s">
        <v>459</v>
      </c>
      <c r="I219" s="2" t="n">
        <f aca="false">IF(F219="Present",9,IF(F219="Half Day",4,0))</f>
        <v>9</v>
      </c>
      <c r="J219" s="2"/>
      <c r="K219" s="2"/>
    </row>
    <row r="220" customFormat="false" ht="15" hidden="false" customHeight="false" outlineLevel="0" collapsed="false">
      <c r="A220" s="2" t="s">
        <v>47</v>
      </c>
      <c r="B220" s="2" t="s">
        <v>48</v>
      </c>
      <c r="C220" s="2" t="s">
        <v>49</v>
      </c>
      <c r="D220" s="3" t="n">
        <v>46236</v>
      </c>
      <c r="E220" s="2" t="str">
        <f aca="false">TEXT(D220,"dddd")</f>
        <v>Sunday</v>
      </c>
      <c r="F220" s="2" t="s">
        <v>460</v>
      </c>
      <c r="G220" s="2"/>
      <c r="H220" s="2"/>
      <c r="I220" s="2" t="n">
        <f aca="false">IF(F220="Present",9,IF(F220="Half Day",4,0))</f>
        <v>0</v>
      </c>
      <c r="J220" s="2"/>
      <c r="K220" s="2" t="s">
        <v>460</v>
      </c>
    </row>
    <row r="221" customFormat="false" ht="15" hidden="false" customHeight="false" outlineLevel="0" collapsed="false">
      <c r="A221" s="2" t="s">
        <v>47</v>
      </c>
      <c r="B221" s="2" t="s">
        <v>48</v>
      </c>
      <c r="C221" s="2" t="s">
        <v>49</v>
      </c>
      <c r="D221" s="3" t="n">
        <v>46237</v>
      </c>
      <c r="E221" s="2" t="str">
        <f aca="false">TEXT(D221,"dddd")</f>
        <v>Monday</v>
      </c>
      <c r="F221" s="2" t="s">
        <v>457</v>
      </c>
      <c r="G221" s="2" t="s">
        <v>458</v>
      </c>
      <c r="H221" s="2" t="s">
        <v>459</v>
      </c>
      <c r="I221" s="2" t="n">
        <f aca="false">IF(F221="Present",9,IF(F221="Half Day",4,0))</f>
        <v>9</v>
      </c>
      <c r="J221" s="2"/>
      <c r="K221" s="2"/>
    </row>
    <row r="222" customFormat="false" ht="15" hidden="false" customHeight="false" outlineLevel="0" collapsed="false">
      <c r="A222" s="2" t="s">
        <v>47</v>
      </c>
      <c r="B222" s="2" t="s">
        <v>48</v>
      </c>
      <c r="C222" s="2" t="s">
        <v>49</v>
      </c>
      <c r="D222" s="3" t="n">
        <v>46238</v>
      </c>
      <c r="E222" s="2" t="str">
        <f aca="false">TEXT(D222,"dddd")</f>
        <v>Tuesday</v>
      </c>
      <c r="F222" s="2" t="s">
        <v>457</v>
      </c>
      <c r="G222" s="2" t="s">
        <v>458</v>
      </c>
      <c r="H222" s="2" t="s">
        <v>459</v>
      </c>
      <c r="I222" s="2" t="n">
        <f aca="false">IF(F222="Present",9,IF(F222="Half Day",4,0))</f>
        <v>9</v>
      </c>
      <c r="J222" s="2"/>
      <c r="K222" s="2"/>
    </row>
    <row r="223" customFormat="false" ht="15" hidden="false" customHeight="false" outlineLevel="0" collapsed="false">
      <c r="A223" s="2" t="s">
        <v>47</v>
      </c>
      <c r="B223" s="2" t="s">
        <v>48</v>
      </c>
      <c r="C223" s="2" t="s">
        <v>49</v>
      </c>
      <c r="D223" s="3" t="n">
        <v>46239</v>
      </c>
      <c r="E223" s="2" t="str">
        <f aca="false">TEXT(D223,"dddd")</f>
        <v>Wednesday</v>
      </c>
      <c r="F223" s="2" t="s">
        <v>457</v>
      </c>
      <c r="G223" s="2" t="s">
        <v>458</v>
      </c>
      <c r="H223" s="2" t="s">
        <v>459</v>
      </c>
      <c r="I223" s="2" t="n">
        <f aca="false">IF(F223="Present",9,IF(F223="Half Day",4,0))</f>
        <v>9</v>
      </c>
      <c r="J223" s="2"/>
      <c r="K223" s="2"/>
    </row>
    <row r="224" customFormat="false" ht="15" hidden="false" customHeight="false" outlineLevel="0" collapsed="false">
      <c r="A224" s="2" t="s">
        <v>47</v>
      </c>
      <c r="B224" s="2" t="s">
        <v>48</v>
      </c>
      <c r="C224" s="2" t="s">
        <v>49</v>
      </c>
      <c r="D224" s="3" t="n">
        <v>46240</v>
      </c>
      <c r="E224" s="2" t="str">
        <f aca="false">TEXT(D224,"dddd")</f>
        <v>Thursday</v>
      </c>
      <c r="F224" s="2" t="s">
        <v>457</v>
      </c>
      <c r="G224" s="2" t="s">
        <v>458</v>
      </c>
      <c r="H224" s="2" t="s">
        <v>459</v>
      </c>
      <c r="I224" s="2" t="n">
        <f aca="false">IF(F224="Present",9,IF(F224="Half Day",4,0))</f>
        <v>9</v>
      </c>
      <c r="J224" s="2"/>
      <c r="K224" s="2"/>
    </row>
    <row r="225" customFormat="false" ht="15" hidden="false" customHeight="false" outlineLevel="0" collapsed="false">
      <c r="A225" s="2" t="s">
        <v>47</v>
      </c>
      <c r="B225" s="2" t="s">
        <v>48</v>
      </c>
      <c r="C225" s="2" t="s">
        <v>49</v>
      </c>
      <c r="D225" s="3" t="n">
        <v>46241</v>
      </c>
      <c r="E225" s="2" t="str">
        <f aca="false">TEXT(D225,"dddd")</f>
        <v>Friday</v>
      </c>
      <c r="F225" s="2" t="s">
        <v>457</v>
      </c>
      <c r="G225" s="2" t="s">
        <v>458</v>
      </c>
      <c r="H225" s="2" t="s">
        <v>459</v>
      </c>
      <c r="I225" s="2" t="n">
        <f aca="false">IF(F225="Present",9,IF(F225="Half Day",4,0))</f>
        <v>9</v>
      </c>
      <c r="J225" s="2"/>
      <c r="K225" s="2"/>
    </row>
    <row r="226" customFormat="false" ht="15" hidden="false" customHeight="false" outlineLevel="0" collapsed="false">
      <c r="A226" s="2" t="s">
        <v>47</v>
      </c>
      <c r="B226" s="2" t="s">
        <v>48</v>
      </c>
      <c r="C226" s="2" t="s">
        <v>49</v>
      </c>
      <c r="D226" s="3" t="n">
        <v>46242</v>
      </c>
      <c r="E226" s="2" t="str">
        <f aca="false">TEXT(D226,"dddd")</f>
        <v>Saturday</v>
      </c>
      <c r="F226" s="2" t="s">
        <v>457</v>
      </c>
      <c r="G226" s="2" t="s">
        <v>458</v>
      </c>
      <c r="H226" s="2" t="s">
        <v>459</v>
      </c>
      <c r="I226" s="2" t="n">
        <f aca="false">IF(F226="Present",9,IF(F226="Half Day",4,0))</f>
        <v>9</v>
      </c>
      <c r="J226" s="2"/>
      <c r="K226" s="2"/>
    </row>
    <row r="227" customFormat="false" ht="15" hidden="false" customHeight="false" outlineLevel="0" collapsed="false">
      <c r="A227" s="2" t="s">
        <v>47</v>
      </c>
      <c r="B227" s="2" t="s">
        <v>48</v>
      </c>
      <c r="C227" s="2" t="s">
        <v>49</v>
      </c>
      <c r="D227" s="3" t="n">
        <v>46243</v>
      </c>
      <c r="E227" s="2" t="str">
        <f aca="false">TEXT(D227,"dddd")</f>
        <v>Sunday</v>
      </c>
      <c r="F227" s="2" t="s">
        <v>460</v>
      </c>
      <c r="G227" s="2"/>
      <c r="H227" s="2"/>
      <c r="I227" s="2" t="n">
        <f aca="false">IF(F227="Present",9,IF(F227="Half Day",4,0))</f>
        <v>0</v>
      </c>
      <c r="J227" s="2"/>
      <c r="K227" s="2" t="s">
        <v>460</v>
      </c>
    </row>
    <row r="228" customFormat="false" ht="15" hidden="false" customHeight="false" outlineLevel="0" collapsed="false">
      <c r="A228" s="2" t="s">
        <v>47</v>
      </c>
      <c r="B228" s="2" t="s">
        <v>48</v>
      </c>
      <c r="C228" s="2" t="s">
        <v>49</v>
      </c>
      <c r="D228" s="3" t="n">
        <v>46244</v>
      </c>
      <c r="E228" s="2" t="str">
        <f aca="false">TEXT(D228,"dddd")</f>
        <v>Monday</v>
      </c>
      <c r="F228" s="2" t="s">
        <v>457</v>
      </c>
      <c r="G228" s="2" t="s">
        <v>458</v>
      </c>
      <c r="H228" s="2" t="s">
        <v>459</v>
      </c>
      <c r="I228" s="2" t="n">
        <f aca="false">IF(F228="Present",9,IF(F228="Half Day",4,0))</f>
        <v>9</v>
      </c>
      <c r="J228" s="2"/>
      <c r="K228" s="2"/>
    </row>
    <row r="229" customFormat="false" ht="15" hidden="false" customHeight="false" outlineLevel="0" collapsed="false">
      <c r="A229" s="2" t="s">
        <v>47</v>
      </c>
      <c r="B229" s="2" t="s">
        <v>48</v>
      </c>
      <c r="C229" s="2" t="s">
        <v>49</v>
      </c>
      <c r="D229" s="3" t="n">
        <v>46245</v>
      </c>
      <c r="E229" s="2" t="str">
        <f aca="false">TEXT(D229,"dddd")</f>
        <v>Tuesday</v>
      </c>
      <c r="F229" s="2" t="s">
        <v>457</v>
      </c>
      <c r="G229" s="2" t="s">
        <v>458</v>
      </c>
      <c r="H229" s="2" t="s">
        <v>459</v>
      </c>
      <c r="I229" s="2" t="n">
        <f aca="false">IF(F229="Present",9,IF(F229="Half Day",4,0))</f>
        <v>9</v>
      </c>
      <c r="J229" s="2"/>
      <c r="K229" s="2"/>
    </row>
    <row r="230" customFormat="false" ht="15" hidden="false" customHeight="false" outlineLevel="0" collapsed="false">
      <c r="A230" s="2" t="s">
        <v>47</v>
      </c>
      <c r="B230" s="2" t="s">
        <v>48</v>
      </c>
      <c r="C230" s="2" t="s">
        <v>49</v>
      </c>
      <c r="D230" s="3" t="n">
        <v>46246</v>
      </c>
      <c r="E230" s="2" t="str">
        <f aca="false">TEXT(D230,"dddd")</f>
        <v>Wednesday</v>
      </c>
      <c r="F230" s="2" t="s">
        <v>457</v>
      </c>
      <c r="G230" s="2" t="s">
        <v>458</v>
      </c>
      <c r="H230" s="2" t="s">
        <v>459</v>
      </c>
      <c r="I230" s="2" t="n">
        <f aca="false">IF(F230="Present",9,IF(F230="Half Day",4,0))</f>
        <v>9</v>
      </c>
      <c r="J230" s="2"/>
      <c r="K230" s="2"/>
    </row>
    <row r="231" customFormat="false" ht="15" hidden="false" customHeight="false" outlineLevel="0" collapsed="false">
      <c r="A231" s="2" t="s">
        <v>47</v>
      </c>
      <c r="B231" s="2" t="s">
        <v>48</v>
      </c>
      <c r="C231" s="2" t="s">
        <v>49</v>
      </c>
      <c r="D231" s="3" t="n">
        <v>46247</v>
      </c>
      <c r="E231" s="2" t="str">
        <f aca="false">TEXT(D231,"dddd")</f>
        <v>Thursday</v>
      </c>
      <c r="F231" s="2" t="s">
        <v>457</v>
      </c>
      <c r="G231" s="2" t="s">
        <v>458</v>
      </c>
      <c r="H231" s="2" t="s">
        <v>459</v>
      </c>
      <c r="I231" s="2" t="n">
        <f aca="false">IF(F231="Present",9,IF(F231="Half Day",4,0))</f>
        <v>9</v>
      </c>
      <c r="J231" s="2"/>
      <c r="K231" s="2"/>
    </row>
    <row r="232" customFormat="false" ht="15" hidden="false" customHeight="false" outlineLevel="0" collapsed="false">
      <c r="A232" s="2" t="s">
        <v>47</v>
      </c>
      <c r="B232" s="2" t="s">
        <v>48</v>
      </c>
      <c r="C232" s="2" t="s">
        <v>49</v>
      </c>
      <c r="D232" s="3" t="n">
        <v>46248</v>
      </c>
      <c r="E232" s="2" t="str">
        <f aca="false">TEXT(D232,"dddd")</f>
        <v>Friday</v>
      </c>
      <c r="F232" s="2" t="s">
        <v>457</v>
      </c>
      <c r="G232" s="2" t="s">
        <v>458</v>
      </c>
      <c r="H232" s="2" t="s">
        <v>459</v>
      </c>
      <c r="I232" s="2" t="n">
        <f aca="false">IF(F232="Present",9,IF(F232="Half Day",4,0))</f>
        <v>9</v>
      </c>
      <c r="J232" s="2"/>
      <c r="K232" s="2"/>
    </row>
    <row r="233" customFormat="false" ht="15" hidden="false" customHeight="false" outlineLevel="0" collapsed="false">
      <c r="A233" s="2" t="s">
        <v>47</v>
      </c>
      <c r="B233" s="2" t="s">
        <v>48</v>
      </c>
      <c r="C233" s="2" t="s">
        <v>49</v>
      </c>
      <c r="D233" s="3" t="n">
        <v>46249</v>
      </c>
      <c r="E233" s="2" t="str">
        <f aca="false">TEXT(D233,"dddd")</f>
        <v>Saturday</v>
      </c>
      <c r="F233" s="2" t="s">
        <v>457</v>
      </c>
      <c r="G233" s="2" t="s">
        <v>458</v>
      </c>
      <c r="H233" s="2" t="s">
        <v>459</v>
      </c>
      <c r="I233" s="2" t="n">
        <f aca="false">IF(F233="Present",9,IF(F233="Half Day",4,0))</f>
        <v>9</v>
      </c>
      <c r="J233" s="2"/>
      <c r="K233" s="2"/>
    </row>
    <row r="234" customFormat="false" ht="15" hidden="false" customHeight="false" outlineLevel="0" collapsed="false">
      <c r="A234" s="2" t="s">
        <v>47</v>
      </c>
      <c r="B234" s="2" t="s">
        <v>48</v>
      </c>
      <c r="C234" s="2" t="s">
        <v>49</v>
      </c>
      <c r="D234" s="3" t="n">
        <v>46250</v>
      </c>
      <c r="E234" s="2" t="str">
        <f aca="false">TEXT(D234,"dddd")</f>
        <v>Sunday</v>
      </c>
      <c r="F234" s="2" t="s">
        <v>460</v>
      </c>
      <c r="G234" s="2"/>
      <c r="H234" s="2"/>
      <c r="I234" s="2" t="n">
        <f aca="false">IF(F234="Present",9,IF(F234="Half Day",4,0))</f>
        <v>0</v>
      </c>
      <c r="J234" s="2"/>
      <c r="K234" s="2" t="s">
        <v>460</v>
      </c>
    </row>
    <row r="235" customFormat="false" ht="15" hidden="false" customHeight="false" outlineLevel="0" collapsed="false">
      <c r="A235" s="2" t="s">
        <v>47</v>
      </c>
      <c r="B235" s="2" t="s">
        <v>48</v>
      </c>
      <c r="C235" s="2" t="s">
        <v>49</v>
      </c>
      <c r="D235" s="3" t="n">
        <v>46251</v>
      </c>
      <c r="E235" s="2" t="str">
        <f aca="false">TEXT(D235,"dddd")</f>
        <v>Monday</v>
      </c>
      <c r="F235" s="2" t="s">
        <v>457</v>
      </c>
      <c r="G235" s="2" t="s">
        <v>458</v>
      </c>
      <c r="H235" s="2" t="s">
        <v>459</v>
      </c>
      <c r="I235" s="2" t="n">
        <f aca="false">IF(F235="Present",9,IF(F235="Half Day",4,0))</f>
        <v>9</v>
      </c>
      <c r="J235" s="2"/>
      <c r="K235" s="2"/>
    </row>
    <row r="236" customFormat="false" ht="15" hidden="false" customHeight="false" outlineLevel="0" collapsed="false">
      <c r="A236" s="2" t="s">
        <v>47</v>
      </c>
      <c r="B236" s="2" t="s">
        <v>48</v>
      </c>
      <c r="C236" s="2" t="s">
        <v>49</v>
      </c>
      <c r="D236" s="3" t="n">
        <v>46252</v>
      </c>
      <c r="E236" s="2" t="str">
        <f aca="false">TEXT(D236,"dddd")</f>
        <v>Tuesday</v>
      </c>
      <c r="F236" s="2" t="s">
        <v>457</v>
      </c>
      <c r="G236" s="2" t="s">
        <v>458</v>
      </c>
      <c r="H236" s="2" t="s">
        <v>459</v>
      </c>
      <c r="I236" s="2" t="n">
        <f aca="false">IF(F236="Present",9,IF(F236="Half Day",4,0))</f>
        <v>9</v>
      </c>
      <c r="J236" s="2"/>
      <c r="K236" s="2"/>
    </row>
    <row r="237" customFormat="false" ht="15" hidden="false" customHeight="false" outlineLevel="0" collapsed="false">
      <c r="A237" s="2" t="s">
        <v>47</v>
      </c>
      <c r="B237" s="2" t="s">
        <v>48</v>
      </c>
      <c r="C237" s="2" t="s">
        <v>49</v>
      </c>
      <c r="D237" s="3" t="n">
        <v>46253</v>
      </c>
      <c r="E237" s="2" t="str">
        <f aca="false">TEXT(D237,"dddd")</f>
        <v>Wednesday</v>
      </c>
      <c r="F237" s="2" t="s">
        <v>457</v>
      </c>
      <c r="G237" s="2" t="s">
        <v>458</v>
      </c>
      <c r="H237" s="2" t="s">
        <v>459</v>
      </c>
      <c r="I237" s="2" t="n">
        <f aca="false">IF(F237="Present",9,IF(F237="Half Day",4,0))</f>
        <v>9</v>
      </c>
      <c r="J237" s="2"/>
      <c r="K237" s="2"/>
    </row>
    <row r="238" customFormat="false" ht="15" hidden="false" customHeight="false" outlineLevel="0" collapsed="false">
      <c r="A238" s="2" t="s">
        <v>47</v>
      </c>
      <c r="B238" s="2" t="s">
        <v>48</v>
      </c>
      <c r="C238" s="2" t="s">
        <v>49</v>
      </c>
      <c r="D238" s="3" t="n">
        <v>46254</v>
      </c>
      <c r="E238" s="2" t="str">
        <f aca="false">TEXT(D238,"dddd")</f>
        <v>Thursday</v>
      </c>
      <c r="F238" s="2" t="s">
        <v>457</v>
      </c>
      <c r="G238" s="2" t="s">
        <v>458</v>
      </c>
      <c r="H238" s="2" t="s">
        <v>459</v>
      </c>
      <c r="I238" s="2" t="n">
        <f aca="false">IF(F238="Present",9,IF(F238="Half Day",4,0))</f>
        <v>9</v>
      </c>
      <c r="J238" s="2"/>
      <c r="K238" s="2"/>
    </row>
    <row r="239" customFormat="false" ht="15" hidden="false" customHeight="false" outlineLevel="0" collapsed="false">
      <c r="A239" s="2" t="s">
        <v>47</v>
      </c>
      <c r="B239" s="2" t="s">
        <v>48</v>
      </c>
      <c r="C239" s="2" t="s">
        <v>49</v>
      </c>
      <c r="D239" s="3" t="n">
        <v>46255</v>
      </c>
      <c r="E239" s="2" t="str">
        <f aca="false">TEXT(D239,"dddd")</f>
        <v>Friday</v>
      </c>
      <c r="F239" s="2" t="s">
        <v>457</v>
      </c>
      <c r="G239" s="2" t="s">
        <v>458</v>
      </c>
      <c r="H239" s="2" t="s">
        <v>459</v>
      </c>
      <c r="I239" s="2" t="n">
        <f aca="false">IF(F239="Present",9,IF(F239="Half Day",4,0))</f>
        <v>9</v>
      </c>
      <c r="J239" s="2"/>
      <c r="K239" s="2"/>
    </row>
    <row r="240" customFormat="false" ht="15" hidden="false" customHeight="false" outlineLevel="0" collapsed="false">
      <c r="A240" s="2" t="s">
        <v>47</v>
      </c>
      <c r="B240" s="2" t="s">
        <v>48</v>
      </c>
      <c r="C240" s="2" t="s">
        <v>49</v>
      </c>
      <c r="D240" s="3" t="n">
        <v>46256</v>
      </c>
      <c r="E240" s="2" t="str">
        <f aca="false">TEXT(D240,"dddd")</f>
        <v>Saturday</v>
      </c>
      <c r="F240" s="2" t="s">
        <v>457</v>
      </c>
      <c r="G240" s="2" t="s">
        <v>458</v>
      </c>
      <c r="H240" s="2" t="s">
        <v>459</v>
      </c>
      <c r="I240" s="2" t="n">
        <f aca="false">IF(F240="Present",9,IF(F240="Half Day",4,0))</f>
        <v>9</v>
      </c>
      <c r="J240" s="2"/>
      <c r="K240" s="2"/>
    </row>
    <row r="241" customFormat="false" ht="15" hidden="false" customHeight="false" outlineLevel="0" collapsed="false">
      <c r="A241" s="2" t="s">
        <v>47</v>
      </c>
      <c r="B241" s="2" t="s">
        <v>48</v>
      </c>
      <c r="C241" s="2" t="s">
        <v>49</v>
      </c>
      <c r="D241" s="3" t="n">
        <v>46257</v>
      </c>
      <c r="E241" s="2" t="str">
        <f aca="false">TEXT(D241,"dddd")</f>
        <v>Sunday</v>
      </c>
      <c r="F241" s="2" t="s">
        <v>460</v>
      </c>
      <c r="G241" s="2"/>
      <c r="H241" s="2"/>
      <c r="I241" s="2" t="n">
        <f aca="false">IF(F241="Present",9,IF(F241="Half Day",4,0))</f>
        <v>0</v>
      </c>
      <c r="J241" s="2"/>
      <c r="K241" s="2" t="s">
        <v>460</v>
      </c>
    </row>
    <row r="242" customFormat="false" ht="15" hidden="false" customHeight="false" outlineLevel="0" collapsed="false">
      <c r="A242" s="2" t="s">
        <v>47</v>
      </c>
      <c r="B242" s="2" t="s">
        <v>48</v>
      </c>
      <c r="C242" s="2" t="s">
        <v>49</v>
      </c>
      <c r="D242" s="3" t="n">
        <v>46258</v>
      </c>
      <c r="E242" s="2" t="str">
        <f aca="false">TEXT(D242,"dddd")</f>
        <v>Monday</v>
      </c>
      <c r="F242" s="2" t="s">
        <v>457</v>
      </c>
      <c r="G242" s="2" t="s">
        <v>458</v>
      </c>
      <c r="H242" s="2" t="s">
        <v>459</v>
      </c>
      <c r="I242" s="2" t="n">
        <f aca="false">IF(F242="Present",9,IF(F242="Half Day",4,0))</f>
        <v>9</v>
      </c>
      <c r="J242" s="2"/>
      <c r="K242" s="2"/>
    </row>
    <row r="243" customFormat="false" ht="15" hidden="false" customHeight="false" outlineLevel="0" collapsed="false">
      <c r="A243" s="2" t="s">
        <v>47</v>
      </c>
      <c r="B243" s="2" t="s">
        <v>48</v>
      </c>
      <c r="C243" s="2" t="s">
        <v>49</v>
      </c>
      <c r="D243" s="3" t="n">
        <v>46259</v>
      </c>
      <c r="E243" s="2" t="str">
        <f aca="false">TEXT(D243,"dddd")</f>
        <v>Tuesday</v>
      </c>
      <c r="F243" s="2" t="s">
        <v>457</v>
      </c>
      <c r="G243" s="2" t="s">
        <v>458</v>
      </c>
      <c r="H243" s="2" t="s">
        <v>459</v>
      </c>
      <c r="I243" s="2" t="n">
        <f aca="false">IF(F243="Present",9,IF(F243="Half Day",4,0))</f>
        <v>9</v>
      </c>
      <c r="J243" s="2"/>
      <c r="K243" s="2"/>
    </row>
    <row r="244" customFormat="false" ht="15" hidden="false" customHeight="false" outlineLevel="0" collapsed="false">
      <c r="A244" s="2" t="s">
        <v>47</v>
      </c>
      <c r="B244" s="2" t="s">
        <v>48</v>
      </c>
      <c r="C244" s="2" t="s">
        <v>49</v>
      </c>
      <c r="D244" s="3" t="n">
        <v>46260</v>
      </c>
      <c r="E244" s="2" t="str">
        <f aca="false">TEXT(D244,"dddd")</f>
        <v>Wednesday</v>
      </c>
      <c r="F244" s="2" t="s">
        <v>457</v>
      </c>
      <c r="G244" s="2" t="s">
        <v>458</v>
      </c>
      <c r="H244" s="2" t="s">
        <v>459</v>
      </c>
      <c r="I244" s="2" t="n">
        <f aca="false">IF(F244="Present",9,IF(F244="Half Day",4,0))</f>
        <v>9</v>
      </c>
      <c r="J244" s="2"/>
      <c r="K244" s="2"/>
    </row>
    <row r="245" customFormat="false" ht="15" hidden="false" customHeight="false" outlineLevel="0" collapsed="false">
      <c r="A245" s="2" t="s">
        <v>47</v>
      </c>
      <c r="B245" s="2" t="s">
        <v>48</v>
      </c>
      <c r="C245" s="2" t="s">
        <v>49</v>
      </c>
      <c r="D245" s="3" t="n">
        <v>46261</v>
      </c>
      <c r="E245" s="2" t="str">
        <f aca="false">TEXT(D245,"dddd")</f>
        <v>Thursday</v>
      </c>
      <c r="F245" s="2" t="s">
        <v>457</v>
      </c>
      <c r="G245" s="2" t="s">
        <v>458</v>
      </c>
      <c r="H245" s="2" t="s">
        <v>459</v>
      </c>
      <c r="I245" s="2" t="n">
        <f aca="false">IF(F245="Present",9,IF(F245="Half Day",4,0))</f>
        <v>9</v>
      </c>
      <c r="J245" s="2"/>
      <c r="K245" s="2"/>
    </row>
    <row r="246" customFormat="false" ht="15" hidden="false" customHeight="false" outlineLevel="0" collapsed="false">
      <c r="A246" s="2" t="s">
        <v>47</v>
      </c>
      <c r="B246" s="2" t="s">
        <v>48</v>
      </c>
      <c r="C246" s="2" t="s">
        <v>49</v>
      </c>
      <c r="D246" s="3" t="n">
        <v>46262</v>
      </c>
      <c r="E246" s="2" t="str">
        <f aca="false">TEXT(D246,"dddd")</f>
        <v>Friday</v>
      </c>
      <c r="F246" s="2" t="s">
        <v>457</v>
      </c>
      <c r="G246" s="2" t="s">
        <v>458</v>
      </c>
      <c r="H246" s="2" t="s">
        <v>459</v>
      </c>
      <c r="I246" s="2" t="n">
        <f aca="false">IF(F246="Present",9,IF(F246="Half Day",4,0))</f>
        <v>9</v>
      </c>
      <c r="J246" s="2"/>
      <c r="K246" s="2"/>
    </row>
    <row r="247" customFormat="false" ht="15" hidden="false" customHeight="false" outlineLevel="0" collapsed="false">
      <c r="A247" s="2" t="s">
        <v>47</v>
      </c>
      <c r="B247" s="2" t="s">
        <v>48</v>
      </c>
      <c r="C247" s="2" t="s">
        <v>49</v>
      </c>
      <c r="D247" s="3" t="n">
        <v>46263</v>
      </c>
      <c r="E247" s="2" t="str">
        <f aca="false">TEXT(D247,"dddd")</f>
        <v>Saturday</v>
      </c>
      <c r="F247" s="2" t="s">
        <v>457</v>
      </c>
      <c r="G247" s="2" t="s">
        <v>458</v>
      </c>
      <c r="H247" s="2" t="s">
        <v>459</v>
      </c>
      <c r="I247" s="2" t="n">
        <f aca="false">IF(F247="Present",9,IF(F247="Half Day",4,0))</f>
        <v>9</v>
      </c>
      <c r="J247" s="2"/>
      <c r="K247" s="2"/>
    </row>
    <row r="248" customFormat="false" ht="15" hidden="false" customHeight="false" outlineLevel="0" collapsed="false">
      <c r="A248" s="2" t="s">
        <v>47</v>
      </c>
      <c r="B248" s="2" t="s">
        <v>48</v>
      </c>
      <c r="C248" s="2" t="s">
        <v>49</v>
      </c>
      <c r="D248" s="3" t="n">
        <v>46264</v>
      </c>
      <c r="E248" s="2" t="str">
        <f aca="false">TEXT(D248,"dddd")</f>
        <v>Sunday</v>
      </c>
      <c r="F248" s="2" t="s">
        <v>460</v>
      </c>
      <c r="G248" s="2"/>
      <c r="H248" s="2"/>
      <c r="I248" s="2" t="n">
        <f aca="false">IF(F248="Present",9,IF(F248="Half Day",4,0))</f>
        <v>0</v>
      </c>
      <c r="J248" s="2"/>
      <c r="K248" s="2" t="s">
        <v>460</v>
      </c>
    </row>
    <row r="249" customFormat="false" ht="15" hidden="false" customHeight="false" outlineLevel="0" collapsed="false">
      <c r="A249" s="2" t="s">
        <v>47</v>
      </c>
      <c r="B249" s="2" t="s">
        <v>48</v>
      </c>
      <c r="C249" s="2" t="s">
        <v>49</v>
      </c>
      <c r="D249" s="3" t="n">
        <v>46265</v>
      </c>
      <c r="E249" s="2" t="str">
        <f aca="false">TEXT(D249,"dddd")</f>
        <v>Monday</v>
      </c>
      <c r="F249" s="2" t="s">
        <v>457</v>
      </c>
      <c r="G249" s="2" t="s">
        <v>458</v>
      </c>
      <c r="H249" s="2" t="s">
        <v>459</v>
      </c>
      <c r="I249" s="2" t="n">
        <f aca="false">IF(F249="Present",9,IF(F249="Half Day",4,0))</f>
        <v>9</v>
      </c>
      <c r="J249" s="2"/>
      <c r="K249" s="2"/>
    </row>
    <row r="250" customFormat="false" ht="15" hidden="false" customHeight="false" outlineLevel="0" collapsed="false">
      <c r="A250" s="2" t="s">
        <v>51</v>
      </c>
      <c r="B250" s="2" t="s">
        <v>52</v>
      </c>
      <c r="C250" s="2" t="s">
        <v>53</v>
      </c>
      <c r="D250" s="3" t="n">
        <v>46235</v>
      </c>
      <c r="E250" s="2" t="str">
        <f aca="false">TEXT(D250,"dddd")</f>
        <v>Saturday</v>
      </c>
      <c r="F250" s="2" t="s">
        <v>457</v>
      </c>
      <c r="G250" s="2" t="s">
        <v>458</v>
      </c>
      <c r="H250" s="2" t="s">
        <v>459</v>
      </c>
      <c r="I250" s="2" t="n">
        <f aca="false">IF(F250="Present",9,IF(F250="Half Day",4,0))</f>
        <v>9</v>
      </c>
      <c r="J250" s="2"/>
      <c r="K250" s="2"/>
    </row>
    <row r="251" customFormat="false" ht="15" hidden="false" customHeight="false" outlineLevel="0" collapsed="false">
      <c r="A251" s="2" t="s">
        <v>51</v>
      </c>
      <c r="B251" s="2" t="s">
        <v>52</v>
      </c>
      <c r="C251" s="2" t="s">
        <v>53</v>
      </c>
      <c r="D251" s="3" t="n">
        <v>46236</v>
      </c>
      <c r="E251" s="2" t="str">
        <f aca="false">TEXT(D251,"dddd")</f>
        <v>Sunday</v>
      </c>
      <c r="F251" s="2" t="s">
        <v>460</v>
      </c>
      <c r="G251" s="2"/>
      <c r="H251" s="2"/>
      <c r="I251" s="2" t="n">
        <f aca="false">IF(F251="Present",9,IF(F251="Half Day",4,0))</f>
        <v>0</v>
      </c>
      <c r="J251" s="2"/>
      <c r="K251" s="2" t="s">
        <v>460</v>
      </c>
    </row>
    <row r="252" customFormat="false" ht="15" hidden="false" customHeight="false" outlineLevel="0" collapsed="false">
      <c r="A252" s="2" t="s">
        <v>51</v>
      </c>
      <c r="B252" s="2" t="s">
        <v>52</v>
      </c>
      <c r="C252" s="2" t="s">
        <v>53</v>
      </c>
      <c r="D252" s="3" t="n">
        <v>46237</v>
      </c>
      <c r="E252" s="2" t="str">
        <f aca="false">TEXT(D252,"dddd")</f>
        <v>Monday</v>
      </c>
      <c r="F252" s="2" t="s">
        <v>457</v>
      </c>
      <c r="G252" s="2" t="s">
        <v>458</v>
      </c>
      <c r="H252" s="2" t="s">
        <v>459</v>
      </c>
      <c r="I252" s="2" t="n">
        <f aca="false">IF(F252="Present",9,IF(F252="Half Day",4,0))</f>
        <v>9</v>
      </c>
      <c r="J252" s="2"/>
      <c r="K252" s="2"/>
    </row>
    <row r="253" customFormat="false" ht="15" hidden="false" customHeight="false" outlineLevel="0" collapsed="false">
      <c r="A253" s="2" t="s">
        <v>51</v>
      </c>
      <c r="B253" s="2" t="s">
        <v>52</v>
      </c>
      <c r="C253" s="2" t="s">
        <v>53</v>
      </c>
      <c r="D253" s="3" t="n">
        <v>46238</v>
      </c>
      <c r="E253" s="2" t="str">
        <f aca="false">TEXT(D253,"dddd")</f>
        <v>Tuesday</v>
      </c>
      <c r="F253" s="2" t="s">
        <v>461</v>
      </c>
      <c r="G253" s="2"/>
      <c r="H253" s="2"/>
      <c r="I253" s="2" t="n">
        <f aca="false">IF(F253="Present",9,IF(F253="Half Day",4,0))</f>
        <v>0</v>
      </c>
      <c r="J253" s="2"/>
      <c r="K253" s="2" t="s">
        <v>462</v>
      </c>
    </row>
    <row r="254" customFormat="false" ht="15" hidden="false" customHeight="false" outlineLevel="0" collapsed="false">
      <c r="A254" s="2" t="s">
        <v>51</v>
      </c>
      <c r="B254" s="2" t="s">
        <v>52</v>
      </c>
      <c r="C254" s="2" t="s">
        <v>53</v>
      </c>
      <c r="D254" s="3" t="n">
        <v>46239</v>
      </c>
      <c r="E254" s="2" t="str">
        <f aca="false">TEXT(D254,"dddd")</f>
        <v>Wednesday</v>
      </c>
      <c r="F254" s="2" t="s">
        <v>457</v>
      </c>
      <c r="G254" s="2" t="s">
        <v>458</v>
      </c>
      <c r="H254" s="2" t="s">
        <v>459</v>
      </c>
      <c r="I254" s="2" t="n">
        <f aca="false">IF(F254="Present",9,IF(F254="Half Day",4,0))</f>
        <v>9</v>
      </c>
      <c r="J254" s="2"/>
      <c r="K254" s="2"/>
    </row>
    <row r="255" customFormat="false" ht="15" hidden="false" customHeight="false" outlineLevel="0" collapsed="false">
      <c r="A255" s="2" t="s">
        <v>51</v>
      </c>
      <c r="B255" s="2" t="s">
        <v>52</v>
      </c>
      <c r="C255" s="2" t="s">
        <v>53</v>
      </c>
      <c r="D255" s="3" t="n">
        <v>46240</v>
      </c>
      <c r="E255" s="2" t="str">
        <f aca="false">TEXT(D255,"dddd")</f>
        <v>Thursday</v>
      </c>
      <c r="F255" s="2" t="s">
        <v>457</v>
      </c>
      <c r="G255" s="2" t="s">
        <v>458</v>
      </c>
      <c r="H255" s="2" t="s">
        <v>459</v>
      </c>
      <c r="I255" s="2" t="n">
        <f aca="false">IF(F255="Present",9,IF(F255="Half Day",4,0))</f>
        <v>9</v>
      </c>
      <c r="J255" s="2"/>
      <c r="K255" s="2"/>
    </row>
    <row r="256" customFormat="false" ht="15" hidden="false" customHeight="false" outlineLevel="0" collapsed="false">
      <c r="A256" s="2" t="s">
        <v>51</v>
      </c>
      <c r="B256" s="2" t="s">
        <v>52</v>
      </c>
      <c r="C256" s="2" t="s">
        <v>53</v>
      </c>
      <c r="D256" s="3" t="n">
        <v>46241</v>
      </c>
      <c r="E256" s="2" t="str">
        <f aca="false">TEXT(D256,"dddd")</f>
        <v>Friday</v>
      </c>
      <c r="F256" s="2" t="s">
        <v>457</v>
      </c>
      <c r="G256" s="2" t="s">
        <v>458</v>
      </c>
      <c r="H256" s="2" t="s">
        <v>459</v>
      </c>
      <c r="I256" s="2" t="n">
        <f aca="false">IF(F256="Present",9,IF(F256="Half Day",4,0))</f>
        <v>9</v>
      </c>
      <c r="J256" s="2"/>
      <c r="K256" s="2"/>
    </row>
    <row r="257" customFormat="false" ht="15" hidden="false" customHeight="false" outlineLevel="0" collapsed="false">
      <c r="A257" s="2" t="s">
        <v>51</v>
      </c>
      <c r="B257" s="2" t="s">
        <v>52</v>
      </c>
      <c r="C257" s="2" t="s">
        <v>53</v>
      </c>
      <c r="D257" s="3" t="n">
        <v>46242</v>
      </c>
      <c r="E257" s="2" t="str">
        <f aca="false">TEXT(D257,"dddd")</f>
        <v>Saturday</v>
      </c>
      <c r="F257" s="2" t="s">
        <v>457</v>
      </c>
      <c r="G257" s="2" t="s">
        <v>458</v>
      </c>
      <c r="H257" s="2" t="s">
        <v>459</v>
      </c>
      <c r="I257" s="2" t="n">
        <f aca="false">IF(F257="Present",9,IF(F257="Half Day",4,0))</f>
        <v>9</v>
      </c>
      <c r="J257" s="2"/>
      <c r="K257" s="2"/>
    </row>
    <row r="258" customFormat="false" ht="15" hidden="false" customHeight="false" outlineLevel="0" collapsed="false">
      <c r="A258" s="2" t="s">
        <v>51</v>
      </c>
      <c r="B258" s="2" t="s">
        <v>52</v>
      </c>
      <c r="C258" s="2" t="s">
        <v>53</v>
      </c>
      <c r="D258" s="3" t="n">
        <v>46243</v>
      </c>
      <c r="E258" s="2" t="str">
        <f aca="false">TEXT(D258,"dddd")</f>
        <v>Sunday</v>
      </c>
      <c r="F258" s="2" t="s">
        <v>460</v>
      </c>
      <c r="G258" s="2"/>
      <c r="H258" s="2"/>
      <c r="I258" s="2" t="n">
        <f aca="false">IF(F258="Present",9,IF(F258="Half Day",4,0))</f>
        <v>0</v>
      </c>
      <c r="J258" s="2"/>
      <c r="K258" s="2" t="s">
        <v>460</v>
      </c>
    </row>
    <row r="259" customFormat="false" ht="15" hidden="false" customHeight="false" outlineLevel="0" collapsed="false">
      <c r="A259" s="2" t="s">
        <v>51</v>
      </c>
      <c r="B259" s="2" t="s">
        <v>52</v>
      </c>
      <c r="C259" s="2" t="s">
        <v>53</v>
      </c>
      <c r="D259" s="3" t="n">
        <v>46244</v>
      </c>
      <c r="E259" s="2" t="str">
        <f aca="false">TEXT(D259,"dddd")</f>
        <v>Monday</v>
      </c>
      <c r="F259" s="2" t="s">
        <v>457</v>
      </c>
      <c r="G259" s="2" t="s">
        <v>458</v>
      </c>
      <c r="H259" s="2" t="s">
        <v>459</v>
      </c>
      <c r="I259" s="2" t="n">
        <f aca="false">IF(F259="Present",9,IF(F259="Half Day",4,0))</f>
        <v>9</v>
      </c>
      <c r="J259" s="2"/>
      <c r="K259" s="2"/>
    </row>
    <row r="260" customFormat="false" ht="15" hidden="false" customHeight="false" outlineLevel="0" collapsed="false">
      <c r="A260" s="2" t="s">
        <v>51</v>
      </c>
      <c r="B260" s="2" t="s">
        <v>52</v>
      </c>
      <c r="C260" s="2" t="s">
        <v>53</v>
      </c>
      <c r="D260" s="3" t="n">
        <v>46245</v>
      </c>
      <c r="E260" s="2" t="str">
        <f aca="false">TEXT(D260,"dddd")</f>
        <v>Tuesday</v>
      </c>
      <c r="F260" s="2" t="s">
        <v>461</v>
      </c>
      <c r="G260" s="2"/>
      <c r="H260" s="2"/>
      <c r="I260" s="2" t="n">
        <f aca="false">IF(F260="Present",9,IF(F260="Half Day",4,0))</f>
        <v>0</v>
      </c>
      <c r="J260" s="2"/>
      <c r="K260" s="2" t="s">
        <v>462</v>
      </c>
    </row>
    <row r="261" customFormat="false" ht="15" hidden="false" customHeight="false" outlineLevel="0" collapsed="false">
      <c r="A261" s="2" t="s">
        <v>51</v>
      </c>
      <c r="B261" s="2" t="s">
        <v>52</v>
      </c>
      <c r="C261" s="2" t="s">
        <v>53</v>
      </c>
      <c r="D261" s="3" t="n">
        <v>46246</v>
      </c>
      <c r="E261" s="2" t="str">
        <f aca="false">TEXT(D261,"dddd")</f>
        <v>Wednesday</v>
      </c>
      <c r="F261" s="2" t="s">
        <v>457</v>
      </c>
      <c r="G261" s="2" t="s">
        <v>458</v>
      </c>
      <c r="H261" s="2" t="s">
        <v>459</v>
      </c>
      <c r="I261" s="2" t="n">
        <f aca="false">IF(F261="Present",9,IF(F261="Half Day",4,0))</f>
        <v>9</v>
      </c>
      <c r="J261" s="2"/>
      <c r="K261" s="2"/>
    </row>
    <row r="262" customFormat="false" ht="15" hidden="false" customHeight="false" outlineLevel="0" collapsed="false">
      <c r="A262" s="2" t="s">
        <v>51</v>
      </c>
      <c r="B262" s="2" t="s">
        <v>52</v>
      </c>
      <c r="C262" s="2" t="s">
        <v>53</v>
      </c>
      <c r="D262" s="3" t="n">
        <v>46247</v>
      </c>
      <c r="E262" s="2" t="str">
        <f aca="false">TEXT(D262,"dddd")</f>
        <v>Thursday</v>
      </c>
      <c r="F262" s="2" t="s">
        <v>461</v>
      </c>
      <c r="G262" s="2"/>
      <c r="H262" s="2"/>
      <c r="I262" s="2" t="n">
        <f aca="false">IF(F262="Present",9,IF(F262="Half Day",4,0))</f>
        <v>0</v>
      </c>
      <c r="J262" s="2"/>
      <c r="K262" s="2" t="s">
        <v>462</v>
      </c>
    </row>
    <row r="263" customFormat="false" ht="15" hidden="false" customHeight="false" outlineLevel="0" collapsed="false">
      <c r="A263" s="2" t="s">
        <v>51</v>
      </c>
      <c r="B263" s="2" t="s">
        <v>52</v>
      </c>
      <c r="C263" s="2" t="s">
        <v>53</v>
      </c>
      <c r="D263" s="3" t="n">
        <v>46248</v>
      </c>
      <c r="E263" s="2" t="str">
        <f aca="false">TEXT(D263,"dddd")</f>
        <v>Friday</v>
      </c>
      <c r="F263" s="2" t="s">
        <v>457</v>
      </c>
      <c r="G263" s="2" t="s">
        <v>458</v>
      </c>
      <c r="H263" s="2" t="s">
        <v>459</v>
      </c>
      <c r="I263" s="2" t="n">
        <f aca="false">IF(F263="Present",9,IF(F263="Half Day",4,0))</f>
        <v>9</v>
      </c>
      <c r="J263" s="2"/>
      <c r="K263" s="2"/>
    </row>
    <row r="264" customFormat="false" ht="15" hidden="false" customHeight="false" outlineLevel="0" collapsed="false">
      <c r="A264" s="2" t="s">
        <v>51</v>
      </c>
      <c r="B264" s="2" t="s">
        <v>52</v>
      </c>
      <c r="C264" s="2" t="s">
        <v>53</v>
      </c>
      <c r="D264" s="3" t="n">
        <v>46249</v>
      </c>
      <c r="E264" s="2" t="str">
        <f aca="false">TEXT(D264,"dddd")</f>
        <v>Saturday</v>
      </c>
      <c r="F264" s="2" t="s">
        <v>461</v>
      </c>
      <c r="G264" s="2"/>
      <c r="H264" s="2"/>
      <c r="I264" s="2" t="n">
        <f aca="false">IF(F264="Present",9,IF(F264="Half Day",4,0))</f>
        <v>0</v>
      </c>
      <c r="J264" s="2"/>
      <c r="K264" s="2" t="s">
        <v>462</v>
      </c>
    </row>
    <row r="265" customFormat="false" ht="15" hidden="false" customHeight="false" outlineLevel="0" collapsed="false">
      <c r="A265" s="2" t="s">
        <v>51</v>
      </c>
      <c r="B265" s="2" t="s">
        <v>52</v>
      </c>
      <c r="C265" s="2" t="s">
        <v>53</v>
      </c>
      <c r="D265" s="3" t="n">
        <v>46250</v>
      </c>
      <c r="E265" s="2" t="str">
        <f aca="false">TEXT(D265,"dddd")</f>
        <v>Sunday</v>
      </c>
      <c r="F265" s="2" t="s">
        <v>460</v>
      </c>
      <c r="G265" s="2"/>
      <c r="H265" s="2"/>
      <c r="I265" s="2" t="n">
        <f aca="false">IF(F265="Present",9,IF(F265="Half Day",4,0))</f>
        <v>0</v>
      </c>
      <c r="J265" s="2"/>
      <c r="K265" s="2" t="s">
        <v>460</v>
      </c>
    </row>
    <row r="266" customFormat="false" ht="15" hidden="false" customHeight="false" outlineLevel="0" collapsed="false">
      <c r="A266" s="2" t="s">
        <v>51</v>
      </c>
      <c r="B266" s="2" t="s">
        <v>52</v>
      </c>
      <c r="C266" s="2" t="s">
        <v>53</v>
      </c>
      <c r="D266" s="3" t="n">
        <v>46251</v>
      </c>
      <c r="E266" s="2" t="str">
        <f aca="false">TEXT(D266,"dddd")</f>
        <v>Monday</v>
      </c>
      <c r="F266" s="2" t="s">
        <v>457</v>
      </c>
      <c r="G266" s="2" t="s">
        <v>458</v>
      </c>
      <c r="H266" s="2" t="s">
        <v>459</v>
      </c>
      <c r="I266" s="2" t="n">
        <f aca="false">IF(F266="Present",9,IF(F266="Half Day",4,0))</f>
        <v>9</v>
      </c>
      <c r="J266" s="2"/>
      <c r="K266" s="2"/>
    </row>
    <row r="267" customFormat="false" ht="15" hidden="false" customHeight="false" outlineLevel="0" collapsed="false">
      <c r="A267" s="2" t="s">
        <v>51</v>
      </c>
      <c r="B267" s="2" t="s">
        <v>52</v>
      </c>
      <c r="C267" s="2" t="s">
        <v>53</v>
      </c>
      <c r="D267" s="3" t="n">
        <v>46252</v>
      </c>
      <c r="E267" s="2" t="str">
        <f aca="false">TEXT(D267,"dddd")</f>
        <v>Tuesday</v>
      </c>
      <c r="F267" s="2" t="s">
        <v>461</v>
      </c>
      <c r="G267" s="2"/>
      <c r="H267" s="2"/>
      <c r="I267" s="2" t="n">
        <f aca="false">IF(F267="Present",9,IF(F267="Half Day",4,0))</f>
        <v>0</v>
      </c>
      <c r="J267" s="2"/>
      <c r="K267" s="2" t="s">
        <v>462</v>
      </c>
    </row>
    <row r="268" customFormat="false" ht="15" hidden="false" customHeight="false" outlineLevel="0" collapsed="false">
      <c r="A268" s="2" t="s">
        <v>51</v>
      </c>
      <c r="B268" s="2" t="s">
        <v>52</v>
      </c>
      <c r="C268" s="2" t="s">
        <v>53</v>
      </c>
      <c r="D268" s="3" t="n">
        <v>46253</v>
      </c>
      <c r="E268" s="2" t="str">
        <f aca="false">TEXT(D268,"dddd")</f>
        <v>Wednesday</v>
      </c>
      <c r="F268" s="2" t="s">
        <v>457</v>
      </c>
      <c r="G268" s="2" t="s">
        <v>458</v>
      </c>
      <c r="H268" s="2" t="s">
        <v>459</v>
      </c>
      <c r="I268" s="2" t="n">
        <f aca="false">IF(F268="Present",9,IF(F268="Half Day",4,0))</f>
        <v>9</v>
      </c>
      <c r="J268" s="2"/>
      <c r="K268" s="2"/>
    </row>
    <row r="269" customFormat="false" ht="15" hidden="false" customHeight="false" outlineLevel="0" collapsed="false">
      <c r="A269" s="2" t="s">
        <v>51</v>
      </c>
      <c r="B269" s="2" t="s">
        <v>52</v>
      </c>
      <c r="C269" s="2" t="s">
        <v>53</v>
      </c>
      <c r="D269" s="3" t="n">
        <v>46254</v>
      </c>
      <c r="E269" s="2" t="str">
        <f aca="false">TEXT(D269,"dddd")</f>
        <v>Thursday</v>
      </c>
      <c r="F269" s="2" t="s">
        <v>461</v>
      </c>
      <c r="G269" s="2"/>
      <c r="H269" s="2"/>
      <c r="I269" s="2" t="n">
        <f aca="false">IF(F269="Present",9,IF(F269="Half Day",4,0))</f>
        <v>0</v>
      </c>
      <c r="J269" s="2"/>
      <c r="K269" s="2" t="s">
        <v>462</v>
      </c>
    </row>
    <row r="270" customFormat="false" ht="15" hidden="false" customHeight="false" outlineLevel="0" collapsed="false">
      <c r="A270" s="2" t="s">
        <v>51</v>
      </c>
      <c r="B270" s="2" t="s">
        <v>52</v>
      </c>
      <c r="C270" s="2" t="s">
        <v>53</v>
      </c>
      <c r="D270" s="3" t="n">
        <v>46255</v>
      </c>
      <c r="E270" s="2" t="str">
        <f aca="false">TEXT(D270,"dddd")</f>
        <v>Friday</v>
      </c>
      <c r="F270" s="2" t="s">
        <v>461</v>
      </c>
      <c r="G270" s="2"/>
      <c r="H270" s="2"/>
      <c r="I270" s="2" t="n">
        <f aca="false">IF(F270="Present",9,IF(F270="Half Day",4,0))</f>
        <v>0</v>
      </c>
      <c r="J270" s="2"/>
      <c r="K270" s="2" t="s">
        <v>462</v>
      </c>
    </row>
    <row r="271" customFormat="false" ht="15" hidden="false" customHeight="false" outlineLevel="0" collapsed="false">
      <c r="A271" s="2" t="s">
        <v>51</v>
      </c>
      <c r="B271" s="2" t="s">
        <v>52</v>
      </c>
      <c r="C271" s="2" t="s">
        <v>53</v>
      </c>
      <c r="D271" s="3" t="n">
        <v>46256</v>
      </c>
      <c r="E271" s="2" t="str">
        <f aca="false">TEXT(D271,"dddd")</f>
        <v>Saturday</v>
      </c>
      <c r="F271" s="2" t="s">
        <v>457</v>
      </c>
      <c r="G271" s="2" t="s">
        <v>458</v>
      </c>
      <c r="H271" s="2" t="s">
        <v>459</v>
      </c>
      <c r="I271" s="2" t="n">
        <f aca="false">IF(F271="Present",9,IF(F271="Half Day",4,0))</f>
        <v>9</v>
      </c>
      <c r="J271" s="2"/>
      <c r="K271" s="2"/>
    </row>
    <row r="272" customFormat="false" ht="15" hidden="false" customHeight="false" outlineLevel="0" collapsed="false">
      <c r="A272" s="2" t="s">
        <v>51</v>
      </c>
      <c r="B272" s="2" t="s">
        <v>52</v>
      </c>
      <c r="C272" s="2" t="s">
        <v>53</v>
      </c>
      <c r="D272" s="3" t="n">
        <v>46257</v>
      </c>
      <c r="E272" s="2" t="str">
        <f aca="false">TEXT(D272,"dddd")</f>
        <v>Sunday</v>
      </c>
      <c r="F272" s="2" t="s">
        <v>460</v>
      </c>
      <c r="G272" s="2"/>
      <c r="H272" s="2"/>
      <c r="I272" s="2" t="n">
        <f aca="false">IF(F272="Present",9,IF(F272="Half Day",4,0))</f>
        <v>0</v>
      </c>
      <c r="J272" s="2"/>
      <c r="K272" s="2" t="s">
        <v>460</v>
      </c>
    </row>
    <row r="273" customFormat="false" ht="15" hidden="false" customHeight="false" outlineLevel="0" collapsed="false">
      <c r="A273" s="2" t="s">
        <v>51</v>
      </c>
      <c r="B273" s="2" t="s">
        <v>52</v>
      </c>
      <c r="C273" s="2" t="s">
        <v>53</v>
      </c>
      <c r="D273" s="3" t="n">
        <v>46258</v>
      </c>
      <c r="E273" s="2" t="str">
        <f aca="false">TEXT(D273,"dddd")</f>
        <v>Monday</v>
      </c>
      <c r="F273" s="2" t="s">
        <v>457</v>
      </c>
      <c r="G273" s="2" t="s">
        <v>458</v>
      </c>
      <c r="H273" s="2" t="s">
        <v>459</v>
      </c>
      <c r="I273" s="2" t="n">
        <f aca="false">IF(F273="Present",9,IF(F273="Half Day",4,0))</f>
        <v>9</v>
      </c>
      <c r="J273" s="2"/>
      <c r="K273" s="2"/>
    </row>
    <row r="274" customFormat="false" ht="15" hidden="false" customHeight="false" outlineLevel="0" collapsed="false">
      <c r="A274" s="2" t="s">
        <v>51</v>
      </c>
      <c r="B274" s="2" t="s">
        <v>52</v>
      </c>
      <c r="C274" s="2" t="s">
        <v>53</v>
      </c>
      <c r="D274" s="3" t="n">
        <v>46259</v>
      </c>
      <c r="E274" s="2" t="str">
        <f aca="false">TEXT(D274,"dddd")</f>
        <v>Tuesday</v>
      </c>
      <c r="F274" s="2" t="s">
        <v>457</v>
      </c>
      <c r="G274" s="2" t="s">
        <v>458</v>
      </c>
      <c r="H274" s="2" t="s">
        <v>459</v>
      </c>
      <c r="I274" s="2" t="n">
        <f aca="false">IF(F274="Present",9,IF(F274="Half Day",4,0))</f>
        <v>9</v>
      </c>
      <c r="J274" s="2"/>
      <c r="K274" s="2"/>
    </row>
    <row r="275" customFormat="false" ht="15" hidden="false" customHeight="false" outlineLevel="0" collapsed="false">
      <c r="A275" s="2" t="s">
        <v>51</v>
      </c>
      <c r="B275" s="2" t="s">
        <v>52</v>
      </c>
      <c r="C275" s="2" t="s">
        <v>53</v>
      </c>
      <c r="D275" s="3" t="n">
        <v>46260</v>
      </c>
      <c r="E275" s="2" t="str">
        <f aca="false">TEXT(D275,"dddd")</f>
        <v>Wednesday</v>
      </c>
      <c r="F275" s="2" t="s">
        <v>461</v>
      </c>
      <c r="G275" s="2"/>
      <c r="H275" s="2"/>
      <c r="I275" s="2" t="n">
        <f aca="false">IF(F275="Present",9,IF(F275="Half Day",4,0))</f>
        <v>0</v>
      </c>
      <c r="J275" s="2"/>
      <c r="K275" s="2" t="s">
        <v>462</v>
      </c>
    </row>
    <row r="276" customFormat="false" ht="15" hidden="false" customHeight="false" outlineLevel="0" collapsed="false">
      <c r="A276" s="2" t="s">
        <v>51</v>
      </c>
      <c r="B276" s="2" t="s">
        <v>52</v>
      </c>
      <c r="C276" s="2" t="s">
        <v>53</v>
      </c>
      <c r="D276" s="3" t="n">
        <v>46261</v>
      </c>
      <c r="E276" s="2" t="str">
        <f aca="false">TEXT(D276,"dddd")</f>
        <v>Thursday</v>
      </c>
      <c r="F276" s="2" t="s">
        <v>457</v>
      </c>
      <c r="G276" s="2" t="s">
        <v>458</v>
      </c>
      <c r="H276" s="2" t="s">
        <v>459</v>
      </c>
      <c r="I276" s="2" t="n">
        <f aca="false">IF(F276="Present",9,IF(F276="Half Day",4,0))</f>
        <v>9</v>
      </c>
      <c r="J276" s="2"/>
      <c r="K276" s="2"/>
    </row>
    <row r="277" customFormat="false" ht="15" hidden="false" customHeight="false" outlineLevel="0" collapsed="false">
      <c r="A277" s="2" t="s">
        <v>51</v>
      </c>
      <c r="B277" s="2" t="s">
        <v>52</v>
      </c>
      <c r="C277" s="2" t="s">
        <v>53</v>
      </c>
      <c r="D277" s="3" t="n">
        <v>46262</v>
      </c>
      <c r="E277" s="2" t="str">
        <f aca="false">TEXT(D277,"dddd")</f>
        <v>Friday</v>
      </c>
      <c r="F277" s="2" t="s">
        <v>463</v>
      </c>
      <c r="G277" s="2"/>
      <c r="H277" s="2"/>
      <c r="I277" s="2" t="n">
        <f aca="false">IF(F277="Present",9,IF(F277="Half Day",4,0))</f>
        <v>0</v>
      </c>
      <c r="J277" s="2" t="s">
        <v>470</v>
      </c>
      <c r="K277" s="2" t="s">
        <v>471</v>
      </c>
    </row>
    <row r="278" customFormat="false" ht="15" hidden="false" customHeight="false" outlineLevel="0" collapsed="false">
      <c r="A278" s="2" t="s">
        <v>51</v>
      </c>
      <c r="B278" s="2" t="s">
        <v>52</v>
      </c>
      <c r="C278" s="2" t="s">
        <v>53</v>
      </c>
      <c r="D278" s="3" t="n">
        <v>46263</v>
      </c>
      <c r="E278" s="2" t="str">
        <f aca="false">TEXT(D278,"dddd")</f>
        <v>Saturday</v>
      </c>
      <c r="F278" s="2" t="s">
        <v>461</v>
      </c>
      <c r="G278" s="2"/>
      <c r="H278" s="2"/>
      <c r="I278" s="2" t="n">
        <f aca="false">IF(F278="Present",9,IF(F278="Half Day",4,0))</f>
        <v>0</v>
      </c>
      <c r="J278" s="2"/>
      <c r="K278" s="2" t="s">
        <v>462</v>
      </c>
    </row>
    <row r="279" customFormat="false" ht="15" hidden="false" customHeight="false" outlineLevel="0" collapsed="false">
      <c r="A279" s="2" t="s">
        <v>51</v>
      </c>
      <c r="B279" s="2" t="s">
        <v>52</v>
      </c>
      <c r="C279" s="2" t="s">
        <v>53</v>
      </c>
      <c r="D279" s="3" t="n">
        <v>46264</v>
      </c>
      <c r="E279" s="2" t="str">
        <f aca="false">TEXT(D279,"dddd")</f>
        <v>Sunday</v>
      </c>
      <c r="F279" s="2" t="s">
        <v>460</v>
      </c>
      <c r="G279" s="2"/>
      <c r="H279" s="2"/>
      <c r="I279" s="2" t="n">
        <f aca="false">IF(F279="Present",9,IF(F279="Half Day",4,0))</f>
        <v>0</v>
      </c>
      <c r="J279" s="2"/>
      <c r="K279" s="2" t="s">
        <v>460</v>
      </c>
    </row>
    <row r="280" customFormat="false" ht="15" hidden="false" customHeight="false" outlineLevel="0" collapsed="false">
      <c r="A280" s="2" t="s">
        <v>51</v>
      </c>
      <c r="B280" s="2" t="s">
        <v>52</v>
      </c>
      <c r="C280" s="2" t="s">
        <v>53</v>
      </c>
      <c r="D280" s="3" t="n">
        <v>46265</v>
      </c>
      <c r="E280" s="2" t="str">
        <f aca="false">TEXT(D280,"dddd")</f>
        <v>Monday</v>
      </c>
      <c r="F280" s="2" t="s">
        <v>457</v>
      </c>
      <c r="G280" s="2" t="s">
        <v>458</v>
      </c>
      <c r="H280" s="2" t="s">
        <v>459</v>
      </c>
      <c r="I280" s="2" t="n">
        <f aca="false">IF(F280="Present",9,IF(F280="Half Day",4,0))</f>
        <v>9</v>
      </c>
      <c r="J280" s="2"/>
      <c r="K280" s="2"/>
    </row>
    <row r="281" customFormat="false" ht="15" hidden="false" customHeight="false" outlineLevel="0" collapsed="false">
      <c r="A281" s="2" t="s">
        <v>55</v>
      </c>
      <c r="B281" s="2" t="s">
        <v>56</v>
      </c>
      <c r="C281" s="2" t="s">
        <v>57</v>
      </c>
      <c r="D281" s="3" t="n">
        <v>46235</v>
      </c>
      <c r="E281" s="2" t="str">
        <f aca="false">TEXT(D281,"dddd")</f>
        <v>Saturday</v>
      </c>
      <c r="F281" s="2" t="s">
        <v>457</v>
      </c>
      <c r="G281" s="2" t="s">
        <v>458</v>
      </c>
      <c r="H281" s="2" t="s">
        <v>459</v>
      </c>
      <c r="I281" s="2" t="n">
        <f aca="false">IF(F281="Present",9,IF(F281="Half Day",4,0))</f>
        <v>9</v>
      </c>
      <c r="J281" s="2"/>
      <c r="K281" s="2"/>
    </row>
    <row r="282" customFormat="false" ht="15" hidden="false" customHeight="false" outlineLevel="0" collapsed="false">
      <c r="A282" s="2" t="s">
        <v>55</v>
      </c>
      <c r="B282" s="2" t="s">
        <v>56</v>
      </c>
      <c r="C282" s="2" t="s">
        <v>57</v>
      </c>
      <c r="D282" s="3" t="n">
        <v>46236</v>
      </c>
      <c r="E282" s="2" t="str">
        <f aca="false">TEXT(D282,"dddd")</f>
        <v>Sunday</v>
      </c>
      <c r="F282" s="2" t="s">
        <v>460</v>
      </c>
      <c r="G282" s="2"/>
      <c r="H282" s="2"/>
      <c r="I282" s="2" t="n">
        <f aca="false">IF(F282="Present",9,IF(F282="Half Day",4,0))</f>
        <v>0</v>
      </c>
      <c r="J282" s="2"/>
      <c r="K282" s="2" t="s">
        <v>460</v>
      </c>
    </row>
    <row r="283" customFormat="false" ht="15" hidden="false" customHeight="false" outlineLevel="0" collapsed="false">
      <c r="A283" s="2" t="s">
        <v>55</v>
      </c>
      <c r="B283" s="2" t="s">
        <v>56</v>
      </c>
      <c r="C283" s="2" t="s">
        <v>57</v>
      </c>
      <c r="D283" s="3" t="n">
        <v>46237</v>
      </c>
      <c r="E283" s="2" t="str">
        <f aca="false">TEXT(D283,"dddd")</f>
        <v>Monday</v>
      </c>
      <c r="F283" s="2" t="s">
        <v>461</v>
      </c>
      <c r="G283" s="2"/>
      <c r="H283" s="2"/>
      <c r="I283" s="2" t="n">
        <f aca="false">IF(F283="Present",9,IF(F283="Half Day",4,0))</f>
        <v>0</v>
      </c>
      <c r="J283" s="2"/>
      <c r="K283" s="2" t="s">
        <v>462</v>
      </c>
    </row>
    <row r="284" customFormat="false" ht="15" hidden="false" customHeight="false" outlineLevel="0" collapsed="false">
      <c r="A284" s="2" t="s">
        <v>55</v>
      </c>
      <c r="B284" s="2" t="s">
        <v>56</v>
      </c>
      <c r="C284" s="2" t="s">
        <v>57</v>
      </c>
      <c r="D284" s="3" t="n">
        <v>46238</v>
      </c>
      <c r="E284" s="2" t="str">
        <f aca="false">TEXT(D284,"dddd")</f>
        <v>Tuesday</v>
      </c>
      <c r="F284" s="2" t="s">
        <v>457</v>
      </c>
      <c r="G284" s="2" t="s">
        <v>458</v>
      </c>
      <c r="H284" s="2" t="s">
        <v>459</v>
      </c>
      <c r="I284" s="2" t="n">
        <f aca="false">IF(F284="Present",9,IF(F284="Half Day",4,0))</f>
        <v>9</v>
      </c>
      <c r="J284" s="2"/>
      <c r="K284" s="2"/>
    </row>
    <row r="285" customFormat="false" ht="15" hidden="false" customHeight="false" outlineLevel="0" collapsed="false">
      <c r="A285" s="2" t="s">
        <v>55</v>
      </c>
      <c r="B285" s="2" t="s">
        <v>56</v>
      </c>
      <c r="C285" s="2" t="s">
        <v>57</v>
      </c>
      <c r="D285" s="3" t="n">
        <v>46239</v>
      </c>
      <c r="E285" s="2" t="str">
        <f aca="false">TEXT(D285,"dddd")</f>
        <v>Wednesday</v>
      </c>
      <c r="F285" s="2" t="s">
        <v>457</v>
      </c>
      <c r="G285" s="2" t="s">
        <v>458</v>
      </c>
      <c r="H285" s="2" t="s">
        <v>459</v>
      </c>
      <c r="I285" s="2" t="n">
        <f aca="false">IF(F285="Present",9,IF(F285="Half Day",4,0))</f>
        <v>9</v>
      </c>
      <c r="J285" s="2"/>
      <c r="K285" s="2"/>
    </row>
    <row r="286" customFormat="false" ht="15" hidden="false" customHeight="false" outlineLevel="0" collapsed="false">
      <c r="A286" s="2" t="s">
        <v>55</v>
      </c>
      <c r="B286" s="2" t="s">
        <v>56</v>
      </c>
      <c r="C286" s="2" t="s">
        <v>57</v>
      </c>
      <c r="D286" s="3" t="n">
        <v>46240</v>
      </c>
      <c r="E286" s="2" t="str">
        <f aca="false">TEXT(D286,"dddd")</f>
        <v>Thursday</v>
      </c>
      <c r="F286" s="2" t="s">
        <v>466</v>
      </c>
      <c r="G286" s="2" t="s">
        <v>458</v>
      </c>
      <c r="H286" s="2" t="s">
        <v>467</v>
      </c>
      <c r="I286" s="2" t="n">
        <f aca="false">IF(F286="Present",9,IF(F286="Half Day",4,0))</f>
        <v>4</v>
      </c>
      <c r="J286" s="2"/>
      <c r="K286" s="2" t="s">
        <v>466</v>
      </c>
    </row>
    <row r="287" customFormat="false" ht="15" hidden="false" customHeight="false" outlineLevel="0" collapsed="false">
      <c r="A287" s="2" t="s">
        <v>55</v>
      </c>
      <c r="B287" s="2" t="s">
        <v>56</v>
      </c>
      <c r="C287" s="2" t="s">
        <v>57</v>
      </c>
      <c r="D287" s="3" t="n">
        <v>46241</v>
      </c>
      <c r="E287" s="2" t="str">
        <f aca="false">TEXT(D287,"dddd")</f>
        <v>Friday</v>
      </c>
      <c r="F287" s="2" t="s">
        <v>457</v>
      </c>
      <c r="G287" s="2" t="s">
        <v>458</v>
      </c>
      <c r="H287" s="2" t="s">
        <v>459</v>
      </c>
      <c r="I287" s="2" t="n">
        <f aca="false">IF(F287="Present",9,IF(F287="Half Day",4,0))</f>
        <v>9</v>
      </c>
      <c r="J287" s="2"/>
      <c r="K287" s="2"/>
    </row>
    <row r="288" customFormat="false" ht="15" hidden="false" customHeight="false" outlineLevel="0" collapsed="false">
      <c r="A288" s="2" t="s">
        <v>55</v>
      </c>
      <c r="B288" s="2" t="s">
        <v>56</v>
      </c>
      <c r="C288" s="2" t="s">
        <v>57</v>
      </c>
      <c r="D288" s="3" t="n">
        <v>46242</v>
      </c>
      <c r="E288" s="2" t="str">
        <f aca="false">TEXT(D288,"dddd")</f>
        <v>Saturday</v>
      </c>
      <c r="F288" s="2" t="s">
        <v>461</v>
      </c>
      <c r="G288" s="2"/>
      <c r="H288" s="2"/>
      <c r="I288" s="2" t="n">
        <f aca="false">IF(F288="Present",9,IF(F288="Half Day",4,0))</f>
        <v>0</v>
      </c>
      <c r="J288" s="2"/>
      <c r="K288" s="2" t="s">
        <v>462</v>
      </c>
    </row>
    <row r="289" customFormat="false" ht="15" hidden="false" customHeight="false" outlineLevel="0" collapsed="false">
      <c r="A289" s="2" t="s">
        <v>55</v>
      </c>
      <c r="B289" s="2" t="s">
        <v>56</v>
      </c>
      <c r="C289" s="2" t="s">
        <v>57</v>
      </c>
      <c r="D289" s="3" t="n">
        <v>46243</v>
      </c>
      <c r="E289" s="2" t="str">
        <f aca="false">TEXT(D289,"dddd")</f>
        <v>Sunday</v>
      </c>
      <c r="F289" s="2" t="s">
        <v>460</v>
      </c>
      <c r="G289" s="2"/>
      <c r="H289" s="2"/>
      <c r="I289" s="2" t="n">
        <f aca="false">IF(F289="Present",9,IF(F289="Half Day",4,0))</f>
        <v>0</v>
      </c>
      <c r="J289" s="2"/>
      <c r="K289" s="2" t="s">
        <v>460</v>
      </c>
    </row>
    <row r="290" customFormat="false" ht="15" hidden="false" customHeight="false" outlineLevel="0" collapsed="false">
      <c r="A290" s="2" t="s">
        <v>55</v>
      </c>
      <c r="B290" s="2" t="s">
        <v>56</v>
      </c>
      <c r="C290" s="2" t="s">
        <v>57</v>
      </c>
      <c r="D290" s="3" t="n">
        <v>46244</v>
      </c>
      <c r="E290" s="2" t="str">
        <f aca="false">TEXT(D290,"dddd")</f>
        <v>Monday</v>
      </c>
      <c r="F290" s="2" t="s">
        <v>461</v>
      </c>
      <c r="G290" s="2"/>
      <c r="H290" s="2"/>
      <c r="I290" s="2" t="n">
        <f aca="false">IF(F290="Present",9,IF(F290="Half Day",4,0))</f>
        <v>0</v>
      </c>
      <c r="J290" s="2"/>
      <c r="K290" s="2" t="s">
        <v>462</v>
      </c>
    </row>
    <row r="291" customFormat="false" ht="15" hidden="false" customHeight="false" outlineLevel="0" collapsed="false">
      <c r="A291" s="2" t="s">
        <v>55</v>
      </c>
      <c r="B291" s="2" t="s">
        <v>56</v>
      </c>
      <c r="C291" s="2" t="s">
        <v>57</v>
      </c>
      <c r="D291" s="3" t="n">
        <v>46245</v>
      </c>
      <c r="E291" s="2" t="str">
        <f aca="false">TEXT(D291,"dddd")</f>
        <v>Tuesday</v>
      </c>
      <c r="F291" s="2" t="s">
        <v>457</v>
      </c>
      <c r="G291" s="2" t="s">
        <v>458</v>
      </c>
      <c r="H291" s="2" t="s">
        <v>459</v>
      </c>
      <c r="I291" s="2" t="n">
        <f aca="false">IF(F291="Present",9,IF(F291="Half Day",4,0))</f>
        <v>9</v>
      </c>
      <c r="J291" s="2"/>
      <c r="K291" s="2"/>
    </row>
    <row r="292" customFormat="false" ht="15" hidden="false" customHeight="false" outlineLevel="0" collapsed="false">
      <c r="A292" s="2" t="s">
        <v>55</v>
      </c>
      <c r="B292" s="2" t="s">
        <v>56</v>
      </c>
      <c r="C292" s="2" t="s">
        <v>57</v>
      </c>
      <c r="D292" s="3" t="n">
        <v>46246</v>
      </c>
      <c r="E292" s="2" t="str">
        <f aca="false">TEXT(D292,"dddd")</f>
        <v>Wednesday</v>
      </c>
      <c r="F292" s="2" t="s">
        <v>457</v>
      </c>
      <c r="G292" s="2" t="s">
        <v>458</v>
      </c>
      <c r="H292" s="2" t="s">
        <v>459</v>
      </c>
      <c r="I292" s="2" t="n">
        <f aca="false">IF(F292="Present",9,IF(F292="Half Day",4,0))</f>
        <v>9</v>
      </c>
      <c r="J292" s="2"/>
      <c r="K292" s="2"/>
    </row>
    <row r="293" customFormat="false" ht="15" hidden="false" customHeight="false" outlineLevel="0" collapsed="false">
      <c r="A293" s="2" t="s">
        <v>55</v>
      </c>
      <c r="B293" s="2" t="s">
        <v>56</v>
      </c>
      <c r="C293" s="2" t="s">
        <v>57</v>
      </c>
      <c r="D293" s="3" t="n">
        <v>46247</v>
      </c>
      <c r="E293" s="2" t="str">
        <f aca="false">TEXT(D293,"dddd")</f>
        <v>Thursday</v>
      </c>
      <c r="F293" s="2" t="s">
        <v>457</v>
      </c>
      <c r="G293" s="2" t="s">
        <v>458</v>
      </c>
      <c r="H293" s="2" t="s">
        <v>459</v>
      </c>
      <c r="I293" s="2" t="n">
        <f aca="false">IF(F293="Present",9,IF(F293="Half Day",4,0))</f>
        <v>9</v>
      </c>
      <c r="J293" s="2"/>
      <c r="K293" s="2"/>
    </row>
    <row r="294" customFormat="false" ht="15" hidden="false" customHeight="false" outlineLevel="0" collapsed="false">
      <c r="A294" s="2" t="s">
        <v>55</v>
      </c>
      <c r="B294" s="2" t="s">
        <v>56</v>
      </c>
      <c r="C294" s="2" t="s">
        <v>57</v>
      </c>
      <c r="D294" s="3" t="n">
        <v>46248</v>
      </c>
      <c r="E294" s="2" t="str">
        <f aca="false">TEXT(D294,"dddd")</f>
        <v>Friday</v>
      </c>
      <c r="F294" s="2" t="s">
        <v>457</v>
      </c>
      <c r="G294" s="2" t="s">
        <v>458</v>
      </c>
      <c r="H294" s="2" t="s">
        <v>459</v>
      </c>
      <c r="I294" s="2" t="n">
        <f aca="false">IF(F294="Present",9,IF(F294="Half Day",4,0))</f>
        <v>9</v>
      </c>
      <c r="J294" s="2"/>
      <c r="K294" s="2"/>
    </row>
    <row r="295" customFormat="false" ht="15" hidden="false" customHeight="false" outlineLevel="0" collapsed="false">
      <c r="A295" s="2" t="s">
        <v>55</v>
      </c>
      <c r="B295" s="2" t="s">
        <v>56</v>
      </c>
      <c r="C295" s="2" t="s">
        <v>57</v>
      </c>
      <c r="D295" s="3" t="n">
        <v>46249</v>
      </c>
      <c r="E295" s="2" t="str">
        <f aca="false">TEXT(D295,"dddd")</f>
        <v>Saturday</v>
      </c>
      <c r="F295" s="2" t="s">
        <v>457</v>
      </c>
      <c r="G295" s="2" t="s">
        <v>458</v>
      </c>
      <c r="H295" s="2" t="s">
        <v>459</v>
      </c>
      <c r="I295" s="2" t="n">
        <f aca="false">IF(F295="Present",9,IF(F295="Half Day",4,0))</f>
        <v>9</v>
      </c>
      <c r="J295" s="2"/>
      <c r="K295" s="2"/>
    </row>
    <row r="296" customFormat="false" ht="15" hidden="false" customHeight="false" outlineLevel="0" collapsed="false">
      <c r="A296" s="2" t="s">
        <v>55</v>
      </c>
      <c r="B296" s="2" t="s">
        <v>56</v>
      </c>
      <c r="C296" s="2" t="s">
        <v>57</v>
      </c>
      <c r="D296" s="3" t="n">
        <v>46250</v>
      </c>
      <c r="E296" s="2" t="str">
        <f aca="false">TEXT(D296,"dddd")</f>
        <v>Sunday</v>
      </c>
      <c r="F296" s="2" t="s">
        <v>460</v>
      </c>
      <c r="G296" s="2"/>
      <c r="H296" s="2"/>
      <c r="I296" s="2" t="n">
        <f aca="false">IF(F296="Present",9,IF(F296="Half Day",4,0))</f>
        <v>0</v>
      </c>
      <c r="J296" s="2"/>
      <c r="K296" s="2" t="s">
        <v>460</v>
      </c>
    </row>
    <row r="297" customFormat="false" ht="15" hidden="false" customHeight="false" outlineLevel="0" collapsed="false">
      <c r="A297" s="2" t="s">
        <v>55</v>
      </c>
      <c r="B297" s="2" t="s">
        <v>56</v>
      </c>
      <c r="C297" s="2" t="s">
        <v>57</v>
      </c>
      <c r="D297" s="3" t="n">
        <v>46251</v>
      </c>
      <c r="E297" s="2" t="str">
        <f aca="false">TEXT(D297,"dddd")</f>
        <v>Monday</v>
      </c>
      <c r="F297" s="2" t="s">
        <v>466</v>
      </c>
      <c r="G297" s="2" t="s">
        <v>458</v>
      </c>
      <c r="H297" s="2" t="s">
        <v>467</v>
      </c>
      <c r="I297" s="2" t="n">
        <f aca="false">IF(F297="Present",9,IF(F297="Half Day",4,0))</f>
        <v>4</v>
      </c>
      <c r="J297" s="2"/>
      <c r="K297" s="2" t="s">
        <v>466</v>
      </c>
    </row>
    <row r="298" customFormat="false" ht="15" hidden="false" customHeight="false" outlineLevel="0" collapsed="false">
      <c r="A298" s="2" t="s">
        <v>55</v>
      </c>
      <c r="B298" s="2" t="s">
        <v>56</v>
      </c>
      <c r="C298" s="2" t="s">
        <v>57</v>
      </c>
      <c r="D298" s="3" t="n">
        <v>46252</v>
      </c>
      <c r="E298" s="2" t="str">
        <f aca="false">TEXT(D298,"dddd")</f>
        <v>Tuesday</v>
      </c>
      <c r="F298" s="2" t="s">
        <v>461</v>
      </c>
      <c r="G298" s="2"/>
      <c r="H298" s="2"/>
      <c r="I298" s="2" t="n">
        <f aca="false">IF(F298="Present",9,IF(F298="Half Day",4,0))</f>
        <v>0</v>
      </c>
      <c r="J298" s="2"/>
      <c r="K298" s="2" t="s">
        <v>462</v>
      </c>
    </row>
    <row r="299" customFormat="false" ht="15" hidden="false" customHeight="false" outlineLevel="0" collapsed="false">
      <c r="A299" s="2" t="s">
        <v>55</v>
      </c>
      <c r="B299" s="2" t="s">
        <v>56</v>
      </c>
      <c r="C299" s="2" t="s">
        <v>57</v>
      </c>
      <c r="D299" s="3" t="n">
        <v>46253</v>
      </c>
      <c r="E299" s="2" t="str">
        <f aca="false">TEXT(D299,"dddd")</f>
        <v>Wednesday</v>
      </c>
      <c r="F299" s="2" t="s">
        <v>457</v>
      </c>
      <c r="G299" s="2" t="s">
        <v>458</v>
      </c>
      <c r="H299" s="2" t="s">
        <v>459</v>
      </c>
      <c r="I299" s="2" t="n">
        <f aca="false">IF(F299="Present",9,IF(F299="Half Day",4,0))</f>
        <v>9</v>
      </c>
      <c r="J299" s="2"/>
      <c r="K299" s="2"/>
    </row>
    <row r="300" customFormat="false" ht="15" hidden="false" customHeight="false" outlineLevel="0" collapsed="false">
      <c r="A300" s="2" t="s">
        <v>55</v>
      </c>
      <c r="B300" s="2" t="s">
        <v>56</v>
      </c>
      <c r="C300" s="2" t="s">
        <v>57</v>
      </c>
      <c r="D300" s="3" t="n">
        <v>46254</v>
      </c>
      <c r="E300" s="2" t="str">
        <f aca="false">TEXT(D300,"dddd")</f>
        <v>Thursday</v>
      </c>
      <c r="F300" s="2" t="s">
        <v>457</v>
      </c>
      <c r="G300" s="2" t="s">
        <v>458</v>
      </c>
      <c r="H300" s="2" t="s">
        <v>459</v>
      </c>
      <c r="I300" s="2" t="n">
        <f aca="false">IF(F300="Present",9,IF(F300="Half Day",4,0))</f>
        <v>9</v>
      </c>
      <c r="J300" s="2"/>
      <c r="K300" s="2"/>
    </row>
    <row r="301" customFormat="false" ht="15" hidden="false" customHeight="false" outlineLevel="0" collapsed="false">
      <c r="A301" s="2" t="s">
        <v>55</v>
      </c>
      <c r="B301" s="2" t="s">
        <v>56</v>
      </c>
      <c r="C301" s="2" t="s">
        <v>57</v>
      </c>
      <c r="D301" s="3" t="n">
        <v>46255</v>
      </c>
      <c r="E301" s="2" t="str">
        <f aca="false">TEXT(D301,"dddd")</f>
        <v>Friday</v>
      </c>
      <c r="F301" s="2" t="s">
        <v>457</v>
      </c>
      <c r="G301" s="2" t="s">
        <v>458</v>
      </c>
      <c r="H301" s="2" t="s">
        <v>459</v>
      </c>
      <c r="I301" s="2" t="n">
        <f aca="false">IF(F301="Present",9,IF(F301="Half Day",4,0))</f>
        <v>9</v>
      </c>
      <c r="J301" s="2"/>
      <c r="K301" s="2"/>
    </row>
    <row r="302" customFormat="false" ht="15" hidden="false" customHeight="false" outlineLevel="0" collapsed="false">
      <c r="A302" s="2" t="s">
        <v>55</v>
      </c>
      <c r="B302" s="2" t="s">
        <v>56</v>
      </c>
      <c r="C302" s="2" t="s">
        <v>57</v>
      </c>
      <c r="D302" s="3" t="n">
        <v>46256</v>
      </c>
      <c r="E302" s="2" t="str">
        <f aca="false">TEXT(D302,"dddd")</f>
        <v>Saturday</v>
      </c>
      <c r="F302" s="2" t="s">
        <v>457</v>
      </c>
      <c r="G302" s="2" t="s">
        <v>458</v>
      </c>
      <c r="H302" s="2" t="s">
        <v>459</v>
      </c>
      <c r="I302" s="2" t="n">
        <f aca="false">IF(F302="Present",9,IF(F302="Half Day",4,0))</f>
        <v>9</v>
      </c>
      <c r="J302" s="2"/>
      <c r="K302" s="2"/>
    </row>
    <row r="303" customFormat="false" ht="15" hidden="false" customHeight="false" outlineLevel="0" collapsed="false">
      <c r="A303" s="2" t="s">
        <v>55</v>
      </c>
      <c r="B303" s="2" t="s">
        <v>56</v>
      </c>
      <c r="C303" s="2" t="s">
        <v>57</v>
      </c>
      <c r="D303" s="3" t="n">
        <v>46257</v>
      </c>
      <c r="E303" s="2" t="str">
        <f aca="false">TEXT(D303,"dddd")</f>
        <v>Sunday</v>
      </c>
      <c r="F303" s="2" t="s">
        <v>460</v>
      </c>
      <c r="G303" s="2"/>
      <c r="H303" s="2"/>
      <c r="I303" s="2" t="n">
        <f aca="false">IF(F303="Present",9,IF(F303="Half Day",4,0))</f>
        <v>0</v>
      </c>
      <c r="J303" s="2"/>
      <c r="K303" s="2" t="s">
        <v>460</v>
      </c>
    </row>
    <row r="304" customFormat="false" ht="15" hidden="false" customHeight="false" outlineLevel="0" collapsed="false">
      <c r="A304" s="2" t="s">
        <v>55</v>
      </c>
      <c r="B304" s="2" t="s">
        <v>56</v>
      </c>
      <c r="C304" s="2" t="s">
        <v>57</v>
      </c>
      <c r="D304" s="3" t="n">
        <v>46258</v>
      </c>
      <c r="E304" s="2" t="str">
        <f aca="false">TEXT(D304,"dddd")</f>
        <v>Monday</v>
      </c>
      <c r="F304" s="2" t="s">
        <v>457</v>
      </c>
      <c r="G304" s="2" t="s">
        <v>458</v>
      </c>
      <c r="H304" s="2" t="s">
        <v>459</v>
      </c>
      <c r="I304" s="2" t="n">
        <f aca="false">IF(F304="Present",9,IF(F304="Half Day",4,0))</f>
        <v>9</v>
      </c>
      <c r="J304" s="2"/>
      <c r="K304" s="2"/>
    </row>
    <row r="305" customFormat="false" ht="15" hidden="false" customHeight="false" outlineLevel="0" collapsed="false">
      <c r="A305" s="2" t="s">
        <v>55</v>
      </c>
      <c r="B305" s="2" t="s">
        <v>56</v>
      </c>
      <c r="C305" s="2" t="s">
        <v>57</v>
      </c>
      <c r="D305" s="3" t="n">
        <v>46259</v>
      </c>
      <c r="E305" s="2" t="str">
        <f aca="false">TEXT(D305,"dddd")</f>
        <v>Tuesday</v>
      </c>
      <c r="F305" s="2" t="s">
        <v>463</v>
      </c>
      <c r="G305" s="2"/>
      <c r="H305" s="2"/>
      <c r="I305" s="2" t="n">
        <f aca="false">IF(F305="Present",9,IF(F305="Half Day",4,0))</f>
        <v>0</v>
      </c>
      <c r="J305" s="2" t="s">
        <v>464</v>
      </c>
      <c r="K305" s="2" t="s">
        <v>465</v>
      </c>
    </row>
    <row r="306" customFormat="false" ht="15" hidden="false" customHeight="false" outlineLevel="0" collapsed="false">
      <c r="A306" s="2" t="s">
        <v>55</v>
      </c>
      <c r="B306" s="2" t="s">
        <v>56</v>
      </c>
      <c r="C306" s="2" t="s">
        <v>57</v>
      </c>
      <c r="D306" s="3" t="n">
        <v>46260</v>
      </c>
      <c r="E306" s="2" t="str">
        <f aca="false">TEXT(D306,"dddd")</f>
        <v>Wednesday</v>
      </c>
      <c r="F306" s="2" t="s">
        <v>457</v>
      </c>
      <c r="G306" s="2" t="s">
        <v>458</v>
      </c>
      <c r="H306" s="2" t="s">
        <v>459</v>
      </c>
      <c r="I306" s="2" t="n">
        <f aca="false">IF(F306="Present",9,IF(F306="Half Day",4,0))</f>
        <v>9</v>
      </c>
      <c r="J306" s="2"/>
      <c r="K306" s="2"/>
    </row>
    <row r="307" customFormat="false" ht="15" hidden="false" customHeight="false" outlineLevel="0" collapsed="false">
      <c r="A307" s="2" t="s">
        <v>55</v>
      </c>
      <c r="B307" s="2" t="s">
        <v>56</v>
      </c>
      <c r="C307" s="2" t="s">
        <v>57</v>
      </c>
      <c r="D307" s="3" t="n">
        <v>46261</v>
      </c>
      <c r="E307" s="2" t="str">
        <f aca="false">TEXT(D307,"dddd")</f>
        <v>Thursday</v>
      </c>
      <c r="F307" s="2" t="s">
        <v>457</v>
      </c>
      <c r="G307" s="2" t="s">
        <v>458</v>
      </c>
      <c r="H307" s="2" t="s">
        <v>459</v>
      </c>
      <c r="I307" s="2" t="n">
        <f aca="false">IF(F307="Present",9,IF(F307="Half Day",4,0))</f>
        <v>9</v>
      </c>
      <c r="J307" s="2"/>
      <c r="K307" s="2"/>
    </row>
    <row r="308" customFormat="false" ht="15" hidden="false" customHeight="false" outlineLevel="0" collapsed="false">
      <c r="A308" s="2" t="s">
        <v>55</v>
      </c>
      <c r="B308" s="2" t="s">
        <v>56</v>
      </c>
      <c r="C308" s="2" t="s">
        <v>57</v>
      </c>
      <c r="D308" s="3" t="n">
        <v>46262</v>
      </c>
      <c r="E308" s="2" t="str">
        <f aca="false">TEXT(D308,"dddd")</f>
        <v>Friday</v>
      </c>
      <c r="F308" s="2" t="s">
        <v>461</v>
      </c>
      <c r="G308" s="2"/>
      <c r="H308" s="2"/>
      <c r="I308" s="2" t="n">
        <f aca="false">IF(F308="Present",9,IF(F308="Half Day",4,0))</f>
        <v>0</v>
      </c>
      <c r="J308" s="2"/>
      <c r="K308" s="2" t="s">
        <v>462</v>
      </c>
    </row>
    <row r="309" customFormat="false" ht="15" hidden="false" customHeight="false" outlineLevel="0" collapsed="false">
      <c r="A309" s="2" t="s">
        <v>55</v>
      </c>
      <c r="B309" s="2" t="s">
        <v>56</v>
      </c>
      <c r="C309" s="2" t="s">
        <v>57</v>
      </c>
      <c r="D309" s="3" t="n">
        <v>46263</v>
      </c>
      <c r="E309" s="2" t="str">
        <f aca="false">TEXT(D309,"dddd")</f>
        <v>Saturday</v>
      </c>
      <c r="F309" s="2" t="s">
        <v>457</v>
      </c>
      <c r="G309" s="2" t="s">
        <v>458</v>
      </c>
      <c r="H309" s="2" t="s">
        <v>459</v>
      </c>
      <c r="I309" s="2" t="n">
        <f aca="false">IF(F309="Present",9,IF(F309="Half Day",4,0))</f>
        <v>9</v>
      </c>
      <c r="J309" s="2"/>
      <c r="K309" s="2"/>
    </row>
    <row r="310" customFormat="false" ht="15" hidden="false" customHeight="false" outlineLevel="0" collapsed="false">
      <c r="A310" s="2" t="s">
        <v>55</v>
      </c>
      <c r="B310" s="2" t="s">
        <v>56</v>
      </c>
      <c r="C310" s="2" t="s">
        <v>57</v>
      </c>
      <c r="D310" s="3" t="n">
        <v>46264</v>
      </c>
      <c r="E310" s="2" t="str">
        <f aca="false">TEXT(D310,"dddd")</f>
        <v>Sunday</v>
      </c>
      <c r="F310" s="2" t="s">
        <v>460</v>
      </c>
      <c r="G310" s="2"/>
      <c r="H310" s="2"/>
      <c r="I310" s="2" t="n">
        <f aca="false">IF(F310="Present",9,IF(F310="Half Day",4,0))</f>
        <v>0</v>
      </c>
      <c r="J310" s="2"/>
      <c r="K310" s="2" t="s">
        <v>460</v>
      </c>
    </row>
    <row r="311" customFormat="false" ht="15" hidden="false" customHeight="false" outlineLevel="0" collapsed="false">
      <c r="A311" s="2" t="s">
        <v>55</v>
      </c>
      <c r="B311" s="2" t="s">
        <v>56</v>
      </c>
      <c r="C311" s="2" t="s">
        <v>57</v>
      </c>
      <c r="D311" s="3" t="n">
        <v>46265</v>
      </c>
      <c r="E311" s="2" t="str">
        <f aca="false">TEXT(D311,"dddd")</f>
        <v>Monday</v>
      </c>
      <c r="F311" s="2" t="s">
        <v>457</v>
      </c>
      <c r="G311" s="2" t="s">
        <v>458</v>
      </c>
      <c r="H311" s="2" t="s">
        <v>459</v>
      </c>
      <c r="I311" s="2" t="n">
        <f aca="false">IF(F311="Present",9,IF(F311="Half Day",4,0))</f>
        <v>9</v>
      </c>
      <c r="J311" s="2"/>
      <c r="K311" s="2"/>
    </row>
    <row r="312" customFormat="false" ht="15" hidden="false" customHeight="false" outlineLevel="0" collapsed="false">
      <c r="A312" s="2" t="s">
        <v>59</v>
      </c>
      <c r="B312" s="2" t="s">
        <v>60</v>
      </c>
      <c r="C312" s="2" t="s">
        <v>17</v>
      </c>
      <c r="D312" s="3" t="n">
        <v>46235</v>
      </c>
      <c r="E312" s="2" t="str">
        <f aca="false">TEXT(D312,"dddd")</f>
        <v>Saturday</v>
      </c>
      <c r="F312" s="2" t="s">
        <v>457</v>
      </c>
      <c r="G312" s="2" t="s">
        <v>458</v>
      </c>
      <c r="H312" s="2" t="s">
        <v>459</v>
      </c>
      <c r="I312" s="2" t="n">
        <f aca="false">IF(F312="Present",9,IF(F312="Half Day",4,0))</f>
        <v>9</v>
      </c>
      <c r="J312" s="2"/>
      <c r="K312" s="2"/>
    </row>
    <row r="313" customFormat="false" ht="15" hidden="false" customHeight="false" outlineLevel="0" collapsed="false">
      <c r="A313" s="2" t="s">
        <v>59</v>
      </c>
      <c r="B313" s="2" t="s">
        <v>60</v>
      </c>
      <c r="C313" s="2" t="s">
        <v>17</v>
      </c>
      <c r="D313" s="3" t="n">
        <v>46236</v>
      </c>
      <c r="E313" s="2" t="str">
        <f aca="false">TEXT(D313,"dddd")</f>
        <v>Sunday</v>
      </c>
      <c r="F313" s="2" t="s">
        <v>460</v>
      </c>
      <c r="G313" s="2"/>
      <c r="H313" s="2"/>
      <c r="I313" s="2" t="n">
        <f aca="false">IF(F313="Present",9,IF(F313="Half Day",4,0))</f>
        <v>0</v>
      </c>
      <c r="J313" s="2"/>
      <c r="K313" s="2" t="s">
        <v>460</v>
      </c>
    </row>
    <row r="314" customFormat="false" ht="15" hidden="false" customHeight="false" outlineLevel="0" collapsed="false">
      <c r="A314" s="2" t="s">
        <v>59</v>
      </c>
      <c r="B314" s="2" t="s">
        <v>60</v>
      </c>
      <c r="C314" s="2" t="s">
        <v>17</v>
      </c>
      <c r="D314" s="3" t="n">
        <v>46237</v>
      </c>
      <c r="E314" s="2" t="str">
        <f aca="false">TEXT(D314,"dddd")</f>
        <v>Monday</v>
      </c>
      <c r="F314" s="2" t="s">
        <v>457</v>
      </c>
      <c r="G314" s="2" t="s">
        <v>458</v>
      </c>
      <c r="H314" s="2" t="s">
        <v>459</v>
      </c>
      <c r="I314" s="2" t="n">
        <f aca="false">IF(F314="Present",9,IF(F314="Half Day",4,0))</f>
        <v>9</v>
      </c>
      <c r="J314" s="2"/>
      <c r="K314" s="2"/>
    </row>
    <row r="315" customFormat="false" ht="15" hidden="false" customHeight="false" outlineLevel="0" collapsed="false">
      <c r="A315" s="2" t="s">
        <v>59</v>
      </c>
      <c r="B315" s="2" t="s">
        <v>60</v>
      </c>
      <c r="C315" s="2" t="s">
        <v>17</v>
      </c>
      <c r="D315" s="3" t="n">
        <v>46238</v>
      </c>
      <c r="E315" s="2" t="str">
        <f aca="false">TEXT(D315,"dddd")</f>
        <v>Tuesday</v>
      </c>
      <c r="F315" s="2" t="s">
        <v>457</v>
      </c>
      <c r="G315" s="2" t="s">
        <v>458</v>
      </c>
      <c r="H315" s="2" t="s">
        <v>459</v>
      </c>
      <c r="I315" s="2" t="n">
        <f aca="false">IF(F315="Present",9,IF(F315="Half Day",4,0))</f>
        <v>9</v>
      </c>
      <c r="J315" s="2"/>
      <c r="K315" s="2"/>
    </row>
    <row r="316" customFormat="false" ht="15" hidden="false" customHeight="false" outlineLevel="0" collapsed="false">
      <c r="A316" s="2" t="s">
        <v>59</v>
      </c>
      <c r="B316" s="2" t="s">
        <v>60</v>
      </c>
      <c r="C316" s="2" t="s">
        <v>17</v>
      </c>
      <c r="D316" s="3" t="n">
        <v>46239</v>
      </c>
      <c r="E316" s="2" t="str">
        <f aca="false">TEXT(D316,"dddd")</f>
        <v>Wednesday</v>
      </c>
      <c r="F316" s="2" t="s">
        <v>457</v>
      </c>
      <c r="G316" s="2" t="s">
        <v>458</v>
      </c>
      <c r="H316" s="2" t="s">
        <v>459</v>
      </c>
      <c r="I316" s="2" t="n">
        <f aca="false">IF(F316="Present",9,IF(F316="Half Day",4,0))</f>
        <v>9</v>
      </c>
      <c r="J316" s="2"/>
      <c r="K316" s="2"/>
    </row>
    <row r="317" customFormat="false" ht="15" hidden="false" customHeight="false" outlineLevel="0" collapsed="false">
      <c r="A317" s="2" t="s">
        <v>59</v>
      </c>
      <c r="B317" s="2" t="s">
        <v>60</v>
      </c>
      <c r="C317" s="2" t="s">
        <v>17</v>
      </c>
      <c r="D317" s="3" t="n">
        <v>46240</v>
      </c>
      <c r="E317" s="2" t="str">
        <f aca="false">TEXT(D317,"dddd")</f>
        <v>Thursday</v>
      </c>
      <c r="F317" s="2" t="s">
        <v>457</v>
      </c>
      <c r="G317" s="2" t="s">
        <v>458</v>
      </c>
      <c r="H317" s="2" t="s">
        <v>459</v>
      </c>
      <c r="I317" s="2" t="n">
        <f aca="false">IF(F317="Present",9,IF(F317="Half Day",4,0))</f>
        <v>9</v>
      </c>
      <c r="J317" s="2"/>
      <c r="K317" s="2"/>
    </row>
    <row r="318" customFormat="false" ht="15" hidden="false" customHeight="false" outlineLevel="0" collapsed="false">
      <c r="A318" s="2" t="s">
        <v>59</v>
      </c>
      <c r="B318" s="2" t="s">
        <v>60</v>
      </c>
      <c r="C318" s="2" t="s">
        <v>17</v>
      </c>
      <c r="D318" s="3" t="n">
        <v>46241</v>
      </c>
      <c r="E318" s="2" t="str">
        <f aca="false">TEXT(D318,"dddd")</f>
        <v>Friday</v>
      </c>
      <c r="F318" s="2" t="s">
        <v>457</v>
      </c>
      <c r="G318" s="2" t="s">
        <v>458</v>
      </c>
      <c r="H318" s="2" t="s">
        <v>459</v>
      </c>
      <c r="I318" s="2" t="n">
        <f aca="false">IF(F318="Present",9,IF(F318="Half Day",4,0))</f>
        <v>9</v>
      </c>
      <c r="J318" s="2"/>
      <c r="K318" s="2"/>
    </row>
    <row r="319" customFormat="false" ht="15" hidden="false" customHeight="false" outlineLevel="0" collapsed="false">
      <c r="A319" s="2" t="s">
        <v>59</v>
      </c>
      <c r="B319" s="2" t="s">
        <v>60</v>
      </c>
      <c r="C319" s="2" t="s">
        <v>17</v>
      </c>
      <c r="D319" s="3" t="n">
        <v>46242</v>
      </c>
      <c r="E319" s="2" t="str">
        <f aca="false">TEXT(D319,"dddd")</f>
        <v>Saturday</v>
      </c>
      <c r="F319" s="2" t="s">
        <v>457</v>
      </c>
      <c r="G319" s="2" t="s">
        <v>458</v>
      </c>
      <c r="H319" s="2" t="s">
        <v>459</v>
      </c>
      <c r="I319" s="2" t="n">
        <f aca="false">IF(F319="Present",9,IF(F319="Half Day",4,0))</f>
        <v>9</v>
      </c>
      <c r="J319" s="2"/>
      <c r="K319" s="2"/>
    </row>
    <row r="320" customFormat="false" ht="15" hidden="false" customHeight="false" outlineLevel="0" collapsed="false">
      <c r="A320" s="2" t="s">
        <v>59</v>
      </c>
      <c r="B320" s="2" t="s">
        <v>60</v>
      </c>
      <c r="C320" s="2" t="s">
        <v>17</v>
      </c>
      <c r="D320" s="3" t="n">
        <v>46243</v>
      </c>
      <c r="E320" s="2" t="str">
        <f aca="false">TEXT(D320,"dddd")</f>
        <v>Sunday</v>
      </c>
      <c r="F320" s="2" t="s">
        <v>460</v>
      </c>
      <c r="G320" s="2"/>
      <c r="H320" s="2"/>
      <c r="I320" s="2" t="n">
        <f aca="false">IF(F320="Present",9,IF(F320="Half Day",4,0))</f>
        <v>0</v>
      </c>
      <c r="J320" s="2"/>
      <c r="K320" s="2" t="s">
        <v>460</v>
      </c>
    </row>
    <row r="321" customFormat="false" ht="15" hidden="false" customHeight="false" outlineLevel="0" collapsed="false">
      <c r="A321" s="2" t="s">
        <v>59</v>
      </c>
      <c r="B321" s="2" t="s">
        <v>60</v>
      </c>
      <c r="C321" s="2" t="s">
        <v>17</v>
      </c>
      <c r="D321" s="3" t="n">
        <v>46244</v>
      </c>
      <c r="E321" s="2" t="str">
        <f aca="false">TEXT(D321,"dddd")</f>
        <v>Monday</v>
      </c>
      <c r="F321" s="2" t="s">
        <v>463</v>
      </c>
      <c r="G321" s="2"/>
      <c r="H321" s="2"/>
      <c r="I321" s="2" t="n">
        <f aca="false">IF(F321="Present",9,IF(F321="Half Day",4,0))</f>
        <v>0</v>
      </c>
      <c r="J321" s="2" t="s">
        <v>468</v>
      </c>
      <c r="K321" s="2" t="s">
        <v>469</v>
      </c>
    </row>
    <row r="322" customFormat="false" ht="15" hidden="false" customHeight="false" outlineLevel="0" collapsed="false">
      <c r="A322" s="2" t="s">
        <v>59</v>
      </c>
      <c r="B322" s="2" t="s">
        <v>60</v>
      </c>
      <c r="C322" s="2" t="s">
        <v>17</v>
      </c>
      <c r="D322" s="3" t="n">
        <v>46245</v>
      </c>
      <c r="E322" s="2" t="str">
        <f aca="false">TEXT(D322,"dddd")</f>
        <v>Tuesday</v>
      </c>
      <c r="F322" s="2" t="s">
        <v>457</v>
      </c>
      <c r="G322" s="2" t="s">
        <v>458</v>
      </c>
      <c r="H322" s="2" t="s">
        <v>459</v>
      </c>
      <c r="I322" s="2" t="n">
        <f aca="false">IF(F322="Present",9,IF(F322="Half Day",4,0))</f>
        <v>9</v>
      </c>
      <c r="J322" s="2"/>
      <c r="K322" s="2"/>
    </row>
    <row r="323" customFormat="false" ht="15" hidden="false" customHeight="false" outlineLevel="0" collapsed="false">
      <c r="A323" s="2" t="s">
        <v>59</v>
      </c>
      <c r="B323" s="2" t="s">
        <v>60</v>
      </c>
      <c r="C323" s="2" t="s">
        <v>17</v>
      </c>
      <c r="D323" s="3" t="n">
        <v>46246</v>
      </c>
      <c r="E323" s="2" t="str">
        <f aca="false">TEXT(D323,"dddd")</f>
        <v>Wednesday</v>
      </c>
      <c r="F323" s="2" t="s">
        <v>457</v>
      </c>
      <c r="G323" s="2" t="s">
        <v>458</v>
      </c>
      <c r="H323" s="2" t="s">
        <v>459</v>
      </c>
      <c r="I323" s="2" t="n">
        <f aca="false">IF(F323="Present",9,IF(F323="Half Day",4,0))</f>
        <v>9</v>
      </c>
      <c r="J323" s="2"/>
      <c r="K323" s="2"/>
    </row>
    <row r="324" customFormat="false" ht="15" hidden="false" customHeight="false" outlineLevel="0" collapsed="false">
      <c r="A324" s="2" t="s">
        <v>59</v>
      </c>
      <c r="B324" s="2" t="s">
        <v>60</v>
      </c>
      <c r="C324" s="2" t="s">
        <v>17</v>
      </c>
      <c r="D324" s="3" t="n">
        <v>46247</v>
      </c>
      <c r="E324" s="2" t="str">
        <f aca="false">TEXT(D324,"dddd")</f>
        <v>Thursday</v>
      </c>
      <c r="F324" s="2" t="s">
        <v>457</v>
      </c>
      <c r="G324" s="2" t="s">
        <v>458</v>
      </c>
      <c r="H324" s="2" t="s">
        <v>459</v>
      </c>
      <c r="I324" s="2" t="n">
        <f aca="false">IF(F324="Present",9,IF(F324="Half Day",4,0))</f>
        <v>9</v>
      </c>
      <c r="J324" s="2"/>
      <c r="K324" s="2"/>
    </row>
    <row r="325" customFormat="false" ht="15" hidden="false" customHeight="false" outlineLevel="0" collapsed="false">
      <c r="A325" s="2" t="s">
        <v>59</v>
      </c>
      <c r="B325" s="2" t="s">
        <v>60</v>
      </c>
      <c r="C325" s="2" t="s">
        <v>17</v>
      </c>
      <c r="D325" s="3" t="n">
        <v>46248</v>
      </c>
      <c r="E325" s="2" t="str">
        <f aca="false">TEXT(D325,"dddd")</f>
        <v>Friday</v>
      </c>
      <c r="F325" s="2" t="s">
        <v>461</v>
      </c>
      <c r="G325" s="2"/>
      <c r="H325" s="2"/>
      <c r="I325" s="2" t="n">
        <f aca="false">IF(F325="Present",9,IF(F325="Half Day",4,0))</f>
        <v>0</v>
      </c>
      <c r="J325" s="2"/>
      <c r="K325" s="2" t="s">
        <v>462</v>
      </c>
    </row>
    <row r="326" customFormat="false" ht="15" hidden="false" customHeight="false" outlineLevel="0" collapsed="false">
      <c r="A326" s="2" t="s">
        <v>59</v>
      </c>
      <c r="B326" s="2" t="s">
        <v>60</v>
      </c>
      <c r="C326" s="2" t="s">
        <v>17</v>
      </c>
      <c r="D326" s="3" t="n">
        <v>46249</v>
      </c>
      <c r="E326" s="2" t="str">
        <f aca="false">TEXT(D326,"dddd")</f>
        <v>Saturday</v>
      </c>
      <c r="F326" s="2" t="s">
        <v>457</v>
      </c>
      <c r="G326" s="2" t="s">
        <v>458</v>
      </c>
      <c r="H326" s="2" t="s">
        <v>459</v>
      </c>
      <c r="I326" s="2" t="n">
        <f aca="false">IF(F326="Present",9,IF(F326="Half Day",4,0))</f>
        <v>9</v>
      </c>
      <c r="J326" s="2"/>
      <c r="K326" s="2"/>
    </row>
    <row r="327" customFormat="false" ht="15" hidden="false" customHeight="false" outlineLevel="0" collapsed="false">
      <c r="A327" s="2" t="s">
        <v>59</v>
      </c>
      <c r="B327" s="2" t="s">
        <v>60</v>
      </c>
      <c r="C327" s="2" t="s">
        <v>17</v>
      </c>
      <c r="D327" s="3" t="n">
        <v>46250</v>
      </c>
      <c r="E327" s="2" t="str">
        <f aca="false">TEXT(D327,"dddd")</f>
        <v>Sunday</v>
      </c>
      <c r="F327" s="2" t="s">
        <v>460</v>
      </c>
      <c r="G327" s="2"/>
      <c r="H327" s="2"/>
      <c r="I327" s="2" t="n">
        <f aca="false">IF(F327="Present",9,IF(F327="Half Day",4,0))</f>
        <v>0</v>
      </c>
      <c r="J327" s="2"/>
      <c r="K327" s="2" t="s">
        <v>460</v>
      </c>
    </row>
    <row r="328" customFormat="false" ht="15" hidden="false" customHeight="false" outlineLevel="0" collapsed="false">
      <c r="A328" s="2" t="s">
        <v>59</v>
      </c>
      <c r="B328" s="2" t="s">
        <v>60</v>
      </c>
      <c r="C328" s="2" t="s">
        <v>17</v>
      </c>
      <c r="D328" s="3" t="n">
        <v>46251</v>
      </c>
      <c r="E328" s="2" t="str">
        <f aca="false">TEXT(D328,"dddd")</f>
        <v>Monday</v>
      </c>
      <c r="F328" s="2" t="s">
        <v>457</v>
      </c>
      <c r="G328" s="2" t="s">
        <v>458</v>
      </c>
      <c r="H328" s="2" t="s">
        <v>459</v>
      </c>
      <c r="I328" s="2" t="n">
        <f aca="false">IF(F328="Present",9,IF(F328="Half Day",4,0))</f>
        <v>9</v>
      </c>
      <c r="J328" s="2"/>
      <c r="K328" s="2"/>
    </row>
    <row r="329" customFormat="false" ht="15" hidden="false" customHeight="false" outlineLevel="0" collapsed="false">
      <c r="A329" s="2" t="s">
        <v>59</v>
      </c>
      <c r="B329" s="2" t="s">
        <v>60</v>
      </c>
      <c r="C329" s="2" t="s">
        <v>17</v>
      </c>
      <c r="D329" s="3" t="n">
        <v>46252</v>
      </c>
      <c r="E329" s="2" t="str">
        <f aca="false">TEXT(D329,"dddd")</f>
        <v>Tuesday</v>
      </c>
      <c r="F329" s="2" t="s">
        <v>457</v>
      </c>
      <c r="G329" s="2" t="s">
        <v>458</v>
      </c>
      <c r="H329" s="2" t="s">
        <v>459</v>
      </c>
      <c r="I329" s="2" t="n">
        <f aca="false">IF(F329="Present",9,IF(F329="Half Day",4,0))</f>
        <v>9</v>
      </c>
      <c r="J329" s="2"/>
      <c r="K329" s="2"/>
    </row>
    <row r="330" customFormat="false" ht="15" hidden="false" customHeight="false" outlineLevel="0" collapsed="false">
      <c r="A330" s="2" t="s">
        <v>59</v>
      </c>
      <c r="B330" s="2" t="s">
        <v>60</v>
      </c>
      <c r="C330" s="2" t="s">
        <v>17</v>
      </c>
      <c r="D330" s="3" t="n">
        <v>46253</v>
      </c>
      <c r="E330" s="2" t="str">
        <f aca="false">TEXT(D330,"dddd")</f>
        <v>Wednesday</v>
      </c>
      <c r="F330" s="2" t="s">
        <v>457</v>
      </c>
      <c r="G330" s="2" t="s">
        <v>458</v>
      </c>
      <c r="H330" s="2" t="s">
        <v>459</v>
      </c>
      <c r="I330" s="2" t="n">
        <f aca="false">IF(F330="Present",9,IF(F330="Half Day",4,0))</f>
        <v>9</v>
      </c>
      <c r="J330" s="2"/>
      <c r="K330" s="2"/>
    </row>
    <row r="331" customFormat="false" ht="15" hidden="false" customHeight="false" outlineLevel="0" collapsed="false">
      <c r="A331" s="2" t="s">
        <v>59</v>
      </c>
      <c r="B331" s="2" t="s">
        <v>60</v>
      </c>
      <c r="C331" s="2" t="s">
        <v>17</v>
      </c>
      <c r="D331" s="3" t="n">
        <v>46254</v>
      </c>
      <c r="E331" s="2" t="str">
        <f aca="false">TEXT(D331,"dddd")</f>
        <v>Thursday</v>
      </c>
      <c r="F331" s="2" t="s">
        <v>457</v>
      </c>
      <c r="G331" s="2" t="s">
        <v>458</v>
      </c>
      <c r="H331" s="2" t="s">
        <v>459</v>
      </c>
      <c r="I331" s="2" t="n">
        <f aca="false">IF(F331="Present",9,IF(F331="Half Day",4,0))</f>
        <v>9</v>
      </c>
      <c r="J331" s="2"/>
      <c r="K331" s="2"/>
    </row>
    <row r="332" customFormat="false" ht="15" hidden="false" customHeight="false" outlineLevel="0" collapsed="false">
      <c r="A332" s="2" t="s">
        <v>59</v>
      </c>
      <c r="B332" s="2" t="s">
        <v>60</v>
      </c>
      <c r="C332" s="2" t="s">
        <v>17</v>
      </c>
      <c r="D332" s="3" t="n">
        <v>46255</v>
      </c>
      <c r="E332" s="2" t="str">
        <f aca="false">TEXT(D332,"dddd")</f>
        <v>Friday</v>
      </c>
      <c r="F332" s="2" t="s">
        <v>457</v>
      </c>
      <c r="G332" s="2" t="s">
        <v>458</v>
      </c>
      <c r="H332" s="2" t="s">
        <v>459</v>
      </c>
      <c r="I332" s="2" t="n">
        <f aca="false">IF(F332="Present",9,IF(F332="Half Day",4,0))</f>
        <v>9</v>
      </c>
      <c r="J332" s="2"/>
      <c r="K332" s="2"/>
    </row>
    <row r="333" customFormat="false" ht="15" hidden="false" customHeight="false" outlineLevel="0" collapsed="false">
      <c r="A333" s="2" t="s">
        <v>59</v>
      </c>
      <c r="B333" s="2" t="s">
        <v>60</v>
      </c>
      <c r="C333" s="2" t="s">
        <v>17</v>
      </c>
      <c r="D333" s="3" t="n">
        <v>46256</v>
      </c>
      <c r="E333" s="2" t="str">
        <f aca="false">TEXT(D333,"dddd")</f>
        <v>Saturday</v>
      </c>
      <c r="F333" s="2" t="s">
        <v>457</v>
      </c>
      <c r="G333" s="2" t="s">
        <v>458</v>
      </c>
      <c r="H333" s="2" t="s">
        <v>459</v>
      </c>
      <c r="I333" s="2" t="n">
        <f aca="false">IF(F333="Present",9,IF(F333="Half Day",4,0))</f>
        <v>9</v>
      </c>
      <c r="J333" s="2"/>
      <c r="K333" s="2"/>
    </row>
    <row r="334" customFormat="false" ht="15" hidden="false" customHeight="false" outlineLevel="0" collapsed="false">
      <c r="A334" s="2" t="s">
        <v>59</v>
      </c>
      <c r="B334" s="2" t="s">
        <v>60</v>
      </c>
      <c r="C334" s="2" t="s">
        <v>17</v>
      </c>
      <c r="D334" s="3" t="n">
        <v>46257</v>
      </c>
      <c r="E334" s="2" t="str">
        <f aca="false">TEXT(D334,"dddd")</f>
        <v>Sunday</v>
      </c>
      <c r="F334" s="2" t="s">
        <v>460</v>
      </c>
      <c r="G334" s="2"/>
      <c r="H334" s="2"/>
      <c r="I334" s="2" t="n">
        <f aca="false">IF(F334="Present",9,IF(F334="Half Day",4,0))</f>
        <v>0</v>
      </c>
      <c r="J334" s="2"/>
      <c r="K334" s="2" t="s">
        <v>460</v>
      </c>
    </row>
    <row r="335" customFormat="false" ht="15" hidden="false" customHeight="false" outlineLevel="0" collapsed="false">
      <c r="A335" s="2" t="s">
        <v>59</v>
      </c>
      <c r="B335" s="2" t="s">
        <v>60</v>
      </c>
      <c r="C335" s="2" t="s">
        <v>17</v>
      </c>
      <c r="D335" s="3" t="n">
        <v>46258</v>
      </c>
      <c r="E335" s="2" t="str">
        <f aca="false">TEXT(D335,"dddd")</f>
        <v>Monday</v>
      </c>
      <c r="F335" s="2" t="s">
        <v>457</v>
      </c>
      <c r="G335" s="2" t="s">
        <v>458</v>
      </c>
      <c r="H335" s="2" t="s">
        <v>459</v>
      </c>
      <c r="I335" s="2" t="n">
        <f aca="false">IF(F335="Present",9,IF(F335="Half Day",4,0))</f>
        <v>9</v>
      </c>
      <c r="J335" s="2"/>
      <c r="K335" s="2"/>
    </row>
    <row r="336" customFormat="false" ht="15" hidden="false" customHeight="false" outlineLevel="0" collapsed="false">
      <c r="A336" s="2" t="s">
        <v>59</v>
      </c>
      <c r="B336" s="2" t="s">
        <v>60</v>
      </c>
      <c r="C336" s="2" t="s">
        <v>17</v>
      </c>
      <c r="D336" s="3" t="n">
        <v>46259</v>
      </c>
      <c r="E336" s="2" t="str">
        <f aca="false">TEXT(D336,"dddd")</f>
        <v>Tuesday</v>
      </c>
      <c r="F336" s="2" t="s">
        <v>457</v>
      </c>
      <c r="G336" s="2" t="s">
        <v>458</v>
      </c>
      <c r="H336" s="2" t="s">
        <v>459</v>
      </c>
      <c r="I336" s="2" t="n">
        <f aca="false">IF(F336="Present",9,IF(F336="Half Day",4,0))</f>
        <v>9</v>
      </c>
      <c r="J336" s="2"/>
      <c r="K336" s="2"/>
    </row>
    <row r="337" customFormat="false" ht="15" hidden="false" customHeight="false" outlineLevel="0" collapsed="false">
      <c r="A337" s="2" t="s">
        <v>59</v>
      </c>
      <c r="B337" s="2" t="s">
        <v>60</v>
      </c>
      <c r="C337" s="2" t="s">
        <v>17</v>
      </c>
      <c r="D337" s="3" t="n">
        <v>46260</v>
      </c>
      <c r="E337" s="2" t="str">
        <f aca="false">TEXT(D337,"dddd")</f>
        <v>Wednesday</v>
      </c>
      <c r="F337" s="2" t="s">
        <v>457</v>
      </c>
      <c r="G337" s="2" t="s">
        <v>458</v>
      </c>
      <c r="H337" s="2" t="s">
        <v>459</v>
      </c>
      <c r="I337" s="2" t="n">
        <f aca="false">IF(F337="Present",9,IF(F337="Half Day",4,0))</f>
        <v>9</v>
      </c>
      <c r="J337" s="2"/>
      <c r="K337" s="2"/>
    </row>
    <row r="338" customFormat="false" ht="15" hidden="false" customHeight="false" outlineLevel="0" collapsed="false">
      <c r="A338" s="2" t="s">
        <v>59</v>
      </c>
      <c r="B338" s="2" t="s">
        <v>60</v>
      </c>
      <c r="C338" s="2" t="s">
        <v>17</v>
      </c>
      <c r="D338" s="3" t="n">
        <v>46261</v>
      </c>
      <c r="E338" s="2" t="str">
        <f aca="false">TEXT(D338,"dddd")</f>
        <v>Thursday</v>
      </c>
      <c r="F338" s="2" t="s">
        <v>457</v>
      </c>
      <c r="G338" s="2" t="s">
        <v>458</v>
      </c>
      <c r="H338" s="2" t="s">
        <v>459</v>
      </c>
      <c r="I338" s="2" t="n">
        <f aca="false">IF(F338="Present",9,IF(F338="Half Day",4,0))</f>
        <v>9</v>
      </c>
      <c r="J338" s="2"/>
      <c r="K338" s="2"/>
    </row>
    <row r="339" customFormat="false" ht="15" hidden="false" customHeight="false" outlineLevel="0" collapsed="false">
      <c r="A339" s="2" t="s">
        <v>59</v>
      </c>
      <c r="B339" s="2" t="s">
        <v>60</v>
      </c>
      <c r="C339" s="2" t="s">
        <v>17</v>
      </c>
      <c r="D339" s="3" t="n">
        <v>46262</v>
      </c>
      <c r="E339" s="2" t="str">
        <f aca="false">TEXT(D339,"dddd")</f>
        <v>Friday</v>
      </c>
      <c r="F339" s="2" t="s">
        <v>457</v>
      </c>
      <c r="G339" s="2" t="s">
        <v>458</v>
      </c>
      <c r="H339" s="2" t="s">
        <v>459</v>
      </c>
      <c r="I339" s="2" t="n">
        <f aca="false">IF(F339="Present",9,IF(F339="Half Day",4,0))</f>
        <v>9</v>
      </c>
      <c r="J339" s="2"/>
      <c r="K339" s="2"/>
    </row>
    <row r="340" customFormat="false" ht="15" hidden="false" customHeight="false" outlineLevel="0" collapsed="false">
      <c r="A340" s="2" t="s">
        <v>59</v>
      </c>
      <c r="B340" s="2" t="s">
        <v>60</v>
      </c>
      <c r="C340" s="2" t="s">
        <v>17</v>
      </c>
      <c r="D340" s="3" t="n">
        <v>46263</v>
      </c>
      <c r="E340" s="2" t="str">
        <f aca="false">TEXT(D340,"dddd")</f>
        <v>Saturday</v>
      </c>
      <c r="F340" s="2" t="s">
        <v>461</v>
      </c>
      <c r="G340" s="2"/>
      <c r="H340" s="2"/>
      <c r="I340" s="2" t="n">
        <f aca="false">IF(F340="Present",9,IF(F340="Half Day",4,0))</f>
        <v>0</v>
      </c>
      <c r="J340" s="2"/>
      <c r="K340" s="2" t="s">
        <v>462</v>
      </c>
    </row>
    <row r="341" customFormat="false" ht="15" hidden="false" customHeight="false" outlineLevel="0" collapsed="false">
      <c r="A341" s="2" t="s">
        <v>59</v>
      </c>
      <c r="B341" s="2" t="s">
        <v>60</v>
      </c>
      <c r="C341" s="2" t="s">
        <v>17</v>
      </c>
      <c r="D341" s="3" t="n">
        <v>46264</v>
      </c>
      <c r="E341" s="2" t="str">
        <f aca="false">TEXT(D341,"dddd")</f>
        <v>Sunday</v>
      </c>
      <c r="F341" s="2" t="s">
        <v>460</v>
      </c>
      <c r="G341" s="2"/>
      <c r="H341" s="2"/>
      <c r="I341" s="2" t="n">
        <f aca="false">IF(F341="Present",9,IF(F341="Half Day",4,0))</f>
        <v>0</v>
      </c>
      <c r="J341" s="2"/>
      <c r="K341" s="2" t="s">
        <v>460</v>
      </c>
    </row>
    <row r="342" customFormat="false" ht="15" hidden="false" customHeight="false" outlineLevel="0" collapsed="false">
      <c r="A342" s="2" t="s">
        <v>59</v>
      </c>
      <c r="B342" s="2" t="s">
        <v>60</v>
      </c>
      <c r="C342" s="2" t="s">
        <v>17</v>
      </c>
      <c r="D342" s="3" t="n">
        <v>46265</v>
      </c>
      <c r="E342" s="2" t="str">
        <f aca="false">TEXT(D342,"dddd")</f>
        <v>Monday</v>
      </c>
      <c r="F342" s="2" t="s">
        <v>457</v>
      </c>
      <c r="G342" s="2" t="s">
        <v>458</v>
      </c>
      <c r="H342" s="2" t="s">
        <v>459</v>
      </c>
      <c r="I342" s="2" t="n">
        <f aca="false">IF(F342="Present",9,IF(F342="Half Day",4,0))</f>
        <v>9</v>
      </c>
      <c r="J342" s="2"/>
      <c r="K342" s="2"/>
    </row>
    <row r="343" customFormat="false" ht="15" hidden="false" customHeight="false" outlineLevel="0" collapsed="false">
      <c r="A343" s="2" t="s">
        <v>61</v>
      </c>
      <c r="B343" s="2" t="s">
        <v>62</v>
      </c>
      <c r="C343" s="2" t="s">
        <v>24</v>
      </c>
      <c r="D343" s="3" t="n">
        <v>46235</v>
      </c>
      <c r="E343" s="2" t="str">
        <f aca="false">TEXT(D343,"dddd")</f>
        <v>Saturday</v>
      </c>
      <c r="F343" s="2" t="s">
        <v>457</v>
      </c>
      <c r="G343" s="2" t="s">
        <v>458</v>
      </c>
      <c r="H343" s="2" t="s">
        <v>459</v>
      </c>
      <c r="I343" s="2" t="n">
        <f aca="false">IF(F343="Present",9,IF(F343="Half Day",4,0))</f>
        <v>9</v>
      </c>
      <c r="J343" s="2"/>
      <c r="K343" s="2"/>
    </row>
    <row r="344" customFormat="false" ht="15" hidden="false" customHeight="false" outlineLevel="0" collapsed="false">
      <c r="A344" s="2" t="s">
        <v>61</v>
      </c>
      <c r="B344" s="2" t="s">
        <v>62</v>
      </c>
      <c r="C344" s="2" t="s">
        <v>24</v>
      </c>
      <c r="D344" s="3" t="n">
        <v>46236</v>
      </c>
      <c r="E344" s="2" t="str">
        <f aca="false">TEXT(D344,"dddd")</f>
        <v>Sunday</v>
      </c>
      <c r="F344" s="2" t="s">
        <v>460</v>
      </c>
      <c r="G344" s="2"/>
      <c r="H344" s="2"/>
      <c r="I344" s="2" t="n">
        <f aca="false">IF(F344="Present",9,IF(F344="Half Day",4,0))</f>
        <v>0</v>
      </c>
      <c r="J344" s="2"/>
      <c r="K344" s="2" t="s">
        <v>460</v>
      </c>
    </row>
    <row r="345" customFormat="false" ht="15" hidden="false" customHeight="false" outlineLevel="0" collapsed="false">
      <c r="A345" s="2" t="s">
        <v>61</v>
      </c>
      <c r="B345" s="2" t="s">
        <v>62</v>
      </c>
      <c r="C345" s="2" t="s">
        <v>24</v>
      </c>
      <c r="D345" s="3" t="n">
        <v>46237</v>
      </c>
      <c r="E345" s="2" t="str">
        <f aca="false">TEXT(D345,"dddd")</f>
        <v>Monday</v>
      </c>
      <c r="F345" s="2" t="s">
        <v>457</v>
      </c>
      <c r="G345" s="2" t="s">
        <v>458</v>
      </c>
      <c r="H345" s="2" t="s">
        <v>459</v>
      </c>
      <c r="I345" s="2" t="n">
        <f aca="false">IF(F345="Present",9,IF(F345="Half Day",4,0))</f>
        <v>9</v>
      </c>
      <c r="J345" s="2"/>
      <c r="K345" s="2"/>
    </row>
    <row r="346" customFormat="false" ht="15" hidden="false" customHeight="false" outlineLevel="0" collapsed="false">
      <c r="A346" s="2" t="s">
        <v>61</v>
      </c>
      <c r="B346" s="2" t="s">
        <v>62</v>
      </c>
      <c r="C346" s="2" t="s">
        <v>24</v>
      </c>
      <c r="D346" s="3" t="n">
        <v>46238</v>
      </c>
      <c r="E346" s="2" t="str">
        <f aca="false">TEXT(D346,"dddd")</f>
        <v>Tuesday</v>
      </c>
      <c r="F346" s="2" t="s">
        <v>457</v>
      </c>
      <c r="G346" s="2" t="s">
        <v>458</v>
      </c>
      <c r="H346" s="2" t="s">
        <v>459</v>
      </c>
      <c r="I346" s="2" t="n">
        <f aca="false">IF(F346="Present",9,IF(F346="Half Day",4,0))</f>
        <v>9</v>
      </c>
      <c r="J346" s="2"/>
      <c r="K346" s="2"/>
    </row>
    <row r="347" customFormat="false" ht="15" hidden="false" customHeight="false" outlineLevel="0" collapsed="false">
      <c r="A347" s="2" t="s">
        <v>61</v>
      </c>
      <c r="B347" s="2" t="s">
        <v>62</v>
      </c>
      <c r="C347" s="2" t="s">
        <v>24</v>
      </c>
      <c r="D347" s="3" t="n">
        <v>46239</v>
      </c>
      <c r="E347" s="2" t="str">
        <f aca="false">TEXT(D347,"dddd")</f>
        <v>Wednesday</v>
      </c>
      <c r="F347" s="2" t="s">
        <v>457</v>
      </c>
      <c r="G347" s="2" t="s">
        <v>458</v>
      </c>
      <c r="H347" s="2" t="s">
        <v>459</v>
      </c>
      <c r="I347" s="2" t="n">
        <f aca="false">IF(F347="Present",9,IF(F347="Half Day",4,0))</f>
        <v>9</v>
      </c>
      <c r="J347" s="2"/>
      <c r="K347" s="2"/>
    </row>
    <row r="348" customFormat="false" ht="15" hidden="false" customHeight="false" outlineLevel="0" collapsed="false">
      <c r="A348" s="2" t="s">
        <v>61</v>
      </c>
      <c r="B348" s="2" t="s">
        <v>62</v>
      </c>
      <c r="C348" s="2" t="s">
        <v>24</v>
      </c>
      <c r="D348" s="3" t="n">
        <v>46240</v>
      </c>
      <c r="E348" s="2" t="str">
        <f aca="false">TEXT(D348,"dddd")</f>
        <v>Thursday</v>
      </c>
      <c r="F348" s="2" t="s">
        <v>457</v>
      </c>
      <c r="G348" s="2" t="s">
        <v>458</v>
      </c>
      <c r="H348" s="2" t="s">
        <v>459</v>
      </c>
      <c r="I348" s="2" t="n">
        <f aca="false">IF(F348="Present",9,IF(F348="Half Day",4,0))</f>
        <v>9</v>
      </c>
      <c r="J348" s="2"/>
      <c r="K348" s="2"/>
    </row>
    <row r="349" customFormat="false" ht="15" hidden="false" customHeight="false" outlineLevel="0" collapsed="false">
      <c r="A349" s="2" t="s">
        <v>61</v>
      </c>
      <c r="B349" s="2" t="s">
        <v>62</v>
      </c>
      <c r="C349" s="2" t="s">
        <v>24</v>
      </c>
      <c r="D349" s="3" t="n">
        <v>46241</v>
      </c>
      <c r="E349" s="2" t="str">
        <f aca="false">TEXT(D349,"dddd")</f>
        <v>Friday</v>
      </c>
      <c r="F349" s="2" t="s">
        <v>457</v>
      </c>
      <c r="G349" s="2" t="s">
        <v>458</v>
      </c>
      <c r="H349" s="2" t="s">
        <v>459</v>
      </c>
      <c r="I349" s="2" t="n">
        <f aca="false">IF(F349="Present",9,IF(F349="Half Day",4,0))</f>
        <v>9</v>
      </c>
      <c r="J349" s="2"/>
      <c r="K349" s="2"/>
    </row>
    <row r="350" customFormat="false" ht="15" hidden="false" customHeight="false" outlineLevel="0" collapsed="false">
      <c r="A350" s="2" t="s">
        <v>61</v>
      </c>
      <c r="B350" s="2" t="s">
        <v>62</v>
      </c>
      <c r="C350" s="2" t="s">
        <v>24</v>
      </c>
      <c r="D350" s="3" t="n">
        <v>46242</v>
      </c>
      <c r="E350" s="2" t="str">
        <f aca="false">TEXT(D350,"dddd")</f>
        <v>Saturday</v>
      </c>
      <c r="F350" s="2" t="s">
        <v>457</v>
      </c>
      <c r="G350" s="2" t="s">
        <v>458</v>
      </c>
      <c r="H350" s="2" t="s">
        <v>459</v>
      </c>
      <c r="I350" s="2" t="n">
        <f aca="false">IF(F350="Present",9,IF(F350="Half Day",4,0))</f>
        <v>9</v>
      </c>
      <c r="J350" s="2"/>
      <c r="K350" s="2"/>
    </row>
    <row r="351" customFormat="false" ht="15" hidden="false" customHeight="false" outlineLevel="0" collapsed="false">
      <c r="A351" s="2" t="s">
        <v>61</v>
      </c>
      <c r="B351" s="2" t="s">
        <v>62</v>
      </c>
      <c r="C351" s="2" t="s">
        <v>24</v>
      </c>
      <c r="D351" s="3" t="n">
        <v>46243</v>
      </c>
      <c r="E351" s="2" t="str">
        <f aca="false">TEXT(D351,"dddd")</f>
        <v>Sunday</v>
      </c>
      <c r="F351" s="2" t="s">
        <v>460</v>
      </c>
      <c r="G351" s="2"/>
      <c r="H351" s="2"/>
      <c r="I351" s="2" t="n">
        <f aca="false">IF(F351="Present",9,IF(F351="Half Day",4,0))</f>
        <v>0</v>
      </c>
      <c r="J351" s="2"/>
      <c r="K351" s="2" t="s">
        <v>460</v>
      </c>
    </row>
    <row r="352" customFormat="false" ht="15" hidden="false" customHeight="false" outlineLevel="0" collapsed="false">
      <c r="A352" s="2" t="s">
        <v>61</v>
      </c>
      <c r="B352" s="2" t="s">
        <v>62</v>
      </c>
      <c r="C352" s="2" t="s">
        <v>24</v>
      </c>
      <c r="D352" s="3" t="n">
        <v>46244</v>
      </c>
      <c r="E352" s="2" t="str">
        <f aca="false">TEXT(D352,"dddd")</f>
        <v>Monday</v>
      </c>
      <c r="F352" s="2" t="s">
        <v>457</v>
      </c>
      <c r="G352" s="2" t="s">
        <v>458</v>
      </c>
      <c r="H352" s="2" t="s">
        <v>459</v>
      </c>
      <c r="I352" s="2" t="n">
        <f aca="false">IF(F352="Present",9,IF(F352="Half Day",4,0))</f>
        <v>9</v>
      </c>
      <c r="J352" s="2"/>
      <c r="K352" s="2"/>
    </row>
    <row r="353" customFormat="false" ht="15" hidden="false" customHeight="false" outlineLevel="0" collapsed="false">
      <c r="A353" s="2" t="s">
        <v>61</v>
      </c>
      <c r="B353" s="2" t="s">
        <v>62</v>
      </c>
      <c r="C353" s="2" t="s">
        <v>24</v>
      </c>
      <c r="D353" s="3" t="n">
        <v>46245</v>
      </c>
      <c r="E353" s="2" t="str">
        <f aca="false">TEXT(D353,"dddd")</f>
        <v>Tuesday</v>
      </c>
      <c r="F353" s="2" t="s">
        <v>457</v>
      </c>
      <c r="G353" s="2" t="s">
        <v>458</v>
      </c>
      <c r="H353" s="2" t="s">
        <v>459</v>
      </c>
      <c r="I353" s="2" t="n">
        <f aca="false">IF(F353="Present",9,IF(F353="Half Day",4,0))</f>
        <v>9</v>
      </c>
      <c r="J353" s="2"/>
      <c r="K353" s="2"/>
    </row>
    <row r="354" customFormat="false" ht="15" hidden="false" customHeight="false" outlineLevel="0" collapsed="false">
      <c r="A354" s="2" t="s">
        <v>61</v>
      </c>
      <c r="B354" s="2" t="s">
        <v>62</v>
      </c>
      <c r="C354" s="2" t="s">
        <v>24</v>
      </c>
      <c r="D354" s="3" t="n">
        <v>46246</v>
      </c>
      <c r="E354" s="2" t="str">
        <f aca="false">TEXT(D354,"dddd")</f>
        <v>Wednesday</v>
      </c>
      <c r="F354" s="2" t="s">
        <v>457</v>
      </c>
      <c r="G354" s="2" t="s">
        <v>458</v>
      </c>
      <c r="H354" s="2" t="s">
        <v>459</v>
      </c>
      <c r="I354" s="2" t="n">
        <f aca="false">IF(F354="Present",9,IF(F354="Half Day",4,0))</f>
        <v>9</v>
      </c>
      <c r="J354" s="2"/>
      <c r="K354" s="2"/>
    </row>
    <row r="355" customFormat="false" ht="15" hidden="false" customHeight="false" outlineLevel="0" collapsed="false">
      <c r="A355" s="2" t="s">
        <v>61</v>
      </c>
      <c r="B355" s="2" t="s">
        <v>62</v>
      </c>
      <c r="C355" s="2" t="s">
        <v>24</v>
      </c>
      <c r="D355" s="3" t="n">
        <v>46247</v>
      </c>
      <c r="E355" s="2" t="str">
        <f aca="false">TEXT(D355,"dddd")</f>
        <v>Thursday</v>
      </c>
      <c r="F355" s="2" t="s">
        <v>457</v>
      </c>
      <c r="G355" s="2" t="s">
        <v>458</v>
      </c>
      <c r="H355" s="2" t="s">
        <v>459</v>
      </c>
      <c r="I355" s="2" t="n">
        <f aca="false">IF(F355="Present",9,IF(F355="Half Day",4,0))</f>
        <v>9</v>
      </c>
      <c r="J355" s="2"/>
      <c r="K355" s="2"/>
    </row>
    <row r="356" customFormat="false" ht="15" hidden="false" customHeight="false" outlineLevel="0" collapsed="false">
      <c r="A356" s="2" t="s">
        <v>61</v>
      </c>
      <c r="B356" s="2" t="s">
        <v>62</v>
      </c>
      <c r="C356" s="2" t="s">
        <v>24</v>
      </c>
      <c r="D356" s="3" t="n">
        <v>46248</v>
      </c>
      <c r="E356" s="2" t="str">
        <f aca="false">TEXT(D356,"dddd")</f>
        <v>Friday</v>
      </c>
      <c r="F356" s="2" t="s">
        <v>457</v>
      </c>
      <c r="G356" s="2" t="s">
        <v>458</v>
      </c>
      <c r="H356" s="2" t="s">
        <v>459</v>
      </c>
      <c r="I356" s="2" t="n">
        <f aca="false">IF(F356="Present",9,IF(F356="Half Day",4,0))</f>
        <v>9</v>
      </c>
      <c r="J356" s="2"/>
      <c r="K356" s="2"/>
    </row>
    <row r="357" customFormat="false" ht="15" hidden="false" customHeight="false" outlineLevel="0" collapsed="false">
      <c r="A357" s="2" t="s">
        <v>61</v>
      </c>
      <c r="B357" s="2" t="s">
        <v>62</v>
      </c>
      <c r="C357" s="2" t="s">
        <v>24</v>
      </c>
      <c r="D357" s="3" t="n">
        <v>46249</v>
      </c>
      <c r="E357" s="2" t="str">
        <f aca="false">TEXT(D357,"dddd")</f>
        <v>Saturday</v>
      </c>
      <c r="F357" s="2" t="s">
        <v>457</v>
      </c>
      <c r="G357" s="2" t="s">
        <v>458</v>
      </c>
      <c r="H357" s="2" t="s">
        <v>459</v>
      </c>
      <c r="I357" s="2" t="n">
        <f aca="false">IF(F357="Present",9,IF(F357="Half Day",4,0))</f>
        <v>9</v>
      </c>
      <c r="J357" s="2"/>
      <c r="K357" s="2"/>
    </row>
    <row r="358" customFormat="false" ht="15" hidden="false" customHeight="false" outlineLevel="0" collapsed="false">
      <c r="A358" s="2" t="s">
        <v>61</v>
      </c>
      <c r="B358" s="2" t="s">
        <v>62</v>
      </c>
      <c r="C358" s="2" t="s">
        <v>24</v>
      </c>
      <c r="D358" s="3" t="n">
        <v>46250</v>
      </c>
      <c r="E358" s="2" t="str">
        <f aca="false">TEXT(D358,"dddd")</f>
        <v>Sunday</v>
      </c>
      <c r="F358" s="2" t="s">
        <v>460</v>
      </c>
      <c r="G358" s="2"/>
      <c r="H358" s="2"/>
      <c r="I358" s="2" t="n">
        <f aca="false">IF(F358="Present",9,IF(F358="Half Day",4,0))</f>
        <v>0</v>
      </c>
      <c r="J358" s="2"/>
      <c r="K358" s="2" t="s">
        <v>460</v>
      </c>
    </row>
    <row r="359" customFormat="false" ht="15" hidden="false" customHeight="false" outlineLevel="0" collapsed="false">
      <c r="A359" s="2" t="s">
        <v>61</v>
      </c>
      <c r="B359" s="2" t="s">
        <v>62</v>
      </c>
      <c r="C359" s="2" t="s">
        <v>24</v>
      </c>
      <c r="D359" s="3" t="n">
        <v>46251</v>
      </c>
      <c r="E359" s="2" t="str">
        <f aca="false">TEXT(D359,"dddd")</f>
        <v>Monday</v>
      </c>
      <c r="F359" s="2" t="s">
        <v>457</v>
      </c>
      <c r="G359" s="2" t="s">
        <v>458</v>
      </c>
      <c r="H359" s="2" t="s">
        <v>459</v>
      </c>
      <c r="I359" s="2" t="n">
        <f aca="false">IF(F359="Present",9,IF(F359="Half Day",4,0))</f>
        <v>9</v>
      </c>
      <c r="J359" s="2"/>
      <c r="K359" s="2"/>
    </row>
    <row r="360" customFormat="false" ht="15" hidden="false" customHeight="false" outlineLevel="0" collapsed="false">
      <c r="A360" s="2" t="s">
        <v>61</v>
      </c>
      <c r="B360" s="2" t="s">
        <v>62</v>
      </c>
      <c r="C360" s="2" t="s">
        <v>24</v>
      </c>
      <c r="D360" s="3" t="n">
        <v>46252</v>
      </c>
      <c r="E360" s="2" t="str">
        <f aca="false">TEXT(D360,"dddd")</f>
        <v>Tuesday</v>
      </c>
      <c r="F360" s="2" t="s">
        <v>457</v>
      </c>
      <c r="G360" s="2" t="s">
        <v>458</v>
      </c>
      <c r="H360" s="2" t="s">
        <v>459</v>
      </c>
      <c r="I360" s="2" t="n">
        <f aca="false">IF(F360="Present",9,IF(F360="Half Day",4,0))</f>
        <v>9</v>
      </c>
      <c r="J360" s="2"/>
      <c r="K360" s="2"/>
    </row>
    <row r="361" customFormat="false" ht="15" hidden="false" customHeight="false" outlineLevel="0" collapsed="false">
      <c r="A361" s="2" t="s">
        <v>61</v>
      </c>
      <c r="B361" s="2" t="s">
        <v>62</v>
      </c>
      <c r="C361" s="2" t="s">
        <v>24</v>
      </c>
      <c r="D361" s="3" t="n">
        <v>46253</v>
      </c>
      <c r="E361" s="2" t="str">
        <f aca="false">TEXT(D361,"dddd")</f>
        <v>Wednesday</v>
      </c>
      <c r="F361" s="2" t="s">
        <v>457</v>
      </c>
      <c r="G361" s="2" t="s">
        <v>458</v>
      </c>
      <c r="H361" s="2" t="s">
        <v>459</v>
      </c>
      <c r="I361" s="2" t="n">
        <f aca="false">IF(F361="Present",9,IF(F361="Half Day",4,0))</f>
        <v>9</v>
      </c>
      <c r="J361" s="2"/>
      <c r="K361" s="2"/>
    </row>
    <row r="362" customFormat="false" ht="15" hidden="false" customHeight="false" outlineLevel="0" collapsed="false">
      <c r="A362" s="2" t="s">
        <v>61</v>
      </c>
      <c r="B362" s="2" t="s">
        <v>62</v>
      </c>
      <c r="C362" s="2" t="s">
        <v>24</v>
      </c>
      <c r="D362" s="3" t="n">
        <v>46254</v>
      </c>
      <c r="E362" s="2" t="str">
        <f aca="false">TEXT(D362,"dddd")</f>
        <v>Thursday</v>
      </c>
      <c r="F362" s="2" t="s">
        <v>457</v>
      </c>
      <c r="G362" s="2" t="s">
        <v>458</v>
      </c>
      <c r="H362" s="2" t="s">
        <v>459</v>
      </c>
      <c r="I362" s="2" t="n">
        <f aca="false">IF(F362="Present",9,IF(F362="Half Day",4,0))</f>
        <v>9</v>
      </c>
      <c r="J362" s="2"/>
      <c r="K362" s="2"/>
    </row>
    <row r="363" customFormat="false" ht="15" hidden="false" customHeight="false" outlineLevel="0" collapsed="false">
      <c r="A363" s="2" t="s">
        <v>61</v>
      </c>
      <c r="B363" s="2" t="s">
        <v>62</v>
      </c>
      <c r="C363" s="2" t="s">
        <v>24</v>
      </c>
      <c r="D363" s="3" t="n">
        <v>46255</v>
      </c>
      <c r="E363" s="2" t="str">
        <f aca="false">TEXT(D363,"dddd")</f>
        <v>Friday</v>
      </c>
      <c r="F363" s="2" t="s">
        <v>457</v>
      </c>
      <c r="G363" s="2" t="s">
        <v>458</v>
      </c>
      <c r="H363" s="2" t="s">
        <v>459</v>
      </c>
      <c r="I363" s="2" t="n">
        <f aca="false">IF(F363="Present",9,IF(F363="Half Day",4,0))</f>
        <v>9</v>
      </c>
      <c r="J363" s="2"/>
      <c r="K363" s="2"/>
    </row>
    <row r="364" customFormat="false" ht="15" hidden="false" customHeight="false" outlineLevel="0" collapsed="false">
      <c r="A364" s="2" t="s">
        <v>61</v>
      </c>
      <c r="B364" s="2" t="s">
        <v>62</v>
      </c>
      <c r="C364" s="2" t="s">
        <v>24</v>
      </c>
      <c r="D364" s="3" t="n">
        <v>46256</v>
      </c>
      <c r="E364" s="2" t="str">
        <f aca="false">TEXT(D364,"dddd")</f>
        <v>Saturday</v>
      </c>
      <c r="F364" s="2" t="s">
        <v>457</v>
      </c>
      <c r="G364" s="2" t="s">
        <v>458</v>
      </c>
      <c r="H364" s="2" t="s">
        <v>459</v>
      </c>
      <c r="I364" s="2" t="n">
        <f aca="false">IF(F364="Present",9,IF(F364="Half Day",4,0))</f>
        <v>9</v>
      </c>
      <c r="J364" s="2"/>
      <c r="K364" s="2"/>
    </row>
    <row r="365" customFormat="false" ht="15" hidden="false" customHeight="false" outlineLevel="0" collapsed="false">
      <c r="A365" s="2" t="s">
        <v>61</v>
      </c>
      <c r="B365" s="2" t="s">
        <v>62</v>
      </c>
      <c r="C365" s="2" t="s">
        <v>24</v>
      </c>
      <c r="D365" s="3" t="n">
        <v>46257</v>
      </c>
      <c r="E365" s="2" t="str">
        <f aca="false">TEXT(D365,"dddd")</f>
        <v>Sunday</v>
      </c>
      <c r="F365" s="2" t="s">
        <v>460</v>
      </c>
      <c r="G365" s="2"/>
      <c r="H365" s="2"/>
      <c r="I365" s="2" t="n">
        <f aca="false">IF(F365="Present",9,IF(F365="Half Day",4,0))</f>
        <v>0</v>
      </c>
      <c r="J365" s="2"/>
      <c r="K365" s="2" t="s">
        <v>460</v>
      </c>
    </row>
    <row r="366" customFormat="false" ht="15" hidden="false" customHeight="false" outlineLevel="0" collapsed="false">
      <c r="A366" s="2" t="s">
        <v>61</v>
      </c>
      <c r="B366" s="2" t="s">
        <v>62</v>
      </c>
      <c r="C366" s="2" t="s">
        <v>24</v>
      </c>
      <c r="D366" s="3" t="n">
        <v>46258</v>
      </c>
      <c r="E366" s="2" t="str">
        <f aca="false">TEXT(D366,"dddd")</f>
        <v>Monday</v>
      </c>
      <c r="F366" s="2" t="s">
        <v>457</v>
      </c>
      <c r="G366" s="2" t="s">
        <v>458</v>
      </c>
      <c r="H366" s="2" t="s">
        <v>459</v>
      </c>
      <c r="I366" s="2" t="n">
        <f aca="false">IF(F366="Present",9,IF(F366="Half Day",4,0))</f>
        <v>9</v>
      </c>
      <c r="J366" s="2"/>
      <c r="K366" s="2"/>
    </row>
    <row r="367" customFormat="false" ht="15" hidden="false" customHeight="false" outlineLevel="0" collapsed="false">
      <c r="A367" s="2" t="s">
        <v>61</v>
      </c>
      <c r="B367" s="2" t="s">
        <v>62</v>
      </c>
      <c r="C367" s="2" t="s">
        <v>24</v>
      </c>
      <c r="D367" s="3" t="n">
        <v>46259</v>
      </c>
      <c r="E367" s="2" t="str">
        <f aca="false">TEXT(D367,"dddd")</f>
        <v>Tuesday</v>
      </c>
      <c r="F367" s="2" t="s">
        <v>457</v>
      </c>
      <c r="G367" s="2" t="s">
        <v>458</v>
      </c>
      <c r="H367" s="2" t="s">
        <v>459</v>
      </c>
      <c r="I367" s="2" t="n">
        <f aca="false">IF(F367="Present",9,IF(F367="Half Day",4,0))</f>
        <v>9</v>
      </c>
      <c r="J367" s="2"/>
      <c r="K367" s="2"/>
    </row>
    <row r="368" customFormat="false" ht="15" hidden="false" customHeight="false" outlineLevel="0" collapsed="false">
      <c r="A368" s="2" t="s">
        <v>61</v>
      </c>
      <c r="B368" s="2" t="s">
        <v>62</v>
      </c>
      <c r="C368" s="2" t="s">
        <v>24</v>
      </c>
      <c r="D368" s="3" t="n">
        <v>46260</v>
      </c>
      <c r="E368" s="2" t="str">
        <f aca="false">TEXT(D368,"dddd")</f>
        <v>Wednesday</v>
      </c>
      <c r="F368" s="2" t="s">
        <v>457</v>
      </c>
      <c r="G368" s="2" t="s">
        <v>458</v>
      </c>
      <c r="H368" s="2" t="s">
        <v>459</v>
      </c>
      <c r="I368" s="2" t="n">
        <f aca="false">IF(F368="Present",9,IF(F368="Half Day",4,0))</f>
        <v>9</v>
      </c>
      <c r="J368" s="2"/>
      <c r="K368" s="2"/>
    </row>
    <row r="369" customFormat="false" ht="15" hidden="false" customHeight="false" outlineLevel="0" collapsed="false">
      <c r="A369" s="2" t="s">
        <v>61</v>
      </c>
      <c r="B369" s="2" t="s">
        <v>62</v>
      </c>
      <c r="C369" s="2" t="s">
        <v>24</v>
      </c>
      <c r="D369" s="3" t="n">
        <v>46261</v>
      </c>
      <c r="E369" s="2" t="str">
        <f aca="false">TEXT(D369,"dddd")</f>
        <v>Thursday</v>
      </c>
      <c r="F369" s="2" t="s">
        <v>457</v>
      </c>
      <c r="G369" s="2" t="s">
        <v>458</v>
      </c>
      <c r="H369" s="2" t="s">
        <v>459</v>
      </c>
      <c r="I369" s="2" t="n">
        <f aca="false">IF(F369="Present",9,IF(F369="Half Day",4,0))</f>
        <v>9</v>
      </c>
      <c r="J369" s="2"/>
      <c r="K369" s="2"/>
    </row>
    <row r="370" customFormat="false" ht="15" hidden="false" customHeight="false" outlineLevel="0" collapsed="false">
      <c r="A370" s="2" t="s">
        <v>61</v>
      </c>
      <c r="B370" s="2" t="s">
        <v>62</v>
      </c>
      <c r="C370" s="2" t="s">
        <v>24</v>
      </c>
      <c r="D370" s="3" t="n">
        <v>46262</v>
      </c>
      <c r="E370" s="2" t="str">
        <f aca="false">TEXT(D370,"dddd")</f>
        <v>Friday</v>
      </c>
      <c r="F370" s="2" t="s">
        <v>457</v>
      </c>
      <c r="G370" s="2" t="s">
        <v>458</v>
      </c>
      <c r="H370" s="2" t="s">
        <v>459</v>
      </c>
      <c r="I370" s="2" t="n">
        <f aca="false">IF(F370="Present",9,IF(F370="Half Day",4,0))</f>
        <v>9</v>
      </c>
      <c r="J370" s="2"/>
      <c r="K370" s="2"/>
    </row>
    <row r="371" customFormat="false" ht="15" hidden="false" customHeight="false" outlineLevel="0" collapsed="false">
      <c r="A371" s="2" t="s">
        <v>61</v>
      </c>
      <c r="B371" s="2" t="s">
        <v>62</v>
      </c>
      <c r="C371" s="2" t="s">
        <v>24</v>
      </c>
      <c r="D371" s="3" t="n">
        <v>46263</v>
      </c>
      <c r="E371" s="2" t="str">
        <f aca="false">TEXT(D371,"dddd")</f>
        <v>Saturday</v>
      </c>
      <c r="F371" s="2" t="s">
        <v>457</v>
      </c>
      <c r="G371" s="2" t="s">
        <v>458</v>
      </c>
      <c r="H371" s="2" t="s">
        <v>459</v>
      </c>
      <c r="I371" s="2" t="n">
        <f aca="false">IF(F371="Present",9,IF(F371="Half Day",4,0))</f>
        <v>9</v>
      </c>
      <c r="J371" s="2"/>
      <c r="K371" s="2"/>
    </row>
    <row r="372" customFormat="false" ht="15" hidden="false" customHeight="false" outlineLevel="0" collapsed="false">
      <c r="A372" s="2" t="s">
        <v>61</v>
      </c>
      <c r="B372" s="2" t="s">
        <v>62</v>
      </c>
      <c r="C372" s="2" t="s">
        <v>24</v>
      </c>
      <c r="D372" s="3" t="n">
        <v>46264</v>
      </c>
      <c r="E372" s="2" t="str">
        <f aca="false">TEXT(D372,"dddd")</f>
        <v>Sunday</v>
      </c>
      <c r="F372" s="2" t="s">
        <v>460</v>
      </c>
      <c r="G372" s="2"/>
      <c r="H372" s="2"/>
      <c r="I372" s="2" t="n">
        <f aca="false">IF(F372="Present",9,IF(F372="Half Day",4,0))</f>
        <v>0</v>
      </c>
      <c r="J372" s="2"/>
      <c r="K372" s="2" t="s">
        <v>460</v>
      </c>
    </row>
    <row r="373" customFormat="false" ht="15" hidden="false" customHeight="false" outlineLevel="0" collapsed="false">
      <c r="A373" s="2" t="s">
        <v>61</v>
      </c>
      <c r="B373" s="2" t="s">
        <v>62</v>
      </c>
      <c r="C373" s="2" t="s">
        <v>24</v>
      </c>
      <c r="D373" s="3" t="n">
        <v>46265</v>
      </c>
      <c r="E373" s="2" t="str">
        <f aca="false">TEXT(D373,"dddd")</f>
        <v>Monday</v>
      </c>
      <c r="F373" s="2" t="s">
        <v>457</v>
      </c>
      <c r="G373" s="2" t="s">
        <v>458</v>
      </c>
      <c r="H373" s="2" t="s">
        <v>459</v>
      </c>
      <c r="I373" s="2" t="n">
        <f aca="false">IF(F373="Present",9,IF(F373="Half Day",4,0))</f>
        <v>9</v>
      </c>
      <c r="J373" s="2"/>
      <c r="K373" s="2"/>
    </row>
    <row r="374" customFormat="false" ht="15" hidden="false" customHeight="false" outlineLevel="0" collapsed="false">
      <c r="A374" s="2" t="s">
        <v>64</v>
      </c>
      <c r="B374" s="2" t="s">
        <v>65</v>
      </c>
      <c r="C374" s="2" t="s">
        <v>28</v>
      </c>
      <c r="D374" s="3" t="n">
        <v>46235</v>
      </c>
      <c r="E374" s="2" t="str">
        <f aca="false">TEXT(D374,"dddd")</f>
        <v>Saturday</v>
      </c>
      <c r="F374" s="2" t="s">
        <v>457</v>
      </c>
      <c r="G374" s="2" t="s">
        <v>458</v>
      </c>
      <c r="H374" s="2" t="s">
        <v>459</v>
      </c>
      <c r="I374" s="2" t="n">
        <f aca="false">IF(F374="Present",9,IF(F374="Half Day",4,0))</f>
        <v>9</v>
      </c>
      <c r="J374" s="2"/>
      <c r="K374" s="2"/>
    </row>
    <row r="375" customFormat="false" ht="15" hidden="false" customHeight="false" outlineLevel="0" collapsed="false">
      <c r="A375" s="2" t="s">
        <v>64</v>
      </c>
      <c r="B375" s="2" t="s">
        <v>65</v>
      </c>
      <c r="C375" s="2" t="s">
        <v>28</v>
      </c>
      <c r="D375" s="3" t="n">
        <v>46236</v>
      </c>
      <c r="E375" s="2" t="str">
        <f aca="false">TEXT(D375,"dddd")</f>
        <v>Sunday</v>
      </c>
      <c r="F375" s="2" t="s">
        <v>460</v>
      </c>
      <c r="G375" s="2"/>
      <c r="H375" s="2"/>
      <c r="I375" s="2" t="n">
        <f aca="false">IF(F375="Present",9,IF(F375="Half Day",4,0))</f>
        <v>0</v>
      </c>
      <c r="J375" s="2"/>
      <c r="K375" s="2" t="s">
        <v>460</v>
      </c>
    </row>
    <row r="376" customFormat="false" ht="15" hidden="false" customHeight="false" outlineLevel="0" collapsed="false">
      <c r="A376" s="2" t="s">
        <v>64</v>
      </c>
      <c r="B376" s="2" t="s">
        <v>65</v>
      </c>
      <c r="C376" s="2" t="s">
        <v>28</v>
      </c>
      <c r="D376" s="3" t="n">
        <v>46237</v>
      </c>
      <c r="E376" s="2" t="str">
        <f aca="false">TEXT(D376,"dddd")</f>
        <v>Monday</v>
      </c>
      <c r="F376" s="2" t="s">
        <v>457</v>
      </c>
      <c r="G376" s="2" t="s">
        <v>458</v>
      </c>
      <c r="H376" s="2" t="s">
        <v>459</v>
      </c>
      <c r="I376" s="2" t="n">
        <f aca="false">IF(F376="Present",9,IF(F376="Half Day",4,0))</f>
        <v>9</v>
      </c>
      <c r="J376" s="2"/>
      <c r="K376" s="2"/>
    </row>
    <row r="377" customFormat="false" ht="15" hidden="false" customHeight="false" outlineLevel="0" collapsed="false">
      <c r="A377" s="2" t="s">
        <v>64</v>
      </c>
      <c r="B377" s="2" t="s">
        <v>65</v>
      </c>
      <c r="C377" s="2" t="s">
        <v>28</v>
      </c>
      <c r="D377" s="3" t="n">
        <v>46238</v>
      </c>
      <c r="E377" s="2" t="str">
        <f aca="false">TEXT(D377,"dddd")</f>
        <v>Tuesday</v>
      </c>
      <c r="F377" s="2" t="s">
        <v>457</v>
      </c>
      <c r="G377" s="2" t="s">
        <v>458</v>
      </c>
      <c r="H377" s="2" t="s">
        <v>459</v>
      </c>
      <c r="I377" s="2" t="n">
        <f aca="false">IF(F377="Present",9,IF(F377="Half Day",4,0))</f>
        <v>9</v>
      </c>
      <c r="J377" s="2"/>
      <c r="K377" s="2"/>
    </row>
    <row r="378" customFormat="false" ht="15" hidden="false" customHeight="false" outlineLevel="0" collapsed="false">
      <c r="A378" s="2" t="s">
        <v>64</v>
      </c>
      <c r="B378" s="2" t="s">
        <v>65</v>
      </c>
      <c r="C378" s="2" t="s">
        <v>28</v>
      </c>
      <c r="D378" s="3" t="n">
        <v>46239</v>
      </c>
      <c r="E378" s="2" t="str">
        <f aca="false">TEXT(D378,"dddd")</f>
        <v>Wednesday</v>
      </c>
      <c r="F378" s="2" t="s">
        <v>457</v>
      </c>
      <c r="G378" s="2" t="s">
        <v>458</v>
      </c>
      <c r="H378" s="2" t="s">
        <v>459</v>
      </c>
      <c r="I378" s="2" t="n">
        <f aca="false">IF(F378="Present",9,IF(F378="Half Day",4,0))</f>
        <v>9</v>
      </c>
      <c r="J378" s="2"/>
      <c r="K378" s="2"/>
    </row>
    <row r="379" customFormat="false" ht="15" hidden="false" customHeight="false" outlineLevel="0" collapsed="false">
      <c r="A379" s="2" t="s">
        <v>64</v>
      </c>
      <c r="B379" s="2" t="s">
        <v>65</v>
      </c>
      <c r="C379" s="2" t="s">
        <v>28</v>
      </c>
      <c r="D379" s="3" t="n">
        <v>46240</v>
      </c>
      <c r="E379" s="2" t="str">
        <f aca="false">TEXT(D379,"dddd")</f>
        <v>Thursday</v>
      </c>
      <c r="F379" s="2" t="s">
        <v>463</v>
      </c>
      <c r="G379" s="2"/>
      <c r="H379" s="2"/>
      <c r="I379" s="2" t="n">
        <f aca="false">IF(F379="Present",9,IF(F379="Half Day",4,0))</f>
        <v>0</v>
      </c>
      <c r="J379" s="2" t="s">
        <v>472</v>
      </c>
      <c r="K379" s="2" t="s">
        <v>473</v>
      </c>
    </row>
    <row r="380" customFormat="false" ht="15" hidden="false" customHeight="false" outlineLevel="0" collapsed="false">
      <c r="A380" s="2" t="s">
        <v>64</v>
      </c>
      <c r="B380" s="2" t="s">
        <v>65</v>
      </c>
      <c r="C380" s="2" t="s">
        <v>28</v>
      </c>
      <c r="D380" s="3" t="n">
        <v>46241</v>
      </c>
      <c r="E380" s="2" t="str">
        <f aca="false">TEXT(D380,"dddd")</f>
        <v>Friday</v>
      </c>
      <c r="F380" s="2" t="s">
        <v>466</v>
      </c>
      <c r="G380" s="2" t="s">
        <v>458</v>
      </c>
      <c r="H380" s="2" t="s">
        <v>467</v>
      </c>
      <c r="I380" s="2" t="n">
        <f aca="false">IF(F380="Present",9,IF(F380="Half Day",4,0))</f>
        <v>4</v>
      </c>
      <c r="J380" s="2"/>
      <c r="K380" s="2" t="s">
        <v>466</v>
      </c>
    </row>
    <row r="381" customFormat="false" ht="15" hidden="false" customHeight="false" outlineLevel="0" collapsed="false">
      <c r="A381" s="2" t="s">
        <v>64</v>
      </c>
      <c r="B381" s="2" t="s">
        <v>65</v>
      </c>
      <c r="C381" s="2" t="s">
        <v>28</v>
      </c>
      <c r="D381" s="3" t="n">
        <v>46242</v>
      </c>
      <c r="E381" s="2" t="str">
        <f aca="false">TEXT(D381,"dddd")</f>
        <v>Saturday</v>
      </c>
      <c r="F381" s="2" t="s">
        <v>457</v>
      </c>
      <c r="G381" s="2" t="s">
        <v>458</v>
      </c>
      <c r="H381" s="2" t="s">
        <v>459</v>
      </c>
      <c r="I381" s="2" t="n">
        <f aca="false">IF(F381="Present",9,IF(F381="Half Day",4,0))</f>
        <v>9</v>
      </c>
      <c r="J381" s="2"/>
      <c r="K381" s="2"/>
    </row>
    <row r="382" customFormat="false" ht="15" hidden="false" customHeight="false" outlineLevel="0" collapsed="false">
      <c r="A382" s="2" t="s">
        <v>64</v>
      </c>
      <c r="B382" s="2" t="s">
        <v>65</v>
      </c>
      <c r="C382" s="2" t="s">
        <v>28</v>
      </c>
      <c r="D382" s="3" t="n">
        <v>46243</v>
      </c>
      <c r="E382" s="2" t="str">
        <f aca="false">TEXT(D382,"dddd")</f>
        <v>Sunday</v>
      </c>
      <c r="F382" s="2" t="s">
        <v>460</v>
      </c>
      <c r="G382" s="2"/>
      <c r="H382" s="2"/>
      <c r="I382" s="2" t="n">
        <f aca="false">IF(F382="Present",9,IF(F382="Half Day",4,0))</f>
        <v>0</v>
      </c>
      <c r="J382" s="2"/>
      <c r="K382" s="2" t="s">
        <v>460</v>
      </c>
    </row>
    <row r="383" customFormat="false" ht="15" hidden="false" customHeight="false" outlineLevel="0" collapsed="false">
      <c r="A383" s="2" t="s">
        <v>64</v>
      </c>
      <c r="B383" s="2" t="s">
        <v>65</v>
      </c>
      <c r="C383" s="2" t="s">
        <v>28</v>
      </c>
      <c r="D383" s="3" t="n">
        <v>46244</v>
      </c>
      <c r="E383" s="2" t="str">
        <f aca="false">TEXT(D383,"dddd")</f>
        <v>Monday</v>
      </c>
      <c r="F383" s="2" t="s">
        <v>457</v>
      </c>
      <c r="G383" s="2" t="s">
        <v>458</v>
      </c>
      <c r="H383" s="2" t="s">
        <v>459</v>
      </c>
      <c r="I383" s="2" t="n">
        <f aca="false">IF(F383="Present",9,IF(F383="Half Day",4,0))</f>
        <v>9</v>
      </c>
      <c r="J383" s="2"/>
      <c r="K383" s="2"/>
    </row>
    <row r="384" customFormat="false" ht="15" hidden="false" customHeight="false" outlineLevel="0" collapsed="false">
      <c r="A384" s="2" t="s">
        <v>64</v>
      </c>
      <c r="B384" s="2" t="s">
        <v>65</v>
      </c>
      <c r="C384" s="2" t="s">
        <v>28</v>
      </c>
      <c r="D384" s="3" t="n">
        <v>46245</v>
      </c>
      <c r="E384" s="2" t="str">
        <f aca="false">TEXT(D384,"dddd")</f>
        <v>Tuesday</v>
      </c>
      <c r="F384" s="2" t="s">
        <v>466</v>
      </c>
      <c r="G384" s="2" t="s">
        <v>458</v>
      </c>
      <c r="H384" s="2" t="s">
        <v>467</v>
      </c>
      <c r="I384" s="2" t="n">
        <f aca="false">IF(F384="Present",9,IF(F384="Half Day",4,0))</f>
        <v>4</v>
      </c>
      <c r="J384" s="2"/>
      <c r="K384" s="2" t="s">
        <v>466</v>
      </c>
    </row>
    <row r="385" customFormat="false" ht="15" hidden="false" customHeight="false" outlineLevel="0" collapsed="false">
      <c r="A385" s="2" t="s">
        <v>64</v>
      </c>
      <c r="B385" s="2" t="s">
        <v>65</v>
      </c>
      <c r="C385" s="2" t="s">
        <v>28</v>
      </c>
      <c r="D385" s="3" t="n">
        <v>46246</v>
      </c>
      <c r="E385" s="2" t="str">
        <f aca="false">TEXT(D385,"dddd")</f>
        <v>Wednesday</v>
      </c>
      <c r="F385" s="2" t="s">
        <v>457</v>
      </c>
      <c r="G385" s="2" t="s">
        <v>458</v>
      </c>
      <c r="H385" s="2" t="s">
        <v>459</v>
      </c>
      <c r="I385" s="2" t="n">
        <f aca="false">IF(F385="Present",9,IF(F385="Half Day",4,0))</f>
        <v>9</v>
      </c>
      <c r="J385" s="2"/>
      <c r="K385" s="2"/>
    </row>
    <row r="386" customFormat="false" ht="15" hidden="false" customHeight="false" outlineLevel="0" collapsed="false">
      <c r="A386" s="2" t="s">
        <v>64</v>
      </c>
      <c r="B386" s="2" t="s">
        <v>65</v>
      </c>
      <c r="C386" s="2" t="s">
        <v>28</v>
      </c>
      <c r="D386" s="3" t="n">
        <v>46247</v>
      </c>
      <c r="E386" s="2" t="str">
        <f aca="false">TEXT(D386,"dddd")</f>
        <v>Thursday</v>
      </c>
      <c r="F386" s="2" t="s">
        <v>461</v>
      </c>
      <c r="G386" s="2"/>
      <c r="H386" s="2"/>
      <c r="I386" s="2" t="n">
        <f aca="false">IF(F386="Present",9,IF(F386="Half Day",4,0))</f>
        <v>0</v>
      </c>
      <c r="J386" s="2"/>
      <c r="K386" s="2" t="s">
        <v>462</v>
      </c>
    </row>
    <row r="387" customFormat="false" ht="15" hidden="false" customHeight="false" outlineLevel="0" collapsed="false">
      <c r="A387" s="2" t="s">
        <v>64</v>
      </c>
      <c r="B387" s="2" t="s">
        <v>65</v>
      </c>
      <c r="C387" s="2" t="s">
        <v>28</v>
      </c>
      <c r="D387" s="3" t="n">
        <v>46248</v>
      </c>
      <c r="E387" s="2" t="str">
        <f aca="false">TEXT(D387,"dddd")</f>
        <v>Friday</v>
      </c>
      <c r="F387" s="2" t="s">
        <v>457</v>
      </c>
      <c r="G387" s="2" t="s">
        <v>458</v>
      </c>
      <c r="H387" s="2" t="s">
        <v>459</v>
      </c>
      <c r="I387" s="2" t="n">
        <f aca="false">IF(F387="Present",9,IF(F387="Half Day",4,0))</f>
        <v>9</v>
      </c>
      <c r="J387" s="2"/>
      <c r="K387" s="2"/>
    </row>
    <row r="388" customFormat="false" ht="15" hidden="false" customHeight="false" outlineLevel="0" collapsed="false">
      <c r="A388" s="2" t="s">
        <v>64</v>
      </c>
      <c r="B388" s="2" t="s">
        <v>65</v>
      </c>
      <c r="C388" s="2" t="s">
        <v>28</v>
      </c>
      <c r="D388" s="3" t="n">
        <v>46249</v>
      </c>
      <c r="E388" s="2" t="str">
        <f aca="false">TEXT(D388,"dddd")</f>
        <v>Saturday</v>
      </c>
      <c r="F388" s="2" t="s">
        <v>457</v>
      </c>
      <c r="G388" s="2" t="s">
        <v>458</v>
      </c>
      <c r="H388" s="2" t="s">
        <v>459</v>
      </c>
      <c r="I388" s="2" t="n">
        <f aca="false">IF(F388="Present",9,IF(F388="Half Day",4,0))</f>
        <v>9</v>
      </c>
      <c r="J388" s="2"/>
      <c r="K388" s="2"/>
    </row>
    <row r="389" customFormat="false" ht="15" hidden="false" customHeight="false" outlineLevel="0" collapsed="false">
      <c r="A389" s="2" t="s">
        <v>64</v>
      </c>
      <c r="B389" s="2" t="s">
        <v>65</v>
      </c>
      <c r="C389" s="2" t="s">
        <v>28</v>
      </c>
      <c r="D389" s="3" t="n">
        <v>46250</v>
      </c>
      <c r="E389" s="2" t="str">
        <f aca="false">TEXT(D389,"dddd")</f>
        <v>Sunday</v>
      </c>
      <c r="F389" s="2" t="s">
        <v>460</v>
      </c>
      <c r="G389" s="2"/>
      <c r="H389" s="2"/>
      <c r="I389" s="2" t="n">
        <f aca="false">IF(F389="Present",9,IF(F389="Half Day",4,0))</f>
        <v>0</v>
      </c>
      <c r="J389" s="2"/>
      <c r="K389" s="2" t="s">
        <v>460</v>
      </c>
    </row>
    <row r="390" customFormat="false" ht="15" hidden="false" customHeight="false" outlineLevel="0" collapsed="false">
      <c r="A390" s="2" t="s">
        <v>64</v>
      </c>
      <c r="B390" s="2" t="s">
        <v>65</v>
      </c>
      <c r="C390" s="2" t="s">
        <v>28</v>
      </c>
      <c r="D390" s="3" t="n">
        <v>46251</v>
      </c>
      <c r="E390" s="2" t="str">
        <f aca="false">TEXT(D390,"dddd")</f>
        <v>Monday</v>
      </c>
      <c r="F390" s="2" t="s">
        <v>457</v>
      </c>
      <c r="G390" s="2" t="s">
        <v>458</v>
      </c>
      <c r="H390" s="2" t="s">
        <v>459</v>
      </c>
      <c r="I390" s="2" t="n">
        <f aca="false">IF(F390="Present",9,IF(F390="Half Day",4,0))</f>
        <v>9</v>
      </c>
      <c r="J390" s="2"/>
      <c r="K390" s="2"/>
    </row>
    <row r="391" customFormat="false" ht="15" hidden="false" customHeight="false" outlineLevel="0" collapsed="false">
      <c r="A391" s="2" t="s">
        <v>64</v>
      </c>
      <c r="B391" s="2" t="s">
        <v>65</v>
      </c>
      <c r="C391" s="2" t="s">
        <v>28</v>
      </c>
      <c r="D391" s="3" t="n">
        <v>46252</v>
      </c>
      <c r="E391" s="2" t="str">
        <f aca="false">TEXT(D391,"dddd")</f>
        <v>Tuesday</v>
      </c>
      <c r="F391" s="2" t="s">
        <v>463</v>
      </c>
      <c r="G391" s="2"/>
      <c r="H391" s="2"/>
      <c r="I391" s="2" t="n">
        <f aca="false">IF(F391="Present",9,IF(F391="Half Day",4,0))</f>
        <v>0</v>
      </c>
      <c r="J391" s="2" t="s">
        <v>468</v>
      </c>
      <c r="K391" s="2" t="s">
        <v>469</v>
      </c>
    </row>
    <row r="392" customFormat="false" ht="15" hidden="false" customHeight="false" outlineLevel="0" collapsed="false">
      <c r="A392" s="2" t="s">
        <v>64</v>
      </c>
      <c r="B392" s="2" t="s">
        <v>65</v>
      </c>
      <c r="C392" s="2" t="s">
        <v>28</v>
      </c>
      <c r="D392" s="3" t="n">
        <v>46253</v>
      </c>
      <c r="E392" s="2" t="str">
        <f aca="false">TEXT(D392,"dddd")</f>
        <v>Wednesday</v>
      </c>
      <c r="F392" s="2" t="s">
        <v>457</v>
      </c>
      <c r="G392" s="2" t="s">
        <v>458</v>
      </c>
      <c r="H392" s="2" t="s">
        <v>459</v>
      </c>
      <c r="I392" s="2" t="n">
        <f aca="false">IF(F392="Present",9,IF(F392="Half Day",4,0))</f>
        <v>9</v>
      </c>
      <c r="J392" s="2"/>
      <c r="K392" s="2"/>
    </row>
    <row r="393" customFormat="false" ht="15" hidden="false" customHeight="false" outlineLevel="0" collapsed="false">
      <c r="A393" s="2" t="s">
        <v>64</v>
      </c>
      <c r="B393" s="2" t="s">
        <v>65</v>
      </c>
      <c r="C393" s="2" t="s">
        <v>28</v>
      </c>
      <c r="D393" s="3" t="n">
        <v>46254</v>
      </c>
      <c r="E393" s="2" t="str">
        <f aca="false">TEXT(D393,"dddd")</f>
        <v>Thursday</v>
      </c>
      <c r="F393" s="2" t="s">
        <v>457</v>
      </c>
      <c r="G393" s="2" t="s">
        <v>458</v>
      </c>
      <c r="H393" s="2" t="s">
        <v>459</v>
      </c>
      <c r="I393" s="2" t="n">
        <f aca="false">IF(F393="Present",9,IF(F393="Half Day",4,0))</f>
        <v>9</v>
      </c>
      <c r="J393" s="2"/>
      <c r="K393" s="2"/>
    </row>
    <row r="394" customFormat="false" ht="15" hidden="false" customHeight="false" outlineLevel="0" collapsed="false">
      <c r="A394" s="2" t="s">
        <v>64</v>
      </c>
      <c r="B394" s="2" t="s">
        <v>65</v>
      </c>
      <c r="C394" s="2" t="s">
        <v>28</v>
      </c>
      <c r="D394" s="3" t="n">
        <v>46255</v>
      </c>
      <c r="E394" s="2" t="str">
        <f aca="false">TEXT(D394,"dddd")</f>
        <v>Friday</v>
      </c>
      <c r="F394" s="2" t="s">
        <v>457</v>
      </c>
      <c r="G394" s="2" t="s">
        <v>458</v>
      </c>
      <c r="H394" s="2" t="s">
        <v>459</v>
      </c>
      <c r="I394" s="2" t="n">
        <f aca="false">IF(F394="Present",9,IF(F394="Half Day",4,0))</f>
        <v>9</v>
      </c>
      <c r="J394" s="2"/>
      <c r="K394" s="2"/>
    </row>
    <row r="395" customFormat="false" ht="15" hidden="false" customHeight="false" outlineLevel="0" collapsed="false">
      <c r="A395" s="2" t="s">
        <v>64</v>
      </c>
      <c r="B395" s="2" t="s">
        <v>65</v>
      </c>
      <c r="C395" s="2" t="s">
        <v>28</v>
      </c>
      <c r="D395" s="3" t="n">
        <v>46256</v>
      </c>
      <c r="E395" s="2" t="str">
        <f aca="false">TEXT(D395,"dddd")</f>
        <v>Saturday</v>
      </c>
      <c r="F395" s="2" t="s">
        <v>457</v>
      </c>
      <c r="G395" s="2" t="s">
        <v>458</v>
      </c>
      <c r="H395" s="2" t="s">
        <v>459</v>
      </c>
      <c r="I395" s="2" t="n">
        <f aca="false">IF(F395="Present",9,IF(F395="Half Day",4,0))</f>
        <v>9</v>
      </c>
      <c r="J395" s="2"/>
      <c r="K395" s="2"/>
    </row>
    <row r="396" customFormat="false" ht="15" hidden="false" customHeight="false" outlineLevel="0" collapsed="false">
      <c r="A396" s="2" t="s">
        <v>64</v>
      </c>
      <c r="B396" s="2" t="s">
        <v>65</v>
      </c>
      <c r="C396" s="2" t="s">
        <v>28</v>
      </c>
      <c r="D396" s="3" t="n">
        <v>46257</v>
      </c>
      <c r="E396" s="2" t="str">
        <f aca="false">TEXT(D396,"dddd")</f>
        <v>Sunday</v>
      </c>
      <c r="F396" s="2" t="s">
        <v>460</v>
      </c>
      <c r="G396" s="2"/>
      <c r="H396" s="2"/>
      <c r="I396" s="2" t="n">
        <f aca="false">IF(F396="Present",9,IF(F396="Half Day",4,0))</f>
        <v>0</v>
      </c>
      <c r="J396" s="2"/>
      <c r="K396" s="2" t="s">
        <v>460</v>
      </c>
    </row>
    <row r="397" customFormat="false" ht="15" hidden="false" customHeight="false" outlineLevel="0" collapsed="false">
      <c r="A397" s="2" t="s">
        <v>64</v>
      </c>
      <c r="B397" s="2" t="s">
        <v>65</v>
      </c>
      <c r="C397" s="2" t="s">
        <v>28</v>
      </c>
      <c r="D397" s="3" t="n">
        <v>46258</v>
      </c>
      <c r="E397" s="2" t="str">
        <f aca="false">TEXT(D397,"dddd")</f>
        <v>Monday</v>
      </c>
      <c r="F397" s="2" t="s">
        <v>461</v>
      </c>
      <c r="G397" s="2"/>
      <c r="H397" s="2"/>
      <c r="I397" s="2" t="n">
        <f aca="false">IF(F397="Present",9,IF(F397="Half Day",4,0))</f>
        <v>0</v>
      </c>
      <c r="J397" s="2"/>
      <c r="K397" s="2" t="s">
        <v>462</v>
      </c>
    </row>
    <row r="398" customFormat="false" ht="15" hidden="false" customHeight="false" outlineLevel="0" collapsed="false">
      <c r="A398" s="2" t="s">
        <v>64</v>
      </c>
      <c r="B398" s="2" t="s">
        <v>65</v>
      </c>
      <c r="C398" s="2" t="s">
        <v>28</v>
      </c>
      <c r="D398" s="3" t="n">
        <v>46259</v>
      </c>
      <c r="E398" s="2" t="str">
        <f aca="false">TEXT(D398,"dddd")</f>
        <v>Tuesday</v>
      </c>
      <c r="F398" s="2" t="s">
        <v>457</v>
      </c>
      <c r="G398" s="2" t="s">
        <v>458</v>
      </c>
      <c r="H398" s="2" t="s">
        <v>459</v>
      </c>
      <c r="I398" s="2" t="n">
        <f aca="false">IF(F398="Present",9,IF(F398="Half Day",4,0))</f>
        <v>9</v>
      </c>
      <c r="J398" s="2"/>
      <c r="K398" s="2"/>
    </row>
    <row r="399" customFormat="false" ht="15" hidden="false" customHeight="false" outlineLevel="0" collapsed="false">
      <c r="A399" s="2" t="s">
        <v>64</v>
      </c>
      <c r="B399" s="2" t="s">
        <v>65</v>
      </c>
      <c r="C399" s="2" t="s">
        <v>28</v>
      </c>
      <c r="D399" s="3" t="n">
        <v>46260</v>
      </c>
      <c r="E399" s="2" t="str">
        <f aca="false">TEXT(D399,"dddd")</f>
        <v>Wednesday</v>
      </c>
      <c r="F399" s="2" t="s">
        <v>457</v>
      </c>
      <c r="G399" s="2" t="s">
        <v>458</v>
      </c>
      <c r="H399" s="2" t="s">
        <v>459</v>
      </c>
      <c r="I399" s="2" t="n">
        <f aca="false">IF(F399="Present",9,IF(F399="Half Day",4,0))</f>
        <v>9</v>
      </c>
      <c r="J399" s="2"/>
      <c r="K399" s="2"/>
    </row>
    <row r="400" customFormat="false" ht="15" hidden="false" customHeight="false" outlineLevel="0" collapsed="false">
      <c r="A400" s="2" t="s">
        <v>64</v>
      </c>
      <c r="B400" s="2" t="s">
        <v>65</v>
      </c>
      <c r="C400" s="2" t="s">
        <v>28</v>
      </c>
      <c r="D400" s="3" t="n">
        <v>46261</v>
      </c>
      <c r="E400" s="2" t="str">
        <f aca="false">TEXT(D400,"dddd")</f>
        <v>Thursday</v>
      </c>
      <c r="F400" s="2" t="s">
        <v>457</v>
      </c>
      <c r="G400" s="2" t="s">
        <v>458</v>
      </c>
      <c r="H400" s="2" t="s">
        <v>459</v>
      </c>
      <c r="I400" s="2" t="n">
        <f aca="false">IF(F400="Present",9,IF(F400="Half Day",4,0))</f>
        <v>9</v>
      </c>
      <c r="J400" s="2"/>
      <c r="K400" s="2"/>
    </row>
    <row r="401" customFormat="false" ht="15" hidden="false" customHeight="false" outlineLevel="0" collapsed="false">
      <c r="A401" s="2" t="s">
        <v>64</v>
      </c>
      <c r="B401" s="2" t="s">
        <v>65</v>
      </c>
      <c r="C401" s="2" t="s">
        <v>28</v>
      </c>
      <c r="D401" s="3" t="n">
        <v>46262</v>
      </c>
      <c r="E401" s="2" t="str">
        <f aca="false">TEXT(D401,"dddd")</f>
        <v>Friday</v>
      </c>
      <c r="F401" s="2" t="s">
        <v>457</v>
      </c>
      <c r="G401" s="2" t="s">
        <v>458</v>
      </c>
      <c r="H401" s="2" t="s">
        <v>459</v>
      </c>
      <c r="I401" s="2" t="n">
        <f aca="false">IF(F401="Present",9,IF(F401="Half Day",4,0))</f>
        <v>9</v>
      </c>
      <c r="J401" s="2"/>
      <c r="K401" s="2"/>
    </row>
    <row r="402" customFormat="false" ht="15" hidden="false" customHeight="false" outlineLevel="0" collapsed="false">
      <c r="A402" s="2" t="s">
        <v>64</v>
      </c>
      <c r="B402" s="2" t="s">
        <v>65</v>
      </c>
      <c r="C402" s="2" t="s">
        <v>28</v>
      </c>
      <c r="D402" s="3" t="n">
        <v>46263</v>
      </c>
      <c r="E402" s="2" t="str">
        <f aca="false">TEXT(D402,"dddd")</f>
        <v>Saturday</v>
      </c>
      <c r="F402" s="2" t="s">
        <v>457</v>
      </c>
      <c r="G402" s="2" t="s">
        <v>458</v>
      </c>
      <c r="H402" s="2" t="s">
        <v>459</v>
      </c>
      <c r="I402" s="2" t="n">
        <f aca="false">IF(F402="Present",9,IF(F402="Half Day",4,0))</f>
        <v>9</v>
      </c>
      <c r="J402" s="2"/>
      <c r="K402" s="2"/>
    </row>
    <row r="403" customFormat="false" ht="15" hidden="false" customHeight="false" outlineLevel="0" collapsed="false">
      <c r="A403" s="2" t="s">
        <v>64</v>
      </c>
      <c r="B403" s="2" t="s">
        <v>65</v>
      </c>
      <c r="C403" s="2" t="s">
        <v>28</v>
      </c>
      <c r="D403" s="3" t="n">
        <v>46264</v>
      </c>
      <c r="E403" s="2" t="str">
        <f aca="false">TEXT(D403,"dddd")</f>
        <v>Sunday</v>
      </c>
      <c r="F403" s="2" t="s">
        <v>460</v>
      </c>
      <c r="G403" s="2"/>
      <c r="H403" s="2"/>
      <c r="I403" s="2" t="n">
        <f aca="false">IF(F403="Present",9,IF(F403="Half Day",4,0))</f>
        <v>0</v>
      </c>
      <c r="J403" s="2"/>
      <c r="K403" s="2" t="s">
        <v>460</v>
      </c>
    </row>
    <row r="404" customFormat="false" ht="15" hidden="false" customHeight="false" outlineLevel="0" collapsed="false">
      <c r="A404" s="2" t="s">
        <v>64</v>
      </c>
      <c r="B404" s="2" t="s">
        <v>65</v>
      </c>
      <c r="C404" s="2" t="s">
        <v>28</v>
      </c>
      <c r="D404" s="3" t="n">
        <v>46265</v>
      </c>
      <c r="E404" s="2" t="str">
        <f aca="false">TEXT(D404,"dddd")</f>
        <v>Monday</v>
      </c>
      <c r="F404" s="2" t="s">
        <v>457</v>
      </c>
      <c r="G404" s="2" t="s">
        <v>458</v>
      </c>
      <c r="H404" s="2" t="s">
        <v>459</v>
      </c>
      <c r="I404" s="2" t="n">
        <f aca="false">IF(F404="Present",9,IF(F404="Half Day",4,0))</f>
        <v>9</v>
      </c>
      <c r="J404" s="2"/>
      <c r="K404" s="2"/>
    </row>
    <row r="405" customFormat="false" ht="15" hidden="false" customHeight="false" outlineLevel="0" collapsed="false">
      <c r="A405" s="2" t="s">
        <v>67</v>
      </c>
      <c r="B405" s="2" t="s">
        <v>68</v>
      </c>
      <c r="C405" s="2" t="s">
        <v>32</v>
      </c>
      <c r="D405" s="3" t="n">
        <v>46235</v>
      </c>
      <c r="E405" s="2" t="str">
        <f aca="false">TEXT(D405,"dddd")</f>
        <v>Saturday</v>
      </c>
      <c r="F405" s="2" t="s">
        <v>461</v>
      </c>
      <c r="G405" s="2"/>
      <c r="H405" s="2"/>
      <c r="I405" s="2" t="n">
        <f aca="false">IF(F405="Present",9,IF(F405="Half Day",4,0))</f>
        <v>0</v>
      </c>
      <c r="J405" s="2"/>
      <c r="K405" s="2" t="s">
        <v>462</v>
      </c>
    </row>
    <row r="406" customFormat="false" ht="15" hidden="false" customHeight="false" outlineLevel="0" collapsed="false">
      <c r="A406" s="2" t="s">
        <v>67</v>
      </c>
      <c r="B406" s="2" t="s">
        <v>68</v>
      </c>
      <c r="C406" s="2" t="s">
        <v>32</v>
      </c>
      <c r="D406" s="3" t="n">
        <v>46236</v>
      </c>
      <c r="E406" s="2" t="str">
        <f aca="false">TEXT(D406,"dddd")</f>
        <v>Sunday</v>
      </c>
      <c r="F406" s="2" t="s">
        <v>460</v>
      </c>
      <c r="G406" s="2"/>
      <c r="H406" s="2"/>
      <c r="I406" s="2" t="n">
        <f aca="false">IF(F406="Present",9,IF(F406="Half Day",4,0))</f>
        <v>0</v>
      </c>
      <c r="J406" s="2"/>
      <c r="K406" s="2" t="s">
        <v>460</v>
      </c>
    </row>
    <row r="407" customFormat="false" ht="15" hidden="false" customHeight="false" outlineLevel="0" collapsed="false">
      <c r="A407" s="2" t="s">
        <v>67</v>
      </c>
      <c r="B407" s="2" t="s">
        <v>68</v>
      </c>
      <c r="C407" s="2" t="s">
        <v>32</v>
      </c>
      <c r="D407" s="3" t="n">
        <v>46237</v>
      </c>
      <c r="E407" s="2" t="str">
        <f aca="false">TEXT(D407,"dddd")</f>
        <v>Monday</v>
      </c>
      <c r="F407" s="2" t="s">
        <v>457</v>
      </c>
      <c r="G407" s="2" t="s">
        <v>458</v>
      </c>
      <c r="H407" s="2" t="s">
        <v>459</v>
      </c>
      <c r="I407" s="2" t="n">
        <f aca="false">IF(F407="Present",9,IF(F407="Half Day",4,0))</f>
        <v>9</v>
      </c>
      <c r="J407" s="2"/>
      <c r="K407" s="2"/>
    </row>
    <row r="408" customFormat="false" ht="15" hidden="false" customHeight="false" outlineLevel="0" collapsed="false">
      <c r="A408" s="2" t="s">
        <v>67</v>
      </c>
      <c r="B408" s="2" t="s">
        <v>68</v>
      </c>
      <c r="C408" s="2" t="s">
        <v>32</v>
      </c>
      <c r="D408" s="3" t="n">
        <v>46238</v>
      </c>
      <c r="E408" s="2" t="str">
        <f aca="false">TEXT(D408,"dddd")</f>
        <v>Tuesday</v>
      </c>
      <c r="F408" s="2" t="s">
        <v>457</v>
      </c>
      <c r="G408" s="2" t="s">
        <v>458</v>
      </c>
      <c r="H408" s="2" t="s">
        <v>459</v>
      </c>
      <c r="I408" s="2" t="n">
        <f aca="false">IF(F408="Present",9,IF(F408="Half Day",4,0))</f>
        <v>9</v>
      </c>
      <c r="J408" s="2"/>
      <c r="K408" s="2"/>
    </row>
    <row r="409" customFormat="false" ht="15" hidden="false" customHeight="false" outlineLevel="0" collapsed="false">
      <c r="A409" s="2" t="s">
        <v>67</v>
      </c>
      <c r="B409" s="2" t="s">
        <v>68</v>
      </c>
      <c r="C409" s="2" t="s">
        <v>32</v>
      </c>
      <c r="D409" s="3" t="n">
        <v>46239</v>
      </c>
      <c r="E409" s="2" t="str">
        <f aca="false">TEXT(D409,"dddd")</f>
        <v>Wednesday</v>
      </c>
      <c r="F409" s="2" t="s">
        <v>457</v>
      </c>
      <c r="G409" s="2" t="s">
        <v>458</v>
      </c>
      <c r="H409" s="2" t="s">
        <v>459</v>
      </c>
      <c r="I409" s="2" t="n">
        <f aca="false">IF(F409="Present",9,IF(F409="Half Day",4,0))</f>
        <v>9</v>
      </c>
      <c r="J409" s="2"/>
      <c r="K409" s="2"/>
    </row>
    <row r="410" customFormat="false" ht="15" hidden="false" customHeight="false" outlineLevel="0" collapsed="false">
      <c r="A410" s="2" t="s">
        <v>67</v>
      </c>
      <c r="B410" s="2" t="s">
        <v>68</v>
      </c>
      <c r="C410" s="2" t="s">
        <v>32</v>
      </c>
      <c r="D410" s="3" t="n">
        <v>46240</v>
      </c>
      <c r="E410" s="2" t="str">
        <f aca="false">TEXT(D410,"dddd")</f>
        <v>Thursday</v>
      </c>
      <c r="F410" s="2" t="s">
        <v>461</v>
      </c>
      <c r="G410" s="2"/>
      <c r="H410" s="2"/>
      <c r="I410" s="2" t="n">
        <f aca="false">IF(F410="Present",9,IF(F410="Half Day",4,0))</f>
        <v>0</v>
      </c>
      <c r="J410" s="2"/>
      <c r="K410" s="2" t="s">
        <v>462</v>
      </c>
    </row>
    <row r="411" customFormat="false" ht="15" hidden="false" customHeight="false" outlineLevel="0" collapsed="false">
      <c r="A411" s="2" t="s">
        <v>67</v>
      </c>
      <c r="B411" s="2" t="s">
        <v>68</v>
      </c>
      <c r="C411" s="2" t="s">
        <v>32</v>
      </c>
      <c r="D411" s="3" t="n">
        <v>46241</v>
      </c>
      <c r="E411" s="2" t="str">
        <f aca="false">TEXT(D411,"dddd")</f>
        <v>Friday</v>
      </c>
      <c r="F411" s="2" t="s">
        <v>461</v>
      </c>
      <c r="G411" s="2"/>
      <c r="H411" s="2"/>
      <c r="I411" s="2" t="n">
        <f aca="false">IF(F411="Present",9,IF(F411="Half Day",4,0))</f>
        <v>0</v>
      </c>
      <c r="J411" s="2"/>
      <c r="K411" s="2" t="s">
        <v>462</v>
      </c>
    </row>
    <row r="412" customFormat="false" ht="15" hidden="false" customHeight="false" outlineLevel="0" collapsed="false">
      <c r="A412" s="2" t="s">
        <v>67</v>
      </c>
      <c r="B412" s="2" t="s">
        <v>68</v>
      </c>
      <c r="C412" s="2" t="s">
        <v>32</v>
      </c>
      <c r="D412" s="3" t="n">
        <v>46242</v>
      </c>
      <c r="E412" s="2" t="str">
        <f aca="false">TEXT(D412,"dddd")</f>
        <v>Saturday</v>
      </c>
      <c r="F412" s="2" t="s">
        <v>461</v>
      </c>
      <c r="G412" s="2"/>
      <c r="H412" s="2"/>
      <c r="I412" s="2" t="n">
        <f aca="false">IF(F412="Present",9,IF(F412="Half Day",4,0))</f>
        <v>0</v>
      </c>
      <c r="J412" s="2"/>
      <c r="K412" s="2" t="s">
        <v>462</v>
      </c>
    </row>
    <row r="413" customFormat="false" ht="15" hidden="false" customHeight="false" outlineLevel="0" collapsed="false">
      <c r="A413" s="2" t="s">
        <v>67</v>
      </c>
      <c r="B413" s="2" t="s">
        <v>68</v>
      </c>
      <c r="C413" s="2" t="s">
        <v>32</v>
      </c>
      <c r="D413" s="3" t="n">
        <v>46243</v>
      </c>
      <c r="E413" s="2" t="str">
        <f aca="false">TEXT(D413,"dddd")</f>
        <v>Sunday</v>
      </c>
      <c r="F413" s="2" t="s">
        <v>460</v>
      </c>
      <c r="G413" s="2"/>
      <c r="H413" s="2"/>
      <c r="I413" s="2" t="n">
        <f aca="false">IF(F413="Present",9,IF(F413="Half Day",4,0))</f>
        <v>0</v>
      </c>
      <c r="J413" s="2"/>
      <c r="K413" s="2" t="s">
        <v>460</v>
      </c>
    </row>
    <row r="414" customFormat="false" ht="15" hidden="false" customHeight="false" outlineLevel="0" collapsed="false">
      <c r="A414" s="2" t="s">
        <v>67</v>
      </c>
      <c r="B414" s="2" t="s">
        <v>68</v>
      </c>
      <c r="C414" s="2" t="s">
        <v>32</v>
      </c>
      <c r="D414" s="3" t="n">
        <v>46244</v>
      </c>
      <c r="E414" s="2" t="str">
        <f aca="false">TEXT(D414,"dddd")</f>
        <v>Monday</v>
      </c>
      <c r="F414" s="2" t="s">
        <v>457</v>
      </c>
      <c r="G414" s="2" t="s">
        <v>458</v>
      </c>
      <c r="H414" s="2" t="s">
        <v>459</v>
      </c>
      <c r="I414" s="2" t="n">
        <f aca="false">IF(F414="Present",9,IF(F414="Half Day",4,0))</f>
        <v>9</v>
      </c>
      <c r="J414" s="2"/>
      <c r="K414" s="2"/>
    </row>
    <row r="415" customFormat="false" ht="15" hidden="false" customHeight="false" outlineLevel="0" collapsed="false">
      <c r="A415" s="2" t="s">
        <v>67</v>
      </c>
      <c r="B415" s="2" t="s">
        <v>68</v>
      </c>
      <c r="C415" s="2" t="s">
        <v>32</v>
      </c>
      <c r="D415" s="3" t="n">
        <v>46245</v>
      </c>
      <c r="E415" s="2" t="str">
        <f aca="false">TEXT(D415,"dddd")</f>
        <v>Tuesday</v>
      </c>
      <c r="F415" s="2" t="s">
        <v>457</v>
      </c>
      <c r="G415" s="2" t="s">
        <v>458</v>
      </c>
      <c r="H415" s="2" t="s">
        <v>459</v>
      </c>
      <c r="I415" s="2" t="n">
        <f aca="false">IF(F415="Present",9,IF(F415="Half Day",4,0))</f>
        <v>9</v>
      </c>
      <c r="J415" s="2"/>
      <c r="K415" s="2"/>
    </row>
    <row r="416" customFormat="false" ht="15" hidden="false" customHeight="false" outlineLevel="0" collapsed="false">
      <c r="A416" s="2" t="s">
        <v>67</v>
      </c>
      <c r="B416" s="2" t="s">
        <v>68</v>
      </c>
      <c r="C416" s="2" t="s">
        <v>32</v>
      </c>
      <c r="D416" s="3" t="n">
        <v>46246</v>
      </c>
      <c r="E416" s="2" t="str">
        <f aca="false">TEXT(D416,"dddd")</f>
        <v>Wednesday</v>
      </c>
      <c r="F416" s="2" t="s">
        <v>457</v>
      </c>
      <c r="G416" s="2" t="s">
        <v>458</v>
      </c>
      <c r="H416" s="2" t="s">
        <v>459</v>
      </c>
      <c r="I416" s="2" t="n">
        <f aca="false">IF(F416="Present",9,IF(F416="Half Day",4,0))</f>
        <v>9</v>
      </c>
      <c r="J416" s="2"/>
      <c r="K416" s="2"/>
    </row>
    <row r="417" customFormat="false" ht="15" hidden="false" customHeight="false" outlineLevel="0" collapsed="false">
      <c r="A417" s="2" t="s">
        <v>67</v>
      </c>
      <c r="B417" s="2" t="s">
        <v>68</v>
      </c>
      <c r="C417" s="2" t="s">
        <v>32</v>
      </c>
      <c r="D417" s="3" t="n">
        <v>46247</v>
      </c>
      <c r="E417" s="2" t="str">
        <f aca="false">TEXT(D417,"dddd")</f>
        <v>Thursday</v>
      </c>
      <c r="F417" s="2" t="s">
        <v>457</v>
      </c>
      <c r="G417" s="2" t="s">
        <v>458</v>
      </c>
      <c r="H417" s="2" t="s">
        <v>459</v>
      </c>
      <c r="I417" s="2" t="n">
        <f aca="false">IF(F417="Present",9,IF(F417="Half Day",4,0))</f>
        <v>9</v>
      </c>
      <c r="J417" s="2"/>
      <c r="K417" s="2"/>
    </row>
    <row r="418" customFormat="false" ht="15" hidden="false" customHeight="false" outlineLevel="0" collapsed="false">
      <c r="A418" s="2" t="s">
        <v>67</v>
      </c>
      <c r="B418" s="2" t="s">
        <v>68</v>
      </c>
      <c r="C418" s="2" t="s">
        <v>32</v>
      </c>
      <c r="D418" s="3" t="n">
        <v>46248</v>
      </c>
      <c r="E418" s="2" t="str">
        <f aca="false">TEXT(D418,"dddd")</f>
        <v>Friday</v>
      </c>
      <c r="F418" s="2" t="s">
        <v>457</v>
      </c>
      <c r="G418" s="2" t="s">
        <v>458</v>
      </c>
      <c r="H418" s="2" t="s">
        <v>459</v>
      </c>
      <c r="I418" s="2" t="n">
        <f aca="false">IF(F418="Present",9,IF(F418="Half Day",4,0))</f>
        <v>9</v>
      </c>
      <c r="J418" s="2"/>
      <c r="K418" s="2"/>
    </row>
    <row r="419" customFormat="false" ht="15" hidden="false" customHeight="false" outlineLevel="0" collapsed="false">
      <c r="A419" s="2" t="s">
        <v>67</v>
      </c>
      <c r="B419" s="2" t="s">
        <v>68</v>
      </c>
      <c r="C419" s="2" t="s">
        <v>32</v>
      </c>
      <c r="D419" s="3" t="n">
        <v>46249</v>
      </c>
      <c r="E419" s="2" t="str">
        <f aca="false">TEXT(D419,"dddd")</f>
        <v>Saturday</v>
      </c>
      <c r="F419" s="2" t="s">
        <v>457</v>
      </c>
      <c r="G419" s="2" t="s">
        <v>458</v>
      </c>
      <c r="H419" s="2" t="s">
        <v>459</v>
      </c>
      <c r="I419" s="2" t="n">
        <f aca="false">IF(F419="Present",9,IF(F419="Half Day",4,0))</f>
        <v>9</v>
      </c>
      <c r="J419" s="2"/>
      <c r="K419" s="2"/>
    </row>
    <row r="420" customFormat="false" ht="15" hidden="false" customHeight="false" outlineLevel="0" collapsed="false">
      <c r="A420" s="2" t="s">
        <v>67</v>
      </c>
      <c r="B420" s="2" t="s">
        <v>68</v>
      </c>
      <c r="C420" s="2" t="s">
        <v>32</v>
      </c>
      <c r="D420" s="3" t="n">
        <v>46250</v>
      </c>
      <c r="E420" s="2" t="str">
        <f aca="false">TEXT(D420,"dddd")</f>
        <v>Sunday</v>
      </c>
      <c r="F420" s="2" t="s">
        <v>460</v>
      </c>
      <c r="G420" s="2"/>
      <c r="H420" s="2"/>
      <c r="I420" s="2" t="n">
        <f aca="false">IF(F420="Present",9,IF(F420="Half Day",4,0))</f>
        <v>0</v>
      </c>
      <c r="J420" s="2"/>
      <c r="K420" s="2" t="s">
        <v>460</v>
      </c>
    </row>
    <row r="421" customFormat="false" ht="15" hidden="false" customHeight="false" outlineLevel="0" collapsed="false">
      <c r="A421" s="2" t="s">
        <v>67</v>
      </c>
      <c r="B421" s="2" t="s">
        <v>68</v>
      </c>
      <c r="C421" s="2" t="s">
        <v>32</v>
      </c>
      <c r="D421" s="3" t="n">
        <v>46251</v>
      </c>
      <c r="E421" s="2" t="str">
        <f aca="false">TEXT(D421,"dddd")</f>
        <v>Monday</v>
      </c>
      <c r="F421" s="2" t="s">
        <v>461</v>
      </c>
      <c r="G421" s="2"/>
      <c r="H421" s="2"/>
      <c r="I421" s="2" t="n">
        <f aca="false">IF(F421="Present",9,IF(F421="Half Day",4,0))</f>
        <v>0</v>
      </c>
      <c r="J421" s="2"/>
      <c r="K421" s="2" t="s">
        <v>462</v>
      </c>
    </row>
    <row r="422" customFormat="false" ht="15" hidden="false" customHeight="false" outlineLevel="0" collapsed="false">
      <c r="A422" s="2" t="s">
        <v>67</v>
      </c>
      <c r="B422" s="2" t="s">
        <v>68</v>
      </c>
      <c r="C422" s="2" t="s">
        <v>32</v>
      </c>
      <c r="D422" s="3" t="n">
        <v>46252</v>
      </c>
      <c r="E422" s="2" t="str">
        <f aca="false">TEXT(D422,"dddd")</f>
        <v>Tuesday</v>
      </c>
      <c r="F422" s="2" t="s">
        <v>461</v>
      </c>
      <c r="G422" s="2"/>
      <c r="H422" s="2"/>
      <c r="I422" s="2" t="n">
        <f aca="false">IF(F422="Present",9,IF(F422="Half Day",4,0))</f>
        <v>0</v>
      </c>
      <c r="J422" s="2"/>
      <c r="K422" s="2" t="s">
        <v>462</v>
      </c>
    </row>
    <row r="423" customFormat="false" ht="15" hidden="false" customHeight="false" outlineLevel="0" collapsed="false">
      <c r="A423" s="2" t="s">
        <v>67</v>
      </c>
      <c r="B423" s="2" t="s">
        <v>68</v>
      </c>
      <c r="C423" s="2" t="s">
        <v>32</v>
      </c>
      <c r="D423" s="3" t="n">
        <v>46253</v>
      </c>
      <c r="E423" s="2" t="str">
        <f aca="false">TEXT(D423,"dddd")</f>
        <v>Wednesday</v>
      </c>
      <c r="F423" s="2" t="s">
        <v>457</v>
      </c>
      <c r="G423" s="2" t="s">
        <v>458</v>
      </c>
      <c r="H423" s="2" t="s">
        <v>459</v>
      </c>
      <c r="I423" s="2" t="n">
        <f aca="false">IF(F423="Present",9,IF(F423="Half Day",4,0))</f>
        <v>9</v>
      </c>
      <c r="J423" s="2"/>
      <c r="K423" s="2"/>
    </row>
    <row r="424" customFormat="false" ht="15" hidden="false" customHeight="false" outlineLevel="0" collapsed="false">
      <c r="A424" s="2" t="s">
        <v>67</v>
      </c>
      <c r="B424" s="2" t="s">
        <v>68</v>
      </c>
      <c r="C424" s="2" t="s">
        <v>32</v>
      </c>
      <c r="D424" s="3" t="n">
        <v>46254</v>
      </c>
      <c r="E424" s="2" t="str">
        <f aca="false">TEXT(D424,"dddd")</f>
        <v>Thursday</v>
      </c>
      <c r="F424" s="2" t="s">
        <v>457</v>
      </c>
      <c r="G424" s="2" t="s">
        <v>458</v>
      </c>
      <c r="H424" s="2" t="s">
        <v>459</v>
      </c>
      <c r="I424" s="2" t="n">
        <f aca="false">IF(F424="Present",9,IF(F424="Half Day",4,0))</f>
        <v>9</v>
      </c>
      <c r="J424" s="2"/>
      <c r="K424" s="2"/>
    </row>
    <row r="425" customFormat="false" ht="15" hidden="false" customHeight="false" outlineLevel="0" collapsed="false">
      <c r="A425" s="2" t="s">
        <v>67</v>
      </c>
      <c r="B425" s="2" t="s">
        <v>68</v>
      </c>
      <c r="C425" s="2" t="s">
        <v>32</v>
      </c>
      <c r="D425" s="3" t="n">
        <v>46255</v>
      </c>
      <c r="E425" s="2" t="str">
        <f aca="false">TEXT(D425,"dddd")</f>
        <v>Friday</v>
      </c>
      <c r="F425" s="2" t="s">
        <v>457</v>
      </c>
      <c r="G425" s="2" t="s">
        <v>458</v>
      </c>
      <c r="H425" s="2" t="s">
        <v>459</v>
      </c>
      <c r="I425" s="2" t="n">
        <f aca="false">IF(F425="Present",9,IF(F425="Half Day",4,0))</f>
        <v>9</v>
      </c>
      <c r="J425" s="2"/>
      <c r="K425" s="2"/>
    </row>
    <row r="426" customFormat="false" ht="15" hidden="false" customHeight="false" outlineLevel="0" collapsed="false">
      <c r="A426" s="2" t="s">
        <v>67</v>
      </c>
      <c r="B426" s="2" t="s">
        <v>68</v>
      </c>
      <c r="C426" s="2" t="s">
        <v>32</v>
      </c>
      <c r="D426" s="3" t="n">
        <v>46256</v>
      </c>
      <c r="E426" s="2" t="str">
        <f aca="false">TEXT(D426,"dddd")</f>
        <v>Saturday</v>
      </c>
      <c r="F426" s="2" t="s">
        <v>463</v>
      </c>
      <c r="G426" s="2"/>
      <c r="H426" s="2"/>
      <c r="I426" s="2" t="n">
        <f aca="false">IF(F426="Present",9,IF(F426="Half Day",4,0))</f>
        <v>0</v>
      </c>
      <c r="J426" s="2" t="s">
        <v>464</v>
      </c>
      <c r="K426" s="2" t="s">
        <v>465</v>
      </c>
    </row>
    <row r="427" customFormat="false" ht="15" hidden="false" customHeight="false" outlineLevel="0" collapsed="false">
      <c r="A427" s="2" t="s">
        <v>67</v>
      </c>
      <c r="B427" s="2" t="s">
        <v>68</v>
      </c>
      <c r="C427" s="2" t="s">
        <v>32</v>
      </c>
      <c r="D427" s="3" t="n">
        <v>46257</v>
      </c>
      <c r="E427" s="2" t="str">
        <f aca="false">TEXT(D427,"dddd")</f>
        <v>Sunday</v>
      </c>
      <c r="F427" s="2" t="s">
        <v>460</v>
      </c>
      <c r="G427" s="2"/>
      <c r="H427" s="2"/>
      <c r="I427" s="2" t="n">
        <f aca="false">IF(F427="Present",9,IF(F427="Half Day",4,0))</f>
        <v>0</v>
      </c>
      <c r="J427" s="2"/>
      <c r="K427" s="2" t="s">
        <v>460</v>
      </c>
    </row>
    <row r="428" customFormat="false" ht="15" hidden="false" customHeight="false" outlineLevel="0" collapsed="false">
      <c r="A428" s="2" t="s">
        <v>67</v>
      </c>
      <c r="B428" s="2" t="s">
        <v>68</v>
      </c>
      <c r="C428" s="2" t="s">
        <v>32</v>
      </c>
      <c r="D428" s="3" t="n">
        <v>46258</v>
      </c>
      <c r="E428" s="2" t="str">
        <f aca="false">TEXT(D428,"dddd")</f>
        <v>Monday</v>
      </c>
      <c r="F428" s="2" t="s">
        <v>457</v>
      </c>
      <c r="G428" s="2" t="s">
        <v>458</v>
      </c>
      <c r="H428" s="2" t="s">
        <v>459</v>
      </c>
      <c r="I428" s="2" t="n">
        <f aca="false">IF(F428="Present",9,IF(F428="Half Day",4,0))</f>
        <v>9</v>
      </c>
      <c r="J428" s="2"/>
      <c r="K428" s="2"/>
    </row>
    <row r="429" customFormat="false" ht="15" hidden="false" customHeight="false" outlineLevel="0" collapsed="false">
      <c r="A429" s="2" t="s">
        <v>67</v>
      </c>
      <c r="B429" s="2" t="s">
        <v>68</v>
      </c>
      <c r="C429" s="2" t="s">
        <v>32</v>
      </c>
      <c r="D429" s="3" t="n">
        <v>46259</v>
      </c>
      <c r="E429" s="2" t="str">
        <f aca="false">TEXT(D429,"dddd")</f>
        <v>Tuesday</v>
      </c>
      <c r="F429" s="2" t="s">
        <v>457</v>
      </c>
      <c r="G429" s="2" t="s">
        <v>458</v>
      </c>
      <c r="H429" s="2" t="s">
        <v>459</v>
      </c>
      <c r="I429" s="2" t="n">
        <f aca="false">IF(F429="Present",9,IF(F429="Half Day",4,0))</f>
        <v>9</v>
      </c>
      <c r="J429" s="2"/>
      <c r="K429" s="2"/>
    </row>
    <row r="430" customFormat="false" ht="15" hidden="false" customHeight="false" outlineLevel="0" collapsed="false">
      <c r="A430" s="2" t="s">
        <v>67</v>
      </c>
      <c r="B430" s="2" t="s">
        <v>68</v>
      </c>
      <c r="C430" s="2" t="s">
        <v>32</v>
      </c>
      <c r="D430" s="3" t="n">
        <v>46260</v>
      </c>
      <c r="E430" s="2" t="str">
        <f aca="false">TEXT(D430,"dddd")</f>
        <v>Wednesday</v>
      </c>
      <c r="F430" s="2" t="s">
        <v>457</v>
      </c>
      <c r="G430" s="2" t="s">
        <v>458</v>
      </c>
      <c r="H430" s="2" t="s">
        <v>459</v>
      </c>
      <c r="I430" s="2" t="n">
        <f aca="false">IF(F430="Present",9,IF(F430="Half Day",4,0))</f>
        <v>9</v>
      </c>
      <c r="J430" s="2"/>
      <c r="K430" s="2"/>
    </row>
    <row r="431" customFormat="false" ht="15" hidden="false" customHeight="false" outlineLevel="0" collapsed="false">
      <c r="A431" s="2" t="s">
        <v>67</v>
      </c>
      <c r="B431" s="2" t="s">
        <v>68</v>
      </c>
      <c r="C431" s="2" t="s">
        <v>32</v>
      </c>
      <c r="D431" s="3" t="n">
        <v>46261</v>
      </c>
      <c r="E431" s="2" t="str">
        <f aca="false">TEXT(D431,"dddd")</f>
        <v>Thursday</v>
      </c>
      <c r="F431" s="2" t="s">
        <v>457</v>
      </c>
      <c r="G431" s="2" t="s">
        <v>458</v>
      </c>
      <c r="H431" s="2" t="s">
        <v>459</v>
      </c>
      <c r="I431" s="2" t="n">
        <f aca="false">IF(F431="Present",9,IF(F431="Half Day",4,0))</f>
        <v>9</v>
      </c>
      <c r="J431" s="2"/>
      <c r="K431" s="2"/>
    </row>
    <row r="432" customFormat="false" ht="15" hidden="false" customHeight="false" outlineLevel="0" collapsed="false">
      <c r="A432" s="2" t="s">
        <v>67</v>
      </c>
      <c r="B432" s="2" t="s">
        <v>68</v>
      </c>
      <c r="C432" s="2" t="s">
        <v>32</v>
      </c>
      <c r="D432" s="3" t="n">
        <v>46262</v>
      </c>
      <c r="E432" s="2" t="str">
        <f aca="false">TEXT(D432,"dddd")</f>
        <v>Friday</v>
      </c>
      <c r="F432" s="2" t="s">
        <v>463</v>
      </c>
      <c r="G432" s="2"/>
      <c r="H432" s="2"/>
      <c r="I432" s="2" t="n">
        <f aca="false">IF(F432="Present",9,IF(F432="Half Day",4,0))</f>
        <v>0</v>
      </c>
      <c r="J432" s="2" t="s">
        <v>474</v>
      </c>
      <c r="K432" s="2" t="s">
        <v>475</v>
      </c>
    </row>
    <row r="433" customFormat="false" ht="15" hidden="false" customHeight="false" outlineLevel="0" collapsed="false">
      <c r="A433" s="2" t="s">
        <v>67</v>
      </c>
      <c r="B433" s="2" t="s">
        <v>68</v>
      </c>
      <c r="C433" s="2" t="s">
        <v>32</v>
      </c>
      <c r="D433" s="3" t="n">
        <v>46263</v>
      </c>
      <c r="E433" s="2" t="str">
        <f aca="false">TEXT(D433,"dddd")</f>
        <v>Saturday</v>
      </c>
      <c r="F433" s="2" t="s">
        <v>457</v>
      </c>
      <c r="G433" s="2" t="s">
        <v>458</v>
      </c>
      <c r="H433" s="2" t="s">
        <v>459</v>
      </c>
      <c r="I433" s="2" t="n">
        <f aca="false">IF(F433="Present",9,IF(F433="Half Day",4,0))</f>
        <v>9</v>
      </c>
      <c r="J433" s="2"/>
      <c r="K433" s="2"/>
    </row>
    <row r="434" customFormat="false" ht="15" hidden="false" customHeight="false" outlineLevel="0" collapsed="false">
      <c r="A434" s="2" t="s">
        <v>67</v>
      </c>
      <c r="B434" s="2" t="s">
        <v>68</v>
      </c>
      <c r="C434" s="2" t="s">
        <v>32</v>
      </c>
      <c r="D434" s="3" t="n">
        <v>46264</v>
      </c>
      <c r="E434" s="2" t="str">
        <f aca="false">TEXT(D434,"dddd")</f>
        <v>Sunday</v>
      </c>
      <c r="F434" s="2" t="s">
        <v>460</v>
      </c>
      <c r="G434" s="2"/>
      <c r="H434" s="2"/>
      <c r="I434" s="2" t="n">
        <f aca="false">IF(F434="Present",9,IF(F434="Half Day",4,0))</f>
        <v>0</v>
      </c>
      <c r="J434" s="2"/>
      <c r="K434" s="2" t="s">
        <v>460</v>
      </c>
    </row>
    <row r="435" customFormat="false" ht="15" hidden="false" customHeight="false" outlineLevel="0" collapsed="false">
      <c r="A435" s="2" t="s">
        <v>67</v>
      </c>
      <c r="B435" s="2" t="s">
        <v>68</v>
      </c>
      <c r="C435" s="2" t="s">
        <v>32</v>
      </c>
      <c r="D435" s="3" t="n">
        <v>46265</v>
      </c>
      <c r="E435" s="2" t="str">
        <f aca="false">TEXT(D435,"dddd")</f>
        <v>Monday</v>
      </c>
      <c r="F435" s="2" t="s">
        <v>457</v>
      </c>
      <c r="G435" s="2" t="s">
        <v>458</v>
      </c>
      <c r="H435" s="2" t="s">
        <v>459</v>
      </c>
      <c r="I435" s="2" t="n">
        <f aca="false">IF(F435="Present",9,IF(F435="Half Day",4,0))</f>
        <v>9</v>
      </c>
      <c r="J435" s="2"/>
      <c r="K435" s="2"/>
    </row>
    <row r="436" customFormat="false" ht="15" hidden="false" customHeight="false" outlineLevel="0" collapsed="false">
      <c r="A436" s="2" t="s">
        <v>69</v>
      </c>
      <c r="B436" s="2" t="s">
        <v>70</v>
      </c>
      <c r="C436" s="2" t="s">
        <v>36</v>
      </c>
      <c r="D436" s="3" t="n">
        <v>46235</v>
      </c>
      <c r="E436" s="2" t="str">
        <f aca="false">TEXT(D436,"dddd")</f>
        <v>Saturday</v>
      </c>
      <c r="F436" s="2" t="s">
        <v>457</v>
      </c>
      <c r="G436" s="2" t="s">
        <v>458</v>
      </c>
      <c r="H436" s="2" t="s">
        <v>459</v>
      </c>
      <c r="I436" s="2" t="n">
        <f aca="false">IF(F436="Present",9,IF(F436="Half Day",4,0))</f>
        <v>9</v>
      </c>
      <c r="J436" s="2"/>
      <c r="K436" s="2"/>
    </row>
    <row r="437" customFormat="false" ht="15" hidden="false" customHeight="false" outlineLevel="0" collapsed="false">
      <c r="A437" s="2" t="s">
        <v>69</v>
      </c>
      <c r="B437" s="2" t="s">
        <v>70</v>
      </c>
      <c r="C437" s="2" t="s">
        <v>36</v>
      </c>
      <c r="D437" s="3" t="n">
        <v>46236</v>
      </c>
      <c r="E437" s="2" t="str">
        <f aca="false">TEXT(D437,"dddd")</f>
        <v>Sunday</v>
      </c>
      <c r="F437" s="2" t="s">
        <v>460</v>
      </c>
      <c r="G437" s="2"/>
      <c r="H437" s="2"/>
      <c r="I437" s="2" t="n">
        <f aca="false">IF(F437="Present",9,IF(F437="Half Day",4,0))</f>
        <v>0</v>
      </c>
      <c r="J437" s="2"/>
      <c r="K437" s="2" t="s">
        <v>460</v>
      </c>
    </row>
    <row r="438" customFormat="false" ht="15" hidden="false" customHeight="false" outlineLevel="0" collapsed="false">
      <c r="A438" s="2" t="s">
        <v>69</v>
      </c>
      <c r="B438" s="2" t="s">
        <v>70</v>
      </c>
      <c r="C438" s="2" t="s">
        <v>36</v>
      </c>
      <c r="D438" s="3" t="n">
        <v>46237</v>
      </c>
      <c r="E438" s="2" t="str">
        <f aca="false">TEXT(D438,"dddd")</f>
        <v>Monday</v>
      </c>
      <c r="F438" s="2" t="s">
        <v>457</v>
      </c>
      <c r="G438" s="2" t="s">
        <v>458</v>
      </c>
      <c r="H438" s="2" t="s">
        <v>459</v>
      </c>
      <c r="I438" s="2" t="n">
        <f aca="false">IF(F438="Present",9,IF(F438="Half Day",4,0))</f>
        <v>9</v>
      </c>
      <c r="J438" s="2"/>
      <c r="K438" s="2"/>
    </row>
    <row r="439" customFormat="false" ht="15" hidden="false" customHeight="false" outlineLevel="0" collapsed="false">
      <c r="A439" s="2" t="s">
        <v>69</v>
      </c>
      <c r="B439" s="2" t="s">
        <v>70</v>
      </c>
      <c r="C439" s="2" t="s">
        <v>36</v>
      </c>
      <c r="D439" s="3" t="n">
        <v>46238</v>
      </c>
      <c r="E439" s="2" t="str">
        <f aca="false">TEXT(D439,"dddd")</f>
        <v>Tuesday</v>
      </c>
      <c r="F439" s="2" t="s">
        <v>461</v>
      </c>
      <c r="G439" s="2"/>
      <c r="H439" s="2"/>
      <c r="I439" s="2" t="n">
        <f aca="false">IF(F439="Present",9,IF(F439="Half Day",4,0))</f>
        <v>0</v>
      </c>
      <c r="J439" s="2"/>
      <c r="K439" s="2" t="s">
        <v>462</v>
      </c>
    </row>
    <row r="440" customFormat="false" ht="15" hidden="false" customHeight="false" outlineLevel="0" collapsed="false">
      <c r="A440" s="2" t="s">
        <v>69</v>
      </c>
      <c r="B440" s="2" t="s">
        <v>70</v>
      </c>
      <c r="C440" s="2" t="s">
        <v>36</v>
      </c>
      <c r="D440" s="3" t="n">
        <v>46239</v>
      </c>
      <c r="E440" s="2" t="str">
        <f aca="false">TEXT(D440,"dddd")</f>
        <v>Wednesday</v>
      </c>
      <c r="F440" s="2" t="s">
        <v>457</v>
      </c>
      <c r="G440" s="2" t="s">
        <v>458</v>
      </c>
      <c r="H440" s="2" t="s">
        <v>459</v>
      </c>
      <c r="I440" s="2" t="n">
        <f aca="false">IF(F440="Present",9,IF(F440="Half Day",4,0))</f>
        <v>9</v>
      </c>
      <c r="J440" s="2"/>
      <c r="K440" s="2"/>
    </row>
    <row r="441" customFormat="false" ht="15" hidden="false" customHeight="false" outlineLevel="0" collapsed="false">
      <c r="A441" s="2" t="s">
        <v>69</v>
      </c>
      <c r="B441" s="2" t="s">
        <v>70</v>
      </c>
      <c r="C441" s="2" t="s">
        <v>36</v>
      </c>
      <c r="D441" s="3" t="n">
        <v>46240</v>
      </c>
      <c r="E441" s="2" t="str">
        <f aca="false">TEXT(D441,"dddd")</f>
        <v>Thursday</v>
      </c>
      <c r="F441" s="2" t="s">
        <v>457</v>
      </c>
      <c r="G441" s="2" t="s">
        <v>458</v>
      </c>
      <c r="H441" s="2" t="s">
        <v>459</v>
      </c>
      <c r="I441" s="2" t="n">
        <f aca="false">IF(F441="Present",9,IF(F441="Half Day",4,0))</f>
        <v>9</v>
      </c>
      <c r="J441" s="2"/>
      <c r="K441" s="2"/>
    </row>
    <row r="442" customFormat="false" ht="15" hidden="false" customHeight="false" outlineLevel="0" collapsed="false">
      <c r="A442" s="2" t="s">
        <v>69</v>
      </c>
      <c r="B442" s="2" t="s">
        <v>70</v>
      </c>
      <c r="C442" s="2" t="s">
        <v>36</v>
      </c>
      <c r="D442" s="3" t="n">
        <v>46241</v>
      </c>
      <c r="E442" s="2" t="str">
        <f aca="false">TEXT(D442,"dddd")</f>
        <v>Friday</v>
      </c>
      <c r="F442" s="2" t="s">
        <v>457</v>
      </c>
      <c r="G442" s="2" t="s">
        <v>458</v>
      </c>
      <c r="H442" s="2" t="s">
        <v>459</v>
      </c>
      <c r="I442" s="2" t="n">
        <f aca="false">IF(F442="Present",9,IF(F442="Half Day",4,0))</f>
        <v>9</v>
      </c>
      <c r="J442" s="2"/>
      <c r="K442" s="2"/>
    </row>
    <row r="443" customFormat="false" ht="15" hidden="false" customHeight="false" outlineLevel="0" collapsed="false">
      <c r="A443" s="2" t="s">
        <v>69</v>
      </c>
      <c r="B443" s="2" t="s">
        <v>70</v>
      </c>
      <c r="C443" s="2" t="s">
        <v>36</v>
      </c>
      <c r="D443" s="3" t="n">
        <v>46242</v>
      </c>
      <c r="E443" s="2" t="str">
        <f aca="false">TEXT(D443,"dddd")</f>
        <v>Saturday</v>
      </c>
      <c r="F443" s="2" t="s">
        <v>457</v>
      </c>
      <c r="G443" s="2" t="s">
        <v>458</v>
      </c>
      <c r="H443" s="2" t="s">
        <v>459</v>
      </c>
      <c r="I443" s="2" t="n">
        <f aca="false">IF(F443="Present",9,IF(F443="Half Day",4,0))</f>
        <v>9</v>
      </c>
      <c r="J443" s="2"/>
      <c r="K443" s="2"/>
    </row>
    <row r="444" customFormat="false" ht="15" hidden="false" customHeight="false" outlineLevel="0" collapsed="false">
      <c r="A444" s="2" t="s">
        <v>69</v>
      </c>
      <c r="B444" s="2" t="s">
        <v>70</v>
      </c>
      <c r="C444" s="2" t="s">
        <v>36</v>
      </c>
      <c r="D444" s="3" t="n">
        <v>46243</v>
      </c>
      <c r="E444" s="2" t="str">
        <f aca="false">TEXT(D444,"dddd")</f>
        <v>Sunday</v>
      </c>
      <c r="F444" s="2" t="s">
        <v>460</v>
      </c>
      <c r="G444" s="2"/>
      <c r="H444" s="2"/>
      <c r="I444" s="2" t="n">
        <f aca="false">IF(F444="Present",9,IF(F444="Half Day",4,0))</f>
        <v>0</v>
      </c>
      <c r="J444" s="2"/>
      <c r="K444" s="2" t="s">
        <v>460</v>
      </c>
    </row>
    <row r="445" customFormat="false" ht="15" hidden="false" customHeight="false" outlineLevel="0" collapsed="false">
      <c r="A445" s="2" t="s">
        <v>69</v>
      </c>
      <c r="B445" s="2" t="s">
        <v>70</v>
      </c>
      <c r="C445" s="2" t="s">
        <v>36</v>
      </c>
      <c r="D445" s="3" t="n">
        <v>46244</v>
      </c>
      <c r="E445" s="2" t="str">
        <f aca="false">TEXT(D445,"dddd")</f>
        <v>Monday</v>
      </c>
      <c r="F445" s="2" t="s">
        <v>457</v>
      </c>
      <c r="G445" s="2" t="s">
        <v>458</v>
      </c>
      <c r="H445" s="2" t="s">
        <v>459</v>
      </c>
      <c r="I445" s="2" t="n">
        <f aca="false">IF(F445="Present",9,IF(F445="Half Day",4,0))</f>
        <v>9</v>
      </c>
      <c r="J445" s="2"/>
      <c r="K445" s="2"/>
    </row>
    <row r="446" customFormat="false" ht="15" hidden="false" customHeight="false" outlineLevel="0" collapsed="false">
      <c r="A446" s="2" t="s">
        <v>69</v>
      </c>
      <c r="B446" s="2" t="s">
        <v>70</v>
      </c>
      <c r="C446" s="2" t="s">
        <v>36</v>
      </c>
      <c r="D446" s="3" t="n">
        <v>46245</v>
      </c>
      <c r="E446" s="2" t="str">
        <f aca="false">TEXT(D446,"dddd")</f>
        <v>Tuesday</v>
      </c>
      <c r="F446" s="2" t="s">
        <v>457</v>
      </c>
      <c r="G446" s="2" t="s">
        <v>458</v>
      </c>
      <c r="H446" s="2" t="s">
        <v>459</v>
      </c>
      <c r="I446" s="2" t="n">
        <f aca="false">IF(F446="Present",9,IF(F446="Half Day",4,0))</f>
        <v>9</v>
      </c>
      <c r="J446" s="2"/>
      <c r="K446" s="2"/>
    </row>
    <row r="447" customFormat="false" ht="15" hidden="false" customHeight="false" outlineLevel="0" collapsed="false">
      <c r="A447" s="2" t="s">
        <v>69</v>
      </c>
      <c r="B447" s="2" t="s">
        <v>70</v>
      </c>
      <c r="C447" s="2" t="s">
        <v>36</v>
      </c>
      <c r="D447" s="3" t="n">
        <v>46246</v>
      </c>
      <c r="E447" s="2" t="str">
        <f aca="false">TEXT(D447,"dddd")</f>
        <v>Wednesday</v>
      </c>
      <c r="F447" s="2" t="s">
        <v>457</v>
      </c>
      <c r="G447" s="2" t="s">
        <v>458</v>
      </c>
      <c r="H447" s="2" t="s">
        <v>459</v>
      </c>
      <c r="I447" s="2" t="n">
        <f aca="false">IF(F447="Present",9,IF(F447="Half Day",4,0))</f>
        <v>9</v>
      </c>
      <c r="J447" s="2"/>
      <c r="K447" s="2"/>
    </row>
    <row r="448" customFormat="false" ht="15" hidden="false" customHeight="false" outlineLevel="0" collapsed="false">
      <c r="A448" s="2" t="s">
        <v>69</v>
      </c>
      <c r="B448" s="2" t="s">
        <v>70</v>
      </c>
      <c r="C448" s="2" t="s">
        <v>36</v>
      </c>
      <c r="D448" s="3" t="n">
        <v>46247</v>
      </c>
      <c r="E448" s="2" t="str">
        <f aca="false">TEXT(D448,"dddd")</f>
        <v>Thursday</v>
      </c>
      <c r="F448" s="2" t="s">
        <v>463</v>
      </c>
      <c r="G448" s="2"/>
      <c r="H448" s="2"/>
      <c r="I448" s="2" t="n">
        <f aca="false">IF(F448="Present",9,IF(F448="Half Day",4,0))</f>
        <v>0</v>
      </c>
      <c r="J448" s="2" t="s">
        <v>468</v>
      </c>
      <c r="K448" s="2" t="s">
        <v>469</v>
      </c>
    </row>
    <row r="449" customFormat="false" ht="15" hidden="false" customHeight="false" outlineLevel="0" collapsed="false">
      <c r="A449" s="2" t="s">
        <v>69</v>
      </c>
      <c r="B449" s="2" t="s">
        <v>70</v>
      </c>
      <c r="C449" s="2" t="s">
        <v>36</v>
      </c>
      <c r="D449" s="3" t="n">
        <v>46248</v>
      </c>
      <c r="E449" s="2" t="str">
        <f aca="false">TEXT(D449,"dddd")</f>
        <v>Friday</v>
      </c>
      <c r="F449" s="2" t="s">
        <v>457</v>
      </c>
      <c r="G449" s="2" t="s">
        <v>458</v>
      </c>
      <c r="H449" s="2" t="s">
        <v>459</v>
      </c>
      <c r="I449" s="2" t="n">
        <f aca="false">IF(F449="Present",9,IF(F449="Half Day",4,0))</f>
        <v>9</v>
      </c>
      <c r="J449" s="2"/>
      <c r="K449" s="2"/>
    </row>
    <row r="450" customFormat="false" ht="15" hidden="false" customHeight="false" outlineLevel="0" collapsed="false">
      <c r="A450" s="2" t="s">
        <v>69</v>
      </c>
      <c r="B450" s="2" t="s">
        <v>70</v>
      </c>
      <c r="C450" s="2" t="s">
        <v>36</v>
      </c>
      <c r="D450" s="3" t="n">
        <v>46249</v>
      </c>
      <c r="E450" s="2" t="str">
        <f aca="false">TEXT(D450,"dddd")</f>
        <v>Saturday</v>
      </c>
      <c r="F450" s="2" t="s">
        <v>457</v>
      </c>
      <c r="G450" s="2" t="s">
        <v>458</v>
      </c>
      <c r="H450" s="2" t="s">
        <v>459</v>
      </c>
      <c r="I450" s="2" t="n">
        <f aca="false">IF(F450="Present",9,IF(F450="Half Day",4,0))</f>
        <v>9</v>
      </c>
      <c r="J450" s="2"/>
      <c r="K450" s="2"/>
    </row>
    <row r="451" customFormat="false" ht="15" hidden="false" customHeight="false" outlineLevel="0" collapsed="false">
      <c r="A451" s="2" t="s">
        <v>69</v>
      </c>
      <c r="B451" s="2" t="s">
        <v>70</v>
      </c>
      <c r="C451" s="2" t="s">
        <v>36</v>
      </c>
      <c r="D451" s="3" t="n">
        <v>46250</v>
      </c>
      <c r="E451" s="2" t="str">
        <f aca="false">TEXT(D451,"dddd")</f>
        <v>Sunday</v>
      </c>
      <c r="F451" s="2" t="s">
        <v>460</v>
      </c>
      <c r="G451" s="2"/>
      <c r="H451" s="2"/>
      <c r="I451" s="2" t="n">
        <f aca="false">IF(F451="Present",9,IF(F451="Half Day",4,0))</f>
        <v>0</v>
      </c>
      <c r="J451" s="2"/>
      <c r="K451" s="2" t="s">
        <v>460</v>
      </c>
    </row>
    <row r="452" customFormat="false" ht="15" hidden="false" customHeight="false" outlineLevel="0" collapsed="false">
      <c r="A452" s="2" t="s">
        <v>69</v>
      </c>
      <c r="B452" s="2" t="s">
        <v>70</v>
      </c>
      <c r="C452" s="2" t="s">
        <v>36</v>
      </c>
      <c r="D452" s="3" t="n">
        <v>46251</v>
      </c>
      <c r="E452" s="2" t="str">
        <f aca="false">TEXT(D452,"dddd")</f>
        <v>Monday</v>
      </c>
      <c r="F452" s="2" t="s">
        <v>457</v>
      </c>
      <c r="G452" s="2" t="s">
        <v>458</v>
      </c>
      <c r="H452" s="2" t="s">
        <v>459</v>
      </c>
      <c r="I452" s="2" t="n">
        <f aca="false">IF(F452="Present",9,IF(F452="Half Day",4,0))</f>
        <v>9</v>
      </c>
      <c r="J452" s="2"/>
      <c r="K452" s="2"/>
    </row>
    <row r="453" customFormat="false" ht="15" hidden="false" customHeight="false" outlineLevel="0" collapsed="false">
      <c r="A453" s="2" t="s">
        <v>69</v>
      </c>
      <c r="B453" s="2" t="s">
        <v>70</v>
      </c>
      <c r="C453" s="2" t="s">
        <v>36</v>
      </c>
      <c r="D453" s="3" t="n">
        <v>46252</v>
      </c>
      <c r="E453" s="2" t="str">
        <f aca="false">TEXT(D453,"dddd")</f>
        <v>Tuesday</v>
      </c>
      <c r="F453" s="2" t="s">
        <v>457</v>
      </c>
      <c r="G453" s="2" t="s">
        <v>458</v>
      </c>
      <c r="H453" s="2" t="s">
        <v>459</v>
      </c>
      <c r="I453" s="2" t="n">
        <f aca="false">IF(F453="Present",9,IF(F453="Half Day",4,0))</f>
        <v>9</v>
      </c>
      <c r="J453" s="2"/>
      <c r="K453" s="2"/>
    </row>
    <row r="454" customFormat="false" ht="15" hidden="false" customHeight="false" outlineLevel="0" collapsed="false">
      <c r="A454" s="2" t="s">
        <v>69</v>
      </c>
      <c r="B454" s="2" t="s">
        <v>70</v>
      </c>
      <c r="C454" s="2" t="s">
        <v>36</v>
      </c>
      <c r="D454" s="3" t="n">
        <v>46253</v>
      </c>
      <c r="E454" s="2" t="str">
        <f aca="false">TEXT(D454,"dddd")</f>
        <v>Wednesday</v>
      </c>
      <c r="F454" s="2" t="s">
        <v>457</v>
      </c>
      <c r="G454" s="2" t="s">
        <v>458</v>
      </c>
      <c r="H454" s="2" t="s">
        <v>459</v>
      </c>
      <c r="I454" s="2" t="n">
        <f aca="false">IF(F454="Present",9,IF(F454="Half Day",4,0))</f>
        <v>9</v>
      </c>
      <c r="J454" s="2"/>
      <c r="K454" s="2"/>
    </row>
    <row r="455" customFormat="false" ht="15" hidden="false" customHeight="false" outlineLevel="0" collapsed="false">
      <c r="A455" s="2" t="s">
        <v>69</v>
      </c>
      <c r="B455" s="2" t="s">
        <v>70</v>
      </c>
      <c r="C455" s="2" t="s">
        <v>36</v>
      </c>
      <c r="D455" s="3" t="n">
        <v>46254</v>
      </c>
      <c r="E455" s="2" t="str">
        <f aca="false">TEXT(D455,"dddd")</f>
        <v>Thursday</v>
      </c>
      <c r="F455" s="2" t="s">
        <v>457</v>
      </c>
      <c r="G455" s="2" t="s">
        <v>458</v>
      </c>
      <c r="H455" s="2" t="s">
        <v>459</v>
      </c>
      <c r="I455" s="2" t="n">
        <f aca="false">IF(F455="Present",9,IF(F455="Half Day",4,0))</f>
        <v>9</v>
      </c>
      <c r="J455" s="2"/>
      <c r="K455" s="2"/>
    </row>
    <row r="456" customFormat="false" ht="15" hidden="false" customHeight="false" outlineLevel="0" collapsed="false">
      <c r="A456" s="2" t="s">
        <v>69</v>
      </c>
      <c r="B456" s="2" t="s">
        <v>70</v>
      </c>
      <c r="C456" s="2" t="s">
        <v>36</v>
      </c>
      <c r="D456" s="3" t="n">
        <v>46255</v>
      </c>
      <c r="E456" s="2" t="str">
        <f aca="false">TEXT(D456,"dddd")</f>
        <v>Friday</v>
      </c>
      <c r="F456" s="2" t="s">
        <v>457</v>
      </c>
      <c r="G456" s="2" t="s">
        <v>458</v>
      </c>
      <c r="H456" s="2" t="s">
        <v>459</v>
      </c>
      <c r="I456" s="2" t="n">
        <f aca="false">IF(F456="Present",9,IF(F456="Half Day",4,0))</f>
        <v>9</v>
      </c>
      <c r="J456" s="2"/>
      <c r="K456" s="2"/>
    </row>
    <row r="457" customFormat="false" ht="15" hidden="false" customHeight="false" outlineLevel="0" collapsed="false">
      <c r="A457" s="2" t="s">
        <v>69</v>
      </c>
      <c r="B457" s="2" t="s">
        <v>70</v>
      </c>
      <c r="C457" s="2" t="s">
        <v>36</v>
      </c>
      <c r="D457" s="3" t="n">
        <v>46256</v>
      </c>
      <c r="E457" s="2" t="str">
        <f aca="false">TEXT(D457,"dddd")</f>
        <v>Saturday</v>
      </c>
      <c r="F457" s="2" t="s">
        <v>457</v>
      </c>
      <c r="G457" s="2" t="s">
        <v>458</v>
      </c>
      <c r="H457" s="2" t="s">
        <v>459</v>
      </c>
      <c r="I457" s="2" t="n">
        <f aca="false">IF(F457="Present",9,IF(F457="Half Day",4,0))</f>
        <v>9</v>
      </c>
      <c r="J457" s="2"/>
      <c r="K457" s="2"/>
    </row>
    <row r="458" customFormat="false" ht="15" hidden="false" customHeight="false" outlineLevel="0" collapsed="false">
      <c r="A458" s="2" t="s">
        <v>69</v>
      </c>
      <c r="B458" s="2" t="s">
        <v>70</v>
      </c>
      <c r="C458" s="2" t="s">
        <v>36</v>
      </c>
      <c r="D458" s="3" t="n">
        <v>46257</v>
      </c>
      <c r="E458" s="2" t="str">
        <f aca="false">TEXT(D458,"dddd")</f>
        <v>Sunday</v>
      </c>
      <c r="F458" s="2" t="s">
        <v>460</v>
      </c>
      <c r="G458" s="2"/>
      <c r="H458" s="2"/>
      <c r="I458" s="2" t="n">
        <f aca="false">IF(F458="Present",9,IF(F458="Half Day",4,0))</f>
        <v>0</v>
      </c>
      <c r="J458" s="2"/>
      <c r="K458" s="2" t="s">
        <v>460</v>
      </c>
    </row>
    <row r="459" customFormat="false" ht="15" hidden="false" customHeight="false" outlineLevel="0" collapsed="false">
      <c r="A459" s="2" t="s">
        <v>69</v>
      </c>
      <c r="B459" s="2" t="s">
        <v>70</v>
      </c>
      <c r="C459" s="2" t="s">
        <v>36</v>
      </c>
      <c r="D459" s="3" t="n">
        <v>46258</v>
      </c>
      <c r="E459" s="2" t="str">
        <f aca="false">TEXT(D459,"dddd")</f>
        <v>Monday</v>
      </c>
      <c r="F459" s="2" t="s">
        <v>457</v>
      </c>
      <c r="G459" s="2" t="s">
        <v>458</v>
      </c>
      <c r="H459" s="2" t="s">
        <v>459</v>
      </c>
      <c r="I459" s="2" t="n">
        <f aca="false">IF(F459="Present",9,IF(F459="Half Day",4,0))</f>
        <v>9</v>
      </c>
      <c r="J459" s="2"/>
      <c r="K459" s="2"/>
    </row>
    <row r="460" customFormat="false" ht="15" hidden="false" customHeight="false" outlineLevel="0" collapsed="false">
      <c r="A460" s="2" t="s">
        <v>69</v>
      </c>
      <c r="B460" s="2" t="s">
        <v>70</v>
      </c>
      <c r="C460" s="2" t="s">
        <v>36</v>
      </c>
      <c r="D460" s="3" t="n">
        <v>46259</v>
      </c>
      <c r="E460" s="2" t="str">
        <f aca="false">TEXT(D460,"dddd")</f>
        <v>Tuesday</v>
      </c>
      <c r="F460" s="2" t="s">
        <v>463</v>
      </c>
      <c r="G460" s="2"/>
      <c r="H460" s="2"/>
      <c r="I460" s="2" t="n">
        <f aca="false">IF(F460="Present",9,IF(F460="Half Day",4,0))</f>
        <v>0</v>
      </c>
      <c r="J460" s="2" t="s">
        <v>472</v>
      </c>
      <c r="K460" s="2" t="s">
        <v>473</v>
      </c>
    </row>
    <row r="461" customFormat="false" ht="15" hidden="false" customHeight="false" outlineLevel="0" collapsed="false">
      <c r="A461" s="2" t="s">
        <v>69</v>
      </c>
      <c r="B461" s="2" t="s">
        <v>70</v>
      </c>
      <c r="C461" s="2" t="s">
        <v>36</v>
      </c>
      <c r="D461" s="3" t="n">
        <v>46260</v>
      </c>
      <c r="E461" s="2" t="str">
        <f aca="false">TEXT(D461,"dddd")</f>
        <v>Wednesday</v>
      </c>
      <c r="F461" s="2" t="s">
        <v>457</v>
      </c>
      <c r="G461" s="2" t="s">
        <v>458</v>
      </c>
      <c r="H461" s="2" t="s">
        <v>459</v>
      </c>
      <c r="I461" s="2" t="n">
        <f aca="false">IF(F461="Present",9,IF(F461="Half Day",4,0))</f>
        <v>9</v>
      </c>
      <c r="J461" s="2"/>
      <c r="K461" s="2"/>
    </row>
    <row r="462" customFormat="false" ht="15" hidden="false" customHeight="false" outlineLevel="0" collapsed="false">
      <c r="A462" s="2" t="s">
        <v>69</v>
      </c>
      <c r="B462" s="2" t="s">
        <v>70</v>
      </c>
      <c r="C462" s="2" t="s">
        <v>36</v>
      </c>
      <c r="D462" s="3" t="n">
        <v>46261</v>
      </c>
      <c r="E462" s="2" t="str">
        <f aca="false">TEXT(D462,"dddd")</f>
        <v>Thursday</v>
      </c>
      <c r="F462" s="2" t="s">
        <v>457</v>
      </c>
      <c r="G462" s="2" t="s">
        <v>458</v>
      </c>
      <c r="H462" s="2" t="s">
        <v>459</v>
      </c>
      <c r="I462" s="2" t="n">
        <f aca="false">IF(F462="Present",9,IF(F462="Half Day",4,0))</f>
        <v>9</v>
      </c>
      <c r="J462" s="2"/>
      <c r="K462" s="2"/>
    </row>
    <row r="463" customFormat="false" ht="15" hidden="false" customHeight="false" outlineLevel="0" collapsed="false">
      <c r="A463" s="2" t="s">
        <v>69</v>
      </c>
      <c r="B463" s="2" t="s">
        <v>70</v>
      </c>
      <c r="C463" s="2" t="s">
        <v>36</v>
      </c>
      <c r="D463" s="3" t="n">
        <v>46262</v>
      </c>
      <c r="E463" s="2" t="str">
        <f aca="false">TEXT(D463,"dddd")</f>
        <v>Friday</v>
      </c>
      <c r="F463" s="2" t="s">
        <v>457</v>
      </c>
      <c r="G463" s="2" t="s">
        <v>458</v>
      </c>
      <c r="H463" s="2" t="s">
        <v>459</v>
      </c>
      <c r="I463" s="2" t="n">
        <f aca="false">IF(F463="Present",9,IF(F463="Half Day",4,0))</f>
        <v>9</v>
      </c>
      <c r="J463" s="2"/>
      <c r="K463" s="2"/>
    </row>
    <row r="464" customFormat="false" ht="15" hidden="false" customHeight="false" outlineLevel="0" collapsed="false">
      <c r="A464" s="2" t="s">
        <v>69</v>
      </c>
      <c r="B464" s="2" t="s">
        <v>70</v>
      </c>
      <c r="C464" s="2" t="s">
        <v>36</v>
      </c>
      <c r="D464" s="3" t="n">
        <v>46263</v>
      </c>
      <c r="E464" s="2" t="str">
        <f aca="false">TEXT(D464,"dddd")</f>
        <v>Saturday</v>
      </c>
      <c r="F464" s="2" t="s">
        <v>457</v>
      </c>
      <c r="G464" s="2" t="s">
        <v>458</v>
      </c>
      <c r="H464" s="2" t="s">
        <v>459</v>
      </c>
      <c r="I464" s="2" t="n">
        <f aca="false">IF(F464="Present",9,IF(F464="Half Day",4,0))</f>
        <v>9</v>
      </c>
      <c r="J464" s="2"/>
      <c r="K464" s="2"/>
    </row>
    <row r="465" customFormat="false" ht="15" hidden="false" customHeight="false" outlineLevel="0" collapsed="false">
      <c r="A465" s="2" t="s">
        <v>69</v>
      </c>
      <c r="B465" s="2" t="s">
        <v>70</v>
      </c>
      <c r="C465" s="2" t="s">
        <v>36</v>
      </c>
      <c r="D465" s="3" t="n">
        <v>46264</v>
      </c>
      <c r="E465" s="2" t="str">
        <f aca="false">TEXT(D465,"dddd")</f>
        <v>Sunday</v>
      </c>
      <c r="F465" s="2" t="s">
        <v>460</v>
      </c>
      <c r="G465" s="2"/>
      <c r="H465" s="2"/>
      <c r="I465" s="2" t="n">
        <f aca="false">IF(F465="Present",9,IF(F465="Half Day",4,0))</f>
        <v>0</v>
      </c>
      <c r="J465" s="2"/>
      <c r="K465" s="2" t="s">
        <v>460</v>
      </c>
    </row>
    <row r="466" customFormat="false" ht="15" hidden="false" customHeight="false" outlineLevel="0" collapsed="false">
      <c r="A466" s="2" t="s">
        <v>69</v>
      </c>
      <c r="B466" s="2" t="s">
        <v>70</v>
      </c>
      <c r="C466" s="2" t="s">
        <v>36</v>
      </c>
      <c r="D466" s="3" t="n">
        <v>46265</v>
      </c>
      <c r="E466" s="2" t="str">
        <f aca="false">TEXT(D466,"dddd")</f>
        <v>Monday</v>
      </c>
      <c r="F466" s="2" t="s">
        <v>457</v>
      </c>
      <c r="G466" s="2" t="s">
        <v>458</v>
      </c>
      <c r="H466" s="2" t="s">
        <v>459</v>
      </c>
      <c r="I466" s="2" t="n">
        <f aca="false">IF(F466="Present",9,IF(F466="Half Day",4,0))</f>
        <v>9</v>
      </c>
      <c r="J466" s="2"/>
      <c r="K466" s="2"/>
    </row>
    <row r="467" customFormat="false" ht="15" hidden="false" customHeight="false" outlineLevel="0" collapsed="false">
      <c r="A467" s="2" t="s">
        <v>71</v>
      </c>
      <c r="B467" s="2" t="s">
        <v>72</v>
      </c>
      <c r="C467" s="2" t="s">
        <v>41</v>
      </c>
      <c r="D467" s="3" t="n">
        <v>46235</v>
      </c>
      <c r="E467" s="2" t="str">
        <f aca="false">TEXT(D467,"dddd")</f>
        <v>Saturday</v>
      </c>
      <c r="F467" s="2" t="s">
        <v>457</v>
      </c>
      <c r="G467" s="2" t="s">
        <v>458</v>
      </c>
      <c r="H467" s="2" t="s">
        <v>459</v>
      </c>
      <c r="I467" s="2" t="n">
        <f aca="false">IF(F467="Present",9,IF(F467="Half Day",4,0))</f>
        <v>9</v>
      </c>
      <c r="J467" s="2"/>
      <c r="K467" s="2"/>
    </row>
    <row r="468" customFormat="false" ht="15" hidden="false" customHeight="false" outlineLevel="0" collapsed="false">
      <c r="A468" s="2" t="s">
        <v>71</v>
      </c>
      <c r="B468" s="2" t="s">
        <v>72</v>
      </c>
      <c r="C468" s="2" t="s">
        <v>41</v>
      </c>
      <c r="D468" s="3" t="n">
        <v>46236</v>
      </c>
      <c r="E468" s="2" t="str">
        <f aca="false">TEXT(D468,"dddd")</f>
        <v>Sunday</v>
      </c>
      <c r="F468" s="2" t="s">
        <v>460</v>
      </c>
      <c r="G468" s="2"/>
      <c r="H468" s="2"/>
      <c r="I468" s="2" t="n">
        <f aca="false">IF(F468="Present",9,IF(F468="Half Day",4,0))</f>
        <v>0</v>
      </c>
      <c r="J468" s="2"/>
      <c r="K468" s="2" t="s">
        <v>460</v>
      </c>
    </row>
    <row r="469" customFormat="false" ht="15" hidden="false" customHeight="false" outlineLevel="0" collapsed="false">
      <c r="A469" s="2" t="s">
        <v>71</v>
      </c>
      <c r="B469" s="2" t="s">
        <v>72</v>
      </c>
      <c r="C469" s="2" t="s">
        <v>41</v>
      </c>
      <c r="D469" s="3" t="n">
        <v>46237</v>
      </c>
      <c r="E469" s="2" t="str">
        <f aca="false">TEXT(D469,"dddd")</f>
        <v>Monday</v>
      </c>
      <c r="F469" s="2" t="s">
        <v>457</v>
      </c>
      <c r="G469" s="2" t="s">
        <v>458</v>
      </c>
      <c r="H469" s="2" t="s">
        <v>459</v>
      </c>
      <c r="I469" s="2" t="n">
        <f aca="false">IF(F469="Present",9,IF(F469="Half Day",4,0))</f>
        <v>9</v>
      </c>
      <c r="J469" s="2"/>
      <c r="K469" s="2"/>
    </row>
    <row r="470" customFormat="false" ht="15" hidden="false" customHeight="false" outlineLevel="0" collapsed="false">
      <c r="A470" s="2" t="s">
        <v>71</v>
      </c>
      <c r="B470" s="2" t="s">
        <v>72</v>
      </c>
      <c r="C470" s="2" t="s">
        <v>41</v>
      </c>
      <c r="D470" s="3" t="n">
        <v>46238</v>
      </c>
      <c r="E470" s="2" t="str">
        <f aca="false">TEXT(D470,"dddd")</f>
        <v>Tuesday</v>
      </c>
      <c r="F470" s="2" t="s">
        <v>457</v>
      </c>
      <c r="G470" s="2" t="s">
        <v>458</v>
      </c>
      <c r="H470" s="2" t="s">
        <v>459</v>
      </c>
      <c r="I470" s="2" t="n">
        <f aca="false">IF(F470="Present",9,IF(F470="Half Day",4,0))</f>
        <v>9</v>
      </c>
      <c r="J470" s="2"/>
      <c r="K470" s="2"/>
    </row>
    <row r="471" customFormat="false" ht="15" hidden="false" customHeight="false" outlineLevel="0" collapsed="false">
      <c r="A471" s="2" t="s">
        <v>71</v>
      </c>
      <c r="B471" s="2" t="s">
        <v>72</v>
      </c>
      <c r="C471" s="2" t="s">
        <v>41</v>
      </c>
      <c r="D471" s="3" t="n">
        <v>46239</v>
      </c>
      <c r="E471" s="2" t="str">
        <f aca="false">TEXT(D471,"dddd")</f>
        <v>Wednesday</v>
      </c>
      <c r="F471" s="2" t="s">
        <v>457</v>
      </c>
      <c r="G471" s="2" t="s">
        <v>458</v>
      </c>
      <c r="H471" s="2" t="s">
        <v>459</v>
      </c>
      <c r="I471" s="2" t="n">
        <f aca="false">IF(F471="Present",9,IF(F471="Half Day",4,0))</f>
        <v>9</v>
      </c>
      <c r="J471" s="2"/>
      <c r="K471" s="2"/>
    </row>
    <row r="472" customFormat="false" ht="15" hidden="false" customHeight="false" outlineLevel="0" collapsed="false">
      <c r="A472" s="2" t="s">
        <v>71</v>
      </c>
      <c r="B472" s="2" t="s">
        <v>72</v>
      </c>
      <c r="C472" s="2" t="s">
        <v>41</v>
      </c>
      <c r="D472" s="3" t="n">
        <v>46240</v>
      </c>
      <c r="E472" s="2" t="str">
        <f aca="false">TEXT(D472,"dddd")</f>
        <v>Thursday</v>
      </c>
      <c r="F472" s="2" t="s">
        <v>463</v>
      </c>
      <c r="G472" s="2"/>
      <c r="H472" s="2"/>
      <c r="I472" s="2" t="n">
        <f aca="false">IF(F472="Present",9,IF(F472="Half Day",4,0))</f>
        <v>0</v>
      </c>
      <c r="J472" s="2" t="s">
        <v>468</v>
      </c>
      <c r="K472" s="2" t="s">
        <v>469</v>
      </c>
    </row>
    <row r="473" customFormat="false" ht="15" hidden="false" customHeight="false" outlineLevel="0" collapsed="false">
      <c r="A473" s="2" t="s">
        <v>71</v>
      </c>
      <c r="B473" s="2" t="s">
        <v>72</v>
      </c>
      <c r="C473" s="2" t="s">
        <v>41</v>
      </c>
      <c r="D473" s="3" t="n">
        <v>46241</v>
      </c>
      <c r="E473" s="2" t="str">
        <f aca="false">TEXT(D473,"dddd")</f>
        <v>Friday</v>
      </c>
      <c r="F473" s="2" t="s">
        <v>461</v>
      </c>
      <c r="G473" s="2"/>
      <c r="H473" s="2"/>
      <c r="I473" s="2" t="n">
        <f aca="false">IF(F473="Present",9,IF(F473="Half Day",4,0))</f>
        <v>0</v>
      </c>
      <c r="J473" s="2"/>
      <c r="K473" s="2" t="s">
        <v>462</v>
      </c>
    </row>
    <row r="474" customFormat="false" ht="15" hidden="false" customHeight="false" outlineLevel="0" collapsed="false">
      <c r="A474" s="2" t="s">
        <v>71</v>
      </c>
      <c r="B474" s="2" t="s">
        <v>72</v>
      </c>
      <c r="C474" s="2" t="s">
        <v>41</v>
      </c>
      <c r="D474" s="3" t="n">
        <v>46242</v>
      </c>
      <c r="E474" s="2" t="str">
        <f aca="false">TEXT(D474,"dddd")</f>
        <v>Saturday</v>
      </c>
      <c r="F474" s="2" t="s">
        <v>461</v>
      </c>
      <c r="G474" s="2"/>
      <c r="H474" s="2"/>
      <c r="I474" s="2" t="n">
        <f aca="false">IF(F474="Present",9,IF(F474="Half Day",4,0))</f>
        <v>0</v>
      </c>
      <c r="J474" s="2"/>
      <c r="K474" s="2" t="s">
        <v>462</v>
      </c>
    </row>
    <row r="475" customFormat="false" ht="15" hidden="false" customHeight="false" outlineLevel="0" collapsed="false">
      <c r="A475" s="2" t="s">
        <v>71</v>
      </c>
      <c r="B475" s="2" t="s">
        <v>72</v>
      </c>
      <c r="C475" s="2" t="s">
        <v>41</v>
      </c>
      <c r="D475" s="3" t="n">
        <v>46243</v>
      </c>
      <c r="E475" s="2" t="str">
        <f aca="false">TEXT(D475,"dddd")</f>
        <v>Sunday</v>
      </c>
      <c r="F475" s="2" t="s">
        <v>460</v>
      </c>
      <c r="G475" s="2"/>
      <c r="H475" s="2"/>
      <c r="I475" s="2" t="n">
        <f aca="false">IF(F475="Present",9,IF(F475="Half Day",4,0))</f>
        <v>0</v>
      </c>
      <c r="J475" s="2"/>
      <c r="K475" s="2" t="s">
        <v>460</v>
      </c>
    </row>
    <row r="476" customFormat="false" ht="15" hidden="false" customHeight="false" outlineLevel="0" collapsed="false">
      <c r="A476" s="2" t="s">
        <v>71</v>
      </c>
      <c r="B476" s="2" t="s">
        <v>72</v>
      </c>
      <c r="C476" s="2" t="s">
        <v>41</v>
      </c>
      <c r="D476" s="3" t="n">
        <v>46244</v>
      </c>
      <c r="E476" s="2" t="str">
        <f aca="false">TEXT(D476,"dddd")</f>
        <v>Monday</v>
      </c>
      <c r="F476" s="2" t="s">
        <v>457</v>
      </c>
      <c r="G476" s="2" t="s">
        <v>458</v>
      </c>
      <c r="H476" s="2" t="s">
        <v>459</v>
      </c>
      <c r="I476" s="2" t="n">
        <f aca="false">IF(F476="Present",9,IF(F476="Half Day",4,0))</f>
        <v>9</v>
      </c>
      <c r="J476" s="2"/>
      <c r="K476" s="2"/>
    </row>
    <row r="477" customFormat="false" ht="15" hidden="false" customHeight="false" outlineLevel="0" collapsed="false">
      <c r="A477" s="2" t="s">
        <v>71</v>
      </c>
      <c r="B477" s="2" t="s">
        <v>72</v>
      </c>
      <c r="C477" s="2" t="s">
        <v>41</v>
      </c>
      <c r="D477" s="3" t="n">
        <v>46245</v>
      </c>
      <c r="E477" s="2" t="str">
        <f aca="false">TEXT(D477,"dddd")</f>
        <v>Tuesday</v>
      </c>
      <c r="F477" s="2" t="s">
        <v>457</v>
      </c>
      <c r="G477" s="2" t="s">
        <v>458</v>
      </c>
      <c r="H477" s="2" t="s">
        <v>459</v>
      </c>
      <c r="I477" s="2" t="n">
        <f aca="false">IF(F477="Present",9,IF(F477="Half Day",4,0))</f>
        <v>9</v>
      </c>
      <c r="J477" s="2"/>
      <c r="K477" s="2"/>
    </row>
    <row r="478" customFormat="false" ht="15" hidden="false" customHeight="false" outlineLevel="0" collapsed="false">
      <c r="A478" s="2" t="s">
        <v>71</v>
      </c>
      <c r="B478" s="2" t="s">
        <v>72</v>
      </c>
      <c r="C478" s="2" t="s">
        <v>41</v>
      </c>
      <c r="D478" s="3" t="n">
        <v>46246</v>
      </c>
      <c r="E478" s="2" t="str">
        <f aca="false">TEXT(D478,"dddd")</f>
        <v>Wednesday</v>
      </c>
      <c r="F478" s="2" t="s">
        <v>461</v>
      </c>
      <c r="G478" s="2"/>
      <c r="H478" s="2"/>
      <c r="I478" s="2" t="n">
        <f aca="false">IF(F478="Present",9,IF(F478="Half Day",4,0))</f>
        <v>0</v>
      </c>
      <c r="J478" s="2"/>
      <c r="K478" s="2" t="s">
        <v>462</v>
      </c>
    </row>
    <row r="479" customFormat="false" ht="15" hidden="false" customHeight="false" outlineLevel="0" collapsed="false">
      <c r="A479" s="2" t="s">
        <v>71</v>
      </c>
      <c r="B479" s="2" t="s">
        <v>72</v>
      </c>
      <c r="C479" s="2" t="s">
        <v>41</v>
      </c>
      <c r="D479" s="3" t="n">
        <v>46247</v>
      </c>
      <c r="E479" s="2" t="str">
        <f aca="false">TEXT(D479,"dddd")</f>
        <v>Thursday</v>
      </c>
      <c r="F479" s="2" t="s">
        <v>457</v>
      </c>
      <c r="G479" s="2" t="s">
        <v>458</v>
      </c>
      <c r="H479" s="2" t="s">
        <v>459</v>
      </c>
      <c r="I479" s="2" t="n">
        <f aca="false">IF(F479="Present",9,IF(F479="Half Day",4,0))</f>
        <v>9</v>
      </c>
      <c r="J479" s="2"/>
      <c r="K479" s="2"/>
    </row>
    <row r="480" customFormat="false" ht="15" hidden="false" customHeight="false" outlineLevel="0" collapsed="false">
      <c r="A480" s="2" t="s">
        <v>71</v>
      </c>
      <c r="B480" s="2" t="s">
        <v>72</v>
      </c>
      <c r="C480" s="2" t="s">
        <v>41</v>
      </c>
      <c r="D480" s="3" t="n">
        <v>46248</v>
      </c>
      <c r="E480" s="2" t="str">
        <f aca="false">TEXT(D480,"dddd")</f>
        <v>Friday</v>
      </c>
      <c r="F480" s="2" t="s">
        <v>457</v>
      </c>
      <c r="G480" s="2" t="s">
        <v>458</v>
      </c>
      <c r="H480" s="2" t="s">
        <v>459</v>
      </c>
      <c r="I480" s="2" t="n">
        <f aca="false">IF(F480="Present",9,IF(F480="Half Day",4,0))</f>
        <v>9</v>
      </c>
      <c r="J480" s="2"/>
      <c r="K480" s="2"/>
    </row>
    <row r="481" customFormat="false" ht="15" hidden="false" customHeight="false" outlineLevel="0" collapsed="false">
      <c r="A481" s="2" t="s">
        <v>71</v>
      </c>
      <c r="B481" s="2" t="s">
        <v>72</v>
      </c>
      <c r="C481" s="2" t="s">
        <v>41</v>
      </c>
      <c r="D481" s="3" t="n">
        <v>46249</v>
      </c>
      <c r="E481" s="2" t="str">
        <f aca="false">TEXT(D481,"dddd")</f>
        <v>Saturday</v>
      </c>
      <c r="F481" s="2" t="s">
        <v>457</v>
      </c>
      <c r="G481" s="2" t="s">
        <v>458</v>
      </c>
      <c r="H481" s="2" t="s">
        <v>459</v>
      </c>
      <c r="I481" s="2" t="n">
        <f aca="false">IF(F481="Present",9,IF(F481="Half Day",4,0))</f>
        <v>9</v>
      </c>
      <c r="J481" s="2"/>
      <c r="K481" s="2"/>
    </row>
    <row r="482" customFormat="false" ht="15" hidden="false" customHeight="false" outlineLevel="0" collapsed="false">
      <c r="A482" s="2" t="s">
        <v>71</v>
      </c>
      <c r="B482" s="2" t="s">
        <v>72</v>
      </c>
      <c r="C482" s="2" t="s">
        <v>41</v>
      </c>
      <c r="D482" s="3" t="n">
        <v>46250</v>
      </c>
      <c r="E482" s="2" t="str">
        <f aca="false">TEXT(D482,"dddd")</f>
        <v>Sunday</v>
      </c>
      <c r="F482" s="2" t="s">
        <v>460</v>
      </c>
      <c r="G482" s="2"/>
      <c r="H482" s="2"/>
      <c r="I482" s="2" t="n">
        <f aca="false">IF(F482="Present",9,IF(F482="Half Day",4,0))</f>
        <v>0</v>
      </c>
      <c r="J482" s="2"/>
      <c r="K482" s="2" t="s">
        <v>460</v>
      </c>
    </row>
    <row r="483" customFormat="false" ht="15" hidden="false" customHeight="false" outlineLevel="0" collapsed="false">
      <c r="A483" s="2" t="s">
        <v>71</v>
      </c>
      <c r="B483" s="2" t="s">
        <v>72</v>
      </c>
      <c r="C483" s="2" t="s">
        <v>41</v>
      </c>
      <c r="D483" s="3" t="n">
        <v>46251</v>
      </c>
      <c r="E483" s="2" t="str">
        <f aca="false">TEXT(D483,"dddd")</f>
        <v>Monday</v>
      </c>
      <c r="F483" s="2" t="s">
        <v>461</v>
      </c>
      <c r="G483" s="2"/>
      <c r="H483" s="2"/>
      <c r="I483" s="2" t="n">
        <f aca="false">IF(F483="Present",9,IF(F483="Half Day",4,0))</f>
        <v>0</v>
      </c>
      <c r="J483" s="2"/>
      <c r="K483" s="2" t="s">
        <v>462</v>
      </c>
    </row>
    <row r="484" customFormat="false" ht="15" hidden="false" customHeight="false" outlineLevel="0" collapsed="false">
      <c r="A484" s="2" t="s">
        <v>71</v>
      </c>
      <c r="B484" s="2" t="s">
        <v>72</v>
      </c>
      <c r="C484" s="2" t="s">
        <v>41</v>
      </c>
      <c r="D484" s="3" t="n">
        <v>46252</v>
      </c>
      <c r="E484" s="2" t="str">
        <f aca="false">TEXT(D484,"dddd")</f>
        <v>Tuesday</v>
      </c>
      <c r="F484" s="2" t="s">
        <v>457</v>
      </c>
      <c r="G484" s="2" t="s">
        <v>458</v>
      </c>
      <c r="H484" s="2" t="s">
        <v>459</v>
      </c>
      <c r="I484" s="2" t="n">
        <f aca="false">IF(F484="Present",9,IF(F484="Half Day",4,0))</f>
        <v>9</v>
      </c>
      <c r="J484" s="2"/>
      <c r="K484" s="2"/>
    </row>
    <row r="485" customFormat="false" ht="15" hidden="false" customHeight="false" outlineLevel="0" collapsed="false">
      <c r="A485" s="2" t="s">
        <v>71</v>
      </c>
      <c r="B485" s="2" t="s">
        <v>72</v>
      </c>
      <c r="C485" s="2" t="s">
        <v>41</v>
      </c>
      <c r="D485" s="3" t="n">
        <v>46253</v>
      </c>
      <c r="E485" s="2" t="str">
        <f aca="false">TEXT(D485,"dddd")</f>
        <v>Wednesday</v>
      </c>
      <c r="F485" s="2" t="s">
        <v>457</v>
      </c>
      <c r="G485" s="2" t="s">
        <v>458</v>
      </c>
      <c r="H485" s="2" t="s">
        <v>459</v>
      </c>
      <c r="I485" s="2" t="n">
        <f aca="false">IF(F485="Present",9,IF(F485="Half Day",4,0))</f>
        <v>9</v>
      </c>
      <c r="J485" s="2"/>
      <c r="K485" s="2"/>
    </row>
    <row r="486" customFormat="false" ht="15" hidden="false" customHeight="false" outlineLevel="0" collapsed="false">
      <c r="A486" s="2" t="s">
        <v>71</v>
      </c>
      <c r="B486" s="2" t="s">
        <v>72</v>
      </c>
      <c r="C486" s="2" t="s">
        <v>41</v>
      </c>
      <c r="D486" s="3" t="n">
        <v>46254</v>
      </c>
      <c r="E486" s="2" t="str">
        <f aca="false">TEXT(D486,"dddd")</f>
        <v>Thursday</v>
      </c>
      <c r="F486" s="2" t="s">
        <v>461</v>
      </c>
      <c r="G486" s="2"/>
      <c r="H486" s="2"/>
      <c r="I486" s="2" t="n">
        <f aca="false">IF(F486="Present",9,IF(F486="Half Day",4,0))</f>
        <v>0</v>
      </c>
      <c r="J486" s="2"/>
      <c r="K486" s="2" t="s">
        <v>462</v>
      </c>
    </row>
    <row r="487" customFormat="false" ht="15" hidden="false" customHeight="false" outlineLevel="0" collapsed="false">
      <c r="A487" s="2" t="s">
        <v>71</v>
      </c>
      <c r="B487" s="2" t="s">
        <v>72</v>
      </c>
      <c r="C487" s="2" t="s">
        <v>41</v>
      </c>
      <c r="D487" s="3" t="n">
        <v>46255</v>
      </c>
      <c r="E487" s="2" t="str">
        <f aca="false">TEXT(D487,"dddd")</f>
        <v>Friday</v>
      </c>
      <c r="F487" s="2" t="s">
        <v>457</v>
      </c>
      <c r="G487" s="2" t="s">
        <v>458</v>
      </c>
      <c r="H487" s="2" t="s">
        <v>459</v>
      </c>
      <c r="I487" s="2" t="n">
        <f aca="false">IF(F487="Present",9,IF(F487="Half Day",4,0))</f>
        <v>9</v>
      </c>
      <c r="J487" s="2"/>
      <c r="K487" s="2"/>
    </row>
    <row r="488" customFormat="false" ht="15" hidden="false" customHeight="false" outlineLevel="0" collapsed="false">
      <c r="A488" s="2" t="s">
        <v>71</v>
      </c>
      <c r="B488" s="2" t="s">
        <v>72</v>
      </c>
      <c r="C488" s="2" t="s">
        <v>41</v>
      </c>
      <c r="D488" s="3" t="n">
        <v>46256</v>
      </c>
      <c r="E488" s="2" t="str">
        <f aca="false">TEXT(D488,"dddd")</f>
        <v>Saturday</v>
      </c>
      <c r="F488" s="2" t="s">
        <v>457</v>
      </c>
      <c r="G488" s="2" t="s">
        <v>458</v>
      </c>
      <c r="H488" s="2" t="s">
        <v>459</v>
      </c>
      <c r="I488" s="2" t="n">
        <f aca="false">IF(F488="Present",9,IF(F488="Half Day",4,0))</f>
        <v>9</v>
      </c>
      <c r="J488" s="2"/>
      <c r="K488" s="2"/>
    </row>
    <row r="489" customFormat="false" ht="15" hidden="false" customHeight="false" outlineLevel="0" collapsed="false">
      <c r="A489" s="2" t="s">
        <v>71</v>
      </c>
      <c r="B489" s="2" t="s">
        <v>72</v>
      </c>
      <c r="C489" s="2" t="s">
        <v>41</v>
      </c>
      <c r="D489" s="3" t="n">
        <v>46257</v>
      </c>
      <c r="E489" s="2" t="str">
        <f aca="false">TEXT(D489,"dddd")</f>
        <v>Sunday</v>
      </c>
      <c r="F489" s="2" t="s">
        <v>460</v>
      </c>
      <c r="G489" s="2"/>
      <c r="H489" s="2"/>
      <c r="I489" s="2" t="n">
        <f aca="false">IF(F489="Present",9,IF(F489="Half Day",4,0))</f>
        <v>0</v>
      </c>
      <c r="J489" s="2"/>
      <c r="K489" s="2" t="s">
        <v>460</v>
      </c>
    </row>
    <row r="490" customFormat="false" ht="15" hidden="false" customHeight="false" outlineLevel="0" collapsed="false">
      <c r="A490" s="2" t="s">
        <v>71</v>
      </c>
      <c r="B490" s="2" t="s">
        <v>72</v>
      </c>
      <c r="C490" s="2" t="s">
        <v>41</v>
      </c>
      <c r="D490" s="3" t="n">
        <v>46258</v>
      </c>
      <c r="E490" s="2" t="str">
        <f aca="false">TEXT(D490,"dddd")</f>
        <v>Monday</v>
      </c>
      <c r="F490" s="2" t="s">
        <v>457</v>
      </c>
      <c r="G490" s="2" t="s">
        <v>458</v>
      </c>
      <c r="H490" s="2" t="s">
        <v>459</v>
      </c>
      <c r="I490" s="2" t="n">
        <f aca="false">IF(F490="Present",9,IF(F490="Half Day",4,0))</f>
        <v>9</v>
      </c>
      <c r="J490" s="2"/>
      <c r="K490" s="2"/>
    </row>
    <row r="491" customFormat="false" ht="15" hidden="false" customHeight="false" outlineLevel="0" collapsed="false">
      <c r="A491" s="2" t="s">
        <v>71</v>
      </c>
      <c r="B491" s="2" t="s">
        <v>72</v>
      </c>
      <c r="C491" s="2" t="s">
        <v>41</v>
      </c>
      <c r="D491" s="3" t="n">
        <v>46259</v>
      </c>
      <c r="E491" s="2" t="str">
        <f aca="false">TEXT(D491,"dddd")</f>
        <v>Tuesday</v>
      </c>
      <c r="F491" s="2" t="s">
        <v>457</v>
      </c>
      <c r="G491" s="2" t="s">
        <v>458</v>
      </c>
      <c r="H491" s="2" t="s">
        <v>459</v>
      </c>
      <c r="I491" s="2" t="n">
        <f aca="false">IF(F491="Present",9,IF(F491="Half Day",4,0))</f>
        <v>9</v>
      </c>
      <c r="J491" s="2"/>
      <c r="K491" s="2"/>
    </row>
    <row r="492" customFormat="false" ht="15" hidden="false" customHeight="false" outlineLevel="0" collapsed="false">
      <c r="A492" s="2" t="s">
        <v>71</v>
      </c>
      <c r="B492" s="2" t="s">
        <v>72</v>
      </c>
      <c r="C492" s="2" t="s">
        <v>41</v>
      </c>
      <c r="D492" s="3" t="n">
        <v>46260</v>
      </c>
      <c r="E492" s="2" t="str">
        <f aca="false">TEXT(D492,"dddd")</f>
        <v>Wednesday</v>
      </c>
      <c r="F492" s="2" t="s">
        <v>457</v>
      </c>
      <c r="G492" s="2" t="s">
        <v>458</v>
      </c>
      <c r="H492" s="2" t="s">
        <v>459</v>
      </c>
      <c r="I492" s="2" t="n">
        <f aca="false">IF(F492="Present",9,IF(F492="Half Day",4,0))</f>
        <v>9</v>
      </c>
      <c r="J492" s="2"/>
      <c r="K492" s="2"/>
    </row>
    <row r="493" customFormat="false" ht="15" hidden="false" customHeight="false" outlineLevel="0" collapsed="false">
      <c r="A493" s="2" t="s">
        <v>71</v>
      </c>
      <c r="B493" s="2" t="s">
        <v>72</v>
      </c>
      <c r="C493" s="2" t="s">
        <v>41</v>
      </c>
      <c r="D493" s="3" t="n">
        <v>46261</v>
      </c>
      <c r="E493" s="2" t="str">
        <f aca="false">TEXT(D493,"dddd")</f>
        <v>Thursday</v>
      </c>
      <c r="F493" s="2" t="s">
        <v>457</v>
      </c>
      <c r="G493" s="2" t="s">
        <v>458</v>
      </c>
      <c r="H493" s="2" t="s">
        <v>459</v>
      </c>
      <c r="I493" s="2" t="n">
        <f aca="false">IF(F493="Present",9,IF(F493="Half Day",4,0))</f>
        <v>9</v>
      </c>
      <c r="J493" s="2"/>
      <c r="K493" s="2"/>
    </row>
    <row r="494" customFormat="false" ht="15" hidden="false" customHeight="false" outlineLevel="0" collapsed="false">
      <c r="A494" s="2" t="s">
        <v>71</v>
      </c>
      <c r="B494" s="2" t="s">
        <v>72</v>
      </c>
      <c r="C494" s="2" t="s">
        <v>41</v>
      </c>
      <c r="D494" s="3" t="n">
        <v>46262</v>
      </c>
      <c r="E494" s="2" t="str">
        <f aca="false">TEXT(D494,"dddd")</f>
        <v>Friday</v>
      </c>
      <c r="F494" s="2" t="s">
        <v>457</v>
      </c>
      <c r="G494" s="2" t="s">
        <v>458</v>
      </c>
      <c r="H494" s="2" t="s">
        <v>459</v>
      </c>
      <c r="I494" s="2" t="n">
        <f aca="false">IF(F494="Present",9,IF(F494="Half Day",4,0))</f>
        <v>9</v>
      </c>
      <c r="J494" s="2"/>
      <c r="K494" s="2"/>
    </row>
    <row r="495" customFormat="false" ht="15" hidden="false" customHeight="false" outlineLevel="0" collapsed="false">
      <c r="A495" s="2" t="s">
        <v>71</v>
      </c>
      <c r="B495" s="2" t="s">
        <v>72</v>
      </c>
      <c r="C495" s="2" t="s">
        <v>41</v>
      </c>
      <c r="D495" s="3" t="n">
        <v>46263</v>
      </c>
      <c r="E495" s="2" t="str">
        <f aca="false">TEXT(D495,"dddd")</f>
        <v>Saturday</v>
      </c>
      <c r="F495" s="2" t="s">
        <v>457</v>
      </c>
      <c r="G495" s="2" t="s">
        <v>458</v>
      </c>
      <c r="H495" s="2" t="s">
        <v>459</v>
      </c>
      <c r="I495" s="2" t="n">
        <f aca="false">IF(F495="Present",9,IF(F495="Half Day",4,0))</f>
        <v>9</v>
      </c>
      <c r="J495" s="2"/>
      <c r="K495" s="2"/>
    </row>
    <row r="496" customFormat="false" ht="15" hidden="false" customHeight="false" outlineLevel="0" collapsed="false">
      <c r="A496" s="2" t="s">
        <v>71</v>
      </c>
      <c r="B496" s="2" t="s">
        <v>72</v>
      </c>
      <c r="C496" s="2" t="s">
        <v>41</v>
      </c>
      <c r="D496" s="3" t="n">
        <v>46264</v>
      </c>
      <c r="E496" s="2" t="str">
        <f aca="false">TEXT(D496,"dddd")</f>
        <v>Sunday</v>
      </c>
      <c r="F496" s="2" t="s">
        <v>460</v>
      </c>
      <c r="G496" s="2"/>
      <c r="H496" s="2"/>
      <c r="I496" s="2" t="n">
        <f aca="false">IF(F496="Present",9,IF(F496="Half Day",4,0))</f>
        <v>0</v>
      </c>
      <c r="J496" s="2"/>
      <c r="K496" s="2" t="s">
        <v>460</v>
      </c>
    </row>
    <row r="497" customFormat="false" ht="15" hidden="false" customHeight="false" outlineLevel="0" collapsed="false">
      <c r="A497" s="2" t="s">
        <v>71</v>
      </c>
      <c r="B497" s="2" t="s">
        <v>72</v>
      </c>
      <c r="C497" s="2" t="s">
        <v>41</v>
      </c>
      <c r="D497" s="3" t="n">
        <v>46265</v>
      </c>
      <c r="E497" s="2" t="str">
        <f aca="false">TEXT(D497,"dddd")</f>
        <v>Monday</v>
      </c>
      <c r="F497" s="2" t="s">
        <v>457</v>
      </c>
      <c r="G497" s="2" t="s">
        <v>458</v>
      </c>
      <c r="H497" s="2" t="s">
        <v>459</v>
      </c>
      <c r="I497" s="2" t="n">
        <f aca="false">IF(F497="Present",9,IF(F497="Half Day",4,0))</f>
        <v>9</v>
      </c>
      <c r="J497" s="2"/>
      <c r="K497" s="2"/>
    </row>
    <row r="498" customFormat="false" ht="15" hidden="false" customHeight="false" outlineLevel="0" collapsed="false">
      <c r="A498" s="2" t="s">
        <v>74</v>
      </c>
      <c r="B498" s="2" t="s">
        <v>75</v>
      </c>
      <c r="C498" s="2" t="s">
        <v>45</v>
      </c>
      <c r="D498" s="3" t="n">
        <v>46235</v>
      </c>
      <c r="E498" s="2" t="str">
        <f aca="false">TEXT(D498,"dddd")</f>
        <v>Saturday</v>
      </c>
      <c r="F498" s="2" t="s">
        <v>457</v>
      </c>
      <c r="G498" s="2" t="s">
        <v>458</v>
      </c>
      <c r="H498" s="2" t="s">
        <v>459</v>
      </c>
      <c r="I498" s="2" t="n">
        <f aca="false">IF(F498="Present",9,IF(F498="Half Day",4,0))</f>
        <v>9</v>
      </c>
      <c r="J498" s="2"/>
      <c r="K498" s="2"/>
    </row>
    <row r="499" customFormat="false" ht="15" hidden="false" customHeight="false" outlineLevel="0" collapsed="false">
      <c r="A499" s="2" t="s">
        <v>74</v>
      </c>
      <c r="B499" s="2" t="s">
        <v>75</v>
      </c>
      <c r="C499" s="2" t="s">
        <v>45</v>
      </c>
      <c r="D499" s="3" t="n">
        <v>46236</v>
      </c>
      <c r="E499" s="2" t="str">
        <f aca="false">TEXT(D499,"dddd")</f>
        <v>Sunday</v>
      </c>
      <c r="F499" s="2" t="s">
        <v>460</v>
      </c>
      <c r="G499" s="2"/>
      <c r="H499" s="2"/>
      <c r="I499" s="2" t="n">
        <f aca="false">IF(F499="Present",9,IF(F499="Half Day",4,0))</f>
        <v>0</v>
      </c>
      <c r="J499" s="2"/>
      <c r="K499" s="2" t="s">
        <v>460</v>
      </c>
    </row>
    <row r="500" customFormat="false" ht="15" hidden="false" customHeight="false" outlineLevel="0" collapsed="false">
      <c r="A500" s="2" t="s">
        <v>74</v>
      </c>
      <c r="B500" s="2" t="s">
        <v>75</v>
      </c>
      <c r="C500" s="2" t="s">
        <v>45</v>
      </c>
      <c r="D500" s="3" t="n">
        <v>46237</v>
      </c>
      <c r="E500" s="2" t="str">
        <f aca="false">TEXT(D500,"dddd")</f>
        <v>Monday</v>
      </c>
      <c r="F500" s="2" t="s">
        <v>461</v>
      </c>
      <c r="G500" s="2"/>
      <c r="H500" s="2"/>
      <c r="I500" s="2" t="n">
        <f aca="false">IF(F500="Present",9,IF(F500="Half Day",4,0))</f>
        <v>0</v>
      </c>
      <c r="J500" s="2"/>
      <c r="K500" s="2" t="s">
        <v>462</v>
      </c>
    </row>
    <row r="501" customFormat="false" ht="15" hidden="false" customHeight="false" outlineLevel="0" collapsed="false">
      <c r="A501" s="2" t="s">
        <v>74</v>
      </c>
      <c r="B501" s="2" t="s">
        <v>75</v>
      </c>
      <c r="C501" s="2" t="s">
        <v>45</v>
      </c>
      <c r="D501" s="3" t="n">
        <v>46238</v>
      </c>
      <c r="E501" s="2" t="str">
        <f aca="false">TEXT(D501,"dddd")</f>
        <v>Tuesday</v>
      </c>
      <c r="F501" s="2" t="s">
        <v>457</v>
      </c>
      <c r="G501" s="2" t="s">
        <v>458</v>
      </c>
      <c r="H501" s="2" t="s">
        <v>459</v>
      </c>
      <c r="I501" s="2" t="n">
        <f aca="false">IF(F501="Present",9,IF(F501="Half Day",4,0))</f>
        <v>9</v>
      </c>
      <c r="J501" s="2"/>
      <c r="K501" s="2"/>
    </row>
    <row r="502" customFormat="false" ht="15" hidden="false" customHeight="false" outlineLevel="0" collapsed="false">
      <c r="A502" s="2" t="s">
        <v>74</v>
      </c>
      <c r="B502" s="2" t="s">
        <v>75</v>
      </c>
      <c r="C502" s="2" t="s">
        <v>45</v>
      </c>
      <c r="D502" s="3" t="n">
        <v>46239</v>
      </c>
      <c r="E502" s="2" t="str">
        <f aca="false">TEXT(D502,"dddd")</f>
        <v>Wednesday</v>
      </c>
      <c r="F502" s="2" t="s">
        <v>463</v>
      </c>
      <c r="G502" s="2"/>
      <c r="H502" s="2"/>
      <c r="I502" s="2" t="n">
        <f aca="false">IF(F502="Present",9,IF(F502="Half Day",4,0))</f>
        <v>0</v>
      </c>
      <c r="J502" s="2" t="s">
        <v>468</v>
      </c>
      <c r="K502" s="2" t="s">
        <v>469</v>
      </c>
    </row>
    <row r="503" customFormat="false" ht="15" hidden="false" customHeight="false" outlineLevel="0" collapsed="false">
      <c r="A503" s="2" t="s">
        <v>74</v>
      </c>
      <c r="B503" s="2" t="s">
        <v>75</v>
      </c>
      <c r="C503" s="2" t="s">
        <v>45</v>
      </c>
      <c r="D503" s="3" t="n">
        <v>46240</v>
      </c>
      <c r="E503" s="2" t="str">
        <f aca="false">TEXT(D503,"dddd")</f>
        <v>Thursday</v>
      </c>
      <c r="F503" s="2" t="s">
        <v>457</v>
      </c>
      <c r="G503" s="2" t="s">
        <v>458</v>
      </c>
      <c r="H503" s="2" t="s">
        <v>459</v>
      </c>
      <c r="I503" s="2" t="n">
        <f aca="false">IF(F503="Present",9,IF(F503="Half Day",4,0))</f>
        <v>9</v>
      </c>
      <c r="J503" s="2"/>
      <c r="K503" s="2"/>
    </row>
    <row r="504" customFormat="false" ht="15" hidden="false" customHeight="false" outlineLevel="0" collapsed="false">
      <c r="A504" s="2" t="s">
        <v>74</v>
      </c>
      <c r="B504" s="2" t="s">
        <v>75</v>
      </c>
      <c r="C504" s="2" t="s">
        <v>45</v>
      </c>
      <c r="D504" s="3" t="n">
        <v>46241</v>
      </c>
      <c r="E504" s="2" t="str">
        <f aca="false">TEXT(D504,"dddd")</f>
        <v>Friday</v>
      </c>
      <c r="F504" s="2" t="s">
        <v>461</v>
      </c>
      <c r="G504" s="2"/>
      <c r="H504" s="2"/>
      <c r="I504" s="2" t="n">
        <f aca="false">IF(F504="Present",9,IF(F504="Half Day",4,0))</f>
        <v>0</v>
      </c>
      <c r="J504" s="2"/>
      <c r="K504" s="2" t="s">
        <v>462</v>
      </c>
    </row>
    <row r="505" customFormat="false" ht="15" hidden="false" customHeight="false" outlineLevel="0" collapsed="false">
      <c r="A505" s="2" t="s">
        <v>74</v>
      </c>
      <c r="B505" s="2" t="s">
        <v>75</v>
      </c>
      <c r="C505" s="2" t="s">
        <v>45</v>
      </c>
      <c r="D505" s="3" t="n">
        <v>46242</v>
      </c>
      <c r="E505" s="2" t="str">
        <f aca="false">TEXT(D505,"dddd")</f>
        <v>Saturday</v>
      </c>
      <c r="F505" s="2" t="s">
        <v>457</v>
      </c>
      <c r="G505" s="2" t="s">
        <v>458</v>
      </c>
      <c r="H505" s="2" t="s">
        <v>459</v>
      </c>
      <c r="I505" s="2" t="n">
        <f aca="false">IF(F505="Present",9,IF(F505="Half Day",4,0))</f>
        <v>9</v>
      </c>
      <c r="J505" s="2"/>
      <c r="K505" s="2"/>
    </row>
    <row r="506" customFormat="false" ht="15" hidden="false" customHeight="false" outlineLevel="0" collapsed="false">
      <c r="A506" s="2" t="s">
        <v>74</v>
      </c>
      <c r="B506" s="2" t="s">
        <v>75</v>
      </c>
      <c r="C506" s="2" t="s">
        <v>45</v>
      </c>
      <c r="D506" s="3" t="n">
        <v>46243</v>
      </c>
      <c r="E506" s="2" t="str">
        <f aca="false">TEXT(D506,"dddd")</f>
        <v>Sunday</v>
      </c>
      <c r="F506" s="2" t="s">
        <v>460</v>
      </c>
      <c r="G506" s="2"/>
      <c r="H506" s="2"/>
      <c r="I506" s="2" t="n">
        <f aca="false">IF(F506="Present",9,IF(F506="Half Day",4,0))</f>
        <v>0</v>
      </c>
      <c r="J506" s="2"/>
      <c r="K506" s="2" t="s">
        <v>460</v>
      </c>
    </row>
    <row r="507" customFormat="false" ht="15" hidden="false" customHeight="false" outlineLevel="0" collapsed="false">
      <c r="A507" s="2" t="s">
        <v>74</v>
      </c>
      <c r="B507" s="2" t="s">
        <v>75</v>
      </c>
      <c r="C507" s="2" t="s">
        <v>45</v>
      </c>
      <c r="D507" s="3" t="n">
        <v>46244</v>
      </c>
      <c r="E507" s="2" t="str">
        <f aca="false">TEXT(D507,"dddd")</f>
        <v>Monday</v>
      </c>
      <c r="F507" s="2" t="s">
        <v>461</v>
      </c>
      <c r="G507" s="2"/>
      <c r="H507" s="2"/>
      <c r="I507" s="2" t="n">
        <f aca="false">IF(F507="Present",9,IF(F507="Half Day",4,0))</f>
        <v>0</v>
      </c>
      <c r="J507" s="2"/>
      <c r="K507" s="2" t="s">
        <v>462</v>
      </c>
    </row>
    <row r="508" customFormat="false" ht="15" hidden="false" customHeight="false" outlineLevel="0" collapsed="false">
      <c r="A508" s="2" t="s">
        <v>74</v>
      </c>
      <c r="B508" s="2" t="s">
        <v>75</v>
      </c>
      <c r="C508" s="2" t="s">
        <v>45</v>
      </c>
      <c r="D508" s="3" t="n">
        <v>46245</v>
      </c>
      <c r="E508" s="2" t="str">
        <f aca="false">TEXT(D508,"dddd")</f>
        <v>Tuesday</v>
      </c>
      <c r="F508" s="2" t="s">
        <v>457</v>
      </c>
      <c r="G508" s="2" t="s">
        <v>458</v>
      </c>
      <c r="H508" s="2" t="s">
        <v>459</v>
      </c>
      <c r="I508" s="2" t="n">
        <f aca="false">IF(F508="Present",9,IF(F508="Half Day",4,0))</f>
        <v>9</v>
      </c>
      <c r="J508" s="2"/>
      <c r="K508" s="2"/>
    </row>
    <row r="509" customFormat="false" ht="15" hidden="false" customHeight="false" outlineLevel="0" collapsed="false">
      <c r="A509" s="2" t="s">
        <v>74</v>
      </c>
      <c r="B509" s="2" t="s">
        <v>75</v>
      </c>
      <c r="C509" s="2" t="s">
        <v>45</v>
      </c>
      <c r="D509" s="3" t="n">
        <v>46246</v>
      </c>
      <c r="E509" s="2" t="str">
        <f aca="false">TEXT(D509,"dddd")</f>
        <v>Wednesday</v>
      </c>
      <c r="F509" s="2" t="s">
        <v>457</v>
      </c>
      <c r="G509" s="2" t="s">
        <v>458</v>
      </c>
      <c r="H509" s="2" t="s">
        <v>459</v>
      </c>
      <c r="I509" s="2" t="n">
        <f aca="false">IF(F509="Present",9,IF(F509="Half Day",4,0))</f>
        <v>9</v>
      </c>
      <c r="J509" s="2"/>
      <c r="K509" s="2"/>
    </row>
    <row r="510" customFormat="false" ht="15" hidden="false" customHeight="false" outlineLevel="0" collapsed="false">
      <c r="A510" s="2" t="s">
        <v>74</v>
      </c>
      <c r="B510" s="2" t="s">
        <v>75</v>
      </c>
      <c r="C510" s="2" t="s">
        <v>45</v>
      </c>
      <c r="D510" s="3" t="n">
        <v>46247</v>
      </c>
      <c r="E510" s="2" t="str">
        <f aca="false">TEXT(D510,"dddd")</f>
        <v>Thursday</v>
      </c>
      <c r="F510" s="2" t="s">
        <v>457</v>
      </c>
      <c r="G510" s="2" t="s">
        <v>458</v>
      </c>
      <c r="H510" s="2" t="s">
        <v>459</v>
      </c>
      <c r="I510" s="2" t="n">
        <f aca="false">IF(F510="Present",9,IF(F510="Half Day",4,0))</f>
        <v>9</v>
      </c>
      <c r="J510" s="2"/>
      <c r="K510" s="2"/>
    </row>
    <row r="511" customFormat="false" ht="15" hidden="false" customHeight="false" outlineLevel="0" collapsed="false">
      <c r="A511" s="2" t="s">
        <v>74</v>
      </c>
      <c r="B511" s="2" t="s">
        <v>75</v>
      </c>
      <c r="C511" s="2" t="s">
        <v>45</v>
      </c>
      <c r="D511" s="3" t="n">
        <v>46248</v>
      </c>
      <c r="E511" s="2" t="str">
        <f aca="false">TEXT(D511,"dddd")</f>
        <v>Friday</v>
      </c>
      <c r="F511" s="2" t="s">
        <v>457</v>
      </c>
      <c r="G511" s="2" t="s">
        <v>458</v>
      </c>
      <c r="H511" s="2" t="s">
        <v>459</v>
      </c>
      <c r="I511" s="2" t="n">
        <f aca="false">IF(F511="Present",9,IF(F511="Half Day",4,0))</f>
        <v>9</v>
      </c>
      <c r="J511" s="2"/>
      <c r="K511" s="2"/>
    </row>
    <row r="512" customFormat="false" ht="15" hidden="false" customHeight="false" outlineLevel="0" collapsed="false">
      <c r="A512" s="2" t="s">
        <v>74</v>
      </c>
      <c r="B512" s="2" t="s">
        <v>75</v>
      </c>
      <c r="C512" s="2" t="s">
        <v>45</v>
      </c>
      <c r="D512" s="3" t="n">
        <v>46249</v>
      </c>
      <c r="E512" s="2" t="str">
        <f aca="false">TEXT(D512,"dddd")</f>
        <v>Saturday</v>
      </c>
      <c r="F512" s="2" t="s">
        <v>457</v>
      </c>
      <c r="G512" s="2" t="s">
        <v>458</v>
      </c>
      <c r="H512" s="2" t="s">
        <v>459</v>
      </c>
      <c r="I512" s="2" t="n">
        <f aca="false">IF(F512="Present",9,IF(F512="Half Day",4,0))</f>
        <v>9</v>
      </c>
      <c r="J512" s="2"/>
      <c r="K512" s="2"/>
    </row>
    <row r="513" customFormat="false" ht="15" hidden="false" customHeight="false" outlineLevel="0" collapsed="false">
      <c r="A513" s="2" t="s">
        <v>74</v>
      </c>
      <c r="B513" s="2" t="s">
        <v>75</v>
      </c>
      <c r="C513" s="2" t="s">
        <v>45</v>
      </c>
      <c r="D513" s="3" t="n">
        <v>46250</v>
      </c>
      <c r="E513" s="2" t="str">
        <f aca="false">TEXT(D513,"dddd")</f>
        <v>Sunday</v>
      </c>
      <c r="F513" s="2" t="s">
        <v>460</v>
      </c>
      <c r="G513" s="2"/>
      <c r="H513" s="2"/>
      <c r="I513" s="2" t="n">
        <f aca="false">IF(F513="Present",9,IF(F513="Half Day",4,0))</f>
        <v>0</v>
      </c>
      <c r="J513" s="2"/>
      <c r="K513" s="2" t="s">
        <v>460</v>
      </c>
    </row>
    <row r="514" customFormat="false" ht="15" hidden="false" customHeight="false" outlineLevel="0" collapsed="false">
      <c r="A514" s="2" t="s">
        <v>74</v>
      </c>
      <c r="B514" s="2" t="s">
        <v>75</v>
      </c>
      <c r="C514" s="2" t="s">
        <v>45</v>
      </c>
      <c r="D514" s="3" t="n">
        <v>46251</v>
      </c>
      <c r="E514" s="2" t="str">
        <f aca="false">TEXT(D514,"dddd")</f>
        <v>Monday</v>
      </c>
      <c r="F514" s="2" t="s">
        <v>457</v>
      </c>
      <c r="G514" s="2" t="s">
        <v>458</v>
      </c>
      <c r="H514" s="2" t="s">
        <v>459</v>
      </c>
      <c r="I514" s="2" t="n">
        <f aca="false">IF(F514="Present",9,IF(F514="Half Day",4,0))</f>
        <v>9</v>
      </c>
      <c r="J514" s="2"/>
      <c r="K514" s="2"/>
    </row>
    <row r="515" customFormat="false" ht="15" hidden="false" customHeight="false" outlineLevel="0" collapsed="false">
      <c r="A515" s="2" t="s">
        <v>74</v>
      </c>
      <c r="B515" s="2" t="s">
        <v>75</v>
      </c>
      <c r="C515" s="2" t="s">
        <v>45</v>
      </c>
      <c r="D515" s="3" t="n">
        <v>46252</v>
      </c>
      <c r="E515" s="2" t="str">
        <f aca="false">TEXT(D515,"dddd")</f>
        <v>Tuesday</v>
      </c>
      <c r="F515" s="2" t="s">
        <v>457</v>
      </c>
      <c r="G515" s="2" t="s">
        <v>458</v>
      </c>
      <c r="H515" s="2" t="s">
        <v>459</v>
      </c>
      <c r="I515" s="2" t="n">
        <f aca="false">IF(F515="Present",9,IF(F515="Half Day",4,0))</f>
        <v>9</v>
      </c>
      <c r="J515" s="2"/>
      <c r="K515" s="2"/>
    </row>
    <row r="516" customFormat="false" ht="15" hidden="false" customHeight="false" outlineLevel="0" collapsed="false">
      <c r="A516" s="2" t="s">
        <v>74</v>
      </c>
      <c r="B516" s="2" t="s">
        <v>75</v>
      </c>
      <c r="C516" s="2" t="s">
        <v>45</v>
      </c>
      <c r="D516" s="3" t="n">
        <v>46253</v>
      </c>
      <c r="E516" s="2" t="str">
        <f aca="false">TEXT(D516,"dddd")</f>
        <v>Wednesday</v>
      </c>
      <c r="F516" s="2" t="s">
        <v>461</v>
      </c>
      <c r="G516" s="2"/>
      <c r="H516" s="2"/>
      <c r="I516" s="2" t="n">
        <f aca="false">IF(F516="Present",9,IF(F516="Half Day",4,0))</f>
        <v>0</v>
      </c>
      <c r="J516" s="2"/>
      <c r="K516" s="2" t="s">
        <v>462</v>
      </c>
    </row>
    <row r="517" customFormat="false" ht="15" hidden="false" customHeight="false" outlineLevel="0" collapsed="false">
      <c r="A517" s="2" t="s">
        <v>74</v>
      </c>
      <c r="B517" s="2" t="s">
        <v>75</v>
      </c>
      <c r="C517" s="2" t="s">
        <v>45</v>
      </c>
      <c r="D517" s="3" t="n">
        <v>46254</v>
      </c>
      <c r="E517" s="2" t="str">
        <f aca="false">TEXT(D517,"dddd")</f>
        <v>Thursday</v>
      </c>
      <c r="F517" s="2" t="s">
        <v>457</v>
      </c>
      <c r="G517" s="2" t="s">
        <v>458</v>
      </c>
      <c r="H517" s="2" t="s">
        <v>459</v>
      </c>
      <c r="I517" s="2" t="n">
        <f aca="false">IF(F517="Present",9,IF(F517="Half Day",4,0))</f>
        <v>9</v>
      </c>
      <c r="J517" s="2"/>
      <c r="K517" s="2"/>
    </row>
    <row r="518" customFormat="false" ht="15" hidden="false" customHeight="false" outlineLevel="0" collapsed="false">
      <c r="A518" s="2" t="s">
        <v>74</v>
      </c>
      <c r="B518" s="2" t="s">
        <v>75</v>
      </c>
      <c r="C518" s="2" t="s">
        <v>45</v>
      </c>
      <c r="D518" s="3" t="n">
        <v>46255</v>
      </c>
      <c r="E518" s="2" t="str">
        <f aca="false">TEXT(D518,"dddd")</f>
        <v>Friday</v>
      </c>
      <c r="F518" s="2" t="s">
        <v>457</v>
      </c>
      <c r="G518" s="2" t="s">
        <v>458</v>
      </c>
      <c r="H518" s="2" t="s">
        <v>459</v>
      </c>
      <c r="I518" s="2" t="n">
        <f aca="false">IF(F518="Present",9,IF(F518="Half Day",4,0))</f>
        <v>9</v>
      </c>
      <c r="J518" s="2"/>
      <c r="K518" s="2"/>
    </row>
    <row r="519" customFormat="false" ht="15" hidden="false" customHeight="false" outlineLevel="0" collapsed="false">
      <c r="A519" s="2" t="s">
        <v>74</v>
      </c>
      <c r="B519" s="2" t="s">
        <v>75</v>
      </c>
      <c r="C519" s="2" t="s">
        <v>45</v>
      </c>
      <c r="D519" s="3" t="n">
        <v>46256</v>
      </c>
      <c r="E519" s="2" t="str">
        <f aca="false">TEXT(D519,"dddd")</f>
        <v>Saturday</v>
      </c>
      <c r="F519" s="2" t="s">
        <v>457</v>
      </c>
      <c r="G519" s="2" t="s">
        <v>458</v>
      </c>
      <c r="H519" s="2" t="s">
        <v>459</v>
      </c>
      <c r="I519" s="2" t="n">
        <f aca="false">IF(F519="Present",9,IF(F519="Half Day",4,0))</f>
        <v>9</v>
      </c>
      <c r="J519" s="2"/>
      <c r="K519" s="2"/>
    </row>
    <row r="520" customFormat="false" ht="15" hidden="false" customHeight="false" outlineLevel="0" collapsed="false">
      <c r="A520" s="2" t="s">
        <v>74</v>
      </c>
      <c r="B520" s="2" t="s">
        <v>75</v>
      </c>
      <c r="C520" s="2" t="s">
        <v>45</v>
      </c>
      <c r="D520" s="3" t="n">
        <v>46257</v>
      </c>
      <c r="E520" s="2" t="str">
        <f aca="false">TEXT(D520,"dddd")</f>
        <v>Sunday</v>
      </c>
      <c r="F520" s="2" t="s">
        <v>460</v>
      </c>
      <c r="G520" s="2"/>
      <c r="H520" s="2"/>
      <c r="I520" s="2" t="n">
        <f aca="false">IF(F520="Present",9,IF(F520="Half Day",4,0))</f>
        <v>0</v>
      </c>
      <c r="J520" s="2"/>
      <c r="K520" s="2" t="s">
        <v>460</v>
      </c>
    </row>
    <row r="521" customFormat="false" ht="15" hidden="false" customHeight="false" outlineLevel="0" collapsed="false">
      <c r="A521" s="2" t="s">
        <v>74</v>
      </c>
      <c r="B521" s="2" t="s">
        <v>75</v>
      </c>
      <c r="C521" s="2" t="s">
        <v>45</v>
      </c>
      <c r="D521" s="3" t="n">
        <v>46258</v>
      </c>
      <c r="E521" s="2" t="str">
        <f aca="false">TEXT(D521,"dddd")</f>
        <v>Monday</v>
      </c>
      <c r="F521" s="2" t="s">
        <v>457</v>
      </c>
      <c r="G521" s="2" t="s">
        <v>458</v>
      </c>
      <c r="H521" s="2" t="s">
        <v>459</v>
      </c>
      <c r="I521" s="2" t="n">
        <f aca="false">IF(F521="Present",9,IF(F521="Half Day",4,0))</f>
        <v>9</v>
      </c>
      <c r="J521" s="2"/>
      <c r="K521" s="2"/>
    </row>
    <row r="522" customFormat="false" ht="15" hidden="false" customHeight="false" outlineLevel="0" collapsed="false">
      <c r="A522" s="2" t="s">
        <v>74</v>
      </c>
      <c r="B522" s="2" t="s">
        <v>75</v>
      </c>
      <c r="C522" s="2" t="s">
        <v>45</v>
      </c>
      <c r="D522" s="3" t="n">
        <v>46259</v>
      </c>
      <c r="E522" s="2" t="str">
        <f aca="false">TEXT(D522,"dddd")</f>
        <v>Tuesday</v>
      </c>
      <c r="F522" s="2" t="s">
        <v>457</v>
      </c>
      <c r="G522" s="2" t="s">
        <v>458</v>
      </c>
      <c r="H522" s="2" t="s">
        <v>459</v>
      </c>
      <c r="I522" s="2" t="n">
        <f aca="false">IF(F522="Present",9,IF(F522="Half Day",4,0))</f>
        <v>9</v>
      </c>
      <c r="J522" s="2"/>
      <c r="K522" s="2"/>
    </row>
    <row r="523" customFormat="false" ht="15" hidden="false" customHeight="false" outlineLevel="0" collapsed="false">
      <c r="A523" s="2" t="s">
        <v>74</v>
      </c>
      <c r="B523" s="2" t="s">
        <v>75</v>
      </c>
      <c r="C523" s="2" t="s">
        <v>45</v>
      </c>
      <c r="D523" s="3" t="n">
        <v>46260</v>
      </c>
      <c r="E523" s="2" t="str">
        <f aca="false">TEXT(D523,"dddd")</f>
        <v>Wednesday</v>
      </c>
      <c r="F523" s="2" t="s">
        <v>457</v>
      </c>
      <c r="G523" s="2" t="s">
        <v>458</v>
      </c>
      <c r="H523" s="2" t="s">
        <v>459</v>
      </c>
      <c r="I523" s="2" t="n">
        <f aca="false">IF(F523="Present",9,IF(F523="Half Day",4,0))</f>
        <v>9</v>
      </c>
      <c r="J523" s="2"/>
      <c r="K523" s="2"/>
    </row>
    <row r="524" customFormat="false" ht="15" hidden="false" customHeight="false" outlineLevel="0" collapsed="false">
      <c r="A524" s="2" t="s">
        <v>74</v>
      </c>
      <c r="B524" s="2" t="s">
        <v>75</v>
      </c>
      <c r="C524" s="2" t="s">
        <v>45</v>
      </c>
      <c r="D524" s="3" t="n">
        <v>46261</v>
      </c>
      <c r="E524" s="2" t="str">
        <f aca="false">TEXT(D524,"dddd")</f>
        <v>Thursday</v>
      </c>
      <c r="F524" s="2" t="s">
        <v>457</v>
      </c>
      <c r="G524" s="2" t="s">
        <v>458</v>
      </c>
      <c r="H524" s="2" t="s">
        <v>459</v>
      </c>
      <c r="I524" s="2" t="n">
        <f aca="false">IF(F524="Present",9,IF(F524="Half Day",4,0))</f>
        <v>9</v>
      </c>
      <c r="J524" s="2"/>
      <c r="K524" s="2"/>
    </row>
    <row r="525" customFormat="false" ht="15" hidden="false" customHeight="false" outlineLevel="0" collapsed="false">
      <c r="A525" s="2" t="s">
        <v>74</v>
      </c>
      <c r="B525" s="2" t="s">
        <v>75</v>
      </c>
      <c r="C525" s="2" t="s">
        <v>45</v>
      </c>
      <c r="D525" s="3" t="n">
        <v>46262</v>
      </c>
      <c r="E525" s="2" t="str">
        <f aca="false">TEXT(D525,"dddd")</f>
        <v>Friday</v>
      </c>
      <c r="F525" s="2" t="s">
        <v>457</v>
      </c>
      <c r="G525" s="2" t="s">
        <v>458</v>
      </c>
      <c r="H525" s="2" t="s">
        <v>459</v>
      </c>
      <c r="I525" s="2" t="n">
        <f aca="false">IF(F525="Present",9,IF(F525="Half Day",4,0))</f>
        <v>9</v>
      </c>
      <c r="J525" s="2"/>
      <c r="K525" s="2"/>
    </row>
    <row r="526" customFormat="false" ht="15" hidden="false" customHeight="false" outlineLevel="0" collapsed="false">
      <c r="A526" s="2" t="s">
        <v>74</v>
      </c>
      <c r="B526" s="2" t="s">
        <v>75</v>
      </c>
      <c r="C526" s="2" t="s">
        <v>45</v>
      </c>
      <c r="D526" s="3" t="n">
        <v>46263</v>
      </c>
      <c r="E526" s="2" t="str">
        <f aca="false">TEXT(D526,"dddd")</f>
        <v>Saturday</v>
      </c>
      <c r="F526" s="2" t="s">
        <v>457</v>
      </c>
      <c r="G526" s="2" t="s">
        <v>458</v>
      </c>
      <c r="H526" s="2" t="s">
        <v>459</v>
      </c>
      <c r="I526" s="2" t="n">
        <f aca="false">IF(F526="Present",9,IF(F526="Half Day",4,0))</f>
        <v>9</v>
      </c>
      <c r="J526" s="2"/>
      <c r="K526" s="2"/>
    </row>
    <row r="527" customFormat="false" ht="15" hidden="false" customHeight="false" outlineLevel="0" collapsed="false">
      <c r="A527" s="2" t="s">
        <v>74</v>
      </c>
      <c r="B527" s="2" t="s">
        <v>75</v>
      </c>
      <c r="C527" s="2" t="s">
        <v>45</v>
      </c>
      <c r="D527" s="3" t="n">
        <v>46264</v>
      </c>
      <c r="E527" s="2" t="str">
        <f aca="false">TEXT(D527,"dddd")</f>
        <v>Sunday</v>
      </c>
      <c r="F527" s="2" t="s">
        <v>460</v>
      </c>
      <c r="G527" s="2"/>
      <c r="H527" s="2"/>
      <c r="I527" s="2" t="n">
        <f aca="false">IF(F527="Present",9,IF(F527="Half Day",4,0))</f>
        <v>0</v>
      </c>
      <c r="J527" s="2"/>
      <c r="K527" s="2" t="s">
        <v>460</v>
      </c>
    </row>
    <row r="528" customFormat="false" ht="15" hidden="false" customHeight="false" outlineLevel="0" collapsed="false">
      <c r="A528" s="2" t="s">
        <v>74</v>
      </c>
      <c r="B528" s="2" t="s">
        <v>75</v>
      </c>
      <c r="C528" s="2" t="s">
        <v>45</v>
      </c>
      <c r="D528" s="3" t="n">
        <v>46265</v>
      </c>
      <c r="E528" s="2" t="str">
        <f aca="false">TEXT(D528,"dddd")</f>
        <v>Monday</v>
      </c>
      <c r="F528" s="2" t="s">
        <v>457</v>
      </c>
      <c r="G528" s="2" t="s">
        <v>458</v>
      </c>
      <c r="H528" s="2" t="s">
        <v>459</v>
      </c>
      <c r="I528" s="2" t="n">
        <f aca="false">IF(F528="Present",9,IF(F528="Half Day",4,0))</f>
        <v>9</v>
      </c>
      <c r="J528" s="2"/>
      <c r="K528" s="2"/>
    </row>
    <row r="529" customFormat="false" ht="15" hidden="false" customHeight="false" outlineLevel="0" collapsed="false">
      <c r="A529" s="2" t="s">
        <v>77</v>
      </c>
      <c r="B529" s="2" t="s">
        <v>78</v>
      </c>
      <c r="C529" s="2" t="s">
        <v>49</v>
      </c>
      <c r="D529" s="3" t="n">
        <v>46235</v>
      </c>
      <c r="E529" s="2" t="str">
        <f aca="false">TEXT(D529,"dddd")</f>
        <v>Saturday</v>
      </c>
      <c r="F529" s="2" t="s">
        <v>457</v>
      </c>
      <c r="G529" s="2" t="s">
        <v>458</v>
      </c>
      <c r="H529" s="2" t="s">
        <v>459</v>
      </c>
      <c r="I529" s="2" t="n">
        <f aca="false">IF(F529="Present",9,IF(F529="Half Day",4,0))</f>
        <v>9</v>
      </c>
      <c r="J529" s="2"/>
      <c r="K529" s="2"/>
    </row>
    <row r="530" customFormat="false" ht="15" hidden="false" customHeight="false" outlineLevel="0" collapsed="false">
      <c r="A530" s="2" t="s">
        <v>77</v>
      </c>
      <c r="B530" s="2" t="s">
        <v>78</v>
      </c>
      <c r="C530" s="2" t="s">
        <v>49</v>
      </c>
      <c r="D530" s="3" t="n">
        <v>46236</v>
      </c>
      <c r="E530" s="2" t="str">
        <f aca="false">TEXT(D530,"dddd")</f>
        <v>Sunday</v>
      </c>
      <c r="F530" s="2" t="s">
        <v>460</v>
      </c>
      <c r="G530" s="2"/>
      <c r="H530" s="2"/>
      <c r="I530" s="2" t="n">
        <f aca="false">IF(F530="Present",9,IF(F530="Half Day",4,0))</f>
        <v>0</v>
      </c>
      <c r="J530" s="2"/>
      <c r="K530" s="2" t="s">
        <v>460</v>
      </c>
    </row>
    <row r="531" customFormat="false" ht="15" hidden="false" customHeight="false" outlineLevel="0" collapsed="false">
      <c r="A531" s="2" t="s">
        <v>77</v>
      </c>
      <c r="B531" s="2" t="s">
        <v>78</v>
      </c>
      <c r="C531" s="2" t="s">
        <v>49</v>
      </c>
      <c r="D531" s="3" t="n">
        <v>46237</v>
      </c>
      <c r="E531" s="2" t="str">
        <f aca="false">TEXT(D531,"dddd")</f>
        <v>Monday</v>
      </c>
      <c r="F531" s="2" t="s">
        <v>457</v>
      </c>
      <c r="G531" s="2" t="s">
        <v>458</v>
      </c>
      <c r="H531" s="2" t="s">
        <v>459</v>
      </c>
      <c r="I531" s="2" t="n">
        <f aca="false">IF(F531="Present",9,IF(F531="Half Day",4,0))</f>
        <v>9</v>
      </c>
      <c r="J531" s="2"/>
      <c r="K531" s="2"/>
    </row>
    <row r="532" customFormat="false" ht="15" hidden="false" customHeight="false" outlineLevel="0" collapsed="false">
      <c r="A532" s="2" t="s">
        <v>77</v>
      </c>
      <c r="B532" s="2" t="s">
        <v>78</v>
      </c>
      <c r="C532" s="2" t="s">
        <v>49</v>
      </c>
      <c r="D532" s="3" t="n">
        <v>46238</v>
      </c>
      <c r="E532" s="2" t="str">
        <f aca="false">TEXT(D532,"dddd")</f>
        <v>Tuesday</v>
      </c>
      <c r="F532" s="2" t="s">
        <v>457</v>
      </c>
      <c r="G532" s="2" t="s">
        <v>458</v>
      </c>
      <c r="H532" s="2" t="s">
        <v>459</v>
      </c>
      <c r="I532" s="2" t="n">
        <f aca="false">IF(F532="Present",9,IF(F532="Half Day",4,0))</f>
        <v>9</v>
      </c>
      <c r="J532" s="2"/>
      <c r="K532" s="2"/>
    </row>
    <row r="533" customFormat="false" ht="15" hidden="false" customHeight="false" outlineLevel="0" collapsed="false">
      <c r="A533" s="2" t="s">
        <v>77</v>
      </c>
      <c r="B533" s="2" t="s">
        <v>78</v>
      </c>
      <c r="C533" s="2" t="s">
        <v>49</v>
      </c>
      <c r="D533" s="3" t="n">
        <v>46239</v>
      </c>
      <c r="E533" s="2" t="str">
        <f aca="false">TEXT(D533,"dddd")</f>
        <v>Wednesday</v>
      </c>
      <c r="F533" s="2" t="s">
        <v>457</v>
      </c>
      <c r="G533" s="2" t="s">
        <v>458</v>
      </c>
      <c r="H533" s="2" t="s">
        <v>459</v>
      </c>
      <c r="I533" s="2" t="n">
        <f aca="false">IF(F533="Present",9,IF(F533="Half Day",4,0))</f>
        <v>9</v>
      </c>
      <c r="J533" s="2"/>
      <c r="K533" s="2"/>
    </row>
    <row r="534" customFormat="false" ht="15" hidden="false" customHeight="false" outlineLevel="0" collapsed="false">
      <c r="A534" s="2" t="s">
        <v>77</v>
      </c>
      <c r="B534" s="2" t="s">
        <v>78</v>
      </c>
      <c r="C534" s="2" t="s">
        <v>49</v>
      </c>
      <c r="D534" s="3" t="n">
        <v>46240</v>
      </c>
      <c r="E534" s="2" t="str">
        <f aca="false">TEXT(D534,"dddd")</f>
        <v>Thursday</v>
      </c>
      <c r="F534" s="2" t="s">
        <v>461</v>
      </c>
      <c r="G534" s="2"/>
      <c r="H534" s="2"/>
      <c r="I534" s="2" t="n">
        <f aca="false">IF(F534="Present",9,IF(F534="Half Day",4,0))</f>
        <v>0</v>
      </c>
      <c r="J534" s="2"/>
      <c r="K534" s="2" t="s">
        <v>462</v>
      </c>
    </row>
    <row r="535" customFormat="false" ht="15" hidden="false" customHeight="false" outlineLevel="0" collapsed="false">
      <c r="A535" s="2" t="s">
        <v>77</v>
      </c>
      <c r="B535" s="2" t="s">
        <v>78</v>
      </c>
      <c r="C535" s="2" t="s">
        <v>49</v>
      </c>
      <c r="D535" s="3" t="n">
        <v>46241</v>
      </c>
      <c r="E535" s="2" t="str">
        <f aca="false">TEXT(D535,"dddd")</f>
        <v>Friday</v>
      </c>
      <c r="F535" s="2" t="s">
        <v>457</v>
      </c>
      <c r="G535" s="2" t="s">
        <v>458</v>
      </c>
      <c r="H535" s="2" t="s">
        <v>459</v>
      </c>
      <c r="I535" s="2" t="n">
        <f aca="false">IF(F535="Present",9,IF(F535="Half Day",4,0))</f>
        <v>9</v>
      </c>
      <c r="J535" s="2"/>
      <c r="K535" s="2"/>
    </row>
    <row r="536" customFormat="false" ht="15" hidden="false" customHeight="false" outlineLevel="0" collapsed="false">
      <c r="A536" s="2" t="s">
        <v>77</v>
      </c>
      <c r="B536" s="2" t="s">
        <v>78</v>
      </c>
      <c r="C536" s="2" t="s">
        <v>49</v>
      </c>
      <c r="D536" s="3" t="n">
        <v>46242</v>
      </c>
      <c r="E536" s="2" t="str">
        <f aca="false">TEXT(D536,"dddd")</f>
        <v>Saturday</v>
      </c>
      <c r="F536" s="2" t="s">
        <v>457</v>
      </c>
      <c r="G536" s="2" t="s">
        <v>458</v>
      </c>
      <c r="H536" s="2" t="s">
        <v>459</v>
      </c>
      <c r="I536" s="2" t="n">
        <f aca="false">IF(F536="Present",9,IF(F536="Half Day",4,0))</f>
        <v>9</v>
      </c>
      <c r="J536" s="2"/>
      <c r="K536" s="2"/>
    </row>
    <row r="537" customFormat="false" ht="15" hidden="false" customHeight="false" outlineLevel="0" collapsed="false">
      <c r="A537" s="2" t="s">
        <v>77</v>
      </c>
      <c r="B537" s="2" t="s">
        <v>78</v>
      </c>
      <c r="C537" s="2" t="s">
        <v>49</v>
      </c>
      <c r="D537" s="3" t="n">
        <v>46243</v>
      </c>
      <c r="E537" s="2" t="str">
        <f aca="false">TEXT(D537,"dddd")</f>
        <v>Sunday</v>
      </c>
      <c r="F537" s="2" t="s">
        <v>460</v>
      </c>
      <c r="G537" s="2"/>
      <c r="H537" s="2"/>
      <c r="I537" s="2" t="n">
        <f aca="false">IF(F537="Present",9,IF(F537="Half Day",4,0))</f>
        <v>0</v>
      </c>
      <c r="J537" s="2"/>
      <c r="K537" s="2" t="s">
        <v>460</v>
      </c>
    </row>
    <row r="538" customFormat="false" ht="15" hidden="false" customHeight="false" outlineLevel="0" collapsed="false">
      <c r="A538" s="2" t="s">
        <v>77</v>
      </c>
      <c r="B538" s="2" t="s">
        <v>78</v>
      </c>
      <c r="C538" s="2" t="s">
        <v>49</v>
      </c>
      <c r="D538" s="3" t="n">
        <v>46244</v>
      </c>
      <c r="E538" s="2" t="str">
        <f aca="false">TEXT(D538,"dddd")</f>
        <v>Monday</v>
      </c>
      <c r="F538" s="2" t="s">
        <v>461</v>
      </c>
      <c r="G538" s="2"/>
      <c r="H538" s="2"/>
      <c r="I538" s="2" t="n">
        <f aca="false">IF(F538="Present",9,IF(F538="Half Day",4,0))</f>
        <v>0</v>
      </c>
      <c r="J538" s="2"/>
      <c r="K538" s="2" t="s">
        <v>462</v>
      </c>
    </row>
    <row r="539" customFormat="false" ht="15" hidden="false" customHeight="false" outlineLevel="0" collapsed="false">
      <c r="A539" s="2" t="s">
        <v>77</v>
      </c>
      <c r="B539" s="2" t="s">
        <v>78</v>
      </c>
      <c r="C539" s="2" t="s">
        <v>49</v>
      </c>
      <c r="D539" s="3" t="n">
        <v>46245</v>
      </c>
      <c r="E539" s="2" t="str">
        <f aca="false">TEXT(D539,"dddd")</f>
        <v>Tuesday</v>
      </c>
      <c r="F539" s="2" t="s">
        <v>457</v>
      </c>
      <c r="G539" s="2" t="s">
        <v>458</v>
      </c>
      <c r="H539" s="2" t="s">
        <v>459</v>
      </c>
      <c r="I539" s="2" t="n">
        <f aca="false">IF(F539="Present",9,IF(F539="Half Day",4,0))</f>
        <v>9</v>
      </c>
      <c r="J539" s="2"/>
      <c r="K539" s="2"/>
    </row>
    <row r="540" customFormat="false" ht="15" hidden="false" customHeight="false" outlineLevel="0" collapsed="false">
      <c r="A540" s="2" t="s">
        <v>77</v>
      </c>
      <c r="B540" s="2" t="s">
        <v>78</v>
      </c>
      <c r="C540" s="2" t="s">
        <v>49</v>
      </c>
      <c r="D540" s="3" t="n">
        <v>46246</v>
      </c>
      <c r="E540" s="2" t="str">
        <f aca="false">TEXT(D540,"dddd")</f>
        <v>Wednesday</v>
      </c>
      <c r="F540" s="2" t="s">
        <v>457</v>
      </c>
      <c r="G540" s="2" t="s">
        <v>458</v>
      </c>
      <c r="H540" s="2" t="s">
        <v>459</v>
      </c>
      <c r="I540" s="2" t="n">
        <f aca="false">IF(F540="Present",9,IF(F540="Half Day",4,0))</f>
        <v>9</v>
      </c>
      <c r="J540" s="2"/>
      <c r="K540" s="2"/>
    </row>
    <row r="541" customFormat="false" ht="15" hidden="false" customHeight="false" outlineLevel="0" collapsed="false">
      <c r="A541" s="2" t="s">
        <v>77</v>
      </c>
      <c r="B541" s="2" t="s">
        <v>78</v>
      </c>
      <c r="C541" s="2" t="s">
        <v>49</v>
      </c>
      <c r="D541" s="3" t="n">
        <v>46247</v>
      </c>
      <c r="E541" s="2" t="str">
        <f aca="false">TEXT(D541,"dddd")</f>
        <v>Thursday</v>
      </c>
      <c r="F541" s="2" t="s">
        <v>461</v>
      </c>
      <c r="G541" s="2"/>
      <c r="H541" s="2"/>
      <c r="I541" s="2" t="n">
        <f aca="false">IF(F541="Present",9,IF(F541="Half Day",4,0))</f>
        <v>0</v>
      </c>
      <c r="J541" s="2"/>
      <c r="K541" s="2" t="s">
        <v>462</v>
      </c>
    </row>
    <row r="542" customFormat="false" ht="15" hidden="false" customHeight="false" outlineLevel="0" collapsed="false">
      <c r="A542" s="2" t="s">
        <v>77</v>
      </c>
      <c r="B542" s="2" t="s">
        <v>78</v>
      </c>
      <c r="C542" s="2" t="s">
        <v>49</v>
      </c>
      <c r="D542" s="3" t="n">
        <v>46248</v>
      </c>
      <c r="E542" s="2" t="str">
        <f aca="false">TEXT(D542,"dddd")</f>
        <v>Friday</v>
      </c>
      <c r="F542" s="2" t="s">
        <v>457</v>
      </c>
      <c r="G542" s="2" t="s">
        <v>458</v>
      </c>
      <c r="H542" s="2" t="s">
        <v>459</v>
      </c>
      <c r="I542" s="2" t="n">
        <f aca="false">IF(F542="Present",9,IF(F542="Half Day",4,0))</f>
        <v>9</v>
      </c>
      <c r="J542" s="2"/>
      <c r="K542" s="2"/>
    </row>
    <row r="543" customFormat="false" ht="15" hidden="false" customHeight="false" outlineLevel="0" collapsed="false">
      <c r="A543" s="2" t="s">
        <v>77</v>
      </c>
      <c r="B543" s="2" t="s">
        <v>78</v>
      </c>
      <c r="C543" s="2" t="s">
        <v>49</v>
      </c>
      <c r="D543" s="3" t="n">
        <v>46249</v>
      </c>
      <c r="E543" s="2" t="str">
        <f aca="false">TEXT(D543,"dddd")</f>
        <v>Saturday</v>
      </c>
      <c r="F543" s="2" t="s">
        <v>466</v>
      </c>
      <c r="G543" s="2" t="s">
        <v>458</v>
      </c>
      <c r="H543" s="2" t="s">
        <v>467</v>
      </c>
      <c r="I543" s="2" t="n">
        <f aca="false">IF(F543="Present",9,IF(F543="Half Day",4,0))</f>
        <v>4</v>
      </c>
      <c r="J543" s="2"/>
      <c r="K543" s="2" t="s">
        <v>466</v>
      </c>
    </row>
    <row r="544" customFormat="false" ht="15" hidden="false" customHeight="false" outlineLevel="0" collapsed="false">
      <c r="A544" s="2" t="s">
        <v>77</v>
      </c>
      <c r="B544" s="2" t="s">
        <v>78</v>
      </c>
      <c r="C544" s="2" t="s">
        <v>49</v>
      </c>
      <c r="D544" s="3" t="n">
        <v>46250</v>
      </c>
      <c r="E544" s="2" t="str">
        <f aca="false">TEXT(D544,"dddd")</f>
        <v>Sunday</v>
      </c>
      <c r="F544" s="2" t="s">
        <v>460</v>
      </c>
      <c r="G544" s="2"/>
      <c r="H544" s="2"/>
      <c r="I544" s="2" t="n">
        <f aca="false">IF(F544="Present",9,IF(F544="Half Day",4,0))</f>
        <v>0</v>
      </c>
      <c r="J544" s="2"/>
      <c r="K544" s="2" t="s">
        <v>460</v>
      </c>
    </row>
    <row r="545" customFormat="false" ht="15" hidden="false" customHeight="false" outlineLevel="0" collapsed="false">
      <c r="A545" s="2" t="s">
        <v>77</v>
      </c>
      <c r="B545" s="2" t="s">
        <v>78</v>
      </c>
      <c r="C545" s="2" t="s">
        <v>49</v>
      </c>
      <c r="D545" s="3" t="n">
        <v>46251</v>
      </c>
      <c r="E545" s="2" t="str">
        <f aca="false">TEXT(D545,"dddd")</f>
        <v>Monday</v>
      </c>
      <c r="F545" s="2" t="s">
        <v>457</v>
      </c>
      <c r="G545" s="2" t="s">
        <v>458</v>
      </c>
      <c r="H545" s="2" t="s">
        <v>459</v>
      </c>
      <c r="I545" s="2" t="n">
        <f aca="false">IF(F545="Present",9,IF(F545="Half Day",4,0))</f>
        <v>9</v>
      </c>
      <c r="J545" s="2"/>
      <c r="K545" s="2"/>
    </row>
    <row r="546" customFormat="false" ht="15" hidden="false" customHeight="false" outlineLevel="0" collapsed="false">
      <c r="A546" s="2" t="s">
        <v>77</v>
      </c>
      <c r="B546" s="2" t="s">
        <v>78</v>
      </c>
      <c r="C546" s="2" t="s">
        <v>49</v>
      </c>
      <c r="D546" s="3" t="n">
        <v>46252</v>
      </c>
      <c r="E546" s="2" t="str">
        <f aca="false">TEXT(D546,"dddd")</f>
        <v>Tuesday</v>
      </c>
      <c r="F546" s="2" t="s">
        <v>461</v>
      </c>
      <c r="G546" s="2"/>
      <c r="H546" s="2"/>
      <c r="I546" s="2" t="n">
        <f aca="false">IF(F546="Present",9,IF(F546="Half Day",4,0))</f>
        <v>0</v>
      </c>
      <c r="J546" s="2"/>
      <c r="K546" s="2" t="s">
        <v>462</v>
      </c>
    </row>
    <row r="547" customFormat="false" ht="15" hidden="false" customHeight="false" outlineLevel="0" collapsed="false">
      <c r="A547" s="2" t="s">
        <v>77</v>
      </c>
      <c r="B547" s="2" t="s">
        <v>78</v>
      </c>
      <c r="C547" s="2" t="s">
        <v>49</v>
      </c>
      <c r="D547" s="3" t="n">
        <v>46253</v>
      </c>
      <c r="E547" s="2" t="str">
        <f aca="false">TEXT(D547,"dddd")</f>
        <v>Wednesday</v>
      </c>
      <c r="F547" s="2" t="s">
        <v>457</v>
      </c>
      <c r="G547" s="2" t="s">
        <v>458</v>
      </c>
      <c r="H547" s="2" t="s">
        <v>459</v>
      </c>
      <c r="I547" s="2" t="n">
        <f aca="false">IF(F547="Present",9,IF(F547="Half Day",4,0))</f>
        <v>9</v>
      </c>
      <c r="J547" s="2"/>
      <c r="K547" s="2"/>
    </row>
    <row r="548" customFormat="false" ht="15" hidden="false" customHeight="false" outlineLevel="0" collapsed="false">
      <c r="A548" s="2" t="s">
        <v>77</v>
      </c>
      <c r="B548" s="2" t="s">
        <v>78</v>
      </c>
      <c r="C548" s="2" t="s">
        <v>49</v>
      </c>
      <c r="D548" s="3" t="n">
        <v>46254</v>
      </c>
      <c r="E548" s="2" t="str">
        <f aca="false">TEXT(D548,"dddd")</f>
        <v>Thursday</v>
      </c>
      <c r="F548" s="2" t="s">
        <v>457</v>
      </c>
      <c r="G548" s="2" t="s">
        <v>458</v>
      </c>
      <c r="H548" s="2" t="s">
        <v>459</v>
      </c>
      <c r="I548" s="2" t="n">
        <f aca="false">IF(F548="Present",9,IF(F548="Half Day",4,0))</f>
        <v>9</v>
      </c>
      <c r="J548" s="2"/>
      <c r="K548" s="2"/>
    </row>
    <row r="549" customFormat="false" ht="15" hidden="false" customHeight="false" outlineLevel="0" collapsed="false">
      <c r="A549" s="2" t="s">
        <v>77</v>
      </c>
      <c r="B549" s="2" t="s">
        <v>78</v>
      </c>
      <c r="C549" s="2" t="s">
        <v>49</v>
      </c>
      <c r="D549" s="3" t="n">
        <v>46255</v>
      </c>
      <c r="E549" s="2" t="str">
        <f aca="false">TEXT(D549,"dddd")</f>
        <v>Friday</v>
      </c>
      <c r="F549" s="2" t="s">
        <v>457</v>
      </c>
      <c r="G549" s="2" t="s">
        <v>458</v>
      </c>
      <c r="H549" s="2" t="s">
        <v>459</v>
      </c>
      <c r="I549" s="2" t="n">
        <f aca="false">IF(F549="Present",9,IF(F549="Half Day",4,0))</f>
        <v>9</v>
      </c>
      <c r="J549" s="2"/>
      <c r="K549" s="2"/>
    </row>
    <row r="550" customFormat="false" ht="15" hidden="false" customHeight="false" outlineLevel="0" collapsed="false">
      <c r="A550" s="2" t="s">
        <v>77</v>
      </c>
      <c r="B550" s="2" t="s">
        <v>78</v>
      </c>
      <c r="C550" s="2" t="s">
        <v>49</v>
      </c>
      <c r="D550" s="3" t="n">
        <v>46256</v>
      </c>
      <c r="E550" s="2" t="str">
        <f aca="false">TEXT(D550,"dddd")</f>
        <v>Saturday</v>
      </c>
      <c r="F550" s="2" t="s">
        <v>457</v>
      </c>
      <c r="G550" s="2" t="s">
        <v>458</v>
      </c>
      <c r="H550" s="2" t="s">
        <v>459</v>
      </c>
      <c r="I550" s="2" t="n">
        <f aca="false">IF(F550="Present",9,IF(F550="Half Day",4,0))</f>
        <v>9</v>
      </c>
      <c r="J550" s="2"/>
      <c r="K550" s="2"/>
    </row>
    <row r="551" customFormat="false" ht="15" hidden="false" customHeight="false" outlineLevel="0" collapsed="false">
      <c r="A551" s="2" t="s">
        <v>77</v>
      </c>
      <c r="B551" s="2" t="s">
        <v>78</v>
      </c>
      <c r="C551" s="2" t="s">
        <v>49</v>
      </c>
      <c r="D551" s="3" t="n">
        <v>46257</v>
      </c>
      <c r="E551" s="2" t="str">
        <f aca="false">TEXT(D551,"dddd")</f>
        <v>Sunday</v>
      </c>
      <c r="F551" s="2" t="s">
        <v>460</v>
      </c>
      <c r="G551" s="2"/>
      <c r="H551" s="2"/>
      <c r="I551" s="2" t="n">
        <f aca="false">IF(F551="Present",9,IF(F551="Half Day",4,0))</f>
        <v>0</v>
      </c>
      <c r="J551" s="2"/>
      <c r="K551" s="2" t="s">
        <v>460</v>
      </c>
    </row>
    <row r="552" customFormat="false" ht="15" hidden="false" customHeight="false" outlineLevel="0" collapsed="false">
      <c r="A552" s="2" t="s">
        <v>77</v>
      </c>
      <c r="B552" s="2" t="s">
        <v>78</v>
      </c>
      <c r="C552" s="2" t="s">
        <v>49</v>
      </c>
      <c r="D552" s="3" t="n">
        <v>46258</v>
      </c>
      <c r="E552" s="2" t="str">
        <f aca="false">TEXT(D552,"dddd")</f>
        <v>Monday</v>
      </c>
      <c r="F552" s="2" t="s">
        <v>457</v>
      </c>
      <c r="G552" s="2" t="s">
        <v>458</v>
      </c>
      <c r="H552" s="2" t="s">
        <v>459</v>
      </c>
      <c r="I552" s="2" t="n">
        <f aca="false">IF(F552="Present",9,IF(F552="Half Day",4,0))</f>
        <v>9</v>
      </c>
      <c r="J552" s="2"/>
      <c r="K552" s="2"/>
    </row>
    <row r="553" customFormat="false" ht="15" hidden="false" customHeight="false" outlineLevel="0" collapsed="false">
      <c r="A553" s="2" t="s">
        <v>77</v>
      </c>
      <c r="B553" s="2" t="s">
        <v>78</v>
      </c>
      <c r="C553" s="2" t="s">
        <v>49</v>
      </c>
      <c r="D553" s="3" t="n">
        <v>46259</v>
      </c>
      <c r="E553" s="2" t="str">
        <f aca="false">TEXT(D553,"dddd")</f>
        <v>Tuesday</v>
      </c>
      <c r="F553" s="2" t="s">
        <v>457</v>
      </c>
      <c r="G553" s="2" t="s">
        <v>458</v>
      </c>
      <c r="H553" s="2" t="s">
        <v>459</v>
      </c>
      <c r="I553" s="2" t="n">
        <f aca="false">IF(F553="Present",9,IF(F553="Half Day",4,0))</f>
        <v>9</v>
      </c>
      <c r="J553" s="2"/>
      <c r="K553" s="2"/>
    </row>
    <row r="554" customFormat="false" ht="15" hidden="false" customHeight="false" outlineLevel="0" collapsed="false">
      <c r="A554" s="2" t="s">
        <v>77</v>
      </c>
      <c r="B554" s="2" t="s">
        <v>78</v>
      </c>
      <c r="C554" s="2" t="s">
        <v>49</v>
      </c>
      <c r="D554" s="3" t="n">
        <v>46260</v>
      </c>
      <c r="E554" s="2" t="str">
        <f aca="false">TEXT(D554,"dddd")</f>
        <v>Wednesday</v>
      </c>
      <c r="F554" s="2" t="s">
        <v>457</v>
      </c>
      <c r="G554" s="2" t="s">
        <v>458</v>
      </c>
      <c r="H554" s="2" t="s">
        <v>459</v>
      </c>
      <c r="I554" s="2" t="n">
        <f aca="false">IF(F554="Present",9,IF(F554="Half Day",4,0))</f>
        <v>9</v>
      </c>
      <c r="J554" s="2"/>
      <c r="K554" s="2"/>
    </row>
    <row r="555" customFormat="false" ht="15" hidden="false" customHeight="false" outlineLevel="0" collapsed="false">
      <c r="A555" s="2" t="s">
        <v>77</v>
      </c>
      <c r="B555" s="2" t="s">
        <v>78</v>
      </c>
      <c r="C555" s="2" t="s">
        <v>49</v>
      </c>
      <c r="D555" s="3" t="n">
        <v>46261</v>
      </c>
      <c r="E555" s="2" t="str">
        <f aca="false">TEXT(D555,"dddd")</f>
        <v>Thursday</v>
      </c>
      <c r="F555" s="2" t="s">
        <v>466</v>
      </c>
      <c r="G555" s="2" t="s">
        <v>458</v>
      </c>
      <c r="H555" s="2" t="s">
        <v>467</v>
      </c>
      <c r="I555" s="2" t="n">
        <f aca="false">IF(F555="Present",9,IF(F555="Half Day",4,0))</f>
        <v>4</v>
      </c>
      <c r="J555" s="2"/>
      <c r="K555" s="2" t="s">
        <v>466</v>
      </c>
    </row>
    <row r="556" customFormat="false" ht="15" hidden="false" customHeight="false" outlineLevel="0" collapsed="false">
      <c r="A556" s="2" t="s">
        <v>77</v>
      </c>
      <c r="B556" s="2" t="s">
        <v>78</v>
      </c>
      <c r="C556" s="2" t="s">
        <v>49</v>
      </c>
      <c r="D556" s="3" t="n">
        <v>46262</v>
      </c>
      <c r="E556" s="2" t="str">
        <f aca="false">TEXT(D556,"dddd")</f>
        <v>Friday</v>
      </c>
      <c r="F556" s="2" t="s">
        <v>457</v>
      </c>
      <c r="G556" s="2" t="s">
        <v>458</v>
      </c>
      <c r="H556" s="2" t="s">
        <v>459</v>
      </c>
      <c r="I556" s="2" t="n">
        <f aca="false">IF(F556="Present",9,IF(F556="Half Day",4,0))</f>
        <v>9</v>
      </c>
      <c r="J556" s="2"/>
      <c r="K556" s="2"/>
    </row>
    <row r="557" customFormat="false" ht="15" hidden="false" customHeight="false" outlineLevel="0" collapsed="false">
      <c r="A557" s="2" t="s">
        <v>77</v>
      </c>
      <c r="B557" s="2" t="s">
        <v>78</v>
      </c>
      <c r="C557" s="2" t="s">
        <v>49</v>
      </c>
      <c r="D557" s="3" t="n">
        <v>46263</v>
      </c>
      <c r="E557" s="2" t="str">
        <f aca="false">TEXT(D557,"dddd")</f>
        <v>Saturday</v>
      </c>
      <c r="F557" s="2" t="s">
        <v>457</v>
      </c>
      <c r="G557" s="2" t="s">
        <v>458</v>
      </c>
      <c r="H557" s="2" t="s">
        <v>459</v>
      </c>
      <c r="I557" s="2" t="n">
        <f aca="false">IF(F557="Present",9,IF(F557="Half Day",4,0))</f>
        <v>9</v>
      </c>
      <c r="J557" s="2"/>
      <c r="K557" s="2"/>
    </row>
    <row r="558" customFormat="false" ht="15" hidden="false" customHeight="false" outlineLevel="0" collapsed="false">
      <c r="A558" s="2" t="s">
        <v>77</v>
      </c>
      <c r="B558" s="2" t="s">
        <v>78</v>
      </c>
      <c r="C558" s="2" t="s">
        <v>49</v>
      </c>
      <c r="D558" s="3" t="n">
        <v>46264</v>
      </c>
      <c r="E558" s="2" t="str">
        <f aca="false">TEXT(D558,"dddd")</f>
        <v>Sunday</v>
      </c>
      <c r="F558" s="2" t="s">
        <v>460</v>
      </c>
      <c r="G558" s="2"/>
      <c r="H558" s="2"/>
      <c r="I558" s="2" t="n">
        <f aca="false">IF(F558="Present",9,IF(F558="Half Day",4,0))</f>
        <v>0</v>
      </c>
      <c r="J558" s="2"/>
      <c r="K558" s="2" t="s">
        <v>460</v>
      </c>
    </row>
    <row r="559" customFormat="false" ht="15" hidden="false" customHeight="false" outlineLevel="0" collapsed="false">
      <c r="A559" s="2" t="s">
        <v>77</v>
      </c>
      <c r="B559" s="2" t="s">
        <v>78</v>
      </c>
      <c r="C559" s="2" t="s">
        <v>49</v>
      </c>
      <c r="D559" s="3" t="n">
        <v>46265</v>
      </c>
      <c r="E559" s="2" t="str">
        <f aca="false">TEXT(D559,"dddd")</f>
        <v>Monday</v>
      </c>
      <c r="F559" s="2" t="s">
        <v>457</v>
      </c>
      <c r="G559" s="2" t="s">
        <v>458</v>
      </c>
      <c r="H559" s="2" t="s">
        <v>459</v>
      </c>
      <c r="I559" s="2" t="n">
        <f aca="false">IF(F559="Present",9,IF(F559="Half Day",4,0))</f>
        <v>9</v>
      </c>
      <c r="J559" s="2"/>
      <c r="K559" s="2"/>
    </row>
    <row r="560" customFormat="false" ht="15" hidden="false" customHeight="false" outlineLevel="0" collapsed="false">
      <c r="A560" s="2" t="s">
        <v>79</v>
      </c>
      <c r="B560" s="2" t="s">
        <v>80</v>
      </c>
      <c r="C560" s="2" t="s">
        <v>53</v>
      </c>
      <c r="D560" s="3" t="n">
        <v>46235</v>
      </c>
      <c r="E560" s="2" t="str">
        <f aca="false">TEXT(D560,"dddd")</f>
        <v>Saturday</v>
      </c>
      <c r="F560" s="2" t="s">
        <v>457</v>
      </c>
      <c r="G560" s="2" t="s">
        <v>458</v>
      </c>
      <c r="H560" s="2" t="s">
        <v>459</v>
      </c>
      <c r="I560" s="2" t="n">
        <f aca="false">IF(F560="Present",9,IF(F560="Half Day",4,0))</f>
        <v>9</v>
      </c>
      <c r="J560" s="2"/>
      <c r="K560" s="2"/>
    </row>
    <row r="561" customFormat="false" ht="15" hidden="false" customHeight="false" outlineLevel="0" collapsed="false">
      <c r="A561" s="2" t="s">
        <v>79</v>
      </c>
      <c r="B561" s="2" t="s">
        <v>80</v>
      </c>
      <c r="C561" s="2" t="s">
        <v>53</v>
      </c>
      <c r="D561" s="3" t="n">
        <v>46236</v>
      </c>
      <c r="E561" s="2" t="str">
        <f aca="false">TEXT(D561,"dddd")</f>
        <v>Sunday</v>
      </c>
      <c r="F561" s="2" t="s">
        <v>460</v>
      </c>
      <c r="G561" s="2"/>
      <c r="H561" s="2"/>
      <c r="I561" s="2" t="n">
        <f aca="false">IF(F561="Present",9,IF(F561="Half Day",4,0))</f>
        <v>0</v>
      </c>
      <c r="J561" s="2"/>
      <c r="K561" s="2" t="s">
        <v>460</v>
      </c>
    </row>
    <row r="562" customFormat="false" ht="15" hidden="false" customHeight="false" outlineLevel="0" collapsed="false">
      <c r="A562" s="2" t="s">
        <v>79</v>
      </c>
      <c r="B562" s="2" t="s">
        <v>80</v>
      </c>
      <c r="C562" s="2" t="s">
        <v>53</v>
      </c>
      <c r="D562" s="3" t="n">
        <v>46237</v>
      </c>
      <c r="E562" s="2" t="str">
        <f aca="false">TEXT(D562,"dddd")</f>
        <v>Monday</v>
      </c>
      <c r="F562" s="2" t="s">
        <v>457</v>
      </c>
      <c r="G562" s="2" t="s">
        <v>458</v>
      </c>
      <c r="H562" s="2" t="s">
        <v>459</v>
      </c>
      <c r="I562" s="2" t="n">
        <f aca="false">IF(F562="Present",9,IF(F562="Half Day",4,0))</f>
        <v>9</v>
      </c>
      <c r="J562" s="2"/>
      <c r="K562" s="2"/>
    </row>
    <row r="563" customFormat="false" ht="15" hidden="false" customHeight="false" outlineLevel="0" collapsed="false">
      <c r="A563" s="2" t="s">
        <v>79</v>
      </c>
      <c r="B563" s="2" t="s">
        <v>80</v>
      </c>
      <c r="C563" s="2" t="s">
        <v>53</v>
      </c>
      <c r="D563" s="3" t="n">
        <v>46238</v>
      </c>
      <c r="E563" s="2" t="str">
        <f aca="false">TEXT(D563,"dddd")</f>
        <v>Tuesday</v>
      </c>
      <c r="F563" s="2" t="s">
        <v>457</v>
      </c>
      <c r="G563" s="2" t="s">
        <v>458</v>
      </c>
      <c r="H563" s="2" t="s">
        <v>459</v>
      </c>
      <c r="I563" s="2" t="n">
        <f aca="false">IF(F563="Present",9,IF(F563="Half Day",4,0))</f>
        <v>9</v>
      </c>
      <c r="J563" s="2"/>
      <c r="K563" s="2"/>
    </row>
    <row r="564" customFormat="false" ht="15" hidden="false" customHeight="false" outlineLevel="0" collapsed="false">
      <c r="A564" s="2" t="s">
        <v>79</v>
      </c>
      <c r="B564" s="2" t="s">
        <v>80</v>
      </c>
      <c r="C564" s="2" t="s">
        <v>53</v>
      </c>
      <c r="D564" s="3" t="n">
        <v>46239</v>
      </c>
      <c r="E564" s="2" t="str">
        <f aca="false">TEXT(D564,"dddd")</f>
        <v>Wednesday</v>
      </c>
      <c r="F564" s="2" t="s">
        <v>457</v>
      </c>
      <c r="G564" s="2" t="s">
        <v>458</v>
      </c>
      <c r="H564" s="2" t="s">
        <v>459</v>
      </c>
      <c r="I564" s="2" t="n">
        <f aca="false">IF(F564="Present",9,IF(F564="Half Day",4,0))</f>
        <v>9</v>
      </c>
      <c r="J564" s="2"/>
      <c r="K564" s="2"/>
    </row>
    <row r="565" customFormat="false" ht="15" hidden="false" customHeight="false" outlineLevel="0" collapsed="false">
      <c r="A565" s="2" t="s">
        <v>79</v>
      </c>
      <c r="B565" s="2" t="s">
        <v>80</v>
      </c>
      <c r="C565" s="2" t="s">
        <v>53</v>
      </c>
      <c r="D565" s="3" t="n">
        <v>46240</v>
      </c>
      <c r="E565" s="2" t="str">
        <f aca="false">TEXT(D565,"dddd")</f>
        <v>Thursday</v>
      </c>
      <c r="F565" s="2" t="s">
        <v>457</v>
      </c>
      <c r="G565" s="2" t="s">
        <v>458</v>
      </c>
      <c r="H565" s="2" t="s">
        <v>459</v>
      </c>
      <c r="I565" s="2" t="n">
        <f aca="false">IF(F565="Present",9,IF(F565="Half Day",4,0))</f>
        <v>9</v>
      </c>
      <c r="J565" s="2"/>
      <c r="K565" s="2"/>
    </row>
    <row r="566" customFormat="false" ht="15" hidden="false" customHeight="false" outlineLevel="0" collapsed="false">
      <c r="A566" s="2" t="s">
        <v>79</v>
      </c>
      <c r="B566" s="2" t="s">
        <v>80</v>
      </c>
      <c r="C566" s="2" t="s">
        <v>53</v>
      </c>
      <c r="D566" s="3" t="n">
        <v>46241</v>
      </c>
      <c r="E566" s="2" t="str">
        <f aca="false">TEXT(D566,"dddd")</f>
        <v>Friday</v>
      </c>
      <c r="F566" s="2" t="s">
        <v>461</v>
      </c>
      <c r="G566" s="2"/>
      <c r="H566" s="2"/>
      <c r="I566" s="2" t="n">
        <f aca="false">IF(F566="Present",9,IF(F566="Half Day",4,0))</f>
        <v>0</v>
      </c>
      <c r="J566" s="2"/>
      <c r="K566" s="2" t="s">
        <v>462</v>
      </c>
    </row>
    <row r="567" customFormat="false" ht="15" hidden="false" customHeight="false" outlineLevel="0" collapsed="false">
      <c r="A567" s="2" t="s">
        <v>79</v>
      </c>
      <c r="B567" s="2" t="s">
        <v>80</v>
      </c>
      <c r="C567" s="2" t="s">
        <v>53</v>
      </c>
      <c r="D567" s="3" t="n">
        <v>46242</v>
      </c>
      <c r="E567" s="2" t="str">
        <f aca="false">TEXT(D567,"dddd")</f>
        <v>Saturday</v>
      </c>
      <c r="F567" s="2" t="s">
        <v>457</v>
      </c>
      <c r="G567" s="2" t="s">
        <v>458</v>
      </c>
      <c r="H567" s="2" t="s">
        <v>459</v>
      </c>
      <c r="I567" s="2" t="n">
        <f aca="false">IF(F567="Present",9,IF(F567="Half Day",4,0))</f>
        <v>9</v>
      </c>
      <c r="J567" s="2"/>
      <c r="K567" s="2"/>
    </row>
    <row r="568" customFormat="false" ht="15" hidden="false" customHeight="false" outlineLevel="0" collapsed="false">
      <c r="A568" s="2" t="s">
        <v>79</v>
      </c>
      <c r="B568" s="2" t="s">
        <v>80</v>
      </c>
      <c r="C568" s="2" t="s">
        <v>53</v>
      </c>
      <c r="D568" s="3" t="n">
        <v>46243</v>
      </c>
      <c r="E568" s="2" t="str">
        <f aca="false">TEXT(D568,"dddd")</f>
        <v>Sunday</v>
      </c>
      <c r="F568" s="2" t="s">
        <v>460</v>
      </c>
      <c r="G568" s="2"/>
      <c r="H568" s="2"/>
      <c r="I568" s="2" t="n">
        <f aca="false">IF(F568="Present",9,IF(F568="Half Day",4,0))</f>
        <v>0</v>
      </c>
      <c r="J568" s="2"/>
      <c r="K568" s="2" t="s">
        <v>460</v>
      </c>
    </row>
    <row r="569" customFormat="false" ht="15" hidden="false" customHeight="false" outlineLevel="0" collapsed="false">
      <c r="A569" s="2" t="s">
        <v>79</v>
      </c>
      <c r="B569" s="2" t="s">
        <v>80</v>
      </c>
      <c r="C569" s="2" t="s">
        <v>53</v>
      </c>
      <c r="D569" s="3" t="n">
        <v>46244</v>
      </c>
      <c r="E569" s="2" t="str">
        <f aca="false">TEXT(D569,"dddd")</f>
        <v>Monday</v>
      </c>
      <c r="F569" s="2" t="s">
        <v>457</v>
      </c>
      <c r="G569" s="2" t="s">
        <v>458</v>
      </c>
      <c r="H569" s="2" t="s">
        <v>459</v>
      </c>
      <c r="I569" s="2" t="n">
        <f aca="false">IF(F569="Present",9,IF(F569="Half Day",4,0))</f>
        <v>9</v>
      </c>
      <c r="J569" s="2"/>
      <c r="K569" s="2"/>
    </row>
    <row r="570" customFormat="false" ht="15" hidden="false" customHeight="false" outlineLevel="0" collapsed="false">
      <c r="A570" s="2" t="s">
        <v>79</v>
      </c>
      <c r="B570" s="2" t="s">
        <v>80</v>
      </c>
      <c r="C570" s="2" t="s">
        <v>53</v>
      </c>
      <c r="D570" s="3" t="n">
        <v>46245</v>
      </c>
      <c r="E570" s="2" t="str">
        <f aca="false">TEXT(D570,"dddd")</f>
        <v>Tuesday</v>
      </c>
      <c r="F570" s="2" t="s">
        <v>457</v>
      </c>
      <c r="G570" s="2" t="s">
        <v>458</v>
      </c>
      <c r="H570" s="2" t="s">
        <v>459</v>
      </c>
      <c r="I570" s="2" t="n">
        <f aca="false">IF(F570="Present",9,IF(F570="Half Day",4,0))</f>
        <v>9</v>
      </c>
      <c r="J570" s="2"/>
      <c r="K570" s="2"/>
    </row>
    <row r="571" customFormat="false" ht="15" hidden="false" customHeight="false" outlineLevel="0" collapsed="false">
      <c r="A571" s="2" t="s">
        <v>79</v>
      </c>
      <c r="B571" s="2" t="s">
        <v>80</v>
      </c>
      <c r="C571" s="2" t="s">
        <v>53</v>
      </c>
      <c r="D571" s="3" t="n">
        <v>46246</v>
      </c>
      <c r="E571" s="2" t="str">
        <f aca="false">TEXT(D571,"dddd")</f>
        <v>Wednesday</v>
      </c>
      <c r="F571" s="2" t="s">
        <v>457</v>
      </c>
      <c r="G571" s="2" t="s">
        <v>458</v>
      </c>
      <c r="H571" s="2" t="s">
        <v>459</v>
      </c>
      <c r="I571" s="2" t="n">
        <f aca="false">IF(F571="Present",9,IF(F571="Half Day",4,0))</f>
        <v>9</v>
      </c>
      <c r="J571" s="2"/>
      <c r="K571" s="2"/>
    </row>
    <row r="572" customFormat="false" ht="15" hidden="false" customHeight="false" outlineLevel="0" collapsed="false">
      <c r="A572" s="2" t="s">
        <v>79</v>
      </c>
      <c r="B572" s="2" t="s">
        <v>80</v>
      </c>
      <c r="C572" s="2" t="s">
        <v>53</v>
      </c>
      <c r="D572" s="3" t="n">
        <v>46247</v>
      </c>
      <c r="E572" s="2" t="str">
        <f aca="false">TEXT(D572,"dddd")</f>
        <v>Thursday</v>
      </c>
      <c r="F572" s="2" t="s">
        <v>457</v>
      </c>
      <c r="G572" s="2" t="s">
        <v>458</v>
      </c>
      <c r="H572" s="2" t="s">
        <v>459</v>
      </c>
      <c r="I572" s="2" t="n">
        <f aca="false">IF(F572="Present",9,IF(F572="Half Day",4,0))</f>
        <v>9</v>
      </c>
      <c r="J572" s="2"/>
      <c r="K572" s="2"/>
    </row>
    <row r="573" customFormat="false" ht="15" hidden="false" customHeight="false" outlineLevel="0" collapsed="false">
      <c r="A573" s="2" t="s">
        <v>79</v>
      </c>
      <c r="B573" s="2" t="s">
        <v>80</v>
      </c>
      <c r="C573" s="2" t="s">
        <v>53</v>
      </c>
      <c r="D573" s="3" t="n">
        <v>46248</v>
      </c>
      <c r="E573" s="2" t="str">
        <f aca="false">TEXT(D573,"dddd")</f>
        <v>Friday</v>
      </c>
      <c r="F573" s="2" t="s">
        <v>457</v>
      </c>
      <c r="G573" s="2" t="s">
        <v>458</v>
      </c>
      <c r="H573" s="2" t="s">
        <v>459</v>
      </c>
      <c r="I573" s="2" t="n">
        <f aca="false">IF(F573="Present",9,IF(F573="Half Day",4,0))</f>
        <v>9</v>
      </c>
      <c r="J573" s="2"/>
      <c r="K573" s="2"/>
    </row>
    <row r="574" customFormat="false" ht="15" hidden="false" customHeight="false" outlineLevel="0" collapsed="false">
      <c r="A574" s="2" t="s">
        <v>79</v>
      </c>
      <c r="B574" s="2" t="s">
        <v>80</v>
      </c>
      <c r="C574" s="2" t="s">
        <v>53</v>
      </c>
      <c r="D574" s="3" t="n">
        <v>46249</v>
      </c>
      <c r="E574" s="2" t="str">
        <f aca="false">TEXT(D574,"dddd")</f>
        <v>Saturday</v>
      </c>
      <c r="F574" s="2" t="s">
        <v>457</v>
      </c>
      <c r="G574" s="2" t="s">
        <v>458</v>
      </c>
      <c r="H574" s="2" t="s">
        <v>459</v>
      </c>
      <c r="I574" s="2" t="n">
        <f aca="false">IF(F574="Present",9,IF(F574="Half Day",4,0))</f>
        <v>9</v>
      </c>
      <c r="J574" s="2"/>
      <c r="K574" s="2"/>
    </row>
    <row r="575" customFormat="false" ht="15" hidden="false" customHeight="false" outlineLevel="0" collapsed="false">
      <c r="A575" s="2" t="s">
        <v>79</v>
      </c>
      <c r="B575" s="2" t="s">
        <v>80</v>
      </c>
      <c r="C575" s="2" t="s">
        <v>53</v>
      </c>
      <c r="D575" s="3" t="n">
        <v>46250</v>
      </c>
      <c r="E575" s="2" t="str">
        <f aca="false">TEXT(D575,"dddd")</f>
        <v>Sunday</v>
      </c>
      <c r="F575" s="2" t="s">
        <v>460</v>
      </c>
      <c r="G575" s="2"/>
      <c r="H575" s="2"/>
      <c r="I575" s="2" t="n">
        <f aca="false">IF(F575="Present",9,IF(F575="Half Day",4,0))</f>
        <v>0</v>
      </c>
      <c r="J575" s="2"/>
      <c r="K575" s="2" t="s">
        <v>460</v>
      </c>
    </row>
    <row r="576" customFormat="false" ht="15" hidden="false" customHeight="false" outlineLevel="0" collapsed="false">
      <c r="A576" s="2" t="s">
        <v>79</v>
      </c>
      <c r="B576" s="2" t="s">
        <v>80</v>
      </c>
      <c r="C576" s="2" t="s">
        <v>53</v>
      </c>
      <c r="D576" s="3" t="n">
        <v>46251</v>
      </c>
      <c r="E576" s="2" t="str">
        <f aca="false">TEXT(D576,"dddd")</f>
        <v>Monday</v>
      </c>
      <c r="F576" s="2" t="s">
        <v>457</v>
      </c>
      <c r="G576" s="2" t="s">
        <v>458</v>
      </c>
      <c r="H576" s="2" t="s">
        <v>459</v>
      </c>
      <c r="I576" s="2" t="n">
        <f aca="false">IF(F576="Present",9,IF(F576="Half Day",4,0))</f>
        <v>9</v>
      </c>
      <c r="J576" s="2"/>
      <c r="K576" s="2"/>
    </row>
    <row r="577" customFormat="false" ht="15" hidden="false" customHeight="false" outlineLevel="0" collapsed="false">
      <c r="A577" s="2" t="s">
        <v>79</v>
      </c>
      <c r="B577" s="2" t="s">
        <v>80</v>
      </c>
      <c r="C577" s="2" t="s">
        <v>53</v>
      </c>
      <c r="D577" s="3" t="n">
        <v>46252</v>
      </c>
      <c r="E577" s="2" t="str">
        <f aca="false">TEXT(D577,"dddd")</f>
        <v>Tuesday</v>
      </c>
      <c r="F577" s="2" t="s">
        <v>457</v>
      </c>
      <c r="G577" s="2" t="s">
        <v>458</v>
      </c>
      <c r="H577" s="2" t="s">
        <v>459</v>
      </c>
      <c r="I577" s="2" t="n">
        <f aca="false">IF(F577="Present",9,IF(F577="Half Day",4,0))</f>
        <v>9</v>
      </c>
      <c r="J577" s="2"/>
      <c r="K577" s="2"/>
    </row>
    <row r="578" customFormat="false" ht="15" hidden="false" customHeight="false" outlineLevel="0" collapsed="false">
      <c r="A578" s="2" t="s">
        <v>79</v>
      </c>
      <c r="B578" s="2" t="s">
        <v>80</v>
      </c>
      <c r="C578" s="2" t="s">
        <v>53</v>
      </c>
      <c r="D578" s="3" t="n">
        <v>46253</v>
      </c>
      <c r="E578" s="2" t="str">
        <f aca="false">TEXT(D578,"dddd")</f>
        <v>Wednesday</v>
      </c>
      <c r="F578" s="2" t="s">
        <v>457</v>
      </c>
      <c r="G578" s="2" t="s">
        <v>458</v>
      </c>
      <c r="H578" s="2" t="s">
        <v>459</v>
      </c>
      <c r="I578" s="2" t="n">
        <f aca="false">IF(F578="Present",9,IF(F578="Half Day",4,0))</f>
        <v>9</v>
      </c>
      <c r="J578" s="2"/>
      <c r="K578" s="2"/>
    </row>
    <row r="579" customFormat="false" ht="15" hidden="false" customHeight="false" outlineLevel="0" collapsed="false">
      <c r="A579" s="2" t="s">
        <v>79</v>
      </c>
      <c r="B579" s="2" t="s">
        <v>80</v>
      </c>
      <c r="C579" s="2" t="s">
        <v>53</v>
      </c>
      <c r="D579" s="3" t="n">
        <v>46254</v>
      </c>
      <c r="E579" s="2" t="str">
        <f aca="false">TEXT(D579,"dddd")</f>
        <v>Thursday</v>
      </c>
      <c r="F579" s="2" t="s">
        <v>461</v>
      </c>
      <c r="G579" s="2"/>
      <c r="H579" s="2"/>
      <c r="I579" s="2" t="n">
        <f aca="false">IF(F579="Present",9,IF(F579="Half Day",4,0))</f>
        <v>0</v>
      </c>
      <c r="J579" s="2"/>
      <c r="K579" s="2" t="s">
        <v>462</v>
      </c>
    </row>
    <row r="580" customFormat="false" ht="15" hidden="false" customHeight="false" outlineLevel="0" collapsed="false">
      <c r="A580" s="2" t="s">
        <v>79</v>
      </c>
      <c r="B580" s="2" t="s">
        <v>80</v>
      </c>
      <c r="C580" s="2" t="s">
        <v>53</v>
      </c>
      <c r="D580" s="3" t="n">
        <v>46255</v>
      </c>
      <c r="E580" s="2" t="str">
        <f aca="false">TEXT(D580,"dddd")</f>
        <v>Friday</v>
      </c>
      <c r="F580" s="2" t="s">
        <v>457</v>
      </c>
      <c r="G580" s="2" t="s">
        <v>458</v>
      </c>
      <c r="H580" s="2" t="s">
        <v>459</v>
      </c>
      <c r="I580" s="2" t="n">
        <f aca="false">IF(F580="Present",9,IF(F580="Half Day",4,0))</f>
        <v>9</v>
      </c>
      <c r="J580" s="2"/>
      <c r="K580" s="2"/>
    </row>
    <row r="581" customFormat="false" ht="15" hidden="false" customHeight="false" outlineLevel="0" collapsed="false">
      <c r="A581" s="2" t="s">
        <v>79</v>
      </c>
      <c r="B581" s="2" t="s">
        <v>80</v>
      </c>
      <c r="C581" s="2" t="s">
        <v>53</v>
      </c>
      <c r="D581" s="3" t="n">
        <v>46256</v>
      </c>
      <c r="E581" s="2" t="str">
        <f aca="false">TEXT(D581,"dddd")</f>
        <v>Saturday</v>
      </c>
      <c r="F581" s="2" t="s">
        <v>461</v>
      </c>
      <c r="G581" s="2"/>
      <c r="H581" s="2"/>
      <c r="I581" s="2" t="n">
        <f aca="false">IF(F581="Present",9,IF(F581="Half Day",4,0))</f>
        <v>0</v>
      </c>
      <c r="J581" s="2"/>
      <c r="K581" s="2" t="s">
        <v>462</v>
      </c>
    </row>
    <row r="582" customFormat="false" ht="15" hidden="false" customHeight="false" outlineLevel="0" collapsed="false">
      <c r="A582" s="2" t="s">
        <v>79</v>
      </c>
      <c r="B582" s="2" t="s">
        <v>80</v>
      </c>
      <c r="C582" s="2" t="s">
        <v>53</v>
      </c>
      <c r="D582" s="3" t="n">
        <v>46257</v>
      </c>
      <c r="E582" s="2" t="str">
        <f aca="false">TEXT(D582,"dddd")</f>
        <v>Sunday</v>
      </c>
      <c r="F582" s="2" t="s">
        <v>460</v>
      </c>
      <c r="G582" s="2"/>
      <c r="H582" s="2"/>
      <c r="I582" s="2" t="n">
        <f aca="false">IF(F582="Present",9,IF(F582="Half Day",4,0))</f>
        <v>0</v>
      </c>
      <c r="J582" s="2"/>
      <c r="K582" s="2" t="s">
        <v>460</v>
      </c>
    </row>
    <row r="583" customFormat="false" ht="15" hidden="false" customHeight="false" outlineLevel="0" collapsed="false">
      <c r="A583" s="2" t="s">
        <v>79</v>
      </c>
      <c r="B583" s="2" t="s">
        <v>80</v>
      </c>
      <c r="C583" s="2" t="s">
        <v>53</v>
      </c>
      <c r="D583" s="3" t="n">
        <v>46258</v>
      </c>
      <c r="E583" s="2" t="str">
        <f aca="false">TEXT(D583,"dddd")</f>
        <v>Monday</v>
      </c>
      <c r="F583" s="2" t="s">
        <v>457</v>
      </c>
      <c r="G583" s="2" t="s">
        <v>458</v>
      </c>
      <c r="H583" s="2" t="s">
        <v>459</v>
      </c>
      <c r="I583" s="2" t="n">
        <f aca="false">IF(F583="Present",9,IF(F583="Half Day",4,0))</f>
        <v>9</v>
      </c>
      <c r="J583" s="2"/>
      <c r="K583" s="2"/>
    </row>
    <row r="584" customFormat="false" ht="15" hidden="false" customHeight="false" outlineLevel="0" collapsed="false">
      <c r="A584" s="2" t="s">
        <v>79</v>
      </c>
      <c r="B584" s="2" t="s">
        <v>80</v>
      </c>
      <c r="C584" s="2" t="s">
        <v>53</v>
      </c>
      <c r="D584" s="3" t="n">
        <v>46259</v>
      </c>
      <c r="E584" s="2" t="str">
        <f aca="false">TEXT(D584,"dddd")</f>
        <v>Tuesday</v>
      </c>
      <c r="F584" s="2" t="s">
        <v>457</v>
      </c>
      <c r="G584" s="2" t="s">
        <v>458</v>
      </c>
      <c r="H584" s="2" t="s">
        <v>459</v>
      </c>
      <c r="I584" s="2" t="n">
        <f aca="false">IF(F584="Present",9,IF(F584="Half Day",4,0))</f>
        <v>9</v>
      </c>
      <c r="J584" s="2"/>
      <c r="K584" s="2"/>
    </row>
    <row r="585" customFormat="false" ht="15" hidden="false" customHeight="false" outlineLevel="0" collapsed="false">
      <c r="A585" s="2" t="s">
        <v>79</v>
      </c>
      <c r="B585" s="2" t="s">
        <v>80</v>
      </c>
      <c r="C585" s="2" t="s">
        <v>53</v>
      </c>
      <c r="D585" s="3" t="n">
        <v>46260</v>
      </c>
      <c r="E585" s="2" t="str">
        <f aca="false">TEXT(D585,"dddd")</f>
        <v>Wednesday</v>
      </c>
      <c r="F585" s="2" t="s">
        <v>457</v>
      </c>
      <c r="G585" s="2" t="s">
        <v>458</v>
      </c>
      <c r="H585" s="2" t="s">
        <v>459</v>
      </c>
      <c r="I585" s="2" t="n">
        <f aca="false">IF(F585="Present",9,IF(F585="Half Day",4,0))</f>
        <v>9</v>
      </c>
      <c r="J585" s="2"/>
      <c r="K585" s="2"/>
    </row>
    <row r="586" customFormat="false" ht="15" hidden="false" customHeight="false" outlineLevel="0" collapsed="false">
      <c r="A586" s="2" t="s">
        <v>79</v>
      </c>
      <c r="B586" s="2" t="s">
        <v>80</v>
      </c>
      <c r="C586" s="2" t="s">
        <v>53</v>
      </c>
      <c r="D586" s="3" t="n">
        <v>46261</v>
      </c>
      <c r="E586" s="2" t="str">
        <f aca="false">TEXT(D586,"dddd")</f>
        <v>Thursday</v>
      </c>
      <c r="F586" s="2" t="s">
        <v>457</v>
      </c>
      <c r="G586" s="2" t="s">
        <v>458</v>
      </c>
      <c r="H586" s="2" t="s">
        <v>459</v>
      </c>
      <c r="I586" s="2" t="n">
        <f aca="false">IF(F586="Present",9,IF(F586="Half Day",4,0))</f>
        <v>9</v>
      </c>
      <c r="J586" s="2"/>
      <c r="K586" s="2"/>
    </row>
    <row r="587" customFormat="false" ht="15" hidden="false" customHeight="false" outlineLevel="0" collapsed="false">
      <c r="A587" s="2" t="s">
        <v>79</v>
      </c>
      <c r="B587" s="2" t="s">
        <v>80</v>
      </c>
      <c r="C587" s="2" t="s">
        <v>53</v>
      </c>
      <c r="D587" s="3" t="n">
        <v>46262</v>
      </c>
      <c r="E587" s="2" t="str">
        <f aca="false">TEXT(D587,"dddd")</f>
        <v>Friday</v>
      </c>
      <c r="F587" s="2" t="s">
        <v>457</v>
      </c>
      <c r="G587" s="2" t="s">
        <v>458</v>
      </c>
      <c r="H587" s="2" t="s">
        <v>459</v>
      </c>
      <c r="I587" s="2" t="n">
        <f aca="false">IF(F587="Present",9,IF(F587="Half Day",4,0))</f>
        <v>9</v>
      </c>
      <c r="J587" s="2"/>
      <c r="K587" s="2"/>
    </row>
    <row r="588" customFormat="false" ht="15" hidden="false" customHeight="false" outlineLevel="0" collapsed="false">
      <c r="A588" s="2" t="s">
        <v>79</v>
      </c>
      <c r="B588" s="2" t="s">
        <v>80</v>
      </c>
      <c r="C588" s="2" t="s">
        <v>53</v>
      </c>
      <c r="D588" s="3" t="n">
        <v>46263</v>
      </c>
      <c r="E588" s="2" t="str">
        <f aca="false">TEXT(D588,"dddd")</f>
        <v>Saturday</v>
      </c>
      <c r="F588" s="2" t="s">
        <v>457</v>
      </c>
      <c r="G588" s="2" t="s">
        <v>458</v>
      </c>
      <c r="H588" s="2" t="s">
        <v>459</v>
      </c>
      <c r="I588" s="2" t="n">
        <f aca="false">IF(F588="Present",9,IF(F588="Half Day",4,0))</f>
        <v>9</v>
      </c>
      <c r="J588" s="2"/>
      <c r="K588" s="2"/>
    </row>
    <row r="589" customFormat="false" ht="15" hidden="false" customHeight="false" outlineLevel="0" collapsed="false">
      <c r="A589" s="2" t="s">
        <v>79</v>
      </c>
      <c r="B589" s="2" t="s">
        <v>80</v>
      </c>
      <c r="C589" s="2" t="s">
        <v>53</v>
      </c>
      <c r="D589" s="3" t="n">
        <v>46264</v>
      </c>
      <c r="E589" s="2" t="str">
        <f aca="false">TEXT(D589,"dddd")</f>
        <v>Sunday</v>
      </c>
      <c r="F589" s="2" t="s">
        <v>460</v>
      </c>
      <c r="G589" s="2"/>
      <c r="H589" s="2"/>
      <c r="I589" s="2" t="n">
        <f aca="false">IF(F589="Present",9,IF(F589="Half Day",4,0))</f>
        <v>0</v>
      </c>
      <c r="J589" s="2"/>
      <c r="K589" s="2" t="s">
        <v>460</v>
      </c>
    </row>
    <row r="590" customFormat="false" ht="15" hidden="false" customHeight="false" outlineLevel="0" collapsed="false">
      <c r="A590" s="2" t="s">
        <v>79</v>
      </c>
      <c r="B590" s="2" t="s">
        <v>80</v>
      </c>
      <c r="C590" s="2" t="s">
        <v>53</v>
      </c>
      <c r="D590" s="3" t="n">
        <v>46265</v>
      </c>
      <c r="E590" s="2" t="str">
        <f aca="false">TEXT(D590,"dddd")</f>
        <v>Monday</v>
      </c>
      <c r="F590" s="2" t="s">
        <v>457</v>
      </c>
      <c r="G590" s="2" t="s">
        <v>458</v>
      </c>
      <c r="H590" s="2" t="s">
        <v>459</v>
      </c>
      <c r="I590" s="2" t="n">
        <f aca="false">IF(F590="Present",9,IF(F590="Half Day",4,0))</f>
        <v>9</v>
      </c>
      <c r="J590" s="2"/>
      <c r="K590" s="2"/>
    </row>
    <row r="591" customFormat="false" ht="15" hidden="false" customHeight="false" outlineLevel="0" collapsed="false">
      <c r="A591" s="2" t="s">
        <v>81</v>
      </c>
      <c r="B591" s="2" t="s">
        <v>82</v>
      </c>
      <c r="C591" s="2" t="s">
        <v>57</v>
      </c>
      <c r="D591" s="3" t="n">
        <v>46235</v>
      </c>
      <c r="E591" s="2" t="str">
        <f aca="false">TEXT(D591,"dddd")</f>
        <v>Saturday</v>
      </c>
      <c r="F591" s="2" t="s">
        <v>457</v>
      </c>
      <c r="G591" s="2" t="s">
        <v>458</v>
      </c>
      <c r="H591" s="2" t="s">
        <v>459</v>
      </c>
      <c r="I591" s="2" t="n">
        <f aca="false">IF(F591="Present",9,IF(F591="Half Day",4,0))</f>
        <v>9</v>
      </c>
      <c r="J591" s="2"/>
      <c r="K591" s="2"/>
    </row>
    <row r="592" customFormat="false" ht="15" hidden="false" customHeight="false" outlineLevel="0" collapsed="false">
      <c r="A592" s="2" t="s">
        <v>81</v>
      </c>
      <c r="B592" s="2" t="s">
        <v>82</v>
      </c>
      <c r="C592" s="2" t="s">
        <v>57</v>
      </c>
      <c r="D592" s="3" t="n">
        <v>46236</v>
      </c>
      <c r="E592" s="2" t="str">
        <f aca="false">TEXT(D592,"dddd")</f>
        <v>Sunday</v>
      </c>
      <c r="F592" s="2" t="s">
        <v>460</v>
      </c>
      <c r="G592" s="2"/>
      <c r="H592" s="2"/>
      <c r="I592" s="2" t="n">
        <f aca="false">IF(F592="Present",9,IF(F592="Half Day",4,0))</f>
        <v>0</v>
      </c>
      <c r="J592" s="2"/>
      <c r="K592" s="2" t="s">
        <v>460</v>
      </c>
    </row>
    <row r="593" customFormat="false" ht="15" hidden="false" customHeight="false" outlineLevel="0" collapsed="false">
      <c r="A593" s="2" t="s">
        <v>81</v>
      </c>
      <c r="B593" s="2" t="s">
        <v>82</v>
      </c>
      <c r="C593" s="2" t="s">
        <v>57</v>
      </c>
      <c r="D593" s="3" t="n">
        <v>46237</v>
      </c>
      <c r="E593" s="2" t="str">
        <f aca="false">TEXT(D593,"dddd")</f>
        <v>Monday</v>
      </c>
      <c r="F593" s="2" t="s">
        <v>457</v>
      </c>
      <c r="G593" s="2" t="s">
        <v>458</v>
      </c>
      <c r="H593" s="2" t="s">
        <v>459</v>
      </c>
      <c r="I593" s="2" t="n">
        <f aca="false">IF(F593="Present",9,IF(F593="Half Day",4,0))</f>
        <v>9</v>
      </c>
      <c r="J593" s="2"/>
      <c r="K593" s="2"/>
    </row>
    <row r="594" customFormat="false" ht="15" hidden="false" customHeight="false" outlineLevel="0" collapsed="false">
      <c r="A594" s="2" t="s">
        <v>81</v>
      </c>
      <c r="B594" s="2" t="s">
        <v>82</v>
      </c>
      <c r="C594" s="2" t="s">
        <v>57</v>
      </c>
      <c r="D594" s="3" t="n">
        <v>46238</v>
      </c>
      <c r="E594" s="2" t="str">
        <f aca="false">TEXT(D594,"dddd")</f>
        <v>Tuesday</v>
      </c>
      <c r="F594" s="2" t="s">
        <v>457</v>
      </c>
      <c r="G594" s="2" t="s">
        <v>458</v>
      </c>
      <c r="H594" s="2" t="s">
        <v>459</v>
      </c>
      <c r="I594" s="2" t="n">
        <f aca="false">IF(F594="Present",9,IF(F594="Half Day",4,0))</f>
        <v>9</v>
      </c>
      <c r="J594" s="2"/>
      <c r="K594" s="2"/>
    </row>
    <row r="595" customFormat="false" ht="15" hidden="false" customHeight="false" outlineLevel="0" collapsed="false">
      <c r="A595" s="2" t="s">
        <v>81</v>
      </c>
      <c r="B595" s="2" t="s">
        <v>82</v>
      </c>
      <c r="C595" s="2" t="s">
        <v>57</v>
      </c>
      <c r="D595" s="3" t="n">
        <v>46239</v>
      </c>
      <c r="E595" s="2" t="str">
        <f aca="false">TEXT(D595,"dddd")</f>
        <v>Wednesday</v>
      </c>
      <c r="F595" s="2" t="s">
        <v>461</v>
      </c>
      <c r="G595" s="2"/>
      <c r="H595" s="2"/>
      <c r="I595" s="2" t="n">
        <f aca="false">IF(F595="Present",9,IF(F595="Half Day",4,0))</f>
        <v>0</v>
      </c>
      <c r="J595" s="2"/>
      <c r="K595" s="2" t="s">
        <v>462</v>
      </c>
    </row>
    <row r="596" customFormat="false" ht="15" hidden="false" customHeight="false" outlineLevel="0" collapsed="false">
      <c r="A596" s="2" t="s">
        <v>81</v>
      </c>
      <c r="B596" s="2" t="s">
        <v>82</v>
      </c>
      <c r="C596" s="2" t="s">
        <v>57</v>
      </c>
      <c r="D596" s="3" t="n">
        <v>46240</v>
      </c>
      <c r="E596" s="2" t="str">
        <f aca="false">TEXT(D596,"dddd")</f>
        <v>Thursday</v>
      </c>
      <c r="F596" s="2" t="s">
        <v>466</v>
      </c>
      <c r="G596" s="2" t="s">
        <v>458</v>
      </c>
      <c r="H596" s="2" t="s">
        <v>467</v>
      </c>
      <c r="I596" s="2" t="n">
        <f aca="false">IF(F596="Present",9,IF(F596="Half Day",4,0))</f>
        <v>4</v>
      </c>
      <c r="J596" s="2"/>
      <c r="K596" s="2" t="s">
        <v>466</v>
      </c>
    </row>
    <row r="597" customFormat="false" ht="15" hidden="false" customHeight="false" outlineLevel="0" collapsed="false">
      <c r="A597" s="2" t="s">
        <v>81</v>
      </c>
      <c r="B597" s="2" t="s">
        <v>82</v>
      </c>
      <c r="C597" s="2" t="s">
        <v>57</v>
      </c>
      <c r="D597" s="3" t="n">
        <v>46241</v>
      </c>
      <c r="E597" s="2" t="str">
        <f aca="false">TEXT(D597,"dddd")</f>
        <v>Friday</v>
      </c>
      <c r="F597" s="2" t="s">
        <v>457</v>
      </c>
      <c r="G597" s="2" t="s">
        <v>458</v>
      </c>
      <c r="H597" s="2" t="s">
        <v>459</v>
      </c>
      <c r="I597" s="2" t="n">
        <f aca="false">IF(F597="Present",9,IF(F597="Half Day",4,0))</f>
        <v>9</v>
      </c>
      <c r="J597" s="2"/>
      <c r="K597" s="2"/>
    </row>
    <row r="598" customFormat="false" ht="15" hidden="false" customHeight="false" outlineLevel="0" collapsed="false">
      <c r="A598" s="2" t="s">
        <v>81</v>
      </c>
      <c r="B598" s="2" t="s">
        <v>82</v>
      </c>
      <c r="C598" s="2" t="s">
        <v>57</v>
      </c>
      <c r="D598" s="3" t="n">
        <v>46242</v>
      </c>
      <c r="E598" s="2" t="str">
        <f aca="false">TEXT(D598,"dddd")</f>
        <v>Saturday</v>
      </c>
      <c r="F598" s="2" t="s">
        <v>457</v>
      </c>
      <c r="G598" s="2" t="s">
        <v>458</v>
      </c>
      <c r="H598" s="2" t="s">
        <v>459</v>
      </c>
      <c r="I598" s="2" t="n">
        <f aca="false">IF(F598="Present",9,IF(F598="Half Day",4,0))</f>
        <v>9</v>
      </c>
      <c r="J598" s="2"/>
      <c r="K598" s="2"/>
    </row>
    <row r="599" customFormat="false" ht="15" hidden="false" customHeight="false" outlineLevel="0" collapsed="false">
      <c r="A599" s="2" t="s">
        <v>81</v>
      </c>
      <c r="B599" s="2" t="s">
        <v>82</v>
      </c>
      <c r="C599" s="2" t="s">
        <v>57</v>
      </c>
      <c r="D599" s="3" t="n">
        <v>46243</v>
      </c>
      <c r="E599" s="2" t="str">
        <f aca="false">TEXT(D599,"dddd")</f>
        <v>Sunday</v>
      </c>
      <c r="F599" s="2" t="s">
        <v>460</v>
      </c>
      <c r="G599" s="2"/>
      <c r="H599" s="2"/>
      <c r="I599" s="2" t="n">
        <f aca="false">IF(F599="Present",9,IF(F599="Half Day",4,0))</f>
        <v>0</v>
      </c>
      <c r="J599" s="2"/>
      <c r="K599" s="2" t="s">
        <v>460</v>
      </c>
    </row>
    <row r="600" customFormat="false" ht="15" hidden="false" customHeight="false" outlineLevel="0" collapsed="false">
      <c r="A600" s="2" t="s">
        <v>81</v>
      </c>
      <c r="B600" s="2" t="s">
        <v>82</v>
      </c>
      <c r="C600" s="2" t="s">
        <v>57</v>
      </c>
      <c r="D600" s="3" t="n">
        <v>46244</v>
      </c>
      <c r="E600" s="2" t="str">
        <f aca="false">TEXT(D600,"dddd")</f>
        <v>Monday</v>
      </c>
      <c r="F600" s="2" t="s">
        <v>457</v>
      </c>
      <c r="G600" s="2" t="s">
        <v>458</v>
      </c>
      <c r="H600" s="2" t="s">
        <v>459</v>
      </c>
      <c r="I600" s="2" t="n">
        <f aca="false">IF(F600="Present",9,IF(F600="Half Day",4,0))</f>
        <v>9</v>
      </c>
      <c r="J600" s="2"/>
      <c r="K600" s="2"/>
    </row>
    <row r="601" customFormat="false" ht="15" hidden="false" customHeight="false" outlineLevel="0" collapsed="false">
      <c r="A601" s="2" t="s">
        <v>81</v>
      </c>
      <c r="B601" s="2" t="s">
        <v>82</v>
      </c>
      <c r="C601" s="2" t="s">
        <v>57</v>
      </c>
      <c r="D601" s="3" t="n">
        <v>46245</v>
      </c>
      <c r="E601" s="2" t="str">
        <f aca="false">TEXT(D601,"dddd")</f>
        <v>Tuesday</v>
      </c>
      <c r="F601" s="2" t="s">
        <v>457</v>
      </c>
      <c r="G601" s="2" t="s">
        <v>458</v>
      </c>
      <c r="H601" s="2" t="s">
        <v>459</v>
      </c>
      <c r="I601" s="2" t="n">
        <f aca="false">IF(F601="Present",9,IF(F601="Half Day",4,0))</f>
        <v>9</v>
      </c>
      <c r="J601" s="2"/>
      <c r="K601" s="2"/>
    </row>
    <row r="602" customFormat="false" ht="15" hidden="false" customHeight="false" outlineLevel="0" collapsed="false">
      <c r="A602" s="2" t="s">
        <v>81</v>
      </c>
      <c r="B602" s="2" t="s">
        <v>82</v>
      </c>
      <c r="C602" s="2" t="s">
        <v>57</v>
      </c>
      <c r="D602" s="3" t="n">
        <v>46246</v>
      </c>
      <c r="E602" s="2" t="str">
        <f aca="false">TEXT(D602,"dddd")</f>
        <v>Wednesday</v>
      </c>
      <c r="F602" s="2" t="s">
        <v>457</v>
      </c>
      <c r="G602" s="2" t="s">
        <v>458</v>
      </c>
      <c r="H602" s="2" t="s">
        <v>459</v>
      </c>
      <c r="I602" s="2" t="n">
        <f aca="false">IF(F602="Present",9,IF(F602="Half Day",4,0))</f>
        <v>9</v>
      </c>
      <c r="J602" s="2"/>
      <c r="K602" s="2"/>
    </row>
    <row r="603" customFormat="false" ht="15" hidden="false" customHeight="false" outlineLevel="0" collapsed="false">
      <c r="A603" s="2" t="s">
        <v>81</v>
      </c>
      <c r="B603" s="2" t="s">
        <v>82</v>
      </c>
      <c r="C603" s="2" t="s">
        <v>57</v>
      </c>
      <c r="D603" s="3" t="n">
        <v>46247</v>
      </c>
      <c r="E603" s="2" t="str">
        <f aca="false">TEXT(D603,"dddd")</f>
        <v>Thursday</v>
      </c>
      <c r="F603" s="2" t="s">
        <v>457</v>
      </c>
      <c r="G603" s="2" t="s">
        <v>458</v>
      </c>
      <c r="H603" s="2" t="s">
        <v>459</v>
      </c>
      <c r="I603" s="2" t="n">
        <f aca="false">IF(F603="Present",9,IF(F603="Half Day",4,0))</f>
        <v>9</v>
      </c>
      <c r="J603" s="2"/>
      <c r="K603" s="2"/>
    </row>
    <row r="604" customFormat="false" ht="15" hidden="false" customHeight="false" outlineLevel="0" collapsed="false">
      <c r="A604" s="2" t="s">
        <v>81</v>
      </c>
      <c r="B604" s="2" t="s">
        <v>82</v>
      </c>
      <c r="C604" s="2" t="s">
        <v>57</v>
      </c>
      <c r="D604" s="3" t="n">
        <v>46248</v>
      </c>
      <c r="E604" s="2" t="str">
        <f aca="false">TEXT(D604,"dddd")</f>
        <v>Friday</v>
      </c>
      <c r="F604" s="2" t="s">
        <v>461</v>
      </c>
      <c r="G604" s="2"/>
      <c r="H604" s="2"/>
      <c r="I604" s="2" t="n">
        <f aca="false">IF(F604="Present",9,IF(F604="Half Day",4,0))</f>
        <v>0</v>
      </c>
      <c r="J604" s="2"/>
      <c r="K604" s="2" t="s">
        <v>462</v>
      </c>
    </row>
    <row r="605" customFormat="false" ht="15" hidden="false" customHeight="false" outlineLevel="0" collapsed="false">
      <c r="A605" s="2" t="s">
        <v>81</v>
      </c>
      <c r="B605" s="2" t="s">
        <v>82</v>
      </c>
      <c r="C605" s="2" t="s">
        <v>57</v>
      </c>
      <c r="D605" s="3" t="n">
        <v>46249</v>
      </c>
      <c r="E605" s="2" t="str">
        <f aca="false">TEXT(D605,"dddd")</f>
        <v>Saturday</v>
      </c>
      <c r="F605" s="2" t="s">
        <v>457</v>
      </c>
      <c r="G605" s="2" t="s">
        <v>458</v>
      </c>
      <c r="H605" s="2" t="s">
        <v>459</v>
      </c>
      <c r="I605" s="2" t="n">
        <f aca="false">IF(F605="Present",9,IF(F605="Half Day",4,0))</f>
        <v>9</v>
      </c>
      <c r="J605" s="2"/>
      <c r="K605" s="2"/>
    </row>
    <row r="606" customFormat="false" ht="15" hidden="false" customHeight="false" outlineLevel="0" collapsed="false">
      <c r="A606" s="2" t="s">
        <v>81</v>
      </c>
      <c r="B606" s="2" t="s">
        <v>82</v>
      </c>
      <c r="C606" s="2" t="s">
        <v>57</v>
      </c>
      <c r="D606" s="3" t="n">
        <v>46250</v>
      </c>
      <c r="E606" s="2" t="str">
        <f aca="false">TEXT(D606,"dddd")</f>
        <v>Sunday</v>
      </c>
      <c r="F606" s="2" t="s">
        <v>460</v>
      </c>
      <c r="G606" s="2"/>
      <c r="H606" s="2"/>
      <c r="I606" s="2" t="n">
        <f aca="false">IF(F606="Present",9,IF(F606="Half Day",4,0))</f>
        <v>0</v>
      </c>
      <c r="J606" s="2"/>
      <c r="K606" s="2" t="s">
        <v>460</v>
      </c>
    </row>
    <row r="607" customFormat="false" ht="15" hidden="false" customHeight="false" outlineLevel="0" collapsed="false">
      <c r="A607" s="2" t="s">
        <v>81</v>
      </c>
      <c r="B607" s="2" t="s">
        <v>82</v>
      </c>
      <c r="C607" s="2" t="s">
        <v>57</v>
      </c>
      <c r="D607" s="3" t="n">
        <v>46251</v>
      </c>
      <c r="E607" s="2" t="str">
        <f aca="false">TEXT(D607,"dddd")</f>
        <v>Monday</v>
      </c>
      <c r="F607" s="2" t="s">
        <v>457</v>
      </c>
      <c r="G607" s="2" t="s">
        <v>458</v>
      </c>
      <c r="H607" s="2" t="s">
        <v>459</v>
      </c>
      <c r="I607" s="2" t="n">
        <f aca="false">IF(F607="Present",9,IF(F607="Half Day",4,0))</f>
        <v>9</v>
      </c>
      <c r="J607" s="2"/>
      <c r="K607" s="2"/>
    </row>
    <row r="608" customFormat="false" ht="15" hidden="false" customHeight="false" outlineLevel="0" collapsed="false">
      <c r="A608" s="2" t="s">
        <v>81</v>
      </c>
      <c r="B608" s="2" t="s">
        <v>82</v>
      </c>
      <c r="C608" s="2" t="s">
        <v>57</v>
      </c>
      <c r="D608" s="3" t="n">
        <v>46252</v>
      </c>
      <c r="E608" s="2" t="str">
        <f aca="false">TEXT(D608,"dddd")</f>
        <v>Tuesday</v>
      </c>
      <c r="F608" s="2" t="s">
        <v>461</v>
      </c>
      <c r="G608" s="2"/>
      <c r="H608" s="2"/>
      <c r="I608" s="2" t="n">
        <f aca="false">IF(F608="Present",9,IF(F608="Half Day",4,0))</f>
        <v>0</v>
      </c>
      <c r="J608" s="2"/>
      <c r="K608" s="2" t="s">
        <v>462</v>
      </c>
    </row>
    <row r="609" customFormat="false" ht="15" hidden="false" customHeight="false" outlineLevel="0" collapsed="false">
      <c r="A609" s="2" t="s">
        <v>81</v>
      </c>
      <c r="B609" s="2" t="s">
        <v>82</v>
      </c>
      <c r="C609" s="2" t="s">
        <v>57</v>
      </c>
      <c r="D609" s="3" t="n">
        <v>46253</v>
      </c>
      <c r="E609" s="2" t="str">
        <f aca="false">TEXT(D609,"dddd")</f>
        <v>Wednesday</v>
      </c>
      <c r="F609" s="2" t="s">
        <v>457</v>
      </c>
      <c r="G609" s="2" t="s">
        <v>458</v>
      </c>
      <c r="H609" s="2" t="s">
        <v>459</v>
      </c>
      <c r="I609" s="2" t="n">
        <f aca="false">IF(F609="Present",9,IF(F609="Half Day",4,0))</f>
        <v>9</v>
      </c>
      <c r="J609" s="2"/>
      <c r="K609" s="2"/>
    </row>
    <row r="610" customFormat="false" ht="15" hidden="false" customHeight="false" outlineLevel="0" collapsed="false">
      <c r="A610" s="2" t="s">
        <v>81</v>
      </c>
      <c r="B610" s="2" t="s">
        <v>82</v>
      </c>
      <c r="C610" s="2" t="s">
        <v>57</v>
      </c>
      <c r="D610" s="3" t="n">
        <v>46254</v>
      </c>
      <c r="E610" s="2" t="str">
        <f aca="false">TEXT(D610,"dddd")</f>
        <v>Thursday</v>
      </c>
      <c r="F610" s="2" t="s">
        <v>457</v>
      </c>
      <c r="G610" s="2" t="s">
        <v>458</v>
      </c>
      <c r="H610" s="2" t="s">
        <v>459</v>
      </c>
      <c r="I610" s="2" t="n">
        <f aca="false">IF(F610="Present",9,IF(F610="Half Day",4,0))</f>
        <v>9</v>
      </c>
      <c r="J610" s="2"/>
      <c r="K610" s="2"/>
    </row>
    <row r="611" customFormat="false" ht="15" hidden="false" customHeight="false" outlineLevel="0" collapsed="false">
      <c r="A611" s="2" t="s">
        <v>81</v>
      </c>
      <c r="B611" s="2" t="s">
        <v>82</v>
      </c>
      <c r="C611" s="2" t="s">
        <v>57</v>
      </c>
      <c r="D611" s="3" t="n">
        <v>46255</v>
      </c>
      <c r="E611" s="2" t="str">
        <f aca="false">TEXT(D611,"dddd")</f>
        <v>Friday</v>
      </c>
      <c r="F611" s="2" t="s">
        <v>457</v>
      </c>
      <c r="G611" s="2" t="s">
        <v>458</v>
      </c>
      <c r="H611" s="2" t="s">
        <v>459</v>
      </c>
      <c r="I611" s="2" t="n">
        <f aca="false">IF(F611="Present",9,IF(F611="Half Day",4,0))</f>
        <v>9</v>
      </c>
      <c r="J611" s="2"/>
      <c r="K611" s="2"/>
    </row>
    <row r="612" customFormat="false" ht="15" hidden="false" customHeight="false" outlineLevel="0" collapsed="false">
      <c r="A612" s="2" t="s">
        <v>81</v>
      </c>
      <c r="B612" s="2" t="s">
        <v>82</v>
      </c>
      <c r="C612" s="2" t="s">
        <v>57</v>
      </c>
      <c r="D612" s="3" t="n">
        <v>46256</v>
      </c>
      <c r="E612" s="2" t="str">
        <f aca="false">TEXT(D612,"dddd")</f>
        <v>Saturday</v>
      </c>
      <c r="F612" s="2" t="s">
        <v>457</v>
      </c>
      <c r="G612" s="2" t="s">
        <v>458</v>
      </c>
      <c r="H612" s="2" t="s">
        <v>459</v>
      </c>
      <c r="I612" s="2" t="n">
        <f aca="false">IF(F612="Present",9,IF(F612="Half Day",4,0))</f>
        <v>9</v>
      </c>
      <c r="J612" s="2"/>
      <c r="K612" s="2"/>
    </row>
    <row r="613" customFormat="false" ht="15" hidden="false" customHeight="false" outlineLevel="0" collapsed="false">
      <c r="A613" s="2" t="s">
        <v>81</v>
      </c>
      <c r="B613" s="2" t="s">
        <v>82</v>
      </c>
      <c r="C613" s="2" t="s">
        <v>57</v>
      </c>
      <c r="D613" s="3" t="n">
        <v>46257</v>
      </c>
      <c r="E613" s="2" t="str">
        <f aca="false">TEXT(D613,"dddd")</f>
        <v>Sunday</v>
      </c>
      <c r="F613" s="2" t="s">
        <v>460</v>
      </c>
      <c r="G613" s="2"/>
      <c r="H613" s="2"/>
      <c r="I613" s="2" t="n">
        <f aca="false">IF(F613="Present",9,IF(F613="Half Day",4,0))</f>
        <v>0</v>
      </c>
      <c r="J613" s="2"/>
      <c r="K613" s="2" t="s">
        <v>460</v>
      </c>
    </row>
    <row r="614" customFormat="false" ht="15" hidden="false" customHeight="false" outlineLevel="0" collapsed="false">
      <c r="A614" s="2" t="s">
        <v>81</v>
      </c>
      <c r="B614" s="2" t="s">
        <v>82</v>
      </c>
      <c r="C614" s="2" t="s">
        <v>57</v>
      </c>
      <c r="D614" s="3" t="n">
        <v>46258</v>
      </c>
      <c r="E614" s="2" t="str">
        <f aca="false">TEXT(D614,"dddd")</f>
        <v>Monday</v>
      </c>
      <c r="F614" s="2" t="s">
        <v>461</v>
      </c>
      <c r="G614" s="2"/>
      <c r="H614" s="2"/>
      <c r="I614" s="2" t="n">
        <f aca="false">IF(F614="Present",9,IF(F614="Half Day",4,0))</f>
        <v>0</v>
      </c>
      <c r="J614" s="2"/>
      <c r="K614" s="2" t="s">
        <v>462</v>
      </c>
    </row>
    <row r="615" customFormat="false" ht="15" hidden="false" customHeight="false" outlineLevel="0" collapsed="false">
      <c r="A615" s="2" t="s">
        <v>81</v>
      </c>
      <c r="B615" s="2" t="s">
        <v>82</v>
      </c>
      <c r="C615" s="2" t="s">
        <v>57</v>
      </c>
      <c r="D615" s="3" t="n">
        <v>46259</v>
      </c>
      <c r="E615" s="2" t="str">
        <f aca="false">TEXT(D615,"dddd")</f>
        <v>Tuesday</v>
      </c>
      <c r="F615" s="2" t="s">
        <v>457</v>
      </c>
      <c r="G615" s="2" t="s">
        <v>458</v>
      </c>
      <c r="H615" s="2" t="s">
        <v>459</v>
      </c>
      <c r="I615" s="2" t="n">
        <f aca="false">IF(F615="Present",9,IF(F615="Half Day",4,0))</f>
        <v>9</v>
      </c>
      <c r="J615" s="2"/>
      <c r="K615" s="2"/>
    </row>
    <row r="616" customFormat="false" ht="15" hidden="false" customHeight="false" outlineLevel="0" collapsed="false">
      <c r="A616" s="2" t="s">
        <v>81</v>
      </c>
      <c r="B616" s="2" t="s">
        <v>82</v>
      </c>
      <c r="C616" s="2" t="s">
        <v>57</v>
      </c>
      <c r="D616" s="3" t="n">
        <v>46260</v>
      </c>
      <c r="E616" s="2" t="str">
        <f aca="false">TEXT(D616,"dddd")</f>
        <v>Wednesday</v>
      </c>
      <c r="F616" s="2" t="s">
        <v>461</v>
      </c>
      <c r="G616" s="2"/>
      <c r="H616" s="2"/>
      <c r="I616" s="2" t="n">
        <f aca="false">IF(F616="Present",9,IF(F616="Half Day",4,0))</f>
        <v>0</v>
      </c>
      <c r="J616" s="2"/>
      <c r="K616" s="2" t="s">
        <v>462</v>
      </c>
    </row>
    <row r="617" customFormat="false" ht="15" hidden="false" customHeight="false" outlineLevel="0" collapsed="false">
      <c r="A617" s="2" t="s">
        <v>81</v>
      </c>
      <c r="B617" s="2" t="s">
        <v>82</v>
      </c>
      <c r="C617" s="2" t="s">
        <v>57</v>
      </c>
      <c r="D617" s="3" t="n">
        <v>46261</v>
      </c>
      <c r="E617" s="2" t="str">
        <f aca="false">TEXT(D617,"dddd")</f>
        <v>Thursday</v>
      </c>
      <c r="F617" s="2" t="s">
        <v>461</v>
      </c>
      <c r="G617" s="2"/>
      <c r="H617" s="2"/>
      <c r="I617" s="2" t="n">
        <f aca="false">IF(F617="Present",9,IF(F617="Half Day",4,0))</f>
        <v>0</v>
      </c>
      <c r="J617" s="2"/>
      <c r="K617" s="2" t="s">
        <v>462</v>
      </c>
    </row>
    <row r="618" customFormat="false" ht="15" hidden="false" customHeight="false" outlineLevel="0" collapsed="false">
      <c r="A618" s="2" t="s">
        <v>81</v>
      </c>
      <c r="B618" s="2" t="s">
        <v>82</v>
      </c>
      <c r="C618" s="2" t="s">
        <v>57</v>
      </c>
      <c r="D618" s="3" t="n">
        <v>46262</v>
      </c>
      <c r="E618" s="2" t="str">
        <f aca="false">TEXT(D618,"dddd")</f>
        <v>Friday</v>
      </c>
      <c r="F618" s="2" t="s">
        <v>461</v>
      </c>
      <c r="G618" s="2"/>
      <c r="H618" s="2"/>
      <c r="I618" s="2" t="n">
        <f aca="false">IF(F618="Present",9,IF(F618="Half Day",4,0))</f>
        <v>0</v>
      </c>
      <c r="J618" s="2"/>
      <c r="K618" s="2" t="s">
        <v>462</v>
      </c>
    </row>
    <row r="619" customFormat="false" ht="15" hidden="false" customHeight="false" outlineLevel="0" collapsed="false">
      <c r="A619" s="2" t="s">
        <v>81</v>
      </c>
      <c r="B619" s="2" t="s">
        <v>82</v>
      </c>
      <c r="C619" s="2" t="s">
        <v>57</v>
      </c>
      <c r="D619" s="3" t="n">
        <v>46263</v>
      </c>
      <c r="E619" s="2" t="str">
        <f aca="false">TEXT(D619,"dddd")</f>
        <v>Saturday</v>
      </c>
      <c r="F619" s="2" t="s">
        <v>457</v>
      </c>
      <c r="G619" s="2" t="s">
        <v>458</v>
      </c>
      <c r="H619" s="2" t="s">
        <v>459</v>
      </c>
      <c r="I619" s="2" t="n">
        <f aca="false">IF(F619="Present",9,IF(F619="Half Day",4,0))</f>
        <v>9</v>
      </c>
      <c r="J619" s="2"/>
      <c r="K619" s="2"/>
    </row>
    <row r="620" customFormat="false" ht="15" hidden="false" customHeight="false" outlineLevel="0" collapsed="false">
      <c r="A620" s="2" t="s">
        <v>81</v>
      </c>
      <c r="B620" s="2" t="s">
        <v>82</v>
      </c>
      <c r="C620" s="2" t="s">
        <v>57</v>
      </c>
      <c r="D620" s="3" t="n">
        <v>46264</v>
      </c>
      <c r="E620" s="2" t="str">
        <f aca="false">TEXT(D620,"dddd")</f>
        <v>Sunday</v>
      </c>
      <c r="F620" s="2" t="s">
        <v>460</v>
      </c>
      <c r="G620" s="2"/>
      <c r="H620" s="2"/>
      <c r="I620" s="2" t="n">
        <f aca="false">IF(F620="Present",9,IF(F620="Half Day",4,0))</f>
        <v>0</v>
      </c>
      <c r="J620" s="2"/>
      <c r="K620" s="2" t="s">
        <v>460</v>
      </c>
    </row>
    <row r="621" customFormat="false" ht="15" hidden="false" customHeight="false" outlineLevel="0" collapsed="false">
      <c r="A621" s="2" t="s">
        <v>81</v>
      </c>
      <c r="B621" s="2" t="s">
        <v>82</v>
      </c>
      <c r="C621" s="2" t="s">
        <v>57</v>
      </c>
      <c r="D621" s="3" t="n">
        <v>46265</v>
      </c>
      <c r="E621" s="2" t="str">
        <f aca="false">TEXT(D621,"dddd")</f>
        <v>Monday</v>
      </c>
      <c r="F621" s="2" t="s">
        <v>461</v>
      </c>
      <c r="G621" s="2"/>
      <c r="H621" s="2"/>
      <c r="I621" s="2" t="n">
        <f aca="false">IF(F621="Present",9,IF(F621="Half Day",4,0))</f>
        <v>0</v>
      </c>
      <c r="J621" s="2"/>
      <c r="K621" s="2" t="s">
        <v>462</v>
      </c>
    </row>
    <row r="622" customFormat="false" ht="15" hidden="false" customHeight="false" outlineLevel="0" collapsed="false">
      <c r="A622" s="2" t="s">
        <v>84</v>
      </c>
      <c r="B622" s="2" t="s">
        <v>85</v>
      </c>
      <c r="C622" s="2" t="s">
        <v>17</v>
      </c>
      <c r="D622" s="3" t="n">
        <v>46235</v>
      </c>
      <c r="E622" s="2" t="str">
        <f aca="false">TEXT(D622,"dddd")</f>
        <v>Saturday</v>
      </c>
      <c r="F622" s="2" t="s">
        <v>457</v>
      </c>
      <c r="G622" s="2" t="s">
        <v>458</v>
      </c>
      <c r="H622" s="2" t="s">
        <v>459</v>
      </c>
      <c r="I622" s="2" t="n">
        <f aca="false">IF(F622="Present",9,IF(F622="Half Day",4,0))</f>
        <v>9</v>
      </c>
      <c r="J622" s="2"/>
      <c r="K622" s="2"/>
    </row>
    <row r="623" customFormat="false" ht="15" hidden="false" customHeight="false" outlineLevel="0" collapsed="false">
      <c r="A623" s="2" t="s">
        <v>84</v>
      </c>
      <c r="B623" s="2" t="s">
        <v>85</v>
      </c>
      <c r="C623" s="2" t="s">
        <v>17</v>
      </c>
      <c r="D623" s="3" t="n">
        <v>46236</v>
      </c>
      <c r="E623" s="2" t="str">
        <f aca="false">TEXT(D623,"dddd")</f>
        <v>Sunday</v>
      </c>
      <c r="F623" s="2" t="s">
        <v>460</v>
      </c>
      <c r="G623" s="2"/>
      <c r="H623" s="2"/>
      <c r="I623" s="2" t="n">
        <f aca="false">IF(F623="Present",9,IF(F623="Half Day",4,0))</f>
        <v>0</v>
      </c>
      <c r="J623" s="2"/>
      <c r="K623" s="2" t="s">
        <v>460</v>
      </c>
    </row>
    <row r="624" customFormat="false" ht="15" hidden="false" customHeight="false" outlineLevel="0" collapsed="false">
      <c r="A624" s="2" t="s">
        <v>84</v>
      </c>
      <c r="B624" s="2" t="s">
        <v>85</v>
      </c>
      <c r="C624" s="2" t="s">
        <v>17</v>
      </c>
      <c r="D624" s="3" t="n">
        <v>46237</v>
      </c>
      <c r="E624" s="2" t="str">
        <f aca="false">TEXT(D624,"dddd")</f>
        <v>Monday</v>
      </c>
      <c r="F624" s="2" t="s">
        <v>457</v>
      </c>
      <c r="G624" s="2" t="s">
        <v>458</v>
      </c>
      <c r="H624" s="2" t="s">
        <v>459</v>
      </c>
      <c r="I624" s="2" t="n">
        <f aca="false">IF(F624="Present",9,IF(F624="Half Day",4,0))</f>
        <v>9</v>
      </c>
      <c r="J624" s="2"/>
      <c r="K624" s="2"/>
    </row>
    <row r="625" customFormat="false" ht="15" hidden="false" customHeight="false" outlineLevel="0" collapsed="false">
      <c r="A625" s="2" t="s">
        <v>84</v>
      </c>
      <c r="B625" s="2" t="s">
        <v>85</v>
      </c>
      <c r="C625" s="2" t="s">
        <v>17</v>
      </c>
      <c r="D625" s="3" t="n">
        <v>46238</v>
      </c>
      <c r="E625" s="2" t="str">
        <f aca="false">TEXT(D625,"dddd")</f>
        <v>Tuesday</v>
      </c>
      <c r="F625" s="2" t="s">
        <v>457</v>
      </c>
      <c r="G625" s="2" t="s">
        <v>458</v>
      </c>
      <c r="H625" s="2" t="s">
        <v>459</v>
      </c>
      <c r="I625" s="2" t="n">
        <f aca="false">IF(F625="Present",9,IF(F625="Half Day",4,0))</f>
        <v>9</v>
      </c>
      <c r="J625" s="2"/>
      <c r="K625" s="2"/>
    </row>
    <row r="626" customFormat="false" ht="15" hidden="false" customHeight="false" outlineLevel="0" collapsed="false">
      <c r="A626" s="2" t="s">
        <v>84</v>
      </c>
      <c r="B626" s="2" t="s">
        <v>85</v>
      </c>
      <c r="C626" s="2" t="s">
        <v>17</v>
      </c>
      <c r="D626" s="3" t="n">
        <v>46239</v>
      </c>
      <c r="E626" s="2" t="str">
        <f aca="false">TEXT(D626,"dddd")</f>
        <v>Wednesday</v>
      </c>
      <c r="F626" s="2" t="s">
        <v>457</v>
      </c>
      <c r="G626" s="2" t="s">
        <v>458</v>
      </c>
      <c r="H626" s="2" t="s">
        <v>459</v>
      </c>
      <c r="I626" s="2" t="n">
        <f aca="false">IF(F626="Present",9,IF(F626="Half Day",4,0))</f>
        <v>9</v>
      </c>
      <c r="J626" s="2"/>
      <c r="K626" s="2"/>
    </row>
    <row r="627" customFormat="false" ht="15" hidden="false" customHeight="false" outlineLevel="0" collapsed="false">
      <c r="A627" s="2" t="s">
        <v>84</v>
      </c>
      <c r="B627" s="2" t="s">
        <v>85</v>
      </c>
      <c r="C627" s="2" t="s">
        <v>17</v>
      </c>
      <c r="D627" s="3" t="n">
        <v>46240</v>
      </c>
      <c r="E627" s="2" t="str">
        <f aca="false">TEXT(D627,"dddd")</f>
        <v>Thursday</v>
      </c>
      <c r="F627" s="2" t="s">
        <v>457</v>
      </c>
      <c r="G627" s="2" t="s">
        <v>458</v>
      </c>
      <c r="H627" s="2" t="s">
        <v>459</v>
      </c>
      <c r="I627" s="2" t="n">
        <f aca="false">IF(F627="Present",9,IF(F627="Half Day",4,0))</f>
        <v>9</v>
      </c>
      <c r="J627" s="2"/>
      <c r="K627" s="2"/>
    </row>
    <row r="628" customFormat="false" ht="15" hidden="false" customHeight="false" outlineLevel="0" collapsed="false">
      <c r="A628" s="2" t="s">
        <v>84</v>
      </c>
      <c r="B628" s="2" t="s">
        <v>85</v>
      </c>
      <c r="C628" s="2" t="s">
        <v>17</v>
      </c>
      <c r="D628" s="3" t="n">
        <v>46241</v>
      </c>
      <c r="E628" s="2" t="str">
        <f aca="false">TEXT(D628,"dddd")</f>
        <v>Friday</v>
      </c>
      <c r="F628" s="2" t="s">
        <v>457</v>
      </c>
      <c r="G628" s="2" t="s">
        <v>458</v>
      </c>
      <c r="H628" s="2" t="s">
        <v>459</v>
      </c>
      <c r="I628" s="2" t="n">
        <f aca="false">IF(F628="Present",9,IF(F628="Half Day",4,0))</f>
        <v>9</v>
      </c>
      <c r="J628" s="2"/>
      <c r="K628" s="2"/>
    </row>
    <row r="629" customFormat="false" ht="15" hidden="false" customHeight="false" outlineLevel="0" collapsed="false">
      <c r="A629" s="2" t="s">
        <v>84</v>
      </c>
      <c r="B629" s="2" t="s">
        <v>85</v>
      </c>
      <c r="C629" s="2" t="s">
        <v>17</v>
      </c>
      <c r="D629" s="3" t="n">
        <v>46242</v>
      </c>
      <c r="E629" s="2" t="str">
        <f aca="false">TEXT(D629,"dddd")</f>
        <v>Saturday</v>
      </c>
      <c r="F629" s="2" t="s">
        <v>457</v>
      </c>
      <c r="G629" s="2" t="s">
        <v>458</v>
      </c>
      <c r="H629" s="2" t="s">
        <v>459</v>
      </c>
      <c r="I629" s="2" t="n">
        <f aca="false">IF(F629="Present",9,IF(F629="Half Day",4,0))</f>
        <v>9</v>
      </c>
      <c r="J629" s="2"/>
      <c r="K629" s="2"/>
    </row>
    <row r="630" customFormat="false" ht="15" hidden="false" customHeight="false" outlineLevel="0" collapsed="false">
      <c r="A630" s="2" t="s">
        <v>84</v>
      </c>
      <c r="B630" s="2" t="s">
        <v>85</v>
      </c>
      <c r="C630" s="2" t="s">
        <v>17</v>
      </c>
      <c r="D630" s="3" t="n">
        <v>46243</v>
      </c>
      <c r="E630" s="2" t="str">
        <f aca="false">TEXT(D630,"dddd")</f>
        <v>Sunday</v>
      </c>
      <c r="F630" s="2" t="s">
        <v>460</v>
      </c>
      <c r="G630" s="2"/>
      <c r="H630" s="2"/>
      <c r="I630" s="2" t="n">
        <f aca="false">IF(F630="Present",9,IF(F630="Half Day",4,0))</f>
        <v>0</v>
      </c>
      <c r="J630" s="2"/>
      <c r="K630" s="2" t="s">
        <v>460</v>
      </c>
    </row>
    <row r="631" customFormat="false" ht="15" hidden="false" customHeight="false" outlineLevel="0" collapsed="false">
      <c r="A631" s="2" t="s">
        <v>84</v>
      </c>
      <c r="B631" s="2" t="s">
        <v>85</v>
      </c>
      <c r="C631" s="2" t="s">
        <v>17</v>
      </c>
      <c r="D631" s="3" t="n">
        <v>46244</v>
      </c>
      <c r="E631" s="2" t="str">
        <f aca="false">TEXT(D631,"dddd")</f>
        <v>Monday</v>
      </c>
      <c r="F631" s="2" t="s">
        <v>457</v>
      </c>
      <c r="G631" s="2" t="s">
        <v>458</v>
      </c>
      <c r="H631" s="2" t="s">
        <v>459</v>
      </c>
      <c r="I631" s="2" t="n">
        <f aca="false">IF(F631="Present",9,IF(F631="Half Day",4,0))</f>
        <v>9</v>
      </c>
      <c r="J631" s="2"/>
      <c r="K631" s="2"/>
    </row>
    <row r="632" customFormat="false" ht="15" hidden="false" customHeight="false" outlineLevel="0" collapsed="false">
      <c r="A632" s="2" t="s">
        <v>84</v>
      </c>
      <c r="B632" s="2" t="s">
        <v>85</v>
      </c>
      <c r="C632" s="2" t="s">
        <v>17</v>
      </c>
      <c r="D632" s="3" t="n">
        <v>46245</v>
      </c>
      <c r="E632" s="2" t="str">
        <f aca="false">TEXT(D632,"dddd")</f>
        <v>Tuesday</v>
      </c>
      <c r="F632" s="2" t="s">
        <v>457</v>
      </c>
      <c r="G632" s="2" t="s">
        <v>458</v>
      </c>
      <c r="H632" s="2" t="s">
        <v>459</v>
      </c>
      <c r="I632" s="2" t="n">
        <f aca="false">IF(F632="Present",9,IF(F632="Half Day",4,0))</f>
        <v>9</v>
      </c>
      <c r="J632" s="2"/>
      <c r="K632" s="2"/>
    </row>
    <row r="633" customFormat="false" ht="15" hidden="false" customHeight="false" outlineLevel="0" collapsed="false">
      <c r="A633" s="2" t="s">
        <v>84</v>
      </c>
      <c r="B633" s="2" t="s">
        <v>85</v>
      </c>
      <c r="C633" s="2" t="s">
        <v>17</v>
      </c>
      <c r="D633" s="3" t="n">
        <v>46246</v>
      </c>
      <c r="E633" s="2" t="str">
        <f aca="false">TEXT(D633,"dddd")</f>
        <v>Wednesday</v>
      </c>
      <c r="F633" s="2" t="s">
        <v>457</v>
      </c>
      <c r="G633" s="2" t="s">
        <v>458</v>
      </c>
      <c r="H633" s="2" t="s">
        <v>459</v>
      </c>
      <c r="I633" s="2" t="n">
        <f aca="false">IF(F633="Present",9,IF(F633="Half Day",4,0))</f>
        <v>9</v>
      </c>
      <c r="J633" s="2"/>
      <c r="K633" s="2"/>
    </row>
    <row r="634" customFormat="false" ht="15" hidden="false" customHeight="false" outlineLevel="0" collapsed="false">
      <c r="A634" s="2" t="s">
        <v>84</v>
      </c>
      <c r="B634" s="2" t="s">
        <v>85</v>
      </c>
      <c r="C634" s="2" t="s">
        <v>17</v>
      </c>
      <c r="D634" s="3" t="n">
        <v>46247</v>
      </c>
      <c r="E634" s="2" t="str">
        <f aca="false">TEXT(D634,"dddd")</f>
        <v>Thursday</v>
      </c>
      <c r="F634" s="2" t="s">
        <v>457</v>
      </c>
      <c r="G634" s="2" t="s">
        <v>458</v>
      </c>
      <c r="H634" s="2" t="s">
        <v>459</v>
      </c>
      <c r="I634" s="2" t="n">
        <f aca="false">IF(F634="Present",9,IF(F634="Half Day",4,0))</f>
        <v>9</v>
      </c>
      <c r="J634" s="2"/>
      <c r="K634" s="2"/>
    </row>
    <row r="635" customFormat="false" ht="15" hidden="false" customHeight="false" outlineLevel="0" collapsed="false">
      <c r="A635" s="2" t="s">
        <v>84</v>
      </c>
      <c r="B635" s="2" t="s">
        <v>85</v>
      </c>
      <c r="C635" s="2" t="s">
        <v>17</v>
      </c>
      <c r="D635" s="3" t="n">
        <v>46248</v>
      </c>
      <c r="E635" s="2" t="str">
        <f aca="false">TEXT(D635,"dddd")</f>
        <v>Friday</v>
      </c>
      <c r="F635" s="2" t="s">
        <v>457</v>
      </c>
      <c r="G635" s="2" t="s">
        <v>458</v>
      </c>
      <c r="H635" s="2" t="s">
        <v>459</v>
      </c>
      <c r="I635" s="2" t="n">
        <f aca="false">IF(F635="Present",9,IF(F635="Half Day",4,0))</f>
        <v>9</v>
      </c>
      <c r="J635" s="2"/>
      <c r="K635" s="2"/>
    </row>
    <row r="636" customFormat="false" ht="15" hidden="false" customHeight="false" outlineLevel="0" collapsed="false">
      <c r="A636" s="2" t="s">
        <v>84</v>
      </c>
      <c r="B636" s="2" t="s">
        <v>85</v>
      </c>
      <c r="C636" s="2" t="s">
        <v>17</v>
      </c>
      <c r="D636" s="3" t="n">
        <v>46249</v>
      </c>
      <c r="E636" s="2" t="str">
        <f aca="false">TEXT(D636,"dddd")</f>
        <v>Saturday</v>
      </c>
      <c r="F636" s="2" t="s">
        <v>466</v>
      </c>
      <c r="G636" s="2" t="s">
        <v>458</v>
      </c>
      <c r="H636" s="2" t="s">
        <v>467</v>
      </c>
      <c r="I636" s="2" t="n">
        <f aca="false">IF(F636="Present",9,IF(F636="Half Day",4,0))</f>
        <v>4</v>
      </c>
      <c r="J636" s="2"/>
      <c r="K636" s="2" t="s">
        <v>466</v>
      </c>
    </row>
    <row r="637" customFormat="false" ht="15" hidden="false" customHeight="false" outlineLevel="0" collapsed="false">
      <c r="A637" s="2" t="s">
        <v>84</v>
      </c>
      <c r="B637" s="2" t="s">
        <v>85</v>
      </c>
      <c r="C637" s="2" t="s">
        <v>17</v>
      </c>
      <c r="D637" s="3" t="n">
        <v>46250</v>
      </c>
      <c r="E637" s="2" t="str">
        <f aca="false">TEXT(D637,"dddd")</f>
        <v>Sunday</v>
      </c>
      <c r="F637" s="2" t="s">
        <v>460</v>
      </c>
      <c r="G637" s="2"/>
      <c r="H637" s="2"/>
      <c r="I637" s="2" t="n">
        <f aca="false">IF(F637="Present",9,IF(F637="Half Day",4,0))</f>
        <v>0</v>
      </c>
      <c r="J637" s="2"/>
      <c r="K637" s="2" t="s">
        <v>460</v>
      </c>
    </row>
    <row r="638" customFormat="false" ht="15" hidden="false" customHeight="false" outlineLevel="0" collapsed="false">
      <c r="A638" s="2" t="s">
        <v>84</v>
      </c>
      <c r="B638" s="2" t="s">
        <v>85</v>
      </c>
      <c r="C638" s="2" t="s">
        <v>17</v>
      </c>
      <c r="D638" s="3" t="n">
        <v>46251</v>
      </c>
      <c r="E638" s="2" t="str">
        <f aca="false">TEXT(D638,"dddd")</f>
        <v>Monday</v>
      </c>
      <c r="F638" s="2" t="s">
        <v>457</v>
      </c>
      <c r="G638" s="2" t="s">
        <v>458</v>
      </c>
      <c r="H638" s="2" t="s">
        <v>459</v>
      </c>
      <c r="I638" s="2" t="n">
        <f aca="false">IF(F638="Present",9,IF(F638="Half Day",4,0))</f>
        <v>9</v>
      </c>
      <c r="J638" s="2"/>
      <c r="K638" s="2"/>
    </row>
    <row r="639" customFormat="false" ht="15" hidden="false" customHeight="false" outlineLevel="0" collapsed="false">
      <c r="A639" s="2" t="s">
        <v>84</v>
      </c>
      <c r="B639" s="2" t="s">
        <v>85</v>
      </c>
      <c r="C639" s="2" t="s">
        <v>17</v>
      </c>
      <c r="D639" s="3" t="n">
        <v>46252</v>
      </c>
      <c r="E639" s="2" t="str">
        <f aca="false">TEXT(D639,"dddd")</f>
        <v>Tuesday</v>
      </c>
      <c r="F639" s="2" t="s">
        <v>457</v>
      </c>
      <c r="G639" s="2" t="s">
        <v>458</v>
      </c>
      <c r="H639" s="2" t="s">
        <v>459</v>
      </c>
      <c r="I639" s="2" t="n">
        <f aca="false">IF(F639="Present",9,IF(F639="Half Day",4,0))</f>
        <v>9</v>
      </c>
      <c r="J639" s="2"/>
      <c r="K639" s="2"/>
    </row>
    <row r="640" customFormat="false" ht="15" hidden="false" customHeight="false" outlineLevel="0" collapsed="false">
      <c r="A640" s="2" t="s">
        <v>84</v>
      </c>
      <c r="B640" s="2" t="s">
        <v>85</v>
      </c>
      <c r="C640" s="2" t="s">
        <v>17</v>
      </c>
      <c r="D640" s="3" t="n">
        <v>46253</v>
      </c>
      <c r="E640" s="2" t="str">
        <f aca="false">TEXT(D640,"dddd")</f>
        <v>Wednesday</v>
      </c>
      <c r="F640" s="2" t="s">
        <v>457</v>
      </c>
      <c r="G640" s="2" t="s">
        <v>458</v>
      </c>
      <c r="H640" s="2" t="s">
        <v>459</v>
      </c>
      <c r="I640" s="2" t="n">
        <f aca="false">IF(F640="Present",9,IF(F640="Half Day",4,0))</f>
        <v>9</v>
      </c>
      <c r="J640" s="2"/>
      <c r="K640" s="2"/>
    </row>
    <row r="641" customFormat="false" ht="15" hidden="false" customHeight="false" outlineLevel="0" collapsed="false">
      <c r="A641" s="2" t="s">
        <v>84</v>
      </c>
      <c r="B641" s="2" t="s">
        <v>85</v>
      </c>
      <c r="C641" s="2" t="s">
        <v>17</v>
      </c>
      <c r="D641" s="3" t="n">
        <v>46254</v>
      </c>
      <c r="E641" s="2" t="str">
        <f aca="false">TEXT(D641,"dddd")</f>
        <v>Thursday</v>
      </c>
      <c r="F641" s="2" t="s">
        <v>457</v>
      </c>
      <c r="G641" s="2" t="s">
        <v>458</v>
      </c>
      <c r="H641" s="2" t="s">
        <v>459</v>
      </c>
      <c r="I641" s="2" t="n">
        <f aca="false">IF(F641="Present",9,IF(F641="Half Day",4,0))</f>
        <v>9</v>
      </c>
      <c r="J641" s="2"/>
      <c r="K641" s="2"/>
    </row>
    <row r="642" customFormat="false" ht="15" hidden="false" customHeight="false" outlineLevel="0" collapsed="false">
      <c r="A642" s="2" t="s">
        <v>84</v>
      </c>
      <c r="B642" s="2" t="s">
        <v>85</v>
      </c>
      <c r="C642" s="2" t="s">
        <v>17</v>
      </c>
      <c r="D642" s="3" t="n">
        <v>46255</v>
      </c>
      <c r="E642" s="2" t="str">
        <f aca="false">TEXT(D642,"dddd")</f>
        <v>Friday</v>
      </c>
      <c r="F642" s="2" t="s">
        <v>457</v>
      </c>
      <c r="G642" s="2" t="s">
        <v>458</v>
      </c>
      <c r="H642" s="2" t="s">
        <v>459</v>
      </c>
      <c r="I642" s="2" t="n">
        <f aca="false">IF(F642="Present",9,IF(F642="Half Day",4,0))</f>
        <v>9</v>
      </c>
      <c r="J642" s="2"/>
      <c r="K642" s="2"/>
    </row>
    <row r="643" customFormat="false" ht="15" hidden="false" customHeight="false" outlineLevel="0" collapsed="false">
      <c r="A643" s="2" t="s">
        <v>84</v>
      </c>
      <c r="B643" s="2" t="s">
        <v>85</v>
      </c>
      <c r="C643" s="2" t="s">
        <v>17</v>
      </c>
      <c r="D643" s="3" t="n">
        <v>46256</v>
      </c>
      <c r="E643" s="2" t="str">
        <f aca="false">TEXT(D643,"dddd")</f>
        <v>Saturday</v>
      </c>
      <c r="F643" s="2" t="s">
        <v>457</v>
      </c>
      <c r="G643" s="2" t="s">
        <v>458</v>
      </c>
      <c r="H643" s="2" t="s">
        <v>459</v>
      </c>
      <c r="I643" s="2" t="n">
        <f aca="false">IF(F643="Present",9,IF(F643="Half Day",4,0))</f>
        <v>9</v>
      </c>
      <c r="J643" s="2"/>
      <c r="K643" s="2"/>
    </row>
    <row r="644" customFormat="false" ht="15" hidden="false" customHeight="false" outlineLevel="0" collapsed="false">
      <c r="A644" s="2" t="s">
        <v>84</v>
      </c>
      <c r="B644" s="2" t="s">
        <v>85</v>
      </c>
      <c r="C644" s="2" t="s">
        <v>17</v>
      </c>
      <c r="D644" s="3" t="n">
        <v>46257</v>
      </c>
      <c r="E644" s="2" t="str">
        <f aca="false">TEXT(D644,"dddd")</f>
        <v>Sunday</v>
      </c>
      <c r="F644" s="2" t="s">
        <v>460</v>
      </c>
      <c r="G644" s="2"/>
      <c r="H644" s="2"/>
      <c r="I644" s="2" t="n">
        <f aca="false">IF(F644="Present",9,IF(F644="Half Day",4,0))</f>
        <v>0</v>
      </c>
      <c r="J644" s="2"/>
      <c r="K644" s="2" t="s">
        <v>460</v>
      </c>
    </row>
    <row r="645" customFormat="false" ht="15" hidden="false" customHeight="false" outlineLevel="0" collapsed="false">
      <c r="A645" s="2" t="s">
        <v>84</v>
      </c>
      <c r="B645" s="2" t="s">
        <v>85</v>
      </c>
      <c r="C645" s="2" t="s">
        <v>17</v>
      </c>
      <c r="D645" s="3" t="n">
        <v>46258</v>
      </c>
      <c r="E645" s="2" t="str">
        <f aca="false">TEXT(D645,"dddd")</f>
        <v>Monday</v>
      </c>
      <c r="F645" s="2" t="s">
        <v>457</v>
      </c>
      <c r="G645" s="2" t="s">
        <v>458</v>
      </c>
      <c r="H645" s="2" t="s">
        <v>459</v>
      </c>
      <c r="I645" s="2" t="n">
        <f aca="false">IF(F645="Present",9,IF(F645="Half Day",4,0))</f>
        <v>9</v>
      </c>
      <c r="J645" s="2"/>
      <c r="K645" s="2"/>
    </row>
    <row r="646" customFormat="false" ht="15" hidden="false" customHeight="false" outlineLevel="0" collapsed="false">
      <c r="A646" s="2" t="s">
        <v>84</v>
      </c>
      <c r="B646" s="2" t="s">
        <v>85</v>
      </c>
      <c r="C646" s="2" t="s">
        <v>17</v>
      </c>
      <c r="D646" s="3" t="n">
        <v>46259</v>
      </c>
      <c r="E646" s="2" t="str">
        <f aca="false">TEXT(D646,"dddd")</f>
        <v>Tuesday</v>
      </c>
      <c r="F646" s="2" t="s">
        <v>457</v>
      </c>
      <c r="G646" s="2" t="s">
        <v>458</v>
      </c>
      <c r="H646" s="2" t="s">
        <v>459</v>
      </c>
      <c r="I646" s="2" t="n">
        <f aca="false">IF(F646="Present",9,IF(F646="Half Day",4,0))</f>
        <v>9</v>
      </c>
      <c r="J646" s="2"/>
      <c r="K646" s="2"/>
    </row>
    <row r="647" customFormat="false" ht="15" hidden="false" customHeight="false" outlineLevel="0" collapsed="false">
      <c r="A647" s="2" t="s">
        <v>84</v>
      </c>
      <c r="B647" s="2" t="s">
        <v>85</v>
      </c>
      <c r="C647" s="2" t="s">
        <v>17</v>
      </c>
      <c r="D647" s="3" t="n">
        <v>46260</v>
      </c>
      <c r="E647" s="2" t="str">
        <f aca="false">TEXT(D647,"dddd")</f>
        <v>Wednesday</v>
      </c>
      <c r="F647" s="2" t="s">
        <v>457</v>
      </c>
      <c r="G647" s="2" t="s">
        <v>458</v>
      </c>
      <c r="H647" s="2" t="s">
        <v>459</v>
      </c>
      <c r="I647" s="2" t="n">
        <f aca="false">IF(F647="Present",9,IF(F647="Half Day",4,0))</f>
        <v>9</v>
      </c>
      <c r="J647" s="2"/>
      <c r="K647" s="2"/>
    </row>
    <row r="648" customFormat="false" ht="15" hidden="false" customHeight="false" outlineLevel="0" collapsed="false">
      <c r="A648" s="2" t="s">
        <v>84</v>
      </c>
      <c r="B648" s="2" t="s">
        <v>85</v>
      </c>
      <c r="C648" s="2" t="s">
        <v>17</v>
      </c>
      <c r="D648" s="3" t="n">
        <v>46261</v>
      </c>
      <c r="E648" s="2" t="str">
        <f aca="false">TEXT(D648,"dddd")</f>
        <v>Thursday</v>
      </c>
      <c r="F648" s="2" t="s">
        <v>461</v>
      </c>
      <c r="G648" s="2"/>
      <c r="H648" s="2"/>
      <c r="I648" s="2" t="n">
        <f aca="false">IF(F648="Present",9,IF(F648="Half Day",4,0))</f>
        <v>0</v>
      </c>
      <c r="J648" s="2"/>
      <c r="K648" s="2" t="s">
        <v>462</v>
      </c>
    </row>
    <row r="649" customFormat="false" ht="15" hidden="false" customHeight="false" outlineLevel="0" collapsed="false">
      <c r="A649" s="2" t="s">
        <v>84</v>
      </c>
      <c r="B649" s="2" t="s">
        <v>85</v>
      </c>
      <c r="C649" s="2" t="s">
        <v>17</v>
      </c>
      <c r="D649" s="3" t="n">
        <v>46262</v>
      </c>
      <c r="E649" s="2" t="str">
        <f aca="false">TEXT(D649,"dddd")</f>
        <v>Friday</v>
      </c>
      <c r="F649" s="2" t="s">
        <v>457</v>
      </c>
      <c r="G649" s="2" t="s">
        <v>458</v>
      </c>
      <c r="H649" s="2" t="s">
        <v>459</v>
      </c>
      <c r="I649" s="2" t="n">
        <f aca="false">IF(F649="Present",9,IF(F649="Half Day",4,0))</f>
        <v>9</v>
      </c>
      <c r="J649" s="2"/>
      <c r="K649" s="2"/>
    </row>
    <row r="650" customFormat="false" ht="15" hidden="false" customHeight="false" outlineLevel="0" collapsed="false">
      <c r="A650" s="2" t="s">
        <v>84</v>
      </c>
      <c r="B650" s="2" t="s">
        <v>85</v>
      </c>
      <c r="C650" s="2" t="s">
        <v>17</v>
      </c>
      <c r="D650" s="3" t="n">
        <v>46263</v>
      </c>
      <c r="E650" s="2" t="str">
        <f aca="false">TEXT(D650,"dddd")</f>
        <v>Saturday</v>
      </c>
      <c r="F650" s="2" t="s">
        <v>457</v>
      </c>
      <c r="G650" s="2" t="s">
        <v>458</v>
      </c>
      <c r="H650" s="2" t="s">
        <v>459</v>
      </c>
      <c r="I650" s="2" t="n">
        <f aca="false">IF(F650="Present",9,IF(F650="Half Day",4,0))</f>
        <v>9</v>
      </c>
      <c r="J650" s="2"/>
      <c r="K650" s="2"/>
    </row>
    <row r="651" customFormat="false" ht="15" hidden="false" customHeight="false" outlineLevel="0" collapsed="false">
      <c r="A651" s="2" t="s">
        <v>84</v>
      </c>
      <c r="B651" s="2" t="s">
        <v>85</v>
      </c>
      <c r="C651" s="2" t="s">
        <v>17</v>
      </c>
      <c r="D651" s="3" t="n">
        <v>46264</v>
      </c>
      <c r="E651" s="2" t="str">
        <f aca="false">TEXT(D651,"dddd")</f>
        <v>Sunday</v>
      </c>
      <c r="F651" s="2" t="s">
        <v>460</v>
      </c>
      <c r="G651" s="2"/>
      <c r="H651" s="2"/>
      <c r="I651" s="2" t="n">
        <f aca="false">IF(F651="Present",9,IF(F651="Half Day",4,0))</f>
        <v>0</v>
      </c>
      <c r="J651" s="2"/>
      <c r="K651" s="2" t="s">
        <v>460</v>
      </c>
    </row>
    <row r="652" customFormat="false" ht="15" hidden="false" customHeight="false" outlineLevel="0" collapsed="false">
      <c r="A652" s="2" t="s">
        <v>84</v>
      </c>
      <c r="B652" s="2" t="s">
        <v>85</v>
      </c>
      <c r="C652" s="2" t="s">
        <v>17</v>
      </c>
      <c r="D652" s="3" t="n">
        <v>46265</v>
      </c>
      <c r="E652" s="2" t="str">
        <f aca="false">TEXT(D652,"dddd")</f>
        <v>Monday</v>
      </c>
      <c r="F652" s="2" t="s">
        <v>457</v>
      </c>
      <c r="G652" s="2" t="s">
        <v>458</v>
      </c>
      <c r="H652" s="2" t="s">
        <v>459</v>
      </c>
      <c r="I652" s="2" t="n">
        <f aca="false">IF(F652="Present",9,IF(F652="Half Day",4,0))</f>
        <v>9</v>
      </c>
      <c r="J652" s="2"/>
      <c r="K652" s="2"/>
    </row>
    <row r="653" customFormat="false" ht="15" hidden="false" customHeight="false" outlineLevel="0" collapsed="false">
      <c r="A653" s="2" t="s">
        <v>86</v>
      </c>
      <c r="B653" s="2" t="s">
        <v>87</v>
      </c>
      <c r="C653" s="2" t="s">
        <v>24</v>
      </c>
      <c r="D653" s="3" t="n">
        <v>46235</v>
      </c>
      <c r="E653" s="2" t="str">
        <f aca="false">TEXT(D653,"dddd")</f>
        <v>Saturday</v>
      </c>
      <c r="F653" s="2" t="s">
        <v>461</v>
      </c>
      <c r="G653" s="2"/>
      <c r="H653" s="2"/>
      <c r="I653" s="2" t="n">
        <f aca="false">IF(F653="Present",9,IF(F653="Half Day",4,0))</f>
        <v>0</v>
      </c>
      <c r="J653" s="2"/>
      <c r="K653" s="2" t="s">
        <v>462</v>
      </c>
    </row>
    <row r="654" customFormat="false" ht="15" hidden="false" customHeight="false" outlineLevel="0" collapsed="false">
      <c r="A654" s="2" t="s">
        <v>86</v>
      </c>
      <c r="B654" s="2" t="s">
        <v>87</v>
      </c>
      <c r="C654" s="2" t="s">
        <v>24</v>
      </c>
      <c r="D654" s="3" t="n">
        <v>46236</v>
      </c>
      <c r="E654" s="2" t="str">
        <f aca="false">TEXT(D654,"dddd")</f>
        <v>Sunday</v>
      </c>
      <c r="F654" s="2" t="s">
        <v>460</v>
      </c>
      <c r="G654" s="2"/>
      <c r="H654" s="2"/>
      <c r="I654" s="2" t="n">
        <f aca="false">IF(F654="Present",9,IF(F654="Half Day",4,0))</f>
        <v>0</v>
      </c>
      <c r="J654" s="2"/>
      <c r="K654" s="2" t="s">
        <v>460</v>
      </c>
    </row>
    <row r="655" customFormat="false" ht="15" hidden="false" customHeight="false" outlineLevel="0" collapsed="false">
      <c r="A655" s="2" t="s">
        <v>86</v>
      </c>
      <c r="B655" s="2" t="s">
        <v>87</v>
      </c>
      <c r="C655" s="2" t="s">
        <v>24</v>
      </c>
      <c r="D655" s="3" t="n">
        <v>46237</v>
      </c>
      <c r="E655" s="2" t="str">
        <f aca="false">TEXT(D655,"dddd")</f>
        <v>Monday</v>
      </c>
      <c r="F655" s="2" t="s">
        <v>461</v>
      </c>
      <c r="G655" s="2"/>
      <c r="H655" s="2"/>
      <c r="I655" s="2" t="n">
        <f aca="false">IF(F655="Present",9,IF(F655="Half Day",4,0))</f>
        <v>0</v>
      </c>
      <c r="J655" s="2"/>
      <c r="K655" s="2" t="s">
        <v>462</v>
      </c>
    </row>
    <row r="656" customFormat="false" ht="15" hidden="false" customHeight="false" outlineLevel="0" collapsed="false">
      <c r="A656" s="2" t="s">
        <v>86</v>
      </c>
      <c r="B656" s="2" t="s">
        <v>87</v>
      </c>
      <c r="C656" s="2" t="s">
        <v>24</v>
      </c>
      <c r="D656" s="3" t="n">
        <v>46238</v>
      </c>
      <c r="E656" s="2" t="str">
        <f aca="false">TEXT(D656,"dddd")</f>
        <v>Tuesday</v>
      </c>
      <c r="F656" s="2" t="s">
        <v>457</v>
      </c>
      <c r="G656" s="2" t="s">
        <v>458</v>
      </c>
      <c r="H656" s="2" t="s">
        <v>459</v>
      </c>
      <c r="I656" s="2" t="n">
        <f aca="false">IF(F656="Present",9,IF(F656="Half Day",4,0))</f>
        <v>9</v>
      </c>
      <c r="J656" s="2"/>
      <c r="K656" s="2"/>
    </row>
    <row r="657" customFormat="false" ht="15" hidden="false" customHeight="false" outlineLevel="0" collapsed="false">
      <c r="A657" s="2" t="s">
        <v>86</v>
      </c>
      <c r="B657" s="2" t="s">
        <v>87</v>
      </c>
      <c r="C657" s="2" t="s">
        <v>24</v>
      </c>
      <c r="D657" s="3" t="n">
        <v>46239</v>
      </c>
      <c r="E657" s="2" t="str">
        <f aca="false">TEXT(D657,"dddd")</f>
        <v>Wednesday</v>
      </c>
      <c r="F657" s="2" t="s">
        <v>457</v>
      </c>
      <c r="G657" s="2" t="s">
        <v>458</v>
      </c>
      <c r="H657" s="2" t="s">
        <v>459</v>
      </c>
      <c r="I657" s="2" t="n">
        <f aca="false">IF(F657="Present",9,IF(F657="Half Day",4,0))</f>
        <v>9</v>
      </c>
      <c r="J657" s="2"/>
      <c r="K657" s="2"/>
    </row>
    <row r="658" customFormat="false" ht="15" hidden="false" customHeight="false" outlineLevel="0" collapsed="false">
      <c r="A658" s="2" t="s">
        <v>86</v>
      </c>
      <c r="B658" s="2" t="s">
        <v>87</v>
      </c>
      <c r="C658" s="2" t="s">
        <v>24</v>
      </c>
      <c r="D658" s="3" t="n">
        <v>46240</v>
      </c>
      <c r="E658" s="2" t="str">
        <f aca="false">TEXT(D658,"dddd")</f>
        <v>Thursday</v>
      </c>
      <c r="F658" s="2" t="s">
        <v>461</v>
      </c>
      <c r="G658" s="2"/>
      <c r="H658" s="2"/>
      <c r="I658" s="2" t="n">
        <f aca="false">IF(F658="Present",9,IF(F658="Half Day",4,0))</f>
        <v>0</v>
      </c>
      <c r="J658" s="2"/>
      <c r="K658" s="2" t="s">
        <v>462</v>
      </c>
    </row>
    <row r="659" customFormat="false" ht="15" hidden="false" customHeight="false" outlineLevel="0" collapsed="false">
      <c r="A659" s="2" t="s">
        <v>86</v>
      </c>
      <c r="B659" s="2" t="s">
        <v>87</v>
      </c>
      <c r="C659" s="2" t="s">
        <v>24</v>
      </c>
      <c r="D659" s="3" t="n">
        <v>46241</v>
      </c>
      <c r="E659" s="2" t="str">
        <f aca="false">TEXT(D659,"dddd")</f>
        <v>Friday</v>
      </c>
      <c r="F659" s="2" t="s">
        <v>457</v>
      </c>
      <c r="G659" s="2" t="s">
        <v>458</v>
      </c>
      <c r="H659" s="2" t="s">
        <v>459</v>
      </c>
      <c r="I659" s="2" t="n">
        <f aca="false">IF(F659="Present",9,IF(F659="Half Day",4,0))</f>
        <v>9</v>
      </c>
      <c r="J659" s="2"/>
      <c r="K659" s="2"/>
    </row>
    <row r="660" customFormat="false" ht="15" hidden="false" customHeight="false" outlineLevel="0" collapsed="false">
      <c r="A660" s="2" t="s">
        <v>86</v>
      </c>
      <c r="B660" s="2" t="s">
        <v>87</v>
      </c>
      <c r="C660" s="2" t="s">
        <v>24</v>
      </c>
      <c r="D660" s="3" t="n">
        <v>46242</v>
      </c>
      <c r="E660" s="2" t="str">
        <f aca="false">TEXT(D660,"dddd")</f>
        <v>Saturday</v>
      </c>
      <c r="F660" s="2" t="s">
        <v>457</v>
      </c>
      <c r="G660" s="2" t="s">
        <v>458</v>
      </c>
      <c r="H660" s="2" t="s">
        <v>459</v>
      </c>
      <c r="I660" s="2" t="n">
        <f aca="false">IF(F660="Present",9,IF(F660="Half Day",4,0))</f>
        <v>9</v>
      </c>
      <c r="J660" s="2"/>
      <c r="K660" s="2"/>
    </row>
    <row r="661" customFormat="false" ht="15" hidden="false" customHeight="false" outlineLevel="0" collapsed="false">
      <c r="A661" s="2" t="s">
        <v>86</v>
      </c>
      <c r="B661" s="2" t="s">
        <v>87</v>
      </c>
      <c r="C661" s="2" t="s">
        <v>24</v>
      </c>
      <c r="D661" s="3" t="n">
        <v>46243</v>
      </c>
      <c r="E661" s="2" t="str">
        <f aca="false">TEXT(D661,"dddd")</f>
        <v>Sunday</v>
      </c>
      <c r="F661" s="2" t="s">
        <v>460</v>
      </c>
      <c r="G661" s="2"/>
      <c r="H661" s="2"/>
      <c r="I661" s="2" t="n">
        <f aca="false">IF(F661="Present",9,IF(F661="Half Day",4,0))</f>
        <v>0</v>
      </c>
      <c r="J661" s="2"/>
      <c r="K661" s="2" t="s">
        <v>460</v>
      </c>
    </row>
    <row r="662" customFormat="false" ht="15" hidden="false" customHeight="false" outlineLevel="0" collapsed="false">
      <c r="A662" s="2" t="s">
        <v>86</v>
      </c>
      <c r="B662" s="2" t="s">
        <v>87</v>
      </c>
      <c r="C662" s="2" t="s">
        <v>24</v>
      </c>
      <c r="D662" s="3" t="n">
        <v>46244</v>
      </c>
      <c r="E662" s="2" t="str">
        <f aca="false">TEXT(D662,"dddd")</f>
        <v>Monday</v>
      </c>
      <c r="F662" s="2" t="s">
        <v>461</v>
      </c>
      <c r="G662" s="2"/>
      <c r="H662" s="2"/>
      <c r="I662" s="2" t="n">
        <f aca="false">IF(F662="Present",9,IF(F662="Half Day",4,0))</f>
        <v>0</v>
      </c>
      <c r="J662" s="2"/>
      <c r="K662" s="2" t="s">
        <v>462</v>
      </c>
    </row>
    <row r="663" customFormat="false" ht="15" hidden="false" customHeight="false" outlineLevel="0" collapsed="false">
      <c r="A663" s="2" t="s">
        <v>86</v>
      </c>
      <c r="B663" s="2" t="s">
        <v>87</v>
      </c>
      <c r="C663" s="2" t="s">
        <v>24</v>
      </c>
      <c r="D663" s="3" t="n">
        <v>46245</v>
      </c>
      <c r="E663" s="2" t="str">
        <f aca="false">TEXT(D663,"dddd")</f>
        <v>Tuesday</v>
      </c>
      <c r="F663" s="2" t="s">
        <v>457</v>
      </c>
      <c r="G663" s="2" t="s">
        <v>458</v>
      </c>
      <c r="H663" s="2" t="s">
        <v>459</v>
      </c>
      <c r="I663" s="2" t="n">
        <f aca="false">IF(F663="Present",9,IF(F663="Half Day",4,0))</f>
        <v>9</v>
      </c>
      <c r="J663" s="2"/>
      <c r="K663" s="2"/>
    </row>
    <row r="664" customFormat="false" ht="15" hidden="false" customHeight="false" outlineLevel="0" collapsed="false">
      <c r="A664" s="2" t="s">
        <v>86</v>
      </c>
      <c r="B664" s="2" t="s">
        <v>87</v>
      </c>
      <c r="C664" s="2" t="s">
        <v>24</v>
      </c>
      <c r="D664" s="3" t="n">
        <v>46246</v>
      </c>
      <c r="E664" s="2" t="str">
        <f aca="false">TEXT(D664,"dddd")</f>
        <v>Wednesday</v>
      </c>
      <c r="F664" s="2" t="s">
        <v>457</v>
      </c>
      <c r="G664" s="2" t="s">
        <v>458</v>
      </c>
      <c r="H664" s="2" t="s">
        <v>459</v>
      </c>
      <c r="I664" s="2" t="n">
        <f aca="false">IF(F664="Present",9,IF(F664="Half Day",4,0))</f>
        <v>9</v>
      </c>
      <c r="J664" s="2"/>
      <c r="K664" s="2"/>
    </row>
    <row r="665" customFormat="false" ht="15" hidden="false" customHeight="false" outlineLevel="0" collapsed="false">
      <c r="A665" s="2" t="s">
        <v>86</v>
      </c>
      <c r="B665" s="2" t="s">
        <v>87</v>
      </c>
      <c r="C665" s="2" t="s">
        <v>24</v>
      </c>
      <c r="D665" s="3" t="n">
        <v>46247</v>
      </c>
      <c r="E665" s="2" t="str">
        <f aca="false">TEXT(D665,"dddd")</f>
        <v>Thursday</v>
      </c>
      <c r="F665" s="2" t="s">
        <v>457</v>
      </c>
      <c r="G665" s="2" t="s">
        <v>458</v>
      </c>
      <c r="H665" s="2" t="s">
        <v>459</v>
      </c>
      <c r="I665" s="2" t="n">
        <f aca="false">IF(F665="Present",9,IF(F665="Half Day",4,0))</f>
        <v>9</v>
      </c>
      <c r="J665" s="2"/>
      <c r="K665" s="2"/>
    </row>
    <row r="666" customFormat="false" ht="15" hidden="false" customHeight="false" outlineLevel="0" collapsed="false">
      <c r="A666" s="2" t="s">
        <v>86</v>
      </c>
      <c r="B666" s="2" t="s">
        <v>87</v>
      </c>
      <c r="C666" s="2" t="s">
        <v>24</v>
      </c>
      <c r="D666" s="3" t="n">
        <v>46248</v>
      </c>
      <c r="E666" s="2" t="str">
        <f aca="false">TEXT(D666,"dddd")</f>
        <v>Friday</v>
      </c>
      <c r="F666" s="2" t="s">
        <v>457</v>
      </c>
      <c r="G666" s="2" t="s">
        <v>458</v>
      </c>
      <c r="H666" s="2" t="s">
        <v>459</v>
      </c>
      <c r="I666" s="2" t="n">
        <f aca="false">IF(F666="Present",9,IF(F666="Half Day",4,0))</f>
        <v>9</v>
      </c>
      <c r="J666" s="2"/>
      <c r="K666" s="2"/>
    </row>
    <row r="667" customFormat="false" ht="15" hidden="false" customHeight="false" outlineLevel="0" collapsed="false">
      <c r="A667" s="2" t="s">
        <v>86</v>
      </c>
      <c r="B667" s="2" t="s">
        <v>87</v>
      </c>
      <c r="C667" s="2" t="s">
        <v>24</v>
      </c>
      <c r="D667" s="3" t="n">
        <v>46249</v>
      </c>
      <c r="E667" s="2" t="str">
        <f aca="false">TEXT(D667,"dddd")</f>
        <v>Saturday</v>
      </c>
      <c r="F667" s="2" t="s">
        <v>457</v>
      </c>
      <c r="G667" s="2" t="s">
        <v>458</v>
      </c>
      <c r="H667" s="2" t="s">
        <v>459</v>
      </c>
      <c r="I667" s="2" t="n">
        <f aca="false">IF(F667="Present",9,IF(F667="Half Day",4,0))</f>
        <v>9</v>
      </c>
      <c r="J667" s="2"/>
      <c r="K667" s="2"/>
    </row>
    <row r="668" customFormat="false" ht="15" hidden="false" customHeight="false" outlineLevel="0" collapsed="false">
      <c r="A668" s="2" t="s">
        <v>86</v>
      </c>
      <c r="B668" s="2" t="s">
        <v>87</v>
      </c>
      <c r="C668" s="2" t="s">
        <v>24</v>
      </c>
      <c r="D668" s="3" t="n">
        <v>46250</v>
      </c>
      <c r="E668" s="2" t="str">
        <f aca="false">TEXT(D668,"dddd")</f>
        <v>Sunday</v>
      </c>
      <c r="F668" s="2" t="s">
        <v>460</v>
      </c>
      <c r="G668" s="2"/>
      <c r="H668" s="2"/>
      <c r="I668" s="2" t="n">
        <f aca="false">IF(F668="Present",9,IF(F668="Half Day",4,0))</f>
        <v>0</v>
      </c>
      <c r="J668" s="2"/>
      <c r="K668" s="2" t="s">
        <v>460</v>
      </c>
    </row>
    <row r="669" customFormat="false" ht="15" hidden="false" customHeight="false" outlineLevel="0" collapsed="false">
      <c r="A669" s="2" t="s">
        <v>86</v>
      </c>
      <c r="B669" s="2" t="s">
        <v>87</v>
      </c>
      <c r="C669" s="2" t="s">
        <v>24</v>
      </c>
      <c r="D669" s="3" t="n">
        <v>46251</v>
      </c>
      <c r="E669" s="2" t="str">
        <f aca="false">TEXT(D669,"dddd")</f>
        <v>Monday</v>
      </c>
      <c r="F669" s="2" t="s">
        <v>457</v>
      </c>
      <c r="G669" s="2" t="s">
        <v>458</v>
      </c>
      <c r="H669" s="2" t="s">
        <v>459</v>
      </c>
      <c r="I669" s="2" t="n">
        <f aca="false">IF(F669="Present",9,IF(F669="Half Day",4,0))</f>
        <v>9</v>
      </c>
      <c r="J669" s="2"/>
      <c r="K669" s="2"/>
    </row>
    <row r="670" customFormat="false" ht="15" hidden="false" customHeight="false" outlineLevel="0" collapsed="false">
      <c r="A670" s="2" t="s">
        <v>86</v>
      </c>
      <c r="B670" s="2" t="s">
        <v>87</v>
      </c>
      <c r="C670" s="2" t="s">
        <v>24</v>
      </c>
      <c r="D670" s="3" t="n">
        <v>46252</v>
      </c>
      <c r="E670" s="2" t="str">
        <f aca="false">TEXT(D670,"dddd")</f>
        <v>Tuesday</v>
      </c>
      <c r="F670" s="2" t="s">
        <v>461</v>
      </c>
      <c r="G670" s="2"/>
      <c r="H670" s="2"/>
      <c r="I670" s="2" t="n">
        <f aca="false">IF(F670="Present",9,IF(F670="Half Day",4,0))</f>
        <v>0</v>
      </c>
      <c r="J670" s="2"/>
      <c r="K670" s="2" t="s">
        <v>462</v>
      </c>
    </row>
    <row r="671" customFormat="false" ht="15" hidden="false" customHeight="false" outlineLevel="0" collapsed="false">
      <c r="A671" s="2" t="s">
        <v>86</v>
      </c>
      <c r="B671" s="2" t="s">
        <v>87</v>
      </c>
      <c r="C671" s="2" t="s">
        <v>24</v>
      </c>
      <c r="D671" s="3" t="n">
        <v>46253</v>
      </c>
      <c r="E671" s="2" t="str">
        <f aca="false">TEXT(D671,"dddd")</f>
        <v>Wednesday</v>
      </c>
      <c r="F671" s="2" t="s">
        <v>457</v>
      </c>
      <c r="G671" s="2" t="s">
        <v>458</v>
      </c>
      <c r="H671" s="2" t="s">
        <v>459</v>
      </c>
      <c r="I671" s="2" t="n">
        <f aca="false">IF(F671="Present",9,IF(F671="Half Day",4,0))</f>
        <v>9</v>
      </c>
      <c r="J671" s="2"/>
      <c r="K671" s="2"/>
    </row>
    <row r="672" customFormat="false" ht="15" hidden="false" customHeight="false" outlineLevel="0" collapsed="false">
      <c r="A672" s="2" t="s">
        <v>86</v>
      </c>
      <c r="B672" s="2" t="s">
        <v>87</v>
      </c>
      <c r="C672" s="2" t="s">
        <v>24</v>
      </c>
      <c r="D672" s="3" t="n">
        <v>46254</v>
      </c>
      <c r="E672" s="2" t="str">
        <f aca="false">TEXT(D672,"dddd")</f>
        <v>Thursday</v>
      </c>
      <c r="F672" s="2" t="s">
        <v>461</v>
      </c>
      <c r="G672" s="2"/>
      <c r="H672" s="2"/>
      <c r="I672" s="2" t="n">
        <f aca="false">IF(F672="Present",9,IF(F672="Half Day",4,0))</f>
        <v>0</v>
      </c>
      <c r="J672" s="2"/>
      <c r="K672" s="2" t="s">
        <v>462</v>
      </c>
    </row>
    <row r="673" customFormat="false" ht="15" hidden="false" customHeight="false" outlineLevel="0" collapsed="false">
      <c r="A673" s="2" t="s">
        <v>86</v>
      </c>
      <c r="B673" s="2" t="s">
        <v>87</v>
      </c>
      <c r="C673" s="2" t="s">
        <v>24</v>
      </c>
      <c r="D673" s="3" t="n">
        <v>46255</v>
      </c>
      <c r="E673" s="2" t="str">
        <f aca="false">TEXT(D673,"dddd")</f>
        <v>Friday</v>
      </c>
      <c r="F673" s="2" t="s">
        <v>457</v>
      </c>
      <c r="G673" s="2" t="s">
        <v>458</v>
      </c>
      <c r="H673" s="2" t="s">
        <v>459</v>
      </c>
      <c r="I673" s="2" t="n">
        <f aca="false">IF(F673="Present",9,IF(F673="Half Day",4,0))</f>
        <v>9</v>
      </c>
      <c r="J673" s="2"/>
      <c r="K673" s="2"/>
    </row>
    <row r="674" customFormat="false" ht="15" hidden="false" customHeight="false" outlineLevel="0" collapsed="false">
      <c r="A674" s="2" t="s">
        <v>86</v>
      </c>
      <c r="B674" s="2" t="s">
        <v>87</v>
      </c>
      <c r="C674" s="2" t="s">
        <v>24</v>
      </c>
      <c r="D674" s="3" t="n">
        <v>46256</v>
      </c>
      <c r="E674" s="2" t="str">
        <f aca="false">TEXT(D674,"dddd")</f>
        <v>Saturday</v>
      </c>
      <c r="F674" s="2" t="s">
        <v>457</v>
      </c>
      <c r="G674" s="2" t="s">
        <v>458</v>
      </c>
      <c r="H674" s="2" t="s">
        <v>459</v>
      </c>
      <c r="I674" s="2" t="n">
        <f aca="false">IF(F674="Present",9,IF(F674="Half Day",4,0))</f>
        <v>9</v>
      </c>
      <c r="J674" s="2"/>
      <c r="K674" s="2"/>
    </row>
    <row r="675" customFormat="false" ht="15" hidden="false" customHeight="false" outlineLevel="0" collapsed="false">
      <c r="A675" s="2" t="s">
        <v>86</v>
      </c>
      <c r="B675" s="2" t="s">
        <v>87</v>
      </c>
      <c r="C675" s="2" t="s">
        <v>24</v>
      </c>
      <c r="D675" s="3" t="n">
        <v>46257</v>
      </c>
      <c r="E675" s="2" t="str">
        <f aca="false">TEXT(D675,"dddd")</f>
        <v>Sunday</v>
      </c>
      <c r="F675" s="2" t="s">
        <v>460</v>
      </c>
      <c r="G675" s="2"/>
      <c r="H675" s="2"/>
      <c r="I675" s="2" t="n">
        <f aca="false">IF(F675="Present",9,IF(F675="Half Day",4,0))</f>
        <v>0</v>
      </c>
      <c r="J675" s="2"/>
      <c r="K675" s="2" t="s">
        <v>460</v>
      </c>
    </row>
    <row r="676" customFormat="false" ht="15" hidden="false" customHeight="false" outlineLevel="0" collapsed="false">
      <c r="A676" s="2" t="s">
        <v>86</v>
      </c>
      <c r="B676" s="2" t="s">
        <v>87</v>
      </c>
      <c r="C676" s="2" t="s">
        <v>24</v>
      </c>
      <c r="D676" s="3" t="n">
        <v>46258</v>
      </c>
      <c r="E676" s="2" t="str">
        <f aca="false">TEXT(D676,"dddd")</f>
        <v>Monday</v>
      </c>
      <c r="F676" s="2" t="s">
        <v>457</v>
      </c>
      <c r="G676" s="2" t="s">
        <v>458</v>
      </c>
      <c r="H676" s="2" t="s">
        <v>459</v>
      </c>
      <c r="I676" s="2" t="n">
        <f aca="false">IF(F676="Present",9,IF(F676="Half Day",4,0))</f>
        <v>9</v>
      </c>
      <c r="J676" s="2"/>
      <c r="K676" s="2"/>
    </row>
    <row r="677" customFormat="false" ht="15" hidden="false" customHeight="false" outlineLevel="0" collapsed="false">
      <c r="A677" s="2" t="s">
        <v>86</v>
      </c>
      <c r="B677" s="2" t="s">
        <v>87</v>
      </c>
      <c r="C677" s="2" t="s">
        <v>24</v>
      </c>
      <c r="D677" s="3" t="n">
        <v>46259</v>
      </c>
      <c r="E677" s="2" t="str">
        <f aca="false">TEXT(D677,"dddd")</f>
        <v>Tuesday</v>
      </c>
      <c r="F677" s="2" t="s">
        <v>461</v>
      </c>
      <c r="G677" s="2"/>
      <c r="H677" s="2"/>
      <c r="I677" s="2" t="n">
        <f aca="false">IF(F677="Present",9,IF(F677="Half Day",4,0))</f>
        <v>0</v>
      </c>
      <c r="J677" s="2"/>
      <c r="K677" s="2" t="s">
        <v>462</v>
      </c>
    </row>
    <row r="678" customFormat="false" ht="15" hidden="false" customHeight="false" outlineLevel="0" collapsed="false">
      <c r="A678" s="2" t="s">
        <v>86</v>
      </c>
      <c r="B678" s="2" t="s">
        <v>87</v>
      </c>
      <c r="C678" s="2" t="s">
        <v>24</v>
      </c>
      <c r="D678" s="3" t="n">
        <v>46260</v>
      </c>
      <c r="E678" s="2" t="str">
        <f aca="false">TEXT(D678,"dddd")</f>
        <v>Wednesday</v>
      </c>
      <c r="F678" s="2" t="s">
        <v>461</v>
      </c>
      <c r="G678" s="2"/>
      <c r="H678" s="2"/>
      <c r="I678" s="2" t="n">
        <f aca="false">IF(F678="Present",9,IF(F678="Half Day",4,0))</f>
        <v>0</v>
      </c>
      <c r="J678" s="2"/>
      <c r="K678" s="2" t="s">
        <v>462</v>
      </c>
    </row>
    <row r="679" customFormat="false" ht="15" hidden="false" customHeight="false" outlineLevel="0" collapsed="false">
      <c r="A679" s="2" t="s">
        <v>86</v>
      </c>
      <c r="B679" s="2" t="s">
        <v>87</v>
      </c>
      <c r="C679" s="2" t="s">
        <v>24</v>
      </c>
      <c r="D679" s="3" t="n">
        <v>46261</v>
      </c>
      <c r="E679" s="2" t="str">
        <f aca="false">TEXT(D679,"dddd")</f>
        <v>Thursday</v>
      </c>
      <c r="F679" s="2" t="s">
        <v>457</v>
      </c>
      <c r="G679" s="2" t="s">
        <v>458</v>
      </c>
      <c r="H679" s="2" t="s">
        <v>459</v>
      </c>
      <c r="I679" s="2" t="n">
        <f aca="false">IF(F679="Present",9,IF(F679="Half Day",4,0))</f>
        <v>9</v>
      </c>
      <c r="J679" s="2"/>
      <c r="K679" s="2"/>
    </row>
    <row r="680" customFormat="false" ht="15" hidden="false" customHeight="false" outlineLevel="0" collapsed="false">
      <c r="A680" s="2" t="s">
        <v>86</v>
      </c>
      <c r="B680" s="2" t="s">
        <v>87</v>
      </c>
      <c r="C680" s="2" t="s">
        <v>24</v>
      </c>
      <c r="D680" s="3" t="n">
        <v>46262</v>
      </c>
      <c r="E680" s="2" t="str">
        <f aca="false">TEXT(D680,"dddd")</f>
        <v>Friday</v>
      </c>
      <c r="F680" s="2" t="s">
        <v>457</v>
      </c>
      <c r="G680" s="2" t="s">
        <v>458</v>
      </c>
      <c r="H680" s="2" t="s">
        <v>459</v>
      </c>
      <c r="I680" s="2" t="n">
        <f aca="false">IF(F680="Present",9,IF(F680="Half Day",4,0))</f>
        <v>9</v>
      </c>
      <c r="J680" s="2"/>
      <c r="K680" s="2"/>
    </row>
    <row r="681" customFormat="false" ht="15" hidden="false" customHeight="false" outlineLevel="0" collapsed="false">
      <c r="A681" s="2" t="s">
        <v>86</v>
      </c>
      <c r="B681" s="2" t="s">
        <v>87</v>
      </c>
      <c r="C681" s="2" t="s">
        <v>24</v>
      </c>
      <c r="D681" s="3" t="n">
        <v>46263</v>
      </c>
      <c r="E681" s="2" t="str">
        <f aca="false">TEXT(D681,"dddd")</f>
        <v>Saturday</v>
      </c>
      <c r="F681" s="2" t="s">
        <v>461</v>
      </c>
      <c r="G681" s="2"/>
      <c r="H681" s="2"/>
      <c r="I681" s="2" t="n">
        <f aca="false">IF(F681="Present",9,IF(F681="Half Day",4,0))</f>
        <v>0</v>
      </c>
      <c r="J681" s="2"/>
      <c r="K681" s="2" t="s">
        <v>462</v>
      </c>
    </row>
    <row r="682" customFormat="false" ht="15" hidden="false" customHeight="false" outlineLevel="0" collapsed="false">
      <c r="A682" s="2" t="s">
        <v>86</v>
      </c>
      <c r="B682" s="2" t="s">
        <v>87</v>
      </c>
      <c r="C682" s="2" t="s">
        <v>24</v>
      </c>
      <c r="D682" s="3" t="n">
        <v>46264</v>
      </c>
      <c r="E682" s="2" t="str">
        <f aca="false">TEXT(D682,"dddd")</f>
        <v>Sunday</v>
      </c>
      <c r="F682" s="2" t="s">
        <v>460</v>
      </c>
      <c r="G682" s="2"/>
      <c r="H682" s="2"/>
      <c r="I682" s="2" t="n">
        <f aca="false">IF(F682="Present",9,IF(F682="Half Day",4,0))</f>
        <v>0</v>
      </c>
      <c r="J682" s="2"/>
      <c r="K682" s="2" t="s">
        <v>460</v>
      </c>
    </row>
    <row r="683" customFormat="false" ht="15" hidden="false" customHeight="false" outlineLevel="0" collapsed="false">
      <c r="A683" s="2" t="s">
        <v>86</v>
      </c>
      <c r="B683" s="2" t="s">
        <v>87</v>
      </c>
      <c r="C683" s="2" t="s">
        <v>24</v>
      </c>
      <c r="D683" s="3" t="n">
        <v>46265</v>
      </c>
      <c r="E683" s="2" t="str">
        <f aca="false">TEXT(D683,"dddd")</f>
        <v>Monday</v>
      </c>
      <c r="F683" s="2" t="s">
        <v>457</v>
      </c>
      <c r="G683" s="2" t="s">
        <v>458</v>
      </c>
      <c r="H683" s="2" t="s">
        <v>459</v>
      </c>
      <c r="I683" s="2" t="n">
        <f aca="false">IF(F683="Present",9,IF(F683="Half Day",4,0))</f>
        <v>9</v>
      </c>
      <c r="J683" s="2"/>
      <c r="K683" s="2"/>
    </row>
    <row r="684" customFormat="false" ht="15" hidden="false" customHeight="false" outlineLevel="0" collapsed="false">
      <c r="A684" s="2" t="s">
        <v>88</v>
      </c>
      <c r="B684" s="2" t="s">
        <v>89</v>
      </c>
      <c r="C684" s="2" t="s">
        <v>28</v>
      </c>
      <c r="D684" s="3" t="n">
        <v>46235</v>
      </c>
      <c r="E684" s="2" t="str">
        <f aca="false">TEXT(D684,"dddd")</f>
        <v>Saturday</v>
      </c>
      <c r="F684" s="2" t="s">
        <v>457</v>
      </c>
      <c r="G684" s="2" t="s">
        <v>458</v>
      </c>
      <c r="H684" s="2" t="s">
        <v>459</v>
      </c>
      <c r="I684" s="2" t="n">
        <f aca="false">IF(F684="Present",9,IF(F684="Half Day",4,0))</f>
        <v>9</v>
      </c>
      <c r="J684" s="2"/>
      <c r="K684" s="2"/>
    </row>
    <row r="685" customFormat="false" ht="15" hidden="false" customHeight="false" outlineLevel="0" collapsed="false">
      <c r="A685" s="2" t="s">
        <v>88</v>
      </c>
      <c r="B685" s="2" t="s">
        <v>89</v>
      </c>
      <c r="C685" s="2" t="s">
        <v>28</v>
      </c>
      <c r="D685" s="3" t="n">
        <v>46236</v>
      </c>
      <c r="E685" s="2" t="str">
        <f aca="false">TEXT(D685,"dddd")</f>
        <v>Sunday</v>
      </c>
      <c r="F685" s="2" t="s">
        <v>460</v>
      </c>
      <c r="G685" s="2"/>
      <c r="H685" s="2"/>
      <c r="I685" s="2" t="n">
        <f aca="false">IF(F685="Present",9,IF(F685="Half Day",4,0))</f>
        <v>0</v>
      </c>
      <c r="J685" s="2"/>
      <c r="K685" s="2" t="s">
        <v>460</v>
      </c>
    </row>
    <row r="686" customFormat="false" ht="15" hidden="false" customHeight="false" outlineLevel="0" collapsed="false">
      <c r="A686" s="2" t="s">
        <v>88</v>
      </c>
      <c r="B686" s="2" t="s">
        <v>89</v>
      </c>
      <c r="C686" s="2" t="s">
        <v>28</v>
      </c>
      <c r="D686" s="3" t="n">
        <v>46237</v>
      </c>
      <c r="E686" s="2" t="str">
        <f aca="false">TEXT(D686,"dddd")</f>
        <v>Monday</v>
      </c>
      <c r="F686" s="2" t="s">
        <v>457</v>
      </c>
      <c r="G686" s="2" t="s">
        <v>458</v>
      </c>
      <c r="H686" s="2" t="s">
        <v>459</v>
      </c>
      <c r="I686" s="2" t="n">
        <f aca="false">IF(F686="Present",9,IF(F686="Half Day",4,0))</f>
        <v>9</v>
      </c>
      <c r="J686" s="2"/>
      <c r="K686" s="2"/>
    </row>
    <row r="687" customFormat="false" ht="15" hidden="false" customHeight="false" outlineLevel="0" collapsed="false">
      <c r="A687" s="2" t="s">
        <v>88</v>
      </c>
      <c r="B687" s="2" t="s">
        <v>89</v>
      </c>
      <c r="C687" s="2" t="s">
        <v>28</v>
      </c>
      <c r="D687" s="3" t="n">
        <v>46238</v>
      </c>
      <c r="E687" s="2" t="str">
        <f aca="false">TEXT(D687,"dddd")</f>
        <v>Tuesday</v>
      </c>
      <c r="F687" s="2" t="s">
        <v>461</v>
      </c>
      <c r="G687" s="2"/>
      <c r="H687" s="2"/>
      <c r="I687" s="2" t="n">
        <f aca="false">IF(F687="Present",9,IF(F687="Half Day",4,0))</f>
        <v>0</v>
      </c>
      <c r="J687" s="2"/>
      <c r="K687" s="2" t="s">
        <v>462</v>
      </c>
    </row>
    <row r="688" customFormat="false" ht="15" hidden="false" customHeight="false" outlineLevel="0" collapsed="false">
      <c r="A688" s="2" t="s">
        <v>88</v>
      </c>
      <c r="B688" s="2" t="s">
        <v>89</v>
      </c>
      <c r="C688" s="2" t="s">
        <v>28</v>
      </c>
      <c r="D688" s="3" t="n">
        <v>46239</v>
      </c>
      <c r="E688" s="2" t="str">
        <f aca="false">TEXT(D688,"dddd")</f>
        <v>Wednesday</v>
      </c>
      <c r="F688" s="2" t="s">
        <v>461</v>
      </c>
      <c r="G688" s="2"/>
      <c r="H688" s="2"/>
      <c r="I688" s="2" t="n">
        <f aca="false">IF(F688="Present",9,IF(F688="Half Day",4,0))</f>
        <v>0</v>
      </c>
      <c r="J688" s="2"/>
      <c r="K688" s="2" t="s">
        <v>462</v>
      </c>
    </row>
    <row r="689" customFormat="false" ht="15" hidden="false" customHeight="false" outlineLevel="0" collapsed="false">
      <c r="A689" s="2" t="s">
        <v>88</v>
      </c>
      <c r="B689" s="2" t="s">
        <v>89</v>
      </c>
      <c r="C689" s="2" t="s">
        <v>28</v>
      </c>
      <c r="D689" s="3" t="n">
        <v>46240</v>
      </c>
      <c r="E689" s="2" t="str">
        <f aca="false">TEXT(D689,"dddd")</f>
        <v>Thursday</v>
      </c>
      <c r="F689" s="2" t="s">
        <v>457</v>
      </c>
      <c r="G689" s="2" t="s">
        <v>458</v>
      </c>
      <c r="H689" s="2" t="s">
        <v>459</v>
      </c>
      <c r="I689" s="2" t="n">
        <f aca="false">IF(F689="Present",9,IF(F689="Half Day",4,0))</f>
        <v>9</v>
      </c>
      <c r="J689" s="2"/>
      <c r="K689" s="2"/>
    </row>
    <row r="690" customFormat="false" ht="15" hidden="false" customHeight="false" outlineLevel="0" collapsed="false">
      <c r="A690" s="2" t="s">
        <v>88</v>
      </c>
      <c r="B690" s="2" t="s">
        <v>89</v>
      </c>
      <c r="C690" s="2" t="s">
        <v>28</v>
      </c>
      <c r="D690" s="3" t="n">
        <v>46241</v>
      </c>
      <c r="E690" s="2" t="str">
        <f aca="false">TEXT(D690,"dddd")</f>
        <v>Friday</v>
      </c>
      <c r="F690" s="2" t="s">
        <v>461</v>
      </c>
      <c r="G690" s="2"/>
      <c r="H690" s="2"/>
      <c r="I690" s="2" t="n">
        <f aca="false">IF(F690="Present",9,IF(F690="Half Day",4,0))</f>
        <v>0</v>
      </c>
      <c r="J690" s="2"/>
      <c r="K690" s="2" t="s">
        <v>462</v>
      </c>
    </row>
    <row r="691" customFormat="false" ht="15" hidden="false" customHeight="false" outlineLevel="0" collapsed="false">
      <c r="A691" s="2" t="s">
        <v>88</v>
      </c>
      <c r="B691" s="2" t="s">
        <v>89</v>
      </c>
      <c r="C691" s="2" t="s">
        <v>28</v>
      </c>
      <c r="D691" s="3" t="n">
        <v>46242</v>
      </c>
      <c r="E691" s="2" t="str">
        <f aca="false">TEXT(D691,"dddd")</f>
        <v>Saturday</v>
      </c>
      <c r="F691" s="2" t="s">
        <v>457</v>
      </c>
      <c r="G691" s="2" t="s">
        <v>458</v>
      </c>
      <c r="H691" s="2" t="s">
        <v>459</v>
      </c>
      <c r="I691" s="2" t="n">
        <f aca="false">IF(F691="Present",9,IF(F691="Half Day",4,0))</f>
        <v>9</v>
      </c>
      <c r="J691" s="2"/>
      <c r="K691" s="2"/>
    </row>
    <row r="692" customFormat="false" ht="15" hidden="false" customHeight="false" outlineLevel="0" collapsed="false">
      <c r="A692" s="2" t="s">
        <v>88</v>
      </c>
      <c r="B692" s="2" t="s">
        <v>89</v>
      </c>
      <c r="C692" s="2" t="s">
        <v>28</v>
      </c>
      <c r="D692" s="3" t="n">
        <v>46243</v>
      </c>
      <c r="E692" s="2" t="str">
        <f aca="false">TEXT(D692,"dddd")</f>
        <v>Sunday</v>
      </c>
      <c r="F692" s="2" t="s">
        <v>460</v>
      </c>
      <c r="G692" s="2"/>
      <c r="H692" s="2"/>
      <c r="I692" s="2" t="n">
        <f aca="false">IF(F692="Present",9,IF(F692="Half Day",4,0))</f>
        <v>0</v>
      </c>
      <c r="J692" s="2"/>
      <c r="K692" s="2" t="s">
        <v>460</v>
      </c>
    </row>
    <row r="693" customFormat="false" ht="15" hidden="false" customHeight="false" outlineLevel="0" collapsed="false">
      <c r="A693" s="2" t="s">
        <v>88</v>
      </c>
      <c r="B693" s="2" t="s">
        <v>89</v>
      </c>
      <c r="C693" s="2" t="s">
        <v>28</v>
      </c>
      <c r="D693" s="3" t="n">
        <v>46244</v>
      </c>
      <c r="E693" s="2" t="str">
        <f aca="false">TEXT(D693,"dddd")</f>
        <v>Monday</v>
      </c>
      <c r="F693" s="2" t="s">
        <v>457</v>
      </c>
      <c r="G693" s="2" t="s">
        <v>458</v>
      </c>
      <c r="H693" s="2" t="s">
        <v>459</v>
      </c>
      <c r="I693" s="2" t="n">
        <f aca="false">IF(F693="Present",9,IF(F693="Half Day",4,0))</f>
        <v>9</v>
      </c>
      <c r="J693" s="2"/>
      <c r="K693" s="2"/>
    </row>
    <row r="694" customFormat="false" ht="15" hidden="false" customHeight="false" outlineLevel="0" collapsed="false">
      <c r="A694" s="2" t="s">
        <v>88</v>
      </c>
      <c r="B694" s="2" t="s">
        <v>89</v>
      </c>
      <c r="C694" s="2" t="s">
        <v>28</v>
      </c>
      <c r="D694" s="3" t="n">
        <v>46245</v>
      </c>
      <c r="E694" s="2" t="str">
        <f aca="false">TEXT(D694,"dddd")</f>
        <v>Tuesday</v>
      </c>
      <c r="F694" s="2" t="s">
        <v>457</v>
      </c>
      <c r="G694" s="2" t="s">
        <v>458</v>
      </c>
      <c r="H694" s="2" t="s">
        <v>459</v>
      </c>
      <c r="I694" s="2" t="n">
        <f aca="false">IF(F694="Present",9,IF(F694="Half Day",4,0))</f>
        <v>9</v>
      </c>
      <c r="J694" s="2"/>
      <c r="K694" s="2"/>
    </row>
    <row r="695" customFormat="false" ht="15" hidden="false" customHeight="false" outlineLevel="0" collapsed="false">
      <c r="A695" s="2" t="s">
        <v>88</v>
      </c>
      <c r="B695" s="2" t="s">
        <v>89</v>
      </c>
      <c r="C695" s="2" t="s">
        <v>28</v>
      </c>
      <c r="D695" s="3" t="n">
        <v>46246</v>
      </c>
      <c r="E695" s="2" t="str">
        <f aca="false">TEXT(D695,"dddd")</f>
        <v>Wednesday</v>
      </c>
      <c r="F695" s="2" t="s">
        <v>457</v>
      </c>
      <c r="G695" s="2" t="s">
        <v>458</v>
      </c>
      <c r="H695" s="2" t="s">
        <v>459</v>
      </c>
      <c r="I695" s="2" t="n">
        <f aca="false">IF(F695="Present",9,IF(F695="Half Day",4,0))</f>
        <v>9</v>
      </c>
      <c r="J695" s="2"/>
      <c r="K695" s="2"/>
    </row>
    <row r="696" customFormat="false" ht="15" hidden="false" customHeight="false" outlineLevel="0" collapsed="false">
      <c r="A696" s="2" t="s">
        <v>88</v>
      </c>
      <c r="B696" s="2" t="s">
        <v>89</v>
      </c>
      <c r="C696" s="2" t="s">
        <v>28</v>
      </c>
      <c r="D696" s="3" t="n">
        <v>46247</v>
      </c>
      <c r="E696" s="2" t="str">
        <f aca="false">TEXT(D696,"dddd")</f>
        <v>Thursday</v>
      </c>
      <c r="F696" s="2" t="s">
        <v>457</v>
      </c>
      <c r="G696" s="2" t="s">
        <v>458</v>
      </c>
      <c r="H696" s="2" t="s">
        <v>459</v>
      </c>
      <c r="I696" s="2" t="n">
        <f aca="false">IF(F696="Present",9,IF(F696="Half Day",4,0))</f>
        <v>9</v>
      </c>
      <c r="J696" s="2"/>
      <c r="K696" s="2"/>
    </row>
    <row r="697" customFormat="false" ht="15" hidden="false" customHeight="false" outlineLevel="0" collapsed="false">
      <c r="A697" s="2" t="s">
        <v>88</v>
      </c>
      <c r="B697" s="2" t="s">
        <v>89</v>
      </c>
      <c r="C697" s="2" t="s">
        <v>28</v>
      </c>
      <c r="D697" s="3" t="n">
        <v>46248</v>
      </c>
      <c r="E697" s="2" t="str">
        <f aca="false">TEXT(D697,"dddd")</f>
        <v>Friday</v>
      </c>
      <c r="F697" s="2" t="s">
        <v>457</v>
      </c>
      <c r="G697" s="2" t="s">
        <v>458</v>
      </c>
      <c r="H697" s="2" t="s">
        <v>459</v>
      </c>
      <c r="I697" s="2" t="n">
        <f aca="false">IF(F697="Present",9,IF(F697="Half Day",4,0))</f>
        <v>9</v>
      </c>
      <c r="J697" s="2"/>
      <c r="K697" s="2"/>
    </row>
    <row r="698" customFormat="false" ht="15" hidden="false" customHeight="false" outlineLevel="0" collapsed="false">
      <c r="A698" s="2" t="s">
        <v>88</v>
      </c>
      <c r="B698" s="2" t="s">
        <v>89</v>
      </c>
      <c r="C698" s="2" t="s">
        <v>28</v>
      </c>
      <c r="D698" s="3" t="n">
        <v>46249</v>
      </c>
      <c r="E698" s="2" t="str">
        <f aca="false">TEXT(D698,"dddd")</f>
        <v>Saturday</v>
      </c>
      <c r="F698" s="2" t="s">
        <v>457</v>
      </c>
      <c r="G698" s="2" t="s">
        <v>458</v>
      </c>
      <c r="H698" s="2" t="s">
        <v>459</v>
      </c>
      <c r="I698" s="2" t="n">
        <f aca="false">IF(F698="Present",9,IF(F698="Half Day",4,0))</f>
        <v>9</v>
      </c>
      <c r="J698" s="2"/>
      <c r="K698" s="2"/>
    </row>
    <row r="699" customFormat="false" ht="15" hidden="false" customHeight="false" outlineLevel="0" collapsed="false">
      <c r="A699" s="2" t="s">
        <v>88</v>
      </c>
      <c r="B699" s="2" t="s">
        <v>89</v>
      </c>
      <c r="C699" s="2" t="s">
        <v>28</v>
      </c>
      <c r="D699" s="3" t="n">
        <v>46250</v>
      </c>
      <c r="E699" s="2" t="str">
        <f aca="false">TEXT(D699,"dddd")</f>
        <v>Sunday</v>
      </c>
      <c r="F699" s="2" t="s">
        <v>460</v>
      </c>
      <c r="G699" s="2"/>
      <c r="H699" s="2"/>
      <c r="I699" s="2" t="n">
        <f aca="false">IF(F699="Present",9,IF(F699="Half Day",4,0))</f>
        <v>0</v>
      </c>
      <c r="J699" s="2"/>
      <c r="K699" s="2" t="s">
        <v>460</v>
      </c>
    </row>
    <row r="700" customFormat="false" ht="15" hidden="false" customHeight="false" outlineLevel="0" collapsed="false">
      <c r="A700" s="2" t="s">
        <v>88</v>
      </c>
      <c r="B700" s="2" t="s">
        <v>89</v>
      </c>
      <c r="C700" s="2" t="s">
        <v>28</v>
      </c>
      <c r="D700" s="3" t="n">
        <v>46251</v>
      </c>
      <c r="E700" s="2" t="str">
        <f aca="false">TEXT(D700,"dddd")</f>
        <v>Monday</v>
      </c>
      <c r="F700" s="2" t="s">
        <v>457</v>
      </c>
      <c r="G700" s="2" t="s">
        <v>458</v>
      </c>
      <c r="H700" s="2" t="s">
        <v>459</v>
      </c>
      <c r="I700" s="2" t="n">
        <f aca="false">IF(F700="Present",9,IF(F700="Half Day",4,0))</f>
        <v>9</v>
      </c>
      <c r="J700" s="2"/>
      <c r="K700" s="2"/>
    </row>
    <row r="701" customFormat="false" ht="15" hidden="false" customHeight="false" outlineLevel="0" collapsed="false">
      <c r="A701" s="2" t="s">
        <v>88</v>
      </c>
      <c r="B701" s="2" t="s">
        <v>89</v>
      </c>
      <c r="C701" s="2" t="s">
        <v>28</v>
      </c>
      <c r="D701" s="3" t="n">
        <v>46252</v>
      </c>
      <c r="E701" s="2" t="str">
        <f aca="false">TEXT(D701,"dddd")</f>
        <v>Tuesday</v>
      </c>
      <c r="F701" s="2" t="s">
        <v>457</v>
      </c>
      <c r="G701" s="2" t="s">
        <v>458</v>
      </c>
      <c r="H701" s="2" t="s">
        <v>459</v>
      </c>
      <c r="I701" s="2" t="n">
        <f aca="false">IF(F701="Present",9,IF(F701="Half Day",4,0))</f>
        <v>9</v>
      </c>
      <c r="J701" s="2"/>
      <c r="K701" s="2"/>
    </row>
    <row r="702" customFormat="false" ht="15" hidden="false" customHeight="false" outlineLevel="0" collapsed="false">
      <c r="A702" s="2" t="s">
        <v>88</v>
      </c>
      <c r="B702" s="2" t="s">
        <v>89</v>
      </c>
      <c r="C702" s="2" t="s">
        <v>28</v>
      </c>
      <c r="D702" s="3" t="n">
        <v>46253</v>
      </c>
      <c r="E702" s="2" t="str">
        <f aca="false">TEXT(D702,"dddd")</f>
        <v>Wednesday</v>
      </c>
      <c r="F702" s="2" t="s">
        <v>457</v>
      </c>
      <c r="G702" s="2" t="s">
        <v>458</v>
      </c>
      <c r="H702" s="2" t="s">
        <v>459</v>
      </c>
      <c r="I702" s="2" t="n">
        <f aca="false">IF(F702="Present",9,IF(F702="Half Day",4,0))</f>
        <v>9</v>
      </c>
      <c r="J702" s="2"/>
      <c r="K702" s="2"/>
    </row>
    <row r="703" customFormat="false" ht="15" hidden="false" customHeight="false" outlineLevel="0" collapsed="false">
      <c r="A703" s="2" t="s">
        <v>88</v>
      </c>
      <c r="B703" s="2" t="s">
        <v>89</v>
      </c>
      <c r="C703" s="2" t="s">
        <v>28</v>
      </c>
      <c r="D703" s="3" t="n">
        <v>46254</v>
      </c>
      <c r="E703" s="2" t="str">
        <f aca="false">TEXT(D703,"dddd")</f>
        <v>Thursday</v>
      </c>
      <c r="F703" s="2" t="s">
        <v>457</v>
      </c>
      <c r="G703" s="2" t="s">
        <v>458</v>
      </c>
      <c r="H703" s="2" t="s">
        <v>459</v>
      </c>
      <c r="I703" s="2" t="n">
        <f aca="false">IF(F703="Present",9,IF(F703="Half Day",4,0))</f>
        <v>9</v>
      </c>
      <c r="J703" s="2"/>
      <c r="K703" s="2"/>
    </row>
    <row r="704" customFormat="false" ht="15" hidden="false" customHeight="false" outlineLevel="0" collapsed="false">
      <c r="A704" s="2" t="s">
        <v>88</v>
      </c>
      <c r="B704" s="2" t="s">
        <v>89</v>
      </c>
      <c r="C704" s="2" t="s">
        <v>28</v>
      </c>
      <c r="D704" s="3" t="n">
        <v>46255</v>
      </c>
      <c r="E704" s="2" t="str">
        <f aca="false">TEXT(D704,"dddd")</f>
        <v>Friday</v>
      </c>
      <c r="F704" s="2" t="s">
        <v>457</v>
      </c>
      <c r="G704" s="2" t="s">
        <v>458</v>
      </c>
      <c r="H704" s="2" t="s">
        <v>459</v>
      </c>
      <c r="I704" s="2" t="n">
        <f aca="false">IF(F704="Present",9,IF(F704="Half Day",4,0))</f>
        <v>9</v>
      </c>
      <c r="J704" s="2"/>
      <c r="K704" s="2"/>
    </row>
    <row r="705" customFormat="false" ht="15" hidden="false" customHeight="false" outlineLevel="0" collapsed="false">
      <c r="A705" s="2" t="s">
        <v>88</v>
      </c>
      <c r="B705" s="2" t="s">
        <v>89</v>
      </c>
      <c r="C705" s="2" t="s">
        <v>28</v>
      </c>
      <c r="D705" s="3" t="n">
        <v>46256</v>
      </c>
      <c r="E705" s="2" t="str">
        <f aca="false">TEXT(D705,"dddd")</f>
        <v>Saturday</v>
      </c>
      <c r="F705" s="2" t="s">
        <v>461</v>
      </c>
      <c r="G705" s="2"/>
      <c r="H705" s="2"/>
      <c r="I705" s="2" t="n">
        <f aca="false">IF(F705="Present",9,IF(F705="Half Day",4,0))</f>
        <v>0</v>
      </c>
      <c r="J705" s="2"/>
      <c r="K705" s="2" t="s">
        <v>462</v>
      </c>
    </row>
    <row r="706" customFormat="false" ht="15" hidden="false" customHeight="false" outlineLevel="0" collapsed="false">
      <c r="A706" s="2" t="s">
        <v>88</v>
      </c>
      <c r="B706" s="2" t="s">
        <v>89</v>
      </c>
      <c r="C706" s="2" t="s">
        <v>28</v>
      </c>
      <c r="D706" s="3" t="n">
        <v>46257</v>
      </c>
      <c r="E706" s="2" t="str">
        <f aca="false">TEXT(D706,"dddd")</f>
        <v>Sunday</v>
      </c>
      <c r="F706" s="2" t="s">
        <v>460</v>
      </c>
      <c r="G706" s="2"/>
      <c r="H706" s="2"/>
      <c r="I706" s="2" t="n">
        <f aca="false">IF(F706="Present",9,IF(F706="Half Day",4,0))</f>
        <v>0</v>
      </c>
      <c r="J706" s="2"/>
      <c r="K706" s="2" t="s">
        <v>460</v>
      </c>
    </row>
    <row r="707" customFormat="false" ht="15" hidden="false" customHeight="false" outlineLevel="0" collapsed="false">
      <c r="A707" s="2" t="s">
        <v>88</v>
      </c>
      <c r="B707" s="2" t="s">
        <v>89</v>
      </c>
      <c r="C707" s="2" t="s">
        <v>28</v>
      </c>
      <c r="D707" s="3" t="n">
        <v>46258</v>
      </c>
      <c r="E707" s="2" t="str">
        <f aca="false">TEXT(D707,"dddd")</f>
        <v>Monday</v>
      </c>
      <c r="F707" s="2" t="s">
        <v>457</v>
      </c>
      <c r="G707" s="2" t="s">
        <v>458</v>
      </c>
      <c r="H707" s="2" t="s">
        <v>459</v>
      </c>
      <c r="I707" s="2" t="n">
        <f aca="false">IF(F707="Present",9,IF(F707="Half Day",4,0))</f>
        <v>9</v>
      </c>
      <c r="J707" s="2"/>
      <c r="K707" s="2"/>
    </row>
    <row r="708" customFormat="false" ht="15" hidden="false" customHeight="false" outlineLevel="0" collapsed="false">
      <c r="A708" s="2" t="s">
        <v>88</v>
      </c>
      <c r="B708" s="2" t="s">
        <v>89</v>
      </c>
      <c r="C708" s="2" t="s">
        <v>28</v>
      </c>
      <c r="D708" s="3" t="n">
        <v>46259</v>
      </c>
      <c r="E708" s="2" t="str">
        <f aca="false">TEXT(D708,"dddd")</f>
        <v>Tuesday</v>
      </c>
      <c r="F708" s="2" t="s">
        <v>461</v>
      </c>
      <c r="G708" s="2"/>
      <c r="H708" s="2"/>
      <c r="I708" s="2" t="n">
        <f aca="false">IF(F708="Present",9,IF(F708="Half Day",4,0))</f>
        <v>0</v>
      </c>
      <c r="J708" s="2"/>
      <c r="K708" s="2" t="s">
        <v>462</v>
      </c>
    </row>
    <row r="709" customFormat="false" ht="15" hidden="false" customHeight="false" outlineLevel="0" collapsed="false">
      <c r="A709" s="2" t="s">
        <v>88</v>
      </c>
      <c r="B709" s="2" t="s">
        <v>89</v>
      </c>
      <c r="C709" s="2" t="s">
        <v>28</v>
      </c>
      <c r="D709" s="3" t="n">
        <v>46260</v>
      </c>
      <c r="E709" s="2" t="str">
        <f aca="false">TEXT(D709,"dddd")</f>
        <v>Wednesday</v>
      </c>
      <c r="F709" s="2" t="s">
        <v>457</v>
      </c>
      <c r="G709" s="2" t="s">
        <v>458</v>
      </c>
      <c r="H709" s="2" t="s">
        <v>459</v>
      </c>
      <c r="I709" s="2" t="n">
        <f aca="false">IF(F709="Present",9,IF(F709="Half Day",4,0))</f>
        <v>9</v>
      </c>
      <c r="J709" s="2"/>
      <c r="K709" s="2"/>
    </row>
    <row r="710" customFormat="false" ht="15" hidden="false" customHeight="false" outlineLevel="0" collapsed="false">
      <c r="A710" s="2" t="s">
        <v>88</v>
      </c>
      <c r="B710" s="2" t="s">
        <v>89</v>
      </c>
      <c r="C710" s="2" t="s">
        <v>28</v>
      </c>
      <c r="D710" s="3" t="n">
        <v>46261</v>
      </c>
      <c r="E710" s="2" t="str">
        <f aca="false">TEXT(D710,"dddd")</f>
        <v>Thursday</v>
      </c>
      <c r="F710" s="2" t="s">
        <v>457</v>
      </c>
      <c r="G710" s="2" t="s">
        <v>458</v>
      </c>
      <c r="H710" s="2" t="s">
        <v>459</v>
      </c>
      <c r="I710" s="2" t="n">
        <f aca="false">IF(F710="Present",9,IF(F710="Half Day",4,0))</f>
        <v>9</v>
      </c>
      <c r="J710" s="2"/>
      <c r="K710" s="2"/>
    </row>
    <row r="711" customFormat="false" ht="15" hidden="false" customHeight="false" outlineLevel="0" collapsed="false">
      <c r="A711" s="2" t="s">
        <v>88</v>
      </c>
      <c r="B711" s="2" t="s">
        <v>89</v>
      </c>
      <c r="C711" s="2" t="s">
        <v>28</v>
      </c>
      <c r="D711" s="3" t="n">
        <v>46262</v>
      </c>
      <c r="E711" s="2" t="str">
        <f aca="false">TEXT(D711,"dddd")</f>
        <v>Friday</v>
      </c>
      <c r="F711" s="2" t="s">
        <v>457</v>
      </c>
      <c r="G711" s="2" t="s">
        <v>458</v>
      </c>
      <c r="H711" s="2" t="s">
        <v>459</v>
      </c>
      <c r="I711" s="2" t="n">
        <f aca="false">IF(F711="Present",9,IF(F711="Half Day",4,0))</f>
        <v>9</v>
      </c>
      <c r="J711" s="2"/>
      <c r="K711" s="2"/>
    </row>
    <row r="712" customFormat="false" ht="15" hidden="false" customHeight="false" outlineLevel="0" collapsed="false">
      <c r="A712" s="2" t="s">
        <v>88</v>
      </c>
      <c r="B712" s="2" t="s">
        <v>89</v>
      </c>
      <c r="C712" s="2" t="s">
        <v>28</v>
      </c>
      <c r="D712" s="3" t="n">
        <v>46263</v>
      </c>
      <c r="E712" s="2" t="str">
        <f aca="false">TEXT(D712,"dddd")</f>
        <v>Saturday</v>
      </c>
      <c r="F712" s="2" t="s">
        <v>457</v>
      </c>
      <c r="G712" s="2" t="s">
        <v>458</v>
      </c>
      <c r="H712" s="2" t="s">
        <v>459</v>
      </c>
      <c r="I712" s="2" t="n">
        <f aca="false">IF(F712="Present",9,IF(F712="Half Day",4,0))</f>
        <v>9</v>
      </c>
      <c r="J712" s="2"/>
      <c r="K712" s="2"/>
    </row>
    <row r="713" customFormat="false" ht="15" hidden="false" customHeight="false" outlineLevel="0" collapsed="false">
      <c r="A713" s="2" t="s">
        <v>88</v>
      </c>
      <c r="B713" s="2" t="s">
        <v>89</v>
      </c>
      <c r="C713" s="2" t="s">
        <v>28</v>
      </c>
      <c r="D713" s="3" t="n">
        <v>46264</v>
      </c>
      <c r="E713" s="2" t="str">
        <f aca="false">TEXT(D713,"dddd")</f>
        <v>Sunday</v>
      </c>
      <c r="F713" s="2" t="s">
        <v>460</v>
      </c>
      <c r="G713" s="2"/>
      <c r="H713" s="2"/>
      <c r="I713" s="2" t="n">
        <f aca="false">IF(F713="Present",9,IF(F713="Half Day",4,0))</f>
        <v>0</v>
      </c>
      <c r="J713" s="2"/>
      <c r="K713" s="2" t="s">
        <v>460</v>
      </c>
    </row>
    <row r="714" customFormat="false" ht="15" hidden="false" customHeight="false" outlineLevel="0" collapsed="false">
      <c r="A714" s="2" t="s">
        <v>88</v>
      </c>
      <c r="B714" s="2" t="s">
        <v>89</v>
      </c>
      <c r="C714" s="2" t="s">
        <v>28</v>
      </c>
      <c r="D714" s="3" t="n">
        <v>46265</v>
      </c>
      <c r="E714" s="2" t="str">
        <f aca="false">TEXT(D714,"dddd")</f>
        <v>Monday</v>
      </c>
      <c r="F714" s="2" t="s">
        <v>457</v>
      </c>
      <c r="G714" s="2" t="s">
        <v>458</v>
      </c>
      <c r="H714" s="2" t="s">
        <v>459</v>
      </c>
      <c r="I714" s="2" t="n">
        <f aca="false">IF(F714="Present",9,IF(F714="Half Day",4,0))</f>
        <v>9</v>
      </c>
      <c r="J714" s="2"/>
      <c r="K714" s="2"/>
    </row>
    <row r="715" customFormat="false" ht="15" hidden="false" customHeight="false" outlineLevel="0" collapsed="false">
      <c r="A715" s="2" t="s">
        <v>90</v>
      </c>
      <c r="B715" s="2" t="s">
        <v>91</v>
      </c>
      <c r="C715" s="2" t="s">
        <v>32</v>
      </c>
      <c r="D715" s="3" t="n">
        <v>46235</v>
      </c>
      <c r="E715" s="2" t="str">
        <f aca="false">TEXT(D715,"dddd")</f>
        <v>Saturday</v>
      </c>
      <c r="F715" s="2" t="s">
        <v>457</v>
      </c>
      <c r="G715" s="2" t="s">
        <v>458</v>
      </c>
      <c r="H715" s="2" t="s">
        <v>459</v>
      </c>
      <c r="I715" s="2" t="n">
        <f aca="false">IF(F715="Present",9,IF(F715="Half Day",4,0))</f>
        <v>9</v>
      </c>
      <c r="J715" s="2"/>
      <c r="K715" s="2"/>
    </row>
    <row r="716" customFormat="false" ht="15" hidden="false" customHeight="false" outlineLevel="0" collapsed="false">
      <c r="A716" s="2" t="s">
        <v>90</v>
      </c>
      <c r="B716" s="2" t="s">
        <v>91</v>
      </c>
      <c r="C716" s="2" t="s">
        <v>32</v>
      </c>
      <c r="D716" s="3" t="n">
        <v>46236</v>
      </c>
      <c r="E716" s="2" t="str">
        <f aca="false">TEXT(D716,"dddd")</f>
        <v>Sunday</v>
      </c>
      <c r="F716" s="2" t="s">
        <v>460</v>
      </c>
      <c r="G716" s="2"/>
      <c r="H716" s="2"/>
      <c r="I716" s="2" t="n">
        <f aca="false">IF(F716="Present",9,IF(F716="Half Day",4,0))</f>
        <v>0</v>
      </c>
      <c r="J716" s="2"/>
      <c r="K716" s="2" t="s">
        <v>460</v>
      </c>
    </row>
    <row r="717" customFormat="false" ht="15" hidden="false" customHeight="false" outlineLevel="0" collapsed="false">
      <c r="A717" s="2" t="s">
        <v>90</v>
      </c>
      <c r="B717" s="2" t="s">
        <v>91</v>
      </c>
      <c r="C717" s="2" t="s">
        <v>32</v>
      </c>
      <c r="D717" s="3" t="n">
        <v>46237</v>
      </c>
      <c r="E717" s="2" t="str">
        <f aca="false">TEXT(D717,"dddd")</f>
        <v>Monday</v>
      </c>
      <c r="F717" s="2" t="s">
        <v>457</v>
      </c>
      <c r="G717" s="2" t="s">
        <v>458</v>
      </c>
      <c r="H717" s="2" t="s">
        <v>459</v>
      </c>
      <c r="I717" s="2" t="n">
        <f aca="false">IF(F717="Present",9,IF(F717="Half Day",4,0))</f>
        <v>9</v>
      </c>
      <c r="J717" s="2"/>
      <c r="K717" s="2"/>
    </row>
    <row r="718" customFormat="false" ht="15" hidden="false" customHeight="false" outlineLevel="0" collapsed="false">
      <c r="A718" s="2" t="s">
        <v>90</v>
      </c>
      <c r="B718" s="2" t="s">
        <v>91</v>
      </c>
      <c r="C718" s="2" t="s">
        <v>32</v>
      </c>
      <c r="D718" s="3" t="n">
        <v>46238</v>
      </c>
      <c r="E718" s="2" t="str">
        <f aca="false">TEXT(D718,"dddd")</f>
        <v>Tuesday</v>
      </c>
      <c r="F718" s="2" t="s">
        <v>457</v>
      </c>
      <c r="G718" s="2" t="s">
        <v>458</v>
      </c>
      <c r="H718" s="2" t="s">
        <v>459</v>
      </c>
      <c r="I718" s="2" t="n">
        <f aca="false">IF(F718="Present",9,IF(F718="Half Day",4,0))</f>
        <v>9</v>
      </c>
      <c r="J718" s="2"/>
      <c r="K718" s="2"/>
    </row>
    <row r="719" customFormat="false" ht="15" hidden="false" customHeight="false" outlineLevel="0" collapsed="false">
      <c r="A719" s="2" t="s">
        <v>90</v>
      </c>
      <c r="B719" s="2" t="s">
        <v>91</v>
      </c>
      <c r="C719" s="2" t="s">
        <v>32</v>
      </c>
      <c r="D719" s="3" t="n">
        <v>46239</v>
      </c>
      <c r="E719" s="2" t="str">
        <f aca="false">TEXT(D719,"dddd")</f>
        <v>Wednesday</v>
      </c>
      <c r="F719" s="2" t="s">
        <v>457</v>
      </c>
      <c r="G719" s="2" t="s">
        <v>458</v>
      </c>
      <c r="H719" s="2" t="s">
        <v>459</v>
      </c>
      <c r="I719" s="2" t="n">
        <f aca="false">IF(F719="Present",9,IF(F719="Half Day",4,0))</f>
        <v>9</v>
      </c>
      <c r="J719" s="2"/>
      <c r="K719" s="2"/>
    </row>
    <row r="720" customFormat="false" ht="15" hidden="false" customHeight="false" outlineLevel="0" collapsed="false">
      <c r="A720" s="2" t="s">
        <v>90</v>
      </c>
      <c r="B720" s="2" t="s">
        <v>91</v>
      </c>
      <c r="C720" s="2" t="s">
        <v>32</v>
      </c>
      <c r="D720" s="3" t="n">
        <v>46240</v>
      </c>
      <c r="E720" s="2" t="str">
        <f aca="false">TEXT(D720,"dddd")</f>
        <v>Thursday</v>
      </c>
      <c r="F720" s="2" t="s">
        <v>457</v>
      </c>
      <c r="G720" s="2" t="s">
        <v>458</v>
      </c>
      <c r="H720" s="2" t="s">
        <v>459</v>
      </c>
      <c r="I720" s="2" t="n">
        <f aca="false">IF(F720="Present",9,IF(F720="Half Day",4,0))</f>
        <v>9</v>
      </c>
      <c r="J720" s="2"/>
      <c r="K720" s="2"/>
    </row>
    <row r="721" customFormat="false" ht="15" hidden="false" customHeight="false" outlineLevel="0" collapsed="false">
      <c r="A721" s="2" t="s">
        <v>90</v>
      </c>
      <c r="B721" s="2" t="s">
        <v>91</v>
      </c>
      <c r="C721" s="2" t="s">
        <v>32</v>
      </c>
      <c r="D721" s="3" t="n">
        <v>46241</v>
      </c>
      <c r="E721" s="2" t="str">
        <f aca="false">TEXT(D721,"dddd")</f>
        <v>Friday</v>
      </c>
      <c r="F721" s="2" t="s">
        <v>457</v>
      </c>
      <c r="G721" s="2" t="s">
        <v>458</v>
      </c>
      <c r="H721" s="2" t="s">
        <v>459</v>
      </c>
      <c r="I721" s="2" t="n">
        <f aca="false">IF(F721="Present",9,IF(F721="Half Day",4,0))</f>
        <v>9</v>
      </c>
      <c r="J721" s="2"/>
      <c r="K721" s="2"/>
    </row>
    <row r="722" customFormat="false" ht="15" hidden="false" customHeight="false" outlineLevel="0" collapsed="false">
      <c r="A722" s="2" t="s">
        <v>90</v>
      </c>
      <c r="B722" s="2" t="s">
        <v>91</v>
      </c>
      <c r="C722" s="2" t="s">
        <v>32</v>
      </c>
      <c r="D722" s="3" t="n">
        <v>46242</v>
      </c>
      <c r="E722" s="2" t="str">
        <f aca="false">TEXT(D722,"dddd")</f>
        <v>Saturday</v>
      </c>
      <c r="F722" s="2" t="s">
        <v>457</v>
      </c>
      <c r="G722" s="2" t="s">
        <v>458</v>
      </c>
      <c r="H722" s="2" t="s">
        <v>459</v>
      </c>
      <c r="I722" s="2" t="n">
        <f aca="false">IF(F722="Present",9,IF(F722="Half Day",4,0))</f>
        <v>9</v>
      </c>
      <c r="J722" s="2"/>
      <c r="K722" s="2"/>
    </row>
    <row r="723" customFormat="false" ht="15" hidden="false" customHeight="false" outlineLevel="0" collapsed="false">
      <c r="A723" s="2" t="s">
        <v>90</v>
      </c>
      <c r="B723" s="2" t="s">
        <v>91</v>
      </c>
      <c r="C723" s="2" t="s">
        <v>32</v>
      </c>
      <c r="D723" s="3" t="n">
        <v>46243</v>
      </c>
      <c r="E723" s="2" t="str">
        <f aca="false">TEXT(D723,"dddd")</f>
        <v>Sunday</v>
      </c>
      <c r="F723" s="2" t="s">
        <v>460</v>
      </c>
      <c r="G723" s="2"/>
      <c r="H723" s="2"/>
      <c r="I723" s="2" t="n">
        <f aca="false">IF(F723="Present",9,IF(F723="Half Day",4,0))</f>
        <v>0</v>
      </c>
      <c r="J723" s="2"/>
      <c r="K723" s="2" t="s">
        <v>460</v>
      </c>
    </row>
    <row r="724" customFormat="false" ht="15" hidden="false" customHeight="false" outlineLevel="0" collapsed="false">
      <c r="A724" s="2" t="s">
        <v>90</v>
      </c>
      <c r="B724" s="2" t="s">
        <v>91</v>
      </c>
      <c r="C724" s="2" t="s">
        <v>32</v>
      </c>
      <c r="D724" s="3" t="n">
        <v>46244</v>
      </c>
      <c r="E724" s="2" t="str">
        <f aca="false">TEXT(D724,"dddd")</f>
        <v>Monday</v>
      </c>
      <c r="F724" s="2" t="s">
        <v>457</v>
      </c>
      <c r="G724" s="2" t="s">
        <v>458</v>
      </c>
      <c r="H724" s="2" t="s">
        <v>459</v>
      </c>
      <c r="I724" s="2" t="n">
        <f aca="false">IF(F724="Present",9,IF(F724="Half Day",4,0))</f>
        <v>9</v>
      </c>
      <c r="J724" s="2"/>
      <c r="K724" s="2"/>
    </row>
    <row r="725" customFormat="false" ht="15" hidden="false" customHeight="false" outlineLevel="0" collapsed="false">
      <c r="A725" s="2" t="s">
        <v>90</v>
      </c>
      <c r="B725" s="2" t="s">
        <v>91</v>
      </c>
      <c r="C725" s="2" t="s">
        <v>32</v>
      </c>
      <c r="D725" s="3" t="n">
        <v>46245</v>
      </c>
      <c r="E725" s="2" t="str">
        <f aca="false">TEXT(D725,"dddd")</f>
        <v>Tuesday</v>
      </c>
      <c r="F725" s="2" t="s">
        <v>457</v>
      </c>
      <c r="G725" s="2" t="s">
        <v>458</v>
      </c>
      <c r="H725" s="2" t="s">
        <v>459</v>
      </c>
      <c r="I725" s="2" t="n">
        <f aca="false">IF(F725="Present",9,IF(F725="Half Day",4,0))</f>
        <v>9</v>
      </c>
      <c r="J725" s="2"/>
      <c r="K725" s="2"/>
    </row>
    <row r="726" customFormat="false" ht="15" hidden="false" customHeight="false" outlineLevel="0" collapsed="false">
      <c r="A726" s="2" t="s">
        <v>90</v>
      </c>
      <c r="B726" s="2" t="s">
        <v>91</v>
      </c>
      <c r="C726" s="2" t="s">
        <v>32</v>
      </c>
      <c r="D726" s="3" t="n">
        <v>46246</v>
      </c>
      <c r="E726" s="2" t="str">
        <f aca="false">TEXT(D726,"dddd")</f>
        <v>Wednesday</v>
      </c>
      <c r="F726" s="2" t="s">
        <v>457</v>
      </c>
      <c r="G726" s="2" t="s">
        <v>458</v>
      </c>
      <c r="H726" s="2" t="s">
        <v>459</v>
      </c>
      <c r="I726" s="2" t="n">
        <f aca="false">IF(F726="Present",9,IF(F726="Half Day",4,0))</f>
        <v>9</v>
      </c>
      <c r="J726" s="2"/>
      <c r="K726" s="2"/>
    </row>
    <row r="727" customFormat="false" ht="15" hidden="false" customHeight="false" outlineLevel="0" collapsed="false">
      <c r="A727" s="2" t="s">
        <v>90</v>
      </c>
      <c r="B727" s="2" t="s">
        <v>91</v>
      </c>
      <c r="C727" s="2" t="s">
        <v>32</v>
      </c>
      <c r="D727" s="3" t="n">
        <v>46247</v>
      </c>
      <c r="E727" s="2" t="str">
        <f aca="false">TEXT(D727,"dddd")</f>
        <v>Thursday</v>
      </c>
      <c r="F727" s="2" t="s">
        <v>457</v>
      </c>
      <c r="G727" s="2" t="s">
        <v>458</v>
      </c>
      <c r="H727" s="2" t="s">
        <v>459</v>
      </c>
      <c r="I727" s="2" t="n">
        <f aca="false">IF(F727="Present",9,IF(F727="Half Day",4,0))</f>
        <v>9</v>
      </c>
      <c r="J727" s="2"/>
      <c r="K727" s="2"/>
    </row>
    <row r="728" customFormat="false" ht="15" hidden="false" customHeight="false" outlineLevel="0" collapsed="false">
      <c r="A728" s="2" t="s">
        <v>90</v>
      </c>
      <c r="B728" s="2" t="s">
        <v>91</v>
      </c>
      <c r="C728" s="2" t="s">
        <v>32</v>
      </c>
      <c r="D728" s="3" t="n">
        <v>46248</v>
      </c>
      <c r="E728" s="2" t="str">
        <f aca="false">TEXT(D728,"dddd")</f>
        <v>Friday</v>
      </c>
      <c r="F728" s="2" t="s">
        <v>457</v>
      </c>
      <c r="G728" s="2" t="s">
        <v>458</v>
      </c>
      <c r="H728" s="2" t="s">
        <v>459</v>
      </c>
      <c r="I728" s="2" t="n">
        <f aca="false">IF(F728="Present",9,IF(F728="Half Day",4,0))</f>
        <v>9</v>
      </c>
      <c r="J728" s="2"/>
      <c r="K728" s="2"/>
    </row>
    <row r="729" customFormat="false" ht="15" hidden="false" customHeight="false" outlineLevel="0" collapsed="false">
      <c r="A729" s="2" t="s">
        <v>90</v>
      </c>
      <c r="B729" s="2" t="s">
        <v>91</v>
      </c>
      <c r="C729" s="2" t="s">
        <v>32</v>
      </c>
      <c r="D729" s="3" t="n">
        <v>46249</v>
      </c>
      <c r="E729" s="2" t="str">
        <f aca="false">TEXT(D729,"dddd")</f>
        <v>Saturday</v>
      </c>
      <c r="F729" s="2" t="s">
        <v>457</v>
      </c>
      <c r="G729" s="2" t="s">
        <v>458</v>
      </c>
      <c r="H729" s="2" t="s">
        <v>459</v>
      </c>
      <c r="I729" s="2" t="n">
        <f aca="false">IF(F729="Present",9,IF(F729="Half Day",4,0))</f>
        <v>9</v>
      </c>
      <c r="J729" s="2"/>
      <c r="K729" s="2"/>
    </row>
    <row r="730" customFormat="false" ht="15" hidden="false" customHeight="false" outlineLevel="0" collapsed="false">
      <c r="A730" s="2" t="s">
        <v>90</v>
      </c>
      <c r="B730" s="2" t="s">
        <v>91</v>
      </c>
      <c r="C730" s="2" t="s">
        <v>32</v>
      </c>
      <c r="D730" s="3" t="n">
        <v>46250</v>
      </c>
      <c r="E730" s="2" t="str">
        <f aca="false">TEXT(D730,"dddd")</f>
        <v>Sunday</v>
      </c>
      <c r="F730" s="2" t="s">
        <v>460</v>
      </c>
      <c r="G730" s="2"/>
      <c r="H730" s="2"/>
      <c r="I730" s="2" t="n">
        <f aca="false">IF(F730="Present",9,IF(F730="Half Day",4,0))</f>
        <v>0</v>
      </c>
      <c r="J730" s="2"/>
      <c r="K730" s="2" t="s">
        <v>460</v>
      </c>
    </row>
    <row r="731" customFormat="false" ht="15" hidden="false" customHeight="false" outlineLevel="0" collapsed="false">
      <c r="A731" s="2" t="s">
        <v>90</v>
      </c>
      <c r="B731" s="2" t="s">
        <v>91</v>
      </c>
      <c r="C731" s="2" t="s">
        <v>32</v>
      </c>
      <c r="D731" s="3" t="n">
        <v>46251</v>
      </c>
      <c r="E731" s="2" t="str">
        <f aca="false">TEXT(D731,"dddd")</f>
        <v>Monday</v>
      </c>
      <c r="F731" s="2" t="s">
        <v>461</v>
      </c>
      <c r="G731" s="2"/>
      <c r="H731" s="2"/>
      <c r="I731" s="2" t="n">
        <f aca="false">IF(F731="Present",9,IF(F731="Half Day",4,0))</f>
        <v>0</v>
      </c>
      <c r="J731" s="2"/>
      <c r="K731" s="2" t="s">
        <v>462</v>
      </c>
    </row>
    <row r="732" customFormat="false" ht="15" hidden="false" customHeight="false" outlineLevel="0" collapsed="false">
      <c r="A732" s="2" t="s">
        <v>90</v>
      </c>
      <c r="B732" s="2" t="s">
        <v>91</v>
      </c>
      <c r="C732" s="2" t="s">
        <v>32</v>
      </c>
      <c r="D732" s="3" t="n">
        <v>46252</v>
      </c>
      <c r="E732" s="2" t="str">
        <f aca="false">TEXT(D732,"dddd")</f>
        <v>Tuesday</v>
      </c>
      <c r="F732" s="2" t="s">
        <v>457</v>
      </c>
      <c r="G732" s="2" t="s">
        <v>458</v>
      </c>
      <c r="H732" s="2" t="s">
        <v>459</v>
      </c>
      <c r="I732" s="2" t="n">
        <f aca="false">IF(F732="Present",9,IF(F732="Half Day",4,0))</f>
        <v>9</v>
      </c>
      <c r="J732" s="2"/>
      <c r="K732" s="2"/>
    </row>
    <row r="733" customFormat="false" ht="15" hidden="false" customHeight="false" outlineLevel="0" collapsed="false">
      <c r="A733" s="2" t="s">
        <v>90</v>
      </c>
      <c r="B733" s="2" t="s">
        <v>91</v>
      </c>
      <c r="C733" s="2" t="s">
        <v>32</v>
      </c>
      <c r="D733" s="3" t="n">
        <v>46253</v>
      </c>
      <c r="E733" s="2" t="str">
        <f aca="false">TEXT(D733,"dddd")</f>
        <v>Wednesday</v>
      </c>
      <c r="F733" s="2" t="s">
        <v>461</v>
      </c>
      <c r="G733" s="2"/>
      <c r="H733" s="2"/>
      <c r="I733" s="2" t="n">
        <f aca="false">IF(F733="Present",9,IF(F733="Half Day",4,0))</f>
        <v>0</v>
      </c>
      <c r="J733" s="2"/>
      <c r="K733" s="2" t="s">
        <v>462</v>
      </c>
    </row>
    <row r="734" customFormat="false" ht="15" hidden="false" customHeight="false" outlineLevel="0" collapsed="false">
      <c r="A734" s="2" t="s">
        <v>90</v>
      </c>
      <c r="B734" s="2" t="s">
        <v>91</v>
      </c>
      <c r="C734" s="2" t="s">
        <v>32</v>
      </c>
      <c r="D734" s="3" t="n">
        <v>46254</v>
      </c>
      <c r="E734" s="2" t="str">
        <f aca="false">TEXT(D734,"dddd")</f>
        <v>Thursday</v>
      </c>
      <c r="F734" s="2" t="s">
        <v>457</v>
      </c>
      <c r="G734" s="2" t="s">
        <v>458</v>
      </c>
      <c r="H734" s="2" t="s">
        <v>459</v>
      </c>
      <c r="I734" s="2" t="n">
        <f aca="false">IF(F734="Present",9,IF(F734="Half Day",4,0))</f>
        <v>9</v>
      </c>
      <c r="J734" s="2"/>
      <c r="K734" s="2"/>
    </row>
    <row r="735" customFormat="false" ht="15" hidden="false" customHeight="false" outlineLevel="0" collapsed="false">
      <c r="A735" s="2" t="s">
        <v>90</v>
      </c>
      <c r="B735" s="2" t="s">
        <v>91</v>
      </c>
      <c r="C735" s="2" t="s">
        <v>32</v>
      </c>
      <c r="D735" s="3" t="n">
        <v>46255</v>
      </c>
      <c r="E735" s="2" t="str">
        <f aca="false">TEXT(D735,"dddd")</f>
        <v>Friday</v>
      </c>
      <c r="F735" s="2" t="s">
        <v>457</v>
      </c>
      <c r="G735" s="2" t="s">
        <v>458</v>
      </c>
      <c r="H735" s="2" t="s">
        <v>459</v>
      </c>
      <c r="I735" s="2" t="n">
        <f aca="false">IF(F735="Present",9,IF(F735="Half Day",4,0))</f>
        <v>9</v>
      </c>
      <c r="J735" s="2"/>
      <c r="K735" s="2"/>
    </row>
    <row r="736" customFormat="false" ht="15" hidden="false" customHeight="false" outlineLevel="0" collapsed="false">
      <c r="A736" s="2" t="s">
        <v>90</v>
      </c>
      <c r="B736" s="2" t="s">
        <v>91</v>
      </c>
      <c r="C736" s="2" t="s">
        <v>32</v>
      </c>
      <c r="D736" s="3" t="n">
        <v>46256</v>
      </c>
      <c r="E736" s="2" t="str">
        <f aca="false">TEXT(D736,"dddd")</f>
        <v>Saturday</v>
      </c>
      <c r="F736" s="2" t="s">
        <v>457</v>
      </c>
      <c r="G736" s="2" t="s">
        <v>458</v>
      </c>
      <c r="H736" s="2" t="s">
        <v>459</v>
      </c>
      <c r="I736" s="2" t="n">
        <f aca="false">IF(F736="Present",9,IF(F736="Half Day",4,0))</f>
        <v>9</v>
      </c>
      <c r="J736" s="2"/>
      <c r="K736" s="2"/>
    </row>
    <row r="737" customFormat="false" ht="15" hidden="false" customHeight="false" outlineLevel="0" collapsed="false">
      <c r="A737" s="2" t="s">
        <v>90</v>
      </c>
      <c r="B737" s="2" t="s">
        <v>91</v>
      </c>
      <c r="C737" s="2" t="s">
        <v>32</v>
      </c>
      <c r="D737" s="3" t="n">
        <v>46257</v>
      </c>
      <c r="E737" s="2" t="str">
        <f aca="false">TEXT(D737,"dddd")</f>
        <v>Sunday</v>
      </c>
      <c r="F737" s="2" t="s">
        <v>460</v>
      </c>
      <c r="G737" s="2"/>
      <c r="H737" s="2"/>
      <c r="I737" s="2" t="n">
        <f aca="false">IF(F737="Present",9,IF(F737="Half Day",4,0))</f>
        <v>0</v>
      </c>
      <c r="J737" s="2"/>
      <c r="K737" s="2" t="s">
        <v>460</v>
      </c>
    </row>
    <row r="738" customFormat="false" ht="15" hidden="false" customHeight="false" outlineLevel="0" collapsed="false">
      <c r="A738" s="2" t="s">
        <v>90</v>
      </c>
      <c r="B738" s="2" t="s">
        <v>91</v>
      </c>
      <c r="C738" s="2" t="s">
        <v>32</v>
      </c>
      <c r="D738" s="3" t="n">
        <v>46258</v>
      </c>
      <c r="E738" s="2" t="str">
        <f aca="false">TEXT(D738,"dddd")</f>
        <v>Monday</v>
      </c>
      <c r="F738" s="2" t="s">
        <v>457</v>
      </c>
      <c r="G738" s="2" t="s">
        <v>458</v>
      </c>
      <c r="H738" s="2" t="s">
        <v>459</v>
      </c>
      <c r="I738" s="2" t="n">
        <f aca="false">IF(F738="Present",9,IF(F738="Half Day",4,0))</f>
        <v>9</v>
      </c>
      <c r="J738" s="2"/>
      <c r="K738" s="2"/>
    </row>
    <row r="739" customFormat="false" ht="15" hidden="false" customHeight="false" outlineLevel="0" collapsed="false">
      <c r="A739" s="2" t="s">
        <v>90</v>
      </c>
      <c r="B739" s="2" t="s">
        <v>91</v>
      </c>
      <c r="C739" s="2" t="s">
        <v>32</v>
      </c>
      <c r="D739" s="3" t="n">
        <v>46259</v>
      </c>
      <c r="E739" s="2" t="str">
        <f aca="false">TEXT(D739,"dddd")</f>
        <v>Tuesday</v>
      </c>
      <c r="F739" s="2" t="s">
        <v>457</v>
      </c>
      <c r="G739" s="2" t="s">
        <v>458</v>
      </c>
      <c r="H739" s="2" t="s">
        <v>459</v>
      </c>
      <c r="I739" s="2" t="n">
        <f aca="false">IF(F739="Present",9,IF(F739="Half Day",4,0))</f>
        <v>9</v>
      </c>
      <c r="J739" s="2"/>
      <c r="K739" s="2"/>
    </row>
    <row r="740" customFormat="false" ht="15" hidden="false" customHeight="false" outlineLevel="0" collapsed="false">
      <c r="A740" s="2" t="s">
        <v>90</v>
      </c>
      <c r="B740" s="2" t="s">
        <v>91</v>
      </c>
      <c r="C740" s="2" t="s">
        <v>32</v>
      </c>
      <c r="D740" s="3" t="n">
        <v>46260</v>
      </c>
      <c r="E740" s="2" t="str">
        <f aca="false">TEXT(D740,"dddd")</f>
        <v>Wednesday</v>
      </c>
      <c r="F740" s="2" t="s">
        <v>457</v>
      </c>
      <c r="G740" s="2" t="s">
        <v>458</v>
      </c>
      <c r="H740" s="2" t="s">
        <v>459</v>
      </c>
      <c r="I740" s="2" t="n">
        <f aca="false">IF(F740="Present",9,IF(F740="Half Day",4,0))</f>
        <v>9</v>
      </c>
      <c r="J740" s="2"/>
      <c r="K740" s="2"/>
    </row>
    <row r="741" customFormat="false" ht="15" hidden="false" customHeight="false" outlineLevel="0" collapsed="false">
      <c r="A741" s="2" t="s">
        <v>90</v>
      </c>
      <c r="B741" s="2" t="s">
        <v>91</v>
      </c>
      <c r="C741" s="2" t="s">
        <v>32</v>
      </c>
      <c r="D741" s="3" t="n">
        <v>46261</v>
      </c>
      <c r="E741" s="2" t="str">
        <f aca="false">TEXT(D741,"dddd")</f>
        <v>Thursday</v>
      </c>
      <c r="F741" s="2" t="s">
        <v>457</v>
      </c>
      <c r="G741" s="2" t="s">
        <v>458</v>
      </c>
      <c r="H741" s="2" t="s">
        <v>459</v>
      </c>
      <c r="I741" s="2" t="n">
        <f aca="false">IF(F741="Present",9,IF(F741="Half Day",4,0))</f>
        <v>9</v>
      </c>
      <c r="J741" s="2"/>
      <c r="K741" s="2"/>
    </row>
    <row r="742" customFormat="false" ht="15" hidden="false" customHeight="false" outlineLevel="0" collapsed="false">
      <c r="A742" s="2" t="s">
        <v>90</v>
      </c>
      <c r="B742" s="2" t="s">
        <v>91</v>
      </c>
      <c r="C742" s="2" t="s">
        <v>32</v>
      </c>
      <c r="D742" s="3" t="n">
        <v>46262</v>
      </c>
      <c r="E742" s="2" t="str">
        <f aca="false">TEXT(D742,"dddd")</f>
        <v>Friday</v>
      </c>
      <c r="F742" s="2" t="s">
        <v>457</v>
      </c>
      <c r="G742" s="2" t="s">
        <v>458</v>
      </c>
      <c r="H742" s="2" t="s">
        <v>459</v>
      </c>
      <c r="I742" s="2" t="n">
        <f aca="false">IF(F742="Present",9,IF(F742="Half Day",4,0))</f>
        <v>9</v>
      </c>
      <c r="J742" s="2"/>
      <c r="K742" s="2"/>
    </row>
    <row r="743" customFormat="false" ht="15" hidden="false" customHeight="false" outlineLevel="0" collapsed="false">
      <c r="A743" s="2" t="s">
        <v>90</v>
      </c>
      <c r="B743" s="2" t="s">
        <v>91</v>
      </c>
      <c r="C743" s="2" t="s">
        <v>32</v>
      </c>
      <c r="D743" s="3" t="n">
        <v>46263</v>
      </c>
      <c r="E743" s="2" t="str">
        <f aca="false">TEXT(D743,"dddd")</f>
        <v>Saturday</v>
      </c>
      <c r="F743" s="2" t="s">
        <v>457</v>
      </c>
      <c r="G743" s="2" t="s">
        <v>458</v>
      </c>
      <c r="H743" s="2" t="s">
        <v>459</v>
      </c>
      <c r="I743" s="2" t="n">
        <f aca="false">IF(F743="Present",9,IF(F743="Half Day",4,0))</f>
        <v>9</v>
      </c>
      <c r="J743" s="2"/>
      <c r="K743" s="2"/>
    </row>
    <row r="744" customFormat="false" ht="15" hidden="false" customHeight="false" outlineLevel="0" collapsed="false">
      <c r="A744" s="2" t="s">
        <v>90</v>
      </c>
      <c r="B744" s="2" t="s">
        <v>91</v>
      </c>
      <c r="C744" s="2" t="s">
        <v>32</v>
      </c>
      <c r="D744" s="3" t="n">
        <v>46264</v>
      </c>
      <c r="E744" s="2" t="str">
        <f aca="false">TEXT(D744,"dddd")</f>
        <v>Sunday</v>
      </c>
      <c r="F744" s="2" t="s">
        <v>460</v>
      </c>
      <c r="G744" s="2"/>
      <c r="H744" s="2"/>
      <c r="I744" s="2" t="n">
        <f aca="false">IF(F744="Present",9,IF(F744="Half Day",4,0))</f>
        <v>0</v>
      </c>
      <c r="J744" s="2"/>
      <c r="K744" s="2" t="s">
        <v>460</v>
      </c>
    </row>
    <row r="745" customFormat="false" ht="15" hidden="false" customHeight="false" outlineLevel="0" collapsed="false">
      <c r="A745" s="2" t="s">
        <v>90</v>
      </c>
      <c r="B745" s="2" t="s">
        <v>91</v>
      </c>
      <c r="C745" s="2" t="s">
        <v>32</v>
      </c>
      <c r="D745" s="3" t="n">
        <v>46265</v>
      </c>
      <c r="E745" s="2" t="str">
        <f aca="false">TEXT(D745,"dddd")</f>
        <v>Monday</v>
      </c>
      <c r="F745" s="2" t="s">
        <v>457</v>
      </c>
      <c r="G745" s="2" t="s">
        <v>458</v>
      </c>
      <c r="H745" s="2" t="s">
        <v>459</v>
      </c>
      <c r="I745" s="2" t="n">
        <f aca="false">IF(F745="Present",9,IF(F745="Half Day",4,0))</f>
        <v>9</v>
      </c>
      <c r="J745" s="2"/>
      <c r="K745" s="2"/>
    </row>
    <row r="746" customFormat="false" ht="15" hidden="false" customHeight="false" outlineLevel="0" collapsed="false">
      <c r="A746" s="2" t="s">
        <v>93</v>
      </c>
      <c r="B746" s="2" t="s">
        <v>94</v>
      </c>
      <c r="C746" s="2" t="s">
        <v>36</v>
      </c>
      <c r="D746" s="3" t="n">
        <v>46235</v>
      </c>
      <c r="E746" s="2" t="str">
        <f aca="false">TEXT(D746,"dddd")</f>
        <v>Saturday</v>
      </c>
      <c r="F746" s="2" t="s">
        <v>457</v>
      </c>
      <c r="G746" s="2" t="s">
        <v>458</v>
      </c>
      <c r="H746" s="2" t="s">
        <v>459</v>
      </c>
      <c r="I746" s="2" t="n">
        <f aca="false">IF(F746="Present",9,IF(F746="Half Day",4,0))</f>
        <v>9</v>
      </c>
      <c r="J746" s="2"/>
      <c r="K746" s="2"/>
    </row>
    <row r="747" customFormat="false" ht="15" hidden="false" customHeight="false" outlineLevel="0" collapsed="false">
      <c r="A747" s="2" t="s">
        <v>93</v>
      </c>
      <c r="B747" s="2" t="s">
        <v>94</v>
      </c>
      <c r="C747" s="2" t="s">
        <v>36</v>
      </c>
      <c r="D747" s="3" t="n">
        <v>46236</v>
      </c>
      <c r="E747" s="2" t="str">
        <f aca="false">TEXT(D747,"dddd")</f>
        <v>Sunday</v>
      </c>
      <c r="F747" s="2" t="s">
        <v>460</v>
      </c>
      <c r="G747" s="2"/>
      <c r="H747" s="2"/>
      <c r="I747" s="2" t="n">
        <f aca="false">IF(F747="Present",9,IF(F747="Half Day",4,0))</f>
        <v>0</v>
      </c>
      <c r="J747" s="2"/>
      <c r="K747" s="2" t="s">
        <v>460</v>
      </c>
    </row>
    <row r="748" customFormat="false" ht="15" hidden="false" customHeight="false" outlineLevel="0" collapsed="false">
      <c r="A748" s="2" t="s">
        <v>93</v>
      </c>
      <c r="B748" s="2" t="s">
        <v>94</v>
      </c>
      <c r="C748" s="2" t="s">
        <v>36</v>
      </c>
      <c r="D748" s="3" t="n">
        <v>46237</v>
      </c>
      <c r="E748" s="2" t="str">
        <f aca="false">TEXT(D748,"dddd")</f>
        <v>Monday</v>
      </c>
      <c r="F748" s="2" t="s">
        <v>463</v>
      </c>
      <c r="G748" s="2"/>
      <c r="H748" s="2"/>
      <c r="I748" s="2" t="n">
        <f aca="false">IF(F748="Present",9,IF(F748="Half Day",4,0))</f>
        <v>0</v>
      </c>
      <c r="J748" s="2" t="s">
        <v>474</v>
      </c>
      <c r="K748" s="2" t="s">
        <v>475</v>
      </c>
    </row>
    <row r="749" customFormat="false" ht="15" hidden="false" customHeight="false" outlineLevel="0" collapsed="false">
      <c r="A749" s="2" t="s">
        <v>93</v>
      </c>
      <c r="B749" s="2" t="s">
        <v>94</v>
      </c>
      <c r="C749" s="2" t="s">
        <v>36</v>
      </c>
      <c r="D749" s="3" t="n">
        <v>46238</v>
      </c>
      <c r="E749" s="2" t="str">
        <f aca="false">TEXT(D749,"dddd")</f>
        <v>Tuesday</v>
      </c>
      <c r="F749" s="2" t="s">
        <v>457</v>
      </c>
      <c r="G749" s="2" t="s">
        <v>458</v>
      </c>
      <c r="H749" s="2" t="s">
        <v>459</v>
      </c>
      <c r="I749" s="2" t="n">
        <f aca="false">IF(F749="Present",9,IF(F749="Half Day",4,0))</f>
        <v>9</v>
      </c>
      <c r="J749" s="2"/>
      <c r="K749" s="2"/>
    </row>
    <row r="750" customFormat="false" ht="15" hidden="false" customHeight="false" outlineLevel="0" collapsed="false">
      <c r="A750" s="2" t="s">
        <v>93</v>
      </c>
      <c r="B750" s="2" t="s">
        <v>94</v>
      </c>
      <c r="C750" s="2" t="s">
        <v>36</v>
      </c>
      <c r="D750" s="3" t="n">
        <v>46239</v>
      </c>
      <c r="E750" s="2" t="str">
        <f aca="false">TEXT(D750,"dddd")</f>
        <v>Wednesday</v>
      </c>
      <c r="F750" s="2" t="s">
        <v>457</v>
      </c>
      <c r="G750" s="2" t="s">
        <v>458</v>
      </c>
      <c r="H750" s="2" t="s">
        <v>459</v>
      </c>
      <c r="I750" s="2" t="n">
        <f aca="false">IF(F750="Present",9,IF(F750="Half Day",4,0))</f>
        <v>9</v>
      </c>
      <c r="J750" s="2"/>
      <c r="K750" s="2"/>
    </row>
    <row r="751" customFormat="false" ht="15" hidden="false" customHeight="false" outlineLevel="0" collapsed="false">
      <c r="A751" s="2" t="s">
        <v>93</v>
      </c>
      <c r="B751" s="2" t="s">
        <v>94</v>
      </c>
      <c r="C751" s="2" t="s">
        <v>36</v>
      </c>
      <c r="D751" s="3" t="n">
        <v>46240</v>
      </c>
      <c r="E751" s="2" t="str">
        <f aca="false">TEXT(D751,"dddd")</f>
        <v>Thursday</v>
      </c>
      <c r="F751" s="2" t="s">
        <v>461</v>
      </c>
      <c r="G751" s="2"/>
      <c r="H751" s="2"/>
      <c r="I751" s="2" t="n">
        <f aca="false">IF(F751="Present",9,IF(F751="Half Day",4,0))</f>
        <v>0</v>
      </c>
      <c r="J751" s="2"/>
      <c r="K751" s="2" t="s">
        <v>462</v>
      </c>
    </row>
    <row r="752" customFormat="false" ht="15" hidden="false" customHeight="false" outlineLevel="0" collapsed="false">
      <c r="A752" s="2" t="s">
        <v>93</v>
      </c>
      <c r="B752" s="2" t="s">
        <v>94</v>
      </c>
      <c r="C752" s="2" t="s">
        <v>36</v>
      </c>
      <c r="D752" s="3" t="n">
        <v>46241</v>
      </c>
      <c r="E752" s="2" t="str">
        <f aca="false">TEXT(D752,"dddd")</f>
        <v>Friday</v>
      </c>
      <c r="F752" s="2" t="s">
        <v>457</v>
      </c>
      <c r="G752" s="2" t="s">
        <v>458</v>
      </c>
      <c r="H752" s="2" t="s">
        <v>459</v>
      </c>
      <c r="I752" s="2" t="n">
        <f aca="false">IF(F752="Present",9,IF(F752="Half Day",4,0))</f>
        <v>9</v>
      </c>
      <c r="J752" s="2"/>
      <c r="K752" s="2"/>
    </row>
    <row r="753" customFormat="false" ht="15" hidden="false" customHeight="false" outlineLevel="0" collapsed="false">
      <c r="A753" s="2" t="s">
        <v>93</v>
      </c>
      <c r="B753" s="2" t="s">
        <v>94</v>
      </c>
      <c r="C753" s="2" t="s">
        <v>36</v>
      </c>
      <c r="D753" s="3" t="n">
        <v>46242</v>
      </c>
      <c r="E753" s="2" t="str">
        <f aca="false">TEXT(D753,"dddd")</f>
        <v>Saturday</v>
      </c>
      <c r="F753" s="2" t="s">
        <v>457</v>
      </c>
      <c r="G753" s="2" t="s">
        <v>458</v>
      </c>
      <c r="H753" s="2" t="s">
        <v>459</v>
      </c>
      <c r="I753" s="2" t="n">
        <f aca="false">IF(F753="Present",9,IF(F753="Half Day",4,0))</f>
        <v>9</v>
      </c>
      <c r="J753" s="2"/>
      <c r="K753" s="2"/>
    </row>
    <row r="754" customFormat="false" ht="15" hidden="false" customHeight="false" outlineLevel="0" collapsed="false">
      <c r="A754" s="2" t="s">
        <v>93</v>
      </c>
      <c r="B754" s="2" t="s">
        <v>94</v>
      </c>
      <c r="C754" s="2" t="s">
        <v>36</v>
      </c>
      <c r="D754" s="3" t="n">
        <v>46243</v>
      </c>
      <c r="E754" s="2" t="str">
        <f aca="false">TEXT(D754,"dddd")</f>
        <v>Sunday</v>
      </c>
      <c r="F754" s="2" t="s">
        <v>460</v>
      </c>
      <c r="G754" s="2"/>
      <c r="H754" s="2"/>
      <c r="I754" s="2" t="n">
        <f aca="false">IF(F754="Present",9,IF(F754="Half Day",4,0))</f>
        <v>0</v>
      </c>
      <c r="J754" s="2"/>
      <c r="K754" s="2" t="s">
        <v>460</v>
      </c>
    </row>
    <row r="755" customFormat="false" ht="15" hidden="false" customHeight="false" outlineLevel="0" collapsed="false">
      <c r="A755" s="2" t="s">
        <v>93</v>
      </c>
      <c r="B755" s="2" t="s">
        <v>94</v>
      </c>
      <c r="C755" s="2" t="s">
        <v>36</v>
      </c>
      <c r="D755" s="3" t="n">
        <v>46244</v>
      </c>
      <c r="E755" s="2" t="str">
        <f aca="false">TEXT(D755,"dddd")</f>
        <v>Monday</v>
      </c>
      <c r="F755" s="2" t="s">
        <v>457</v>
      </c>
      <c r="G755" s="2" t="s">
        <v>458</v>
      </c>
      <c r="H755" s="2" t="s">
        <v>459</v>
      </c>
      <c r="I755" s="2" t="n">
        <f aca="false">IF(F755="Present",9,IF(F755="Half Day",4,0))</f>
        <v>9</v>
      </c>
      <c r="J755" s="2"/>
      <c r="K755" s="2"/>
    </row>
    <row r="756" customFormat="false" ht="15" hidden="false" customHeight="false" outlineLevel="0" collapsed="false">
      <c r="A756" s="2" t="s">
        <v>93</v>
      </c>
      <c r="B756" s="2" t="s">
        <v>94</v>
      </c>
      <c r="C756" s="2" t="s">
        <v>36</v>
      </c>
      <c r="D756" s="3" t="n">
        <v>46245</v>
      </c>
      <c r="E756" s="2" t="str">
        <f aca="false">TEXT(D756,"dddd")</f>
        <v>Tuesday</v>
      </c>
      <c r="F756" s="2" t="s">
        <v>457</v>
      </c>
      <c r="G756" s="2" t="s">
        <v>458</v>
      </c>
      <c r="H756" s="2" t="s">
        <v>459</v>
      </c>
      <c r="I756" s="2" t="n">
        <f aca="false">IF(F756="Present",9,IF(F756="Half Day",4,0))</f>
        <v>9</v>
      </c>
      <c r="J756" s="2"/>
      <c r="K756" s="2"/>
    </row>
    <row r="757" customFormat="false" ht="15" hidden="false" customHeight="false" outlineLevel="0" collapsed="false">
      <c r="A757" s="2" t="s">
        <v>93</v>
      </c>
      <c r="B757" s="2" t="s">
        <v>94</v>
      </c>
      <c r="C757" s="2" t="s">
        <v>36</v>
      </c>
      <c r="D757" s="3" t="n">
        <v>46246</v>
      </c>
      <c r="E757" s="2" t="str">
        <f aca="false">TEXT(D757,"dddd")</f>
        <v>Wednesday</v>
      </c>
      <c r="F757" s="2" t="s">
        <v>457</v>
      </c>
      <c r="G757" s="2" t="s">
        <v>458</v>
      </c>
      <c r="H757" s="2" t="s">
        <v>459</v>
      </c>
      <c r="I757" s="2" t="n">
        <f aca="false">IF(F757="Present",9,IF(F757="Half Day",4,0))</f>
        <v>9</v>
      </c>
      <c r="J757" s="2"/>
      <c r="K757" s="2"/>
    </row>
    <row r="758" customFormat="false" ht="15" hidden="false" customHeight="false" outlineLevel="0" collapsed="false">
      <c r="A758" s="2" t="s">
        <v>93</v>
      </c>
      <c r="B758" s="2" t="s">
        <v>94</v>
      </c>
      <c r="C758" s="2" t="s">
        <v>36</v>
      </c>
      <c r="D758" s="3" t="n">
        <v>46247</v>
      </c>
      <c r="E758" s="2" t="str">
        <f aca="false">TEXT(D758,"dddd")</f>
        <v>Thursday</v>
      </c>
      <c r="F758" s="2" t="s">
        <v>457</v>
      </c>
      <c r="G758" s="2" t="s">
        <v>458</v>
      </c>
      <c r="H758" s="2" t="s">
        <v>459</v>
      </c>
      <c r="I758" s="2" t="n">
        <f aca="false">IF(F758="Present",9,IF(F758="Half Day",4,0))</f>
        <v>9</v>
      </c>
      <c r="J758" s="2"/>
      <c r="K758" s="2"/>
    </row>
    <row r="759" customFormat="false" ht="15" hidden="false" customHeight="false" outlineLevel="0" collapsed="false">
      <c r="A759" s="2" t="s">
        <v>93</v>
      </c>
      <c r="B759" s="2" t="s">
        <v>94</v>
      </c>
      <c r="C759" s="2" t="s">
        <v>36</v>
      </c>
      <c r="D759" s="3" t="n">
        <v>46248</v>
      </c>
      <c r="E759" s="2" t="str">
        <f aca="false">TEXT(D759,"dddd")</f>
        <v>Friday</v>
      </c>
      <c r="F759" s="2" t="s">
        <v>457</v>
      </c>
      <c r="G759" s="2" t="s">
        <v>458</v>
      </c>
      <c r="H759" s="2" t="s">
        <v>459</v>
      </c>
      <c r="I759" s="2" t="n">
        <f aca="false">IF(F759="Present",9,IF(F759="Half Day",4,0))</f>
        <v>9</v>
      </c>
      <c r="J759" s="2"/>
      <c r="K759" s="2"/>
    </row>
    <row r="760" customFormat="false" ht="15" hidden="false" customHeight="false" outlineLevel="0" collapsed="false">
      <c r="A760" s="2" t="s">
        <v>93</v>
      </c>
      <c r="B760" s="2" t="s">
        <v>94</v>
      </c>
      <c r="C760" s="2" t="s">
        <v>36</v>
      </c>
      <c r="D760" s="3" t="n">
        <v>46249</v>
      </c>
      <c r="E760" s="2" t="str">
        <f aca="false">TEXT(D760,"dddd")</f>
        <v>Saturday</v>
      </c>
      <c r="F760" s="2" t="s">
        <v>457</v>
      </c>
      <c r="G760" s="2" t="s">
        <v>458</v>
      </c>
      <c r="H760" s="2" t="s">
        <v>459</v>
      </c>
      <c r="I760" s="2" t="n">
        <f aca="false">IF(F760="Present",9,IF(F760="Half Day",4,0))</f>
        <v>9</v>
      </c>
      <c r="J760" s="2"/>
      <c r="K760" s="2"/>
    </row>
    <row r="761" customFormat="false" ht="15" hidden="false" customHeight="false" outlineLevel="0" collapsed="false">
      <c r="A761" s="2" t="s">
        <v>93</v>
      </c>
      <c r="B761" s="2" t="s">
        <v>94</v>
      </c>
      <c r="C761" s="2" t="s">
        <v>36</v>
      </c>
      <c r="D761" s="3" t="n">
        <v>46250</v>
      </c>
      <c r="E761" s="2" t="str">
        <f aca="false">TEXT(D761,"dddd")</f>
        <v>Sunday</v>
      </c>
      <c r="F761" s="2" t="s">
        <v>460</v>
      </c>
      <c r="G761" s="2"/>
      <c r="H761" s="2"/>
      <c r="I761" s="2" t="n">
        <f aca="false">IF(F761="Present",9,IF(F761="Half Day",4,0))</f>
        <v>0</v>
      </c>
      <c r="J761" s="2"/>
      <c r="K761" s="2" t="s">
        <v>460</v>
      </c>
    </row>
    <row r="762" customFormat="false" ht="15" hidden="false" customHeight="false" outlineLevel="0" collapsed="false">
      <c r="A762" s="2" t="s">
        <v>93</v>
      </c>
      <c r="B762" s="2" t="s">
        <v>94</v>
      </c>
      <c r="C762" s="2" t="s">
        <v>36</v>
      </c>
      <c r="D762" s="3" t="n">
        <v>46251</v>
      </c>
      <c r="E762" s="2" t="str">
        <f aca="false">TEXT(D762,"dddd")</f>
        <v>Monday</v>
      </c>
      <c r="F762" s="2" t="s">
        <v>457</v>
      </c>
      <c r="G762" s="2" t="s">
        <v>458</v>
      </c>
      <c r="H762" s="2" t="s">
        <v>459</v>
      </c>
      <c r="I762" s="2" t="n">
        <f aca="false">IF(F762="Present",9,IF(F762="Half Day",4,0))</f>
        <v>9</v>
      </c>
      <c r="J762" s="2"/>
      <c r="K762" s="2"/>
    </row>
    <row r="763" customFormat="false" ht="15" hidden="false" customHeight="false" outlineLevel="0" collapsed="false">
      <c r="A763" s="2" t="s">
        <v>93</v>
      </c>
      <c r="B763" s="2" t="s">
        <v>94</v>
      </c>
      <c r="C763" s="2" t="s">
        <v>36</v>
      </c>
      <c r="D763" s="3" t="n">
        <v>46252</v>
      </c>
      <c r="E763" s="2" t="str">
        <f aca="false">TEXT(D763,"dddd")</f>
        <v>Tuesday</v>
      </c>
      <c r="F763" s="2" t="s">
        <v>461</v>
      </c>
      <c r="G763" s="2"/>
      <c r="H763" s="2"/>
      <c r="I763" s="2" t="n">
        <f aca="false">IF(F763="Present",9,IF(F763="Half Day",4,0))</f>
        <v>0</v>
      </c>
      <c r="J763" s="2"/>
      <c r="K763" s="2" t="s">
        <v>462</v>
      </c>
    </row>
    <row r="764" customFormat="false" ht="15" hidden="false" customHeight="false" outlineLevel="0" collapsed="false">
      <c r="A764" s="2" t="s">
        <v>93</v>
      </c>
      <c r="B764" s="2" t="s">
        <v>94</v>
      </c>
      <c r="C764" s="2" t="s">
        <v>36</v>
      </c>
      <c r="D764" s="3" t="n">
        <v>46253</v>
      </c>
      <c r="E764" s="2" t="str">
        <f aca="false">TEXT(D764,"dddd")</f>
        <v>Wednesday</v>
      </c>
      <c r="F764" s="2" t="s">
        <v>457</v>
      </c>
      <c r="G764" s="2" t="s">
        <v>458</v>
      </c>
      <c r="H764" s="2" t="s">
        <v>459</v>
      </c>
      <c r="I764" s="2" t="n">
        <f aca="false">IF(F764="Present",9,IF(F764="Half Day",4,0))</f>
        <v>9</v>
      </c>
      <c r="J764" s="2"/>
      <c r="K764" s="2"/>
    </row>
    <row r="765" customFormat="false" ht="15" hidden="false" customHeight="false" outlineLevel="0" collapsed="false">
      <c r="A765" s="2" t="s">
        <v>93</v>
      </c>
      <c r="B765" s="2" t="s">
        <v>94</v>
      </c>
      <c r="C765" s="2" t="s">
        <v>36</v>
      </c>
      <c r="D765" s="3" t="n">
        <v>46254</v>
      </c>
      <c r="E765" s="2" t="str">
        <f aca="false">TEXT(D765,"dddd")</f>
        <v>Thursday</v>
      </c>
      <c r="F765" s="2" t="s">
        <v>457</v>
      </c>
      <c r="G765" s="2" t="s">
        <v>458</v>
      </c>
      <c r="H765" s="2" t="s">
        <v>459</v>
      </c>
      <c r="I765" s="2" t="n">
        <f aca="false">IF(F765="Present",9,IF(F765="Half Day",4,0))</f>
        <v>9</v>
      </c>
      <c r="J765" s="2"/>
      <c r="K765" s="2"/>
    </row>
    <row r="766" customFormat="false" ht="15" hidden="false" customHeight="false" outlineLevel="0" collapsed="false">
      <c r="A766" s="2" t="s">
        <v>93</v>
      </c>
      <c r="B766" s="2" t="s">
        <v>94</v>
      </c>
      <c r="C766" s="2" t="s">
        <v>36</v>
      </c>
      <c r="D766" s="3" t="n">
        <v>46255</v>
      </c>
      <c r="E766" s="2" t="str">
        <f aca="false">TEXT(D766,"dddd")</f>
        <v>Friday</v>
      </c>
      <c r="F766" s="2" t="s">
        <v>457</v>
      </c>
      <c r="G766" s="2" t="s">
        <v>458</v>
      </c>
      <c r="H766" s="2" t="s">
        <v>459</v>
      </c>
      <c r="I766" s="2" t="n">
        <f aca="false">IF(F766="Present",9,IF(F766="Half Day",4,0))</f>
        <v>9</v>
      </c>
      <c r="J766" s="2"/>
      <c r="K766" s="2"/>
    </row>
    <row r="767" customFormat="false" ht="15" hidden="false" customHeight="false" outlineLevel="0" collapsed="false">
      <c r="A767" s="2" t="s">
        <v>93</v>
      </c>
      <c r="B767" s="2" t="s">
        <v>94</v>
      </c>
      <c r="C767" s="2" t="s">
        <v>36</v>
      </c>
      <c r="D767" s="3" t="n">
        <v>46256</v>
      </c>
      <c r="E767" s="2" t="str">
        <f aca="false">TEXT(D767,"dddd")</f>
        <v>Saturday</v>
      </c>
      <c r="F767" s="2" t="s">
        <v>457</v>
      </c>
      <c r="G767" s="2" t="s">
        <v>458</v>
      </c>
      <c r="H767" s="2" t="s">
        <v>459</v>
      </c>
      <c r="I767" s="2" t="n">
        <f aca="false">IF(F767="Present",9,IF(F767="Half Day",4,0))</f>
        <v>9</v>
      </c>
      <c r="J767" s="2"/>
      <c r="K767" s="2"/>
    </row>
    <row r="768" customFormat="false" ht="15" hidden="false" customHeight="false" outlineLevel="0" collapsed="false">
      <c r="A768" s="2" t="s">
        <v>93</v>
      </c>
      <c r="B768" s="2" t="s">
        <v>94</v>
      </c>
      <c r="C768" s="2" t="s">
        <v>36</v>
      </c>
      <c r="D768" s="3" t="n">
        <v>46257</v>
      </c>
      <c r="E768" s="2" t="str">
        <f aca="false">TEXT(D768,"dddd")</f>
        <v>Sunday</v>
      </c>
      <c r="F768" s="2" t="s">
        <v>460</v>
      </c>
      <c r="G768" s="2"/>
      <c r="H768" s="2"/>
      <c r="I768" s="2" t="n">
        <f aca="false">IF(F768="Present",9,IF(F768="Half Day",4,0))</f>
        <v>0</v>
      </c>
      <c r="J768" s="2"/>
      <c r="K768" s="2" t="s">
        <v>460</v>
      </c>
    </row>
    <row r="769" customFormat="false" ht="15" hidden="false" customHeight="false" outlineLevel="0" collapsed="false">
      <c r="A769" s="2" t="s">
        <v>93</v>
      </c>
      <c r="B769" s="2" t="s">
        <v>94</v>
      </c>
      <c r="C769" s="2" t="s">
        <v>36</v>
      </c>
      <c r="D769" s="3" t="n">
        <v>46258</v>
      </c>
      <c r="E769" s="2" t="str">
        <f aca="false">TEXT(D769,"dddd")</f>
        <v>Monday</v>
      </c>
      <c r="F769" s="2" t="s">
        <v>461</v>
      </c>
      <c r="G769" s="2"/>
      <c r="H769" s="2"/>
      <c r="I769" s="2" t="n">
        <f aca="false">IF(F769="Present",9,IF(F769="Half Day",4,0))</f>
        <v>0</v>
      </c>
      <c r="J769" s="2"/>
      <c r="K769" s="2" t="s">
        <v>462</v>
      </c>
    </row>
    <row r="770" customFormat="false" ht="15" hidden="false" customHeight="false" outlineLevel="0" collapsed="false">
      <c r="A770" s="2" t="s">
        <v>93</v>
      </c>
      <c r="B770" s="2" t="s">
        <v>94</v>
      </c>
      <c r="C770" s="2" t="s">
        <v>36</v>
      </c>
      <c r="D770" s="3" t="n">
        <v>46259</v>
      </c>
      <c r="E770" s="2" t="str">
        <f aca="false">TEXT(D770,"dddd")</f>
        <v>Tuesday</v>
      </c>
      <c r="F770" s="2" t="s">
        <v>457</v>
      </c>
      <c r="G770" s="2" t="s">
        <v>458</v>
      </c>
      <c r="H770" s="2" t="s">
        <v>459</v>
      </c>
      <c r="I770" s="2" t="n">
        <f aca="false">IF(F770="Present",9,IF(F770="Half Day",4,0))</f>
        <v>9</v>
      </c>
      <c r="J770" s="2"/>
      <c r="K770" s="2"/>
    </row>
    <row r="771" customFormat="false" ht="15" hidden="false" customHeight="false" outlineLevel="0" collapsed="false">
      <c r="A771" s="2" t="s">
        <v>93</v>
      </c>
      <c r="B771" s="2" t="s">
        <v>94</v>
      </c>
      <c r="C771" s="2" t="s">
        <v>36</v>
      </c>
      <c r="D771" s="3" t="n">
        <v>46260</v>
      </c>
      <c r="E771" s="2" t="str">
        <f aca="false">TEXT(D771,"dddd")</f>
        <v>Wednesday</v>
      </c>
      <c r="F771" s="2" t="s">
        <v>457</v>
      </c>
      <c r="G771" s="2" t="s">
        <v>458</v>
      </c>
      <c r="H771" s="2" t="s">
        <v>459</v>
      </c>
      <c r="I771" s="2" t="n">
        <f aca="false">IF(F771="Present",9,IF(F771="Half Day",4,0))</f>
        <v>9</v>
      </c>
      <c r="J771" s="2"/>
      <c r="K771" s="2"/>
    </row>
    <row r="772" customFormat="false" ht="15" hidden="false" customHeight="false" outlineLevel="0" collapsed="false">
      <c r="A772" s="2" t="s">
        <v>93</v>
      </c>
      <c r="B772" s="2" t="s">
        <v>94</v>
      </c>
      <c r="C772" s="2" t="s">
        <v>36</v>
      </c>
      <c r="D772" s="3" t="n">
        <v>46261</v>
      </c>
      <c r="E772" s="2" t="str">
        <f aca="false">TEXT(D772,"dddd")</f>
        <v>Thursday</v>
      </c>
      <c r="F772" s="2" t="s">
        <v>457</v>
      </c>
      <c r="G772" s="2" t="s">
        <v>458</v>
      </c>
      <c r="H772" s="2" t="s">
        <v>459</v>
      </c>
      <c r="I772" s="2" t="n">
        <f aca="false">IF(F772="Present",9,IF(F772="Half Day",4,0))</f>
        <v>9</v>
      </c>
      <c r="J772" s="2"/>
      <c r="K772" s="2"/>
    </row>
    <row r="773" customFormat="false" ht="15" hidden="false" customHeight="false" outlineLevel="0" collapsed="false">
      <c r="A773" s="2" t="s">
        <v>93</v>
      </c>
      <c r="B773" s="2" t="s">
        <v>94</v>
      </c>
      <c r="C773" s="2" t="s">
        <v>36</v>
      </c>
      <c r="D773" s="3" t="n">
        <v>46262</v>
      </c>
      <c r="E773" s="2" t="str">
        <f aca="false">TEXT(D773,"dddd")</f>
        <v>Friday</v>
      </c>
      <c r="F773" s="2" t="s">
        <v>457</v>
      </c>
      <c r="G773" s="2" t="s">
        <v>458</v>
      </c>
      <c r="H773" s="2" t="s">
        <v>459</v>
      </c>
      <c r="I773" s="2" t="n">
        <f aca="false">IF(F773="Present",9,IF(F773="Half Day",4,0))</f>
        <v>9</v>
      </c>
      <c r="J773" s="2"/>
      <c r="K773" s="2"/>
    </row>
    <row r="774" customFormat="false" ht="15" hidden="false" customHeight="false" outlineLevel="0" collapsed="false">
      <c r="A774" s="2" t="s">
        <v>93</v>
      </c>
      <c r="B774" s="2" t="s">
        <v>94</v>
      </c>
      <c r="C774" s="2" t="s">
        <v>36</v>
      </c>
      <c r="D774" s="3" t="n">
        <v>46263</v>
      </c>
      <c r="E774" s="2" t="str">
        <f aca="false">TEXT(D774,"dddd")</f>
        <v>Saturday</v>
      </c>
      <c r="F774" s="2" t="s">
        <v>457</v>
      </c>
      <c r="G774" s="2" t="s">
        <v>458</v>
      </c>
      <c r="H774" s="2" t="s">
        <v>459</v>
      </c>
      <c r="I774" s="2" t="n">
        <f aca="false">IF(F774="Present",9,IF(F774="Half Day",4,0))</f>
        <v>9</v>
      </c>
      <c r="J774" s="2"/>
      <c r="K774" s="2"/>
    </row>
    <row r="775" customFormat="false" ht="15" hidden="false" customHeight="false" outlineLevel="0" collapsed="false">
      <c r="A775" s="2" t="s">
        <v>93</v>
      </c>
      <c r="B775" s="2" t="s">
        <v>94</v>
      </c>
      <c r="C775" s="2" t="s">
        <v>36</v>
      </c>
      <c r="D775" s="3" t="n">
        <v>46264</v>
      </c>
      <c r="E775" s="2" t="str">
        <f aca="false">TEXT(D775,"dddd")</f>
        <v>Sunday</v>
      </c>
      <c r="F775" s="2" t="s">
        <v>460</v>
      </c>
      <c r="G775" s="2"/>
      <c r="H775" s="2"/>
      <c r="I775" s="2" t="n">
        <f aca="false">IF(F775="Present",9,IF(F775="Half Day",4,0))</f>
        <v>0</v>
      </c>
      <c r="J775" s="2"/>
      <c r="K775" s="2" t="s">
        <v>460</v>
      </c>
    </row>
    <row r="776" customFormat="false" ht="15" hidden="false" customHeight="false" outlineLevel="0" collapsed="false">
      <c r="A776" s="2" t="s">
        <v>93</v>
      </c>
      <c r="B776" s="2" t="s">
        <v>94</v>
      </c>
      <c r="C776" s="2" t="s">
        <v>36</v>
      </c>
      <c r="D776" s="3" t="n">
        <v>46265</v>
      </c>
      <c r="E776" s="2" t="str">
        <f aca="false">TEXT(D776,"dddd")</f>
        <v>Monday</v>
      </c>
      <c r="F776" s="2" t="s">
        <v>457</v>
      </c>
      <c r="G776" s="2" t="s">
        <v>458</v>
      </c>
      <c r="H776" s="2" t="s">
        <v>459</v>
      </c>
      <c r="I776" s="2" t="n">
        <f aca="false">IF(F776="Present",9,IF(F776="Half Day",4,0))</f>
        <v>9</v>
      </c>
      <c r="J776" s="2"/>
      <c r="K776" s="2"/>
    </row>
    <row r="777" customFormat="false" ht="15" hidden="false" customHeight="false" outlineLevel="0" collapsed="false">
      <c r="A777" s="2" t="s">
        <v>95</v>
      </c>
      <c r="B777" s="2" t="s">
        <v>96</v>
      </c>
      <c r="C777" s="2" t="s">
        <v>41</v>
      </c>
      <c r="D777" s="3" t="n">
        <v>46235</v>
      </c>
      <c r="E777" s="2" t="str">
        <f aca="false">TEXT(D777,"dddd")</f>
        <v>Saturday</v>
      </c>
      <c r="F777" s="2" t="s">
        <v>457</v>
      </c>
      <c r="G777" s="2" t="s">
        <v>458</v>
      </c>
      <c r="H777" s="2" t="s">
        <v>459</v>
      </c>
      <c r="I777" s="2" t="n">
        <f aca="false">IF(F777="Present",9,IF(F777="Half Day",4,0))</f>
        <v>9</v>
      </c>
      <c r="J777" s="2"/>
      <c r="K777" s="2"/>
    </row>
    <row r="778" customFormat="false" ht="15" hidden="false" customHeight="false" outlineLevel="0" collapsed="false">
      <c r="A778" s="2" t="s">
        <v>95</v>
      </c>
      <c r="B778" s="2" t="s">
        <v>96</v>
      </c>
      <c r="C778" s="2" t="s">
        <v>41</v>
      </c>
      <c r="D778" s="3" t="n">
        <v>46236</v>
      </c>
      <c r="E778" s="2" t="str">
        <f aca="false">TEXT(D778,"dddd")</f>
        <v>Sunday</v>
      </c>
      <c r="F778" s="2" t="s">
        <v>460</v>
      </c>
      <c r="G778" s="2"/>
      <c r="H778" s="2"/>
      <c r="I778" s="2" t="n">
        <f aca="false">IF(F778="Present",9,IF(F778="Half Day",4,0))</f>
        <v>0</v>
      </c>
      <c r="J778" s="2"/>
      <c r="K778" s="2" t="s">
        <v>460</v>
      </c>
    </row>
    <row r="779" customFormat="false" ht="15" hidden="false" customHeight="false" outlineLevel="0" collapsed="false">
      <c r="A779" s="2" t="s">
        <v>95</v>
      </c>
      <c r="B779" s="2" t="s">
        <v>96</v>
      </c>
      <c r="C779" s="2" t="s">
        <v>41</v>
      </c>
      <c r="D779" s="3" t="n">
        <v>46237</v>
      </c>
      <c r="E779" s="2" t="str">
        <f aca="false">TEXT(D779,"dddd")</f>
        <v>Monday</v>
      </c>
      <c r="F779" s="2" t="s">
        <v>463</v>
      </c>
      <c r="G779" s="2"/>
      <c r="H779" s="2"/>
      <c r="I779" s="2" t="n">
        <f aca="false">IF(F779="Present",9,IF(F779="Half Day",4,0))</f>
        <v>0</v>
      </c>
      <c r="J779" s="2" t="s">
        <v>470</v>
      </c>
      <c r="K779" s="2" t="s">
        <v>471</v>
      </c>
    </row>
    <row r="780" customFormat="false" ht="15" hidden="false" customHeight="false" outlineLevel="0" collapsed="false">
      <c r="A780" s="2" t="s">
        <v>95</v>
      </c>
      <c r="B780" s="2" t="s">
        <v>96</v>
      </c>
      <c r="C780" s="2" t="s">
        <v>41</v>
      </c>
      <c r="D780" s="3" t="n">
        <v>46238</v>
      </c>
      <c r="E780" s="2" t="str">
        <f aca="false">TEXT(D780,"dddd")</f>
        <v>Tuesday</v>
      </c>
      <c r="F780" s="2" t="s">
        <v>457</v>
      </c>
      <c r="G780" s="2" t="s">
        <v>458</v>
      </c>
      <c r="H780" s="2" t="s">
        <v>459</v>
      </c>
      <c r="I780" s="2" t="n">
        <f aca="false">IF(F780="Present",9,IF(F780="Half Day",4,0))</f>
        <v>9</v>
      </c>
      <c r="J780" s="2"/>
      <c r="K780" s="2"/>
    </row>
    <row r="781" customFormat="false" ht="15" hidden="false" customHeight="false" outlineLevel="0" collapsed="false">
      <c r="A781" s="2" t="s">
        <v>95</v>
      </c>
      <c r="B781" s="2" t="s">
        <v>96</v>
      </c>
      <c r="C781" s="2" t="s">
        <v>41</v>
      </c>
      <c r="D781" s="3" t="n">
        <v>46239</v>
      </c>
      <c r="E781" s="2" t="str">
        <f aca="false">TEXT(D781,"dddd")</f>
        <v>Wednesday</v>
      </c>
      <c r="F781" s="2" t="s">
        <v>457</v>
      </c>
      <c r="G781" s="2" t="s">
        <v>458</v>
      </c>
      <c r="H781" s="2" t="s">
        <v>459</v>
      </c>
      <c r="I781" s="2" t="n">
        <f aca="false">IF(F781="Present",9,IF(F781="Half Day",4,0))</f>
        <v>9</v>
      </c>
      <c r="J781" s="2"/>
      <c r="K781" s="2"/>
    </row>
    <row r="782" customFormat="false" ht="15" hidden="false" customHeight="false" outlineLevel="0" collapsed="false">
      <c r="A782" s="2" t="s">
        <v>95</v>
      </c>
      <c r="B782" s="2" t="s">
        <v>96</v>
      </c>
      <c r="C782" s="2" t="s">
        <v>41</v>
      </c>
      <c r="D782" s="3" t="n">
        <v>46240</v>
      </c>
      <c r="E782" s="2" t="str">
        <f aca="false">TEXT(D782,"dddd")</f>
        <v>Thursday</v>
      </c>
      <c r="F782" s="2" t="s">
        <v>461</v>
      </c>
      <c r="G782" s="2"/>
      <c r="H782" s="2"/>
      <c r="I782" s="2" t="n">
        <f aca="false">IF(F782="Present",9,IF(F782="Half Day",4,0))</f>
        <v>0</v>
      </c>
      <c r="J782" s="2"/>
      <c r="K782" s="2" t="s">
        <v>462</v>
      </c>
    </row>
    <row r="783" customFormat="false" ht="15" hidden="false" customHeight="false" outlineLevel="0" collapsed="false">
      <c r="A783" s="2" t="s">
        <v>95</v>
      </c>
      <c r="B783" s="2" t="s">
        <v>96</v>
      </c>
      <c r="C783" s="2" t="s">
        <v>41</v>
      </c>
      <c r="D783" s="3" t="n">
        <v>46241</v>
      </c>
      <c r="E783" s="2" t="str">
        <f aca="false">TEXT(D783,"dddd")</f>
        <v>Friday</v>
      </c>
      <c r="F783" s="2" t="s">
        <v>457</v>
      </c>
      <c r="G783" s="2" t="s">
        <v>458</v>
      </c>
      <c r="H783" s="2" t="s">
        <v>459</v>
      </c>
      <c r="I783" s="2" t="n">
        <f aca="false">IF(F783="Present",9,IF(F783="Half Day",4,0))</f>
        <v>9</v>
      </c>
      <c r="J783" s="2"/>
      <c r="K783" s="2"/>
    </row>
    <row r="784" customFormat="false" ht="15" hidden="false" customHeight="false" outlineLevel="0" collapsed="false">
      <c r="A784" s="2" t="s">
        <v>95</v>
      </c>
      <c r="B784" s="2" t="s">
        <v>96</v>
      </c>
      <c r="C784" s="2" t="s">
        <v>41</v>
      </c>
      <c r="D784" s="3" t="n">
        <v>46242</v>
      </c>
      <c r="E784" s="2" t="str">
        <f aca="false">TEXT(D784,"dddd")</f>
        <v>Saturday</v>
      </c>
      <c r="F784" s="2" t="s">
        <v>461</v>
      </c>
      <c r="G784" s="2"/>
      <c r="H784" s="2"/>
      <c r="I784" s="2" t="n">
        <f aca="false">IF(F784="Present",9,IF(F784="Half Day",4,0))</f>
        <v>0</v>
      </c>
      <c r="J784" s="2"/>
      <c r="K784" s="2" t="s">
        <v>462</v>
      </c>
    </row>
    <row r="785" customFormat="false" ht="15" hidden="false" customHeight="false" outlineLevel="0" collapsed="false">
      <c r="A785" s="2" t="s">
        <v>95</v>
      </c>
      <c r="B785" s="2" t="s">
        <v>96</v>
      </c>
      <c r="C785" s="2" t="s">
        <v>41</v>
      </c>
      <c r="D785" s="3" t="n">
        <v>46243</v>
      </c>
      <c r="E785" s="2" t="str">
        <f aca="false">TEXT(D785,"dddd")</f>
        <v>Sunday</v>
      </c>
      <c r="F785" s="2" t="s">
        <v>460</v>
      </c>
      <c r="G785" s="2"/>
      <c r="H785" s="2"/>
      <c r="I785" s="2" t="n">
        <f aca="false">IF(F785="Present",9,IF(F785="Half Day",4,0))</f>
        <v>0</v>
      </c>
      <c r="J785" s="2"/>
      <c r="K785" s="2" t="s">
        <v>460</v>
      </c>
    </row>
    <row r="786" customFormat="false" ht="15" hidden="false" customHeight="false" outlineLevel="0" collapsed="false">
      <c r="A786" s="2" t="s">
        <v>95</v>
      </c>
      <c r="B786" s="2" t="s">
        <v>96</v>
      </c>
      <c r="C786" s="2" t="s">
        <v>41</v>
      </c>
      <c r="D786" s="3" t="n">
        <v>46244</v>
      </c>
      <c r="E786" s="2" t="str">
        <f aca="false">TEXT(D786,"dddd")</f>
        <v>Monday</v>
      </c>
      <c r="F786" s="2" t="s">
        <v>457</v>
      </c>
      <c r="G786" s="2" t="s">
        <v>458</v>
      </c>
      <c r="H786" s="2" t="s">
        <v>459</v>
      </c>
      <c r="I786" s="2" t="n">
        <f aca="false">IF(F786="Present",9,IF(F786="Half Day",4,0))</f>
        <v>9</v>
      </c>
      <c r="J786" s="2"/>
      <c r="K786" s="2"/>
    </row>
    <row r="787" customFormat="false" ht="15" hidden="false" customHeight="false" outlineLevel="0" collapsed="false">
      <c r="A787" s="2" t="s">
        <v>95</v>
      </c>
      <c r="B787" s="2" t="s">
        <v>96</v>
      </c>
      <c r="C787" s="2" t="s">
        <v>41</v>
      </c>
      <c r="D787" s="3" t="n">
        <v>46245</v>
      </c>
      <c r="E787" s="2" t="str">
        <f aca="false">TEXT(D787,"dddd")</f>
        <v>Tuesday</v>
      </c>
      <c r="F787" s="2" t="s">
        <v>457</v>
      </c>
      <c r="G787" s="2" t="s">
        <v>458</v>
      </c>
      <c r="H787" s="2" t="s">
        <v>459</v>
      </c>
      <c r="I787" s="2" t="n">
        <f aca="false">IF(F787="Present",9,IF(F787="Half Day",4,0))</f>
        <v>9</v>
      </c>
      <c r="J787" s="2"/>
      <c r="K787" s="2"/>
    </row>
    <row r="788" customFormat="false" ht="15" hidden="false" customHeight="false" outlineLevel="0" collapsed="false">
      <c r="A788" s="2" t="s">
        <v>95</v>
      </c>
      <c r="B788" s="2" t="s">
        <v>96</v>
      </c>
      <c r="C788" s="2" t="s">
        <v>41</v>
      </c>
      <c r="D788" s="3" t="n">
        <v>46246</v>
      </c>
      <c r="E788" s="2" t="str">
        <f aca="false">TEXT(D788,"dddd")</f>
        <v>Wednesday</v>
      </c>
      <c r="F788" s="2" t="s">
        <v>457</v>
      </c>
      <c r="G788" s="2" t="s">
        <v>458</v>
      </c>
      <c r="H788" s="2" t="s">
        <v>459</v>
      </c>
      <c r="I788" s="2" t="n">
        <f aca="false">IF(F788="Present",9,IF(F788="Half Day",4,0))</f>
        <v>9</v>
      </c>
      <c r="J788" s="2"/>
      <c r="K788" s="2"/>
    </row>
    <row r="789" customFormat="false" ht="15" hidden="false" customHeight="false" outlineLevel="0" collapsed="false">
      <c r="A789" s="2" t="s">
        <v>95</v>
      </c>
      <c r="B789" s="2" t="s">
        <v>96</v>
      </c>
      <c r="C789" s="2" t="s">
        <v>41</v>
      </c>
      <c r="D789" s="3" t="n">
        <v>46247</v>
      </c>
      <c r="E789" s="2" t="str">
        <f aca="false">TEXT(D789,"dddd")</f>
        <v>Thursday</v>
      </c>
      <c r="F789" s="2" t="s">
        <v>457</v>
      </c>
      <c r="G789" s="2" t="s">
        <v>458</v>
      </c>
      <c r="H789" s="2" t="s">
        <v>459</v>
      </c>
      <c r="I789" s="2" t="n">
        <f aca="false">IF(F789="Present",9,IF(F789="Half Day",4,0))</f>
        <v>9</v>
      </c>
      <c r="J789" s="2"/>
      <c r="K789" s="2"/>
    </row>
    <row r="790" customFormat="false" ht="15" hidden="false" customHeight="false" outlineLevel="0" collapsed="false">
      <c r="A790" s="2" t="s">
        <v>95</v>
      </c>
      <c r="B790" s="2" t="s">
        <v>96</v>
      </c>
      <c r="C790" s="2" t="s">
        <v>41</v>
      </c>
      <c r="D790" s="3" t="n">
        <v>46248</v>
      </c>
      <c r="E790" s="2" t="str">
        <f aca="false">TEXT(D790,"dddd")</f>
        <v>Friday</v>
      </c>
      <c r="F790" s="2" t="s">
        <v>461</v>
      </c>
      <c r="G790" s="2"/>
      <c r="H790" s="2"/>
      <c r="I790" s="2" t="n">
        <f aca="false">IF(F790="Present",9,IF(F790="Half Day",4,0))</f>
        <v>0</v>
      </c>
      <c r="J790" s="2"/>
      <c r="K790" s="2" t="s">
        <v>462</v>
      </c>
    </row>
    <row r="791" customFormat="false" ht="15" hidden="false" customHeight="false" outlineLevel="0" collapsed="false">
      <c r="A791" s="2" t="s">
        <v>95</v>
      </c>
      <c r="B791" s="2" t="s">
        <v>96</v>
      </c>
      <c r="C791" s="2" t="s">
        <v>41</v>
      </c>
      <c r="D791" s="3" t="n">
        <v>46249</v>
      </c>
      <c r="E791" s="2" t="str">
        <f aca="false">TEXT(D791,"dddd")</f>
        <v>Saturday</v>
      </c>
      <c r="F791" s="2" t="s">
        <v>457</v>
      </c>
      <c r="G791" s="2" t="s">
        <v>458</v>
      </c>
      <c r="H791" s="2" t="s">
        <v>459</v>
      </c>
      <c r="I791" s="2" t="n">
        <f aca="false">IF(F791="Present",9,IF(F791="Half Day",4,0))</f>
        <v>9</v>
      </c>
      <c r="J791" s="2"/>
      <c r="K791" s="2"/>
    </row>
    <row r="792" customFormat="false" ht="15" hidden="false" customHeight="false" outlineLevel="0" collapsed="false">
      <c r="A792" s="2" t="s">
        <v>95</v>
      </c>
      <c r="B792" s="2" t="s">
        <v>96</v>
      </c>
      <c r="C792" s="2" t="s">
        <v>41</v>
      </c>
      <c r="D792" s="3" t="n">
        <v>46250</v>
      </c>
      <c r="E792" s="2" t="str">
        <f aca="false">TEXT(D792,"dddd")</f>
        <v>Sunday</v>
      </c>
      <c r="F792" s="2" t="s">
        <v>460</v>
      </c>
      <c r="G792" s="2"/>
      <c r="H792" s="2"/>
      <c r="I792" s="2" t="n">
        <f aca="false">IF(F792="Present",9,IF(F792="Half Day",4,0))</f>
        <v>0</v>
      </c>
      <c r="J792" s="2"/>
      <c r="K792" s="2" t="s">
        <v>460</v>
      </c>
    </row>
    <row r="793" customFormat="false" ht="15" hidden="false" customHeight="false" outlineLevel="0" collapsed="false">
      <c r="A793" s="2" t="s">
        <v>95</v>
      </c>
      <c r="B793" s="2" t="s">
        <v>96</v>
      </c>
      <c r="C793" s="2" t="s">
        <v>41</v>
      </c>
      <c r="D793" s="3" t="n">
        <v>46251</v>
      </c>
      <c r="E793" s="2" t="str">
        <f aca="false">TEXT(D793,"dddd")</f>
        <v>Monday</v>
      </c>
      <c r="F793" s="2" t="s">
        <v>457</v>
      </c>
      <c r="G793" s="2" t="s">
        <v>458</v>
      </c>
      <c r="H793" s="2" t="s">
        <v>459</v>
      </c>
      <c r="I793" s="2" t="n">
        <f aca="false">IF(F793="Present",9,IF(F793="Half Day",4,0))</f>
        <v>9</v>
      </c>
      <c r="J793" s="2"/>
      <c r="K793" s="2"/>
    </row>
    <row r="794" customFormat="false" ht="15" hidden="false" customHeight="false" outlineLevel="0" collapsed="false">
      <c r="A794" s="2" t="s">
        <v>95</v>
      </c>
      <c r="B794" s="2" t="s">
        <v>96</v>
      </c>
      <c r="C794" s="2" t="s">
        <v>41</v>
      </c>
      <c r="D794" s="3" t="n">
        <v>46252</v>
      </c>
      <c r="E794" s="2" t="str">
        <f aca="false">TEXT(D794,"dddd")</f>
        <v>Tuesday</v>
      </c>
      <c r="F794" s="2" t="s">
        <v>461</v>
      </c>
      <c r="G794" s="2"/>
      <c r="H794" s="2"/>
      <c r="I794" s="2" t="n">
        <f aca="false">IF(F794="Present",9,IF(F794="Half Day",4,0))</f>
        <v>0</v>
      </c>
      <c r="J794" s="2"/>
      <c r="K794" s="2" t="s">
        <v>462</v>
      </c>
    </row>
    <row r="795" customFormat="false" ht="15" hidden="false" customHeight="false" outlineLevel="0" collapsed="false">
      <c r="A795" s="2" t="s">
        <v>95</v>
      </c>
      <c r="B795" s="2" t="s">
        <v>96</v>
      </c>
      <c r="C795" s="2" t="s">
        <v>41</v>
      </c>
      <c r="D795" s="3" t="n">
        <v>46253</v>
      </c>
      <c r="E795" s="2" t="str">
        <f aca="false">TEXT(D795,"dddd")</f>
        <v>Wednesday</v>
      </c>
      <c r="F795" s="2" t="s">
        <v>463</v>
      </c>
      <c r="G795" s="2"/>
      <c r="H795" s="2"/>
      <c r="I795" s="2" t="n">
        <f aca="false">IF(F795="Present",9,IF(F795="Half Day",4,0))</f>
        <v>0</v>
      </c>
      <c r="J795" s="2" t="s">
        <v>470</v>
      </c>
      <c r="K795" s="2" t="s">
        <v>471</v>
      </c>
    </row>
    <row r="796" customFormat="false" ht="15" hidden="false" customHeight="false" outlineLevel="0" collapsed="false">
      <c r="A796" s="2" t="s">
        <v>95</v>
      </c>
      <c r="B796" s="2" t="s">
        <v>96</v>
      </c>
      <c r="C796" s="2" t="s">
        <v>41</v>
      </c>
      <c r="D796" s="3" t="n">
        <v>46254</v>
      </c>
      <c r="E796" s="2" t="str">
        <f aca="false">TEXT(D796,"dddd")</f>
        <v>Thursday</v>
      </c>
      <c r="F796" s="2" t="s">
        <v>457</v>
      </c>
      <c r="G796" s="2" t="s">
        <v>458</v>
      </c>
      <c r="H796" s="2" t="s">
        <v>459</v>
      </c>
      <c r="I796" s="2" t="n">
        <f aca="false">IF(F796="Present",9,IF(F796="Half Day",4,0))</f>
        <v>9</v>
      </c>
      <c r="J796" s="2"/>
      <c r="K796" s="2"/>
    </row>
    <row r="797" customFormat="false" ht="15" hidden="false" customHeight="false" outlineLevel="0" collapsed="false">
      <c r="A797" s="2" t="s">
        <v>95</v>
      </c>
      <c r="B797" s="2" t="s">
        <v>96</v>
      </c>
      <c r="C797" s="2" t="s">
        <v>41</v>
      </c>
      <c r="D797" s="3" t="n">
        <v>46255</v>
      </c>
      <c r="E797" s="2" t="str">
        <f aca="false">TEXT(D797,"dddd")</f>
        <v>Friday</v>
      </c>
      <c r="F797" s="2" t="s">
        <v>461</v>
      </c>
      <c r="G797" s="2"/>
      <c r="H797" s="2"/>
      <c r="I797" s="2" t="n">
        <f aca="false">IF(F797="Present",9,IF(F797="Half Day",4,0))</f>
        <v>0</v>
      </c>
      <c r="J797" s="2"/>
      <c r="K797" s="2" t="s">
        <v>462</v>
      </c>
    </row>
    <row r="798" customFormat="false" ht="15" hidden="false" customHeight="false" outlineLevel="0" collapsed="false">
      <c r="A798" s="2" t="s">
        <v>95</v>
      </c>
      <c r="B798" s="2" t="s">
        <v>96</v>
      </c>
      <c r="C798" s="2" t="s">
        <v>41</v>
      </c>
      <c r="D798" s="3" t="n">
        <v>46256</v>
      </c>
      <c r="E798" s="2" t="str">
        <f aca="false">TEXT(D798,"dddd")</f>
        <v>Saturday</v>
      </c>
      <c r="F798" s="2" t="s">
        <v>457</v>
      </c>
      <c r="G798" s="2" t="s">
        <v>458</v>
      </c>
      <c r="H798" s="2" t="s">
        <v>459</v>
      </c>
      <c r="I798" s="2" t="n">
        <f aca="false">IF(F798="Present",9,IF(F798="Half Day",4,0))</f>
        <v>9</v>
      </c>
      <c r="J798" s="2"/>
      <c r="K798" s="2"/>
    </row>
    <row r="799" customFormat="false" ht="15" hidden="false" customHeight="false" outlineLevel="0" collapsed="false">
      <c r="A799" s="2" t="s">
        <v>95</v>
      </c>
      <c r="B799" s="2" t="s">
        <v>96</v>
      </c>
      <c r="C799" s="2" t="s">
        <v>41</v>
      </c>
      <c r="D799" s="3" t="n">
        <v>46257</v>
      </c>
      <c r="E799" s="2" t="str">
        <f aca="false">TEXT(D799,"dddd")</f>
        <v>Sunday</v>
      </c>
      <c r="F799" s="2" t="s">
        <v>460</v>
      </c>
      <c r="G799" s="2"/>
      <c r="H799" s="2"/>
      <c r="I799" s="2" t="n">
        <f aca="false">IF(F799="Present",9,IF(F799="Half Day",4,0))</f>
        <v>0</v>
      </c>
      <c r="J799" s="2"/>
      <c r="K799" s="2" t="s">
        <v>460</v>
      </c>
    </row>
    <row r="800" customFormat="false" ht="15" hidden="false" customHeight="false" outlineLevel="0" collapsed="false">
      <c r="A800" s="2" t="s">
        <v>95</v>
      </c>
      <c r="B800" s="2" t="s">
        <v>96</v>
      </c>
      <c r="C800" s="2" t="s">
        <v>41</v>
      </c>
      <c r="D800" s="3" t="n">
        <v>46258</v>
      </c>
      <c r="E800" s="2" t="str">
        <f aca="false">TEXT(D800,"dddd")</f>
        <v>Monday</v>
      </c>
      <c r="F800" s="2" t="s">
        <v>457</v>
      </c>
      <c r="G800" s="2" t="s">
        <v>458</v>
      </c>
      <c r="H800" s="2" t="s">
        <v>459</v>
      </c>
      <c r="I800" s="2" t="n">
        <f aca="false">IF(F800="Present",9,IF(F800="Half Day",4,0))</f>
        <v>9</v>
      </c>
      <c r="J800" s="2"/>
      <c r="K800" s="2"/>
    </row>
    <row r="801" customFormat="false" ht="15" hidden="false" customHeight="false" outlineLevel="0" collapsed="false">
      <c r="A801" s="2" t="s">
        <v>95</v>
      </c>
      <c r="B801" s="2" t="s">
        <v>96</v>
      </c>
      <c r="C801" s="2" t="s">
        <v>41</v>
      </c>
      <c r="D801" s="3" t="n">
        <v>46259</v>
      </c>
      <c r="E801" s="2" t="str">
        <f aca="false">TEXT(D801,"dddd")</f>
        <v>Tuesday</v>
      </c>
      <c r="F801" s="2" t="s">
        <v>461</v>
      </c>
      <c r="G801" s="2"/>
      <c r="H801" s="2"/>
      <c r="I801" s="2" t="n">
        <f aca="false">IF(F801="Present",9,IF(F801="Half Day",4,0))</f>
        <v>0</v>
      </c>
      <c r="J801" s="2"/>
      <c r="K801" s="2" t="s">
        <v>462</v>
      </c>
    </row>
    <row r="802" customFormat="false" ht="15" hidden="false" customHeight="false" outlineLevel="0" collapsed="false">
      <c r="A802" s="2" t="s">
        <v>95</v>
      </c>
      <c r="B802" s="2" t="s">
        <v>96</v>
      </c>
      <c r="C802" s="2" t="s">
        <v>41</v>
      </c>
      <c r="D802" s="3" t="n">
        <v>46260</v>
      </c>
      <c r="E802" s="2" t="str">
        <f aca="false">TEXT(D802,"dddd")</f>
        <v>Wednesday</v>
      </c>
      <c r="F802" s="2" t="s">
        <v>457</v>
      </c>
      <c r="G802" s="2" t="s">
        <v>458</v>
      </c>
      <c r="H802" s="2" t="s">
        <v>459</v>
      </c>
      <c r="I802" s="2" t="n">
        <f aca="false">IF(F802="Present",9,IF(F802="Half Day",4,0))</f>
        <v>9</v>
      </c>
      <c r="J802" s="2"/>
      <c r="K802" s="2"/>
    </row>
    <row r="803" customFormat="false" ht="15" hidden="false" customHeight="false" outlineLevel="0" collapsed="false">
      <c r="A803" s="2" t="s">
        <v>95</v>
      </c>
      <c r="B803" s="2" t="s">
        <v>96</v>
      </c>
      <c r="C803" s="2" t="s">
        <v>41</v>
      </c>
      <c r="D803" s="3" t="n">
        <v>46261</v>
      </c>
      <c r="E803" s="2" t="str">
        <f aca="false">TEXT(D803,"dddd")</f>
        <v>Thursday</v>
      </c>
      <c r="F803" s="2" t="s">
        <v>457</v>
      </c>
      <c r="G803" s="2" t="s">
        <v>458</v>
      </c>
      <c r="H803" s="2" t="s">
        <v>459</v>
      </c>
      <c r="I803" s="2" t="n">
        <f aca="false">IF(F803="Present",9,IF(F803="Half Day",4,0))</f>
        <v>9</v>
      </c>
      <c r="J803" s="2"/>
      <c r="K803" s="2"/>
    </row>
    <row r="804" customFormat="false" ht="15" hidden="false" customHeight="false" outlineLevel="0" collapsed="false">
      <c r="A804" s="2" t="s">
        <v>95</v>
      </c>
      <c r="B804" s="2" t="s">
        <v>96</v>
      </c>
      <c r="C804" s="2" t="s">
        <v>41</v>
      </c>
      <c r="D804" s="3" t="n">
        <v>46262</v>
      </c>
      <c r="E804" s="2" t="str">
        <f aca="false">TEXT(D804,"dddd")</f>
        <v>Friday</v>
      </c>
      <c r="F804" s="2" t="s">
        <v>461</v>
      </c>
      <c r="G804" s="2"/>
      <c r="H804" s="2"/>
      <c r="I804" s="2" t="n">
        <f aca="false">IF(F804="Present",9,IF(F804="Half Day",4,0))</f>
        <v>0</v>
      </c>
      <c r="J804" s="2"/>
      <c r="K804" s="2" t="s">
        <v>462</v>
      </c>
    </row>
    <row r="805" customFormat="false" ht="15" hidden="false" customHeight="false" outlineLevel="0" collapsed="false">
      <c r="A805" s="2" t="s">
        <v>95</v>
      </c>
      <c r="B805" s="2" t="s">
        <v>96</v>
      </c>
      <c r="C805" s="2" t="s">
        <v>41</v>
      </c>
      <c r="D805" s="3" t="n">
        <v>46263</v>
      </c>
      <c r="E805" s="2" t="str">
        <f aca="false">TEXT(D805,"dddd")</f>
        <v>Saturday</v>
      </c>
      <c r="F805" s="2" t="s">
        <v>461</v>
      </c>
      <c r="G805" s="2"/>
      <c r="H805" s="2"/>
      <c r="I805" s="2" t="n">
        <f aca="false">IF(F805="Present",9,IF(F805="Half Day",4,0))</f>
        <v>0</v>
      </c>
      <c r="J805" s="2"/>
      <c r="K805" s="2" t="s">
        <v>462</v>
      </c>
    </row>
    <row r="806" customFormat="false" ht="15" hidden="false" customHeight="false" outlineLevel="0" collapsed="false">
      <c r="A806" s="2" t="s">
        <v>95</v>
      </c>
      <c r="B806" s="2" t="s">
        <v>96</v>
      </c>
      <c r="C806" s="2" t="s">
        <v>41</v>
      </c>
      <c r="D806" s="3" t="n">
        <v>46264</v>
      </c>
      <c r="E806" s="2" t="str">
        <f aca="false">TEXT(D806,"dddd")</f>
        <v>Sunday</v>
      </c>
      <c r="F806" s="2" t="s">
        <v>460</v>
      </c>
      <c r="G806" s="2"/>
      <c r="H806" s="2"/>
      <c r="I806" s="2" t="n">
        <f aca="false">IF(F806="Present",9,IF(F806="Half Day",4,0))</f>
        <v>0</v>
      </c>
      <c r="J806" s="2"/>
      <c r="K806" s="2" t="s">
        <v>460</v>
      </c>
    </row>
    <row r="807" customFormat="false" ht="15" hidden="false" customHeight="false" outlineLevel="0" collapsed="false">
      <c r="A807" s="2" t="s">
        <v>95</v>
      </c>
      <c r="B807" s="2" t="s">
        <v>96</v>
      </c>
      <c r="C807" s="2" t="s">
        <v>41</v>
      </c>
      <c r="D807" s="3" t="n">
        <v>46265</v>
      </c>
      <c r="E807" s="2" t="str">
        <f aca="false">TEXT(D807,"dddd")</f>
        <v>Monday</v>
      </c>
      <c r="F807" s="2" t="s">
        <v>457</v>
      </c>
      <c r="G807" s="2" t="s">
        <v>458</v>
      </c>
      <c r="H807" s="2" t="s">
        <v>459</v>
      </c>
      <c r="I807" s="2" t="n">
        <f aca="false">IF(F807="Present",9,IF(F807="Half Day",4,0))</f>
        <v>9</v>
      </c>
      <c r="J807" s="2"/>
      <c r="K807" s="2"/>
    </row>
    <row r="808" customFormat="false" ht="15" hidden="false" customHeight="false" outlineLevel="0" collapsed="false">
      <c r="A808" s="2" t="s">
        <v>97</v>
      </c>
      <c r="B808" s="2" t="s">
        <v>98</v>
      </c>
      <c r="C808" s="2" t="s">
        <v>45</v>
      </c>
      <c r="D808" s="3" t="n">
        <v>46235</v>
      </c>
      <c r="E808" s="2" t="str">
        <f aca="false">TEXT(D808,"dddd")</f>
        <v>Saturday</v>
      </c>
      <c r="F808" s="2" t="s">
        <v>457</v>
      </c>
      <c r="G808" s="2" t="s">
        <v>458</v>
      </c>
      <c r="H808" s="2" t="s">
        <v>459</v>
      </c>
      <c r="I808" s="2" t="n">
        <f aca="false">IF(F808="Present",9,IF(F808="Half Day",4,0))</f>
        <v>9</v>
      </c>
      <c r="J808" s="2"/>
      <c r="K808" s="2"/>
    </row>
    <row r="809" customFormat="false" ht="15" hidden="false" customHeight="false" outlineLevel="0" collapsed="false">
      <c r="A809" s="2" t="s">
        <v>97</v>
      </c>
      <c r="B809" s="2" t="s">
        <v>98</v>
      </c>
      <c r="C809" s="2" t="s">
        <v>45</v>
      </c>
      <c r="D809" s="3" t="n">
        <v>46236</v>
      </c>
      <c r="E809" s="2" t="str">
        <f aca="false">TEXT(D809,"dddd")</f>
        <v>Sunday</v>
      </c>
      <c r="F809" s="2" t="s">
        <v>460</v>
      </c>
      <c r="G809" s="2"/>
      <c r="H809" s="2"/>
      <c r="I809" s="2" t="n">
        <f aca="false">IF(F809="Present",9,IF(F809="Half Day",4,0))</f>
        <v>0</v>
      </c>
      <c r="J809" s="2"/>
      <c r="K809" s="2" t="s">
        <v>460</v>
      </c>
    </row>
    <row r="810" customFormat="false" ht="15" hidden="false" customHeight="false" outlineLevel="0" collapsed="false">
      <c r="A810" s="2" t="s">
        <v>97</v>
      </c>
      <c r="B810" s="2" t="s">
        <v>98</v>
      </c>
      <c r="C810" s="2" t="s">
        <v>45</v>
      </c>
      <c r="D810" s="3" t="n">
        <v>46237</v>
      </c>
      <c r="E810" s="2" t="str">
        <f aca="false">TEXT(D810,"dddd")</f>
        <v>Monday</v>
      </c>
      <c r="F810" s="2" t="s">
        <v>457</v>
      </c>
      <c r="G810" s="2" t="s">
        <v>458</v>
      </c>
      <c r="H810" s="2" t="s">
        <v>459</v>
      </c>
      <c r="I810" s="2" t="n">
        <f aca="false">IF(F810="Present",9,IF(F810="Half Day",4,0))</f>
        <v>9</v>
      </c>
      <c r="J810" s="2"/>
      <c r="K810" s="2"/>
    </row>
    <row r="811" customFormat="false" ht="15" hidden="false" customHeight="false" outlineLevel="0" collapsed="false">
      <c r="A811" s="2" t="s">
        <v>97</v>
      </c>
      <c r="B811" s="2" t="s">
        <v>98</v>
      </c>
      <c r="C811" s="2" t="s">
        <v>45</v>
      </c>
      <c r="D811" s="3" t="n">
        <v>46238</v>
      </c>
      <c r="E811" s="2" t="str">
        <f aca="false">TEXT(D811,"dddd")</f>
        <v>Tuesday</v>
      </c>
      <c r="F811" s="2" t="s">
        <v>457</v>
      </c>
      <c r="G811" s="2" t="s">
        <v>458</v>
      </c>
      <c r="H811" s="2" t="s">
        <v>459</v>
      </c>
      <c r="I811" s="2" t="n">
        <f aca="false">IF(F811="Present",9,IF(F811="Half Day",4,0))</f>
        <v>9</v>
      </c>
      <c r="J811" s="2"/>
      <c r="K811" s="2"/>
    </row>
    <row r="812" customFormat="false" ht="15" hidden="false" customHeight="false" outlineLevel="0" collapsed="false">
      <c r="A812" s="2" t="s">
        <v>97</v>
      </c>
      <c r="B812" s="2" t="s">
        <v>98</v>
      </c>
      <c r="C812" s="2" t="s">
        <v>45</v>
      </c>
      <c r="D812" s="3" t="n">
        <v>46239</v>
      </c>
      <c r="E812" s="2" t="str">
        <f aca="false">TEXT(D812,"dddd")</f>
        <v>Wednesday</v>
      </c>
      <c r="F812" s="2" t="s">
        <v>457</v>
      </c>
      <c r="G812" s="2" t="s">
        <v>458</v>
      </c>
      <c r="H812" s="2" t="s">
        <v>459</v>
      </c>
      <c r="I812" s="2" t="n">
        <f aca="false">IF(F812="Present",9,IF(F812="Half Day",4,0))</f>
        <v>9</v>
      </c>
      <c r="J812" s="2"/>
      <c r="K812" s="2"/>
    </row>
    <row r="813" customFormat="false" ht="15" hidden="false" customHeight="false" outlineLevel="0" collapsed="false">
      <c r="A813" s="2" t="s">
        <v>97</v>
      </c>
      <c r="B813" s="2" t="s">
        <v>98</v>
      </c>
      <c r="C813" s="2" t="s">
        <v>45</v>
      </c>
      <c r="D813" s="3" t="n">
        <v>46240</v>
      </c>
      <c r="E813" s="2" t="str">
        <f aca="false">TEXT(D813,"dddd")</f>
        <v>Thursday</v>
      </c>
      <c r="F813" s="2" t="s">
        <v>457</v>
      </c>
      <c r="G813" s="2" t="s">
        <v>458</v>
      </c>
      <c r="H813" s="2" t="s">
        <v>459</v>
      </c>
      <c r="I813" s="2" t="n">
        <f aca="false">IF(F813="Present",9,IF(F813="Half Day",4,0))</f>
        <v>9</v>
      </c>
      <c r="J813" s="2"/>
      <c r="K813" s="2"/>
    </row>
    <row r="814" customFormat="false" ht="15" hidden="false" customHeight="false" outlineLevel="0" collapsed="false">
      <c r="A814" s="2" t="s">
        <v>97</v>
      </c>
      <c r="B814" s="2" t="s">
        <v>98</v>
      </c>
      <c r="C814" s="2" t="s">
        <v>45</v>
      </c>
      <c r="D814" s="3" t="n">
        <v>46241</v>
      </c>
      <c r="E814" s="2" t="str">
        <f aca="false">TEXT(D814,"dddd")</f>
        <v>Friday</v>
      </c>
      <c r="F814" s="2" t="s">
        <v>457</v>
      </c>
      <c r="G814" s="2" t="s">
        <v>458</v>
      </c>
      <c r="H814" s="2" t="s">
        <v>459</v>
      </c>
      <c r="I814" s="2" t="n">
        <f aca="false">IF(F814="Present",9,IF(F814="Half Day",4,0))</f>
        <v>9</v>
      </c>
      <c r="J814" s="2"/>
      <c r="K814" s="2"/>
    </row>
    <row r="815" customFormat="false" ht="15" hidden="false" customHeight="false" outlineLevel="0" collapsed="false">
      <c r="A815" s="2" t="s">
        <v>97</v>
      </c>
      <c r="B815" s="2" t="s">
        <v>98</v>
      </c>
      <c r="C815" s="2" t="s">
        <v>45</v>
      </c>
      <c r="D815" s="3" t="n">
        <v>46242</v>
      </c>
      <c r="E815" s="2" t="str">
        <f aca="false">TEXT(D815,"dddd")</f>
        <v>Saturday</v>
      </c>
      <c r="F815" s="2" t="s">
        <v>457</v>
      </c>
      <c r="G815" s="2" t="s">
        <v>458</v>
      </c>
      <c r="H815" s="2" t="s">
        <v>459</v>
      </c>
      <c r="I815" s="2" t="n">
        <f aca="false">IF(F815="Present",9,IF(F815="Half Day",4,0))</f>
        <v>9</v>
      </c>
      <c r="J815" s="2"/>
      <c r="K815" s="2"/>
    </row>
    <row r="816" customFormat="false" ht="15" hidden="false" customHeight="false" outlineLevel="0" collapsed="false">
      <c r="A816" s="2" t="s">
        <v>97</v>
      </c>
      <c r="B816" s="2" t="s">
        <v>98</v>
      </c>
      <c r="C816" s="2" t="s">
        <v>45</v>
      </c>
      <c r="D816" s="3" t="n">
        <v>46243</v>
      </c>
      <c r="E816" s="2" t="str">
        <f aca="false">TEXT(D816,"dddd")</f>
        <v>Sunday</v>
      </c>
      <c r="F816" s="2" t="s">
        <v>460</v>
      </c>
      <c r="G816" s="2"/>
      <c r="H816" s="2"/>
      <c r="I816" s="2" t="n">
        <f aca="false">IF(F816="Present",9,IF(F816="Half Day",4,0))</f>
        <v>0</v>
      </c>
      <c r="J816" s="2"/>
      <c r="K816" s="2" t="s">
        <v>460</v>
      </c>
    </row>
    <row r="817" customFormat="false" ht="15" hidden="false" customHeight="false" outlineLevel="0" collapsed="false">
      <c r="A817" s="2" t="s">
        <v>97</v>
      </c>
      <c r="B817" s="2" t="s">
        <v>98</v>
      </c>
      <c r="C817" s="2" t="s">
        <v>45</v>
      </c>
      <c r="D817" s="3" t="n">
        <v>46244</v>
      </c>
      <c r="E817" s="2" t="str">
        <f aca="false">TEXT(D817,"dddd")</f>
        <v>Monday</v>
      </c>
      <c r="F817" s="2" t="s">
        <v>461</v>
      </c>
      <c r="G817" s="2"/>
      <c r="H817" s="2"/>
      <c r="I817" s="2" t="n">
        <f aca="false">IF(F817="Present",9,IF(F817="Half Day",4,0))</f>
        <v>0</v>
      </c>
      <c r="J817" s="2"/>
      <c r="K817" s="2" t="s">
        <v>462</v>
      </c>
    </row>
    <row r="818" customFormat="false" ht="15" hidden="false" customHeight="false" outlineLevel="0" collapsed="false">
      <c r="A818" s="2" t="s">
        <v>97</v>
      </c>
      <c r="B818" s="2" t="s">
        <v>98</v>
      </c>
      <c r="C818" s="2" t="s">
        <v>45</v>
      </c>
      <c r="D818" s="3" t="n">
        <v>46245</v>
      </c>
      <c r="E818" s="2" t="str">
        <f aca="false">TEXT(D818,"dddd")</f>
        <v>Tuesday</v>
      </c>
      <c r="F818" s="2" t="s">
        <v>457</v>
      </c>
      <c r="G818" s="2" t="s">
        <v>458</v>
      </c>
      <c r="H818" s="2" t="s">
        <v>459</v>
      </c>
      <c r="I818" s="2" t="n">
        <f aca="false">IF(F818="Present",9,IF(F818="Half Day",4,0))</f>
        <v>9</v>
      </c>
      <c r="J818" s="2"/>
      <c r="K818" s="2"/>
    </row>
    <row r="819" customFormat="false" ht="15" hidden="false" customHeight="false" outlineLevel="0" collapsed="false">
      <c r="A819" s="2" t="s">
        <v>97</v>
      </c>
      <c r="B819" s="2" t="s">
        <v>98</v>
      </c>
      <c r="C819" s="2" t="s">
        <v>45</v>
      </c>
      <c r="D819" s="3" t="n">
        <v>46246</v>
      </c>
      <c r="E819" s="2" t="str">
        <f aca="false">TEXT(D819,"dddd")</f>
        <v>Wednesday</v>
      </c>
      <c r="F819" s="2" t="s">
        <v>463</v>
      </c>
      <c r="G819" s="2"/>
      <c r="H819" s="2"/>
      <c r="I819" s="2" t="n">
        <f aca="false">IF(F819="Present",9,IF(F819="Half Day",4,0))</f>
        <v>0</v>
      </c>
      <c r="J819" s="2" t="s">
        <v>464</v>
      </c>
      <c r="K819" s="2" t="s">
        <v>465</v>
      </c>
    </row>
    <row r="820" customFormat="false" ht="15" hidden="false" customHeight="false" outlineLevel="0" collapsed="false">
      <c r="A820" s="2" t="s">
        <v>97</v>
      </c>
      <c r="B820" s="2" t="s">
        <v>98</v>
      </c>
      <c r="C820" s="2" t="s">
        <v>45</v>
      </c>
      <c r="D820" s="3" t="n">
        <v>46247</v>
      </c>
      <c r="E820" s="2" t="str">
        <f aca="false">TEXT(D820,"dddd")</f>
        <v>Thursday</v>
      </c>
      <c r="F820" s="2" t="s">
        <v>457</v>
      </c>
      <c r="G820" s="2" t="s">
        <v>458</v>
      </c>
      <c r="H820" s="2" t="s">
        <v>459</v>
      </c>
      <c r="I820" s="2" t="n">
        <f aca="false">IF(F820="Present",9,IF(F820="Half Day",4,0))</f>
        <v>9</v>
      </c>
      <c r="J820" s="2"/>
      <c r="K820" s="2"/>
    </row>
    <row r="821" customFormat="false" ht="15" hidden="false" customHeight="false" outlineLevel="0" collapsed="false">
      <c r="A821" s="2" t="s">
        <v>97</v>
      </c>
      <c r="B821" s="2" t="s">
        <v>98</v>
      </c>
      <c r="C821" s="2" t="s">
        <v>45</v>
      </c>
      <c r="D821" s="3" t="n">
        <v>46248</v>
      </c>
      <c r="E821" s="2" t="str">
        <f aca="false">TEXT(D821,"dddd")</f>
        <v>Friday</v>
      </c>
      <c r="F821" s="2" t="s">
        <v>457</v>
      </c>
      <c r="G821" s="2" t="s">
        <v>458</v>
      </c>
      <c r="H821" s="2" t="s">
        <v>459</v>
      </c>
      <c r="I821" s="2" t="n">
        <f aca="false">IF(F821="Present",9,IF(F821="Half Day",4,0))</f>
        <v>9</v>
      </c>
      <c r="J821" s="2"/>
      <c r="K821" s="2"/>
    </row>
    <row r="822" customFormat="false" ht="15" hidden="false" customHeight="false" outlineLevel="0" collapsed="false">
      <c r="A822" s="2" t="s">
        <v>97</v>
      </c>
      <c r="B822" s="2" t="s">
        <v>98</v>
      </c>
      <c r="C822" s="2" t="s">
        <v>45</v>
      </c>
      <c r="D822" s="3" t="n">
        <v>46249</v>
      </c>
      <c r="E822" s="2" t="str">
        <f aca="false">TEXT(D822,"dddd")</f>
        <v>Saturday</v>
      </c>
      <c r="F822" s="2" t="s">
        <v>457</v>
      </c>
      <c r="G822" s="2" t="s">
        <v>458</v>
      </c>
      <c r="H822" s="2" t="s">
        <v>459</v>
      </c>
      <c r="I822" s="2" t="n">
        <f aca="false">IF(F822="Present",9,IF(F822="Half Day",4,0))</f>
        <v>9</v>
      </c>
      <c r="J822" s="2"/>
      <c r="K822" s="2"/>
    </row>
    <row r="823" customFormat="false" ht="15" hidden="false" customHeight="false" outlineLevel="0" collapsed="false">
      <c r="A823" s="2" t="s">
        <v>97</v>
      </c>
      <c r="B823" s="2" t="s">
        <v>98</v>
      </c>
      <c r="C823" s="2" t="s">
        <v>45</v>
      </c>
      <c r="D823" s="3" t="n">
        <v>46250</v>
      </c>
      <c r="E823" s="2" t="str">
        <f aca="false">TEXT(D823,"dddd")</f>
        <v>Sunday</v>
      </c>
      <c r="F823" s="2" t="s">
        <v>460</v>
      </c>
      <c r="G823" s="2"/>
      <c r="H823" s="2"/>
      <c r="I823" s="2" t="n">
        <f aca="false">IF(F823="Present",9,IF(F823="Half Day",4,0))</f>
        <v>0</v>
      </c>
      <c r="J823" s="2"/>
      <c r="K823" s="2" t="s">
        <v>460</v>
      </c>
    </row>
    <row r="824" customFormat="false" ht="15" hidden="false" customHeight="false" outlineLevel="0" collapsed="false">
      <c r="A824" s="2" t="s">
        <v>97</v>
      </c>
      <c r="B824" s="2" t="s">
        <v>98</v>
      </c>
      <c r="C824" s="2" t="s">
        <v>45</v>
      </c>
      <c r="D824" s="3" t="n">
        <v>46251</v>
      </c>
      <c r="E824" s="2" t="str">
        <f aca="false">TEXT(D824,"dddd")</f>
        <v>Monday</v>
      </c>
      <c r="F824" s="2" t="s">
        <v>457</v>
      </c>
      <c r="G824" s="2" t="s">
        <v>458</v>
      </c>
      <c r="H824" s="2" t="s">
        <v>459</v>
      </c>
      <c r="I824" s="2" t="n">
        <f aca="false">IF(F824="Present",9,IF(F824="Half Day",4,0))</f>
        <v>9</v>
      </c>
      <c r="J824" s="2"/>
      <c r="K824" s="2"/>
    </row>
    <row r="825" customFormat="false" ht="15" hidden="false" customHeight="false" outlineLevel="0" collapsed="false">
      <c r="A825" s="2" t="s">
        <v>97</v>
      </c>
      <c r="B825" s="2" t="s">
        <v>98</v>
      </c>
      <c r="C825" s="2" t="s">
        <v>45</v>
      </c>
      <c r="D825" s="3" t="n">
        <v>46252</v>
      </c>
      <c r="E825" s="2" t="str">
        <f aca="false">TEXT(D825,"dddd")</f>
        <v>Tuesday</v>
      </c>
      <c r="F825" s="2" t="s">
        <v>461</v>
      </c>
      <c r="G825" s="2"/>
      <c r="H825" s="2"/>
      <c r="I825" s="2" t="n">
        <f aca="false">IF(F825="Present",9,IF(F825="Half Day",4,0))</f>
        <v>0</v>
      </c>
      <c r="J825" s="2"/>
      <c r="K825" s="2" t="s">
        <v>462</v>
      </c>
    </row>
    <row r="826" customFormat="false" ht="15" hidden="false" customHeight="false" outlineLevel="0" collapsed="false">
      <c r="A826" s="2" t="s">
        <v>97</v>
      </c>
      <c r="B826" s="2" t="s">
        <v>98</v>
      </c>
      <c r="C826" s="2" t="s">
        <v>45</v>
      </c>
      <c r="D826" s="3" t="n">
        <v>46253</v>
      </c>
      <c r="E826" s="2" t="str">
        <f aca="false">TEXT(D826,"dddd")</f>
        <v>Wednesday</v>
      </c>
      <c r="F826" s="2" t="s">
        <v>457</v>
      </c>
      <c r="G826" s="2" t="s">
        <v>458</v>
      </c>
      <c r="H826" s="2" t="s">
        <v>459</v>
      </c>
      <c r="I826" s="2" t="n">
        <f aca="false">IF(F826="Present",9,IF(F826="Half Day",4,0))</f>
        <v>9</v>
      </c>
      <c r="J826" s="2"/>
      <c r="K826" s="2"/>
    </row>
    <row r="827" customFormat="false" ht="15" hidden="false" customHeight="false" outlineLevel="0" collapsed="false">
      <c r="A827" s="2" t="s">
        <v>97</v>
      </c>
      <c r="B827" s="2" t="s">
        <v>98</v>
      </c>
      <c r="C827" s="2" t="s">
        <v>45</v>
      </c>
      <c r="D827" s="3" t="n">
        <v>46254</v>
      </c>
      <c r="E827" s="2" t="str">
        <f aca="false">TEXT(D827,"dddd")</f>
        <v>Thursday</v>
      </c>
      <c r="F827" s="2" t="s">
        <v>457</v>
      </c>
      <c r="G827" s="2" t="s">
        <v>458</v>
      </c>
      <c r="H827" s="2" t="s">
        <v>459</v>
      </c>
      <c r="I827" s="2" t="n">
        <f aca="false">IF(F827="Present",9,IF(F827="Half Day",4,0))</f>
        <v>9</v>
      </c>
      <c r="J827" s="2"/>
      <c r="K827" s="2"/>
    </row>
    <row r="828" customFormat="false" ht="15" hidden="false" customHeight="false" outlineLevel="0" collapsed="false">
      <c r="A828" s="2" t="s">
        <v>97</v>
      </c>
      <c r="B828" s="2" t="s">
        <v>98</v>
      </c>
      <c r="C828" s="2" t="s">
        <v>45</v>
      </c>
      <c r="D828" s="3" t="n">
        <v>46255</v>
      </c>
      <c r="E828" s="2" t="str">
        <f aca="false">TEXT(D828,"dddd")</f>
        <v>Friday</v>
      </c>
      <c r="F828" s="2" t="s">
        <v>457</v>
      </c>
      <c r="G828" s="2" t="s">
        <v>458</v>
      </c>
      <c r="H828" s="2" t="s">
        <v>459</v>
      </c>
      <c r="I828" s="2" t="n">
        <f aca="false">IF(F828="Present",9,IF(F828="Half Day",4,0))</f>
        <v>9</v>
      </c>
      <c r="J828" s="2"/>
      <c r="K828" s="2"/>
    </row>
    <row r="829" customFormat="false" ht="15" hidden="false" customHeight="false" outlineLevel="0" collapsed="false">
      <c r="A829" s="2" t="s">
        <v>97</v>
      </c>
      <c r="B829" s="2" t="s">
        <v>98</v>
      </c>
      <c r="C829" s="2" t="s">
        <v>45</v>
      </c>
      <c r="D829" s="3" t="n">
        <v>46256</v>
      </c>
      <c r="E829" s="2" t="str">
        <f aca="false">TEXT(D829,"dddd")</f>
        <v>Saturday</v>
      </c>
      <c r="F829" s="2" t="s">
        <v>457</v>
      </c>
      <c r="G829" s="2" t="s">
        <v>458</v>
      </c>
      <c r="H829" s="2" t="s">
        <v>459</v>
      </c>
      <c r="I829" s="2" t="n">
        <f aca="false">IF(F829="Present",9,IF(F829="Half Day",4,0))</f>
        <v>9</v>
      </c>
      <c r="J829" s="2"/>
      <c r="K829" s="2"/>
    </row>
    <row r="830" customFormat="false" ht="15" hidden="false" customHeight="false" outlineLevel="0" collapsed="false">
      <c r="A830" s="2" t="s">
        <v>97</v>
      </c>
      <c r="B830" s="2" t="s">
        <v>98</v>
      </c>
      <c r="C830" s="2" t="s">
        <v>45</v>
      </c>
      <c r="D830" s="3" t="n">
        <v>46257</v>
      </c>
      <c r="E830" s="2" t="str">
        <f aca="false">TEXT(D830,"dddd")</f>
        <v>Sunday</v>
      </c>
      <c r="F830" s="2" t="s">
        <v>460</v>
      </c>
      <c r="G830" s="2"/>
      <c r="H830" s="2"/>
      <c r="I830" s="2" t="n">
        <f aca="false">IF(F830="Present",9,IF(F830="Half Day",4,0))</f>
        <v>0</v>
      </c>
      <c r="J830" s="2"/>
      <c r="K830" s="2" t="s">
        <v>460</v>
      </c>
    </row>
    <row r="831" customFormat="false" ht="15" hidden="false" customHeight="false" outlineLevel="0" collapsed="false">
      <c r="A831" s="2" t="s">
        <v>97</v>
      </c>
      <c r="B831" s="2" t="s">
        <v>98</v>
      </c>
      <c r="C831" s="2" t="s">
        <v>45</v>
      </c>
      <c r="D831" s="3" t="n">
        <v>46258</v>
      </c>
      <c r="E831" s="2" t="str">
        <f aca="false">TEXT(D831,"dddd")</f>
        <v>Monday</v>
      </c>
      <c r="F831" s="2" t="s">
        <v>461</v>
      </c>
      <c r="G831" s="2"/>
      <c r="H831" s="2"/>
      <c r="I831" s="2" t="n">
        <f aca="false">IF(F831="Present",9,IF(F831="Half Day",4,0))</f>
        <v>0</v>
      </c>
      <c r="J831" s="2"/>
      <c r="K831" s="2" t="s">
        <v>462</v>
      </c>
    </row>
    <row r="832" customFormat="false" ht="15" hidden="false" customHeight="false" outlineLevel="0" collapsed="false">
      <c r="A832" s="2" t="s">
        <v>97</v>
      </c>
      <c r="B832" s="2" t="s">
        <v>98</v>
      </c>
      <c r="C832" s="2" t="s">
        <v>45</v>
      </c>
      <c r="D832" s="3" t="n">
        <v>46259</v>
      </c>
      <c r="E832" s="2" t="str">
        <f aca="false">TEXT(D832,"dddd")</f>
        <v>Tuesday</v>
      </c>
      <c r="F832" s="2" t="s">
        <v>457</v>
      </c>
      <c r="G832" s="2" t="s">
        <v>458</v>
      </c>
      <c r="H832" s="2" t="s">
        <v>459</v>
      </c>
      <c r="I832" s="2" t="n">
        <f aca="false">IF(F832="Present",9,IF(F832="Half Day",4,0))</f>
        <v>9</v>
      </c>
      <c r="J832" s="2"/>
      <c r="K832" s="2"/>
    </row>
    <row r="833" customFormat="false" ht="15" hidden="false" customHeight="false" outlineLevel="0" collapsed="false">
      <c r="A833" s="2" t="s">
        <v>97</v>
      </c>
      <c r="B833" s="2" t="s">
        <v>98</v>
      </c>
      <c r="C833" s="2" t="s">
        <v>45</v>
      </c>
      <c r="D833" s="3" t="n">
        <v>46260</v>
      </c>
      <c r="E833" s="2" t="str">
        <f aca="false">TEXT(D833,"dddd")</f>
        <v>Wednesday</v>
      </c>
      <c r="F833" s="2" t="s">
        <v>457</v>
      </c>
      <c r="G833" s="2" t="s">
        <v>458</v>
      </c>
      <c r="H833" s="2" t="s">
        <v>459</v>
      </c>
      <c r="I833" s="2" t="n">
        <f aca="false">IF(F833="Present",9,IF(F833="Half Day",4,0))</f>
        <v>9</v>
      </c>
      <c r="J833" s="2"/>
      <c r="K833" s="2"/>
    </row>
    <row r="834" customFormat="false" ht="15" hidden="false" customHeight="false" outlineLevel="0" collapsed="false">
      <c r="A834" s="2" t="s">
        <v>97</v>
      </c>
      <c r="B834" s="2" t="s">
        <v>98</v>
      </c>
      <c r="C834" s="2" t="s">
        <v>45</v>
      </c>
      <c r="D834" s="3" t="n">
        <v>46261</v>
      </c>
      <c r="E834" s="2" t="str">
        <f aca="false">TEXT(D834,"dddd")</f>
        <v>Thursday</v>
      </c>
      <c r="F834" s="2" t="s">
        <v>457</v>
      </c>
      <c r="G834" s="2" t="s">
        <v>458</v>
      </c>
      <c r="H834" s="2" t="s">
        <v>459</v>
      </c>
      <c r="I834" s="2" t="n">
        <f aca="false">IF(F834="Present",9,IF(F834="Half Day",4,0))</f>
        <v>9</v>
      </c>
      <c r="J834" s="2"/>
      <c r="K834" s="2"/>
    </row>
    <row r="835" customFormat="false" ht="15" hidden="false" customHeight="false" outlineLevel="0" collapsed="false">
      <c r="A835" s="2" t="s">
        <v>97</v>
      </c>
      <c r="B835" s="2" t="s">
        <v>98</v>
      </c>
      <c r="C835" s="2" t="s">
        <v>45</v>
      </c>
      <c r="D835" s="3" t="n">
        <v>46262</v>
      </c>
      <c r="E835" s="2" t="str">
        <f aca="false">TEXT(D835,"dddd")</f>
        <v>Friday</v>
      </c>
      <c r="F835" s="2" t="s">
        <v>457</v>
      </c>
      <c r="G835" s="2" t="s">
        <v>458</v>
      </c>
      <c r="H835" s="2" t="s">
        <v>459</v>
      </c>
      <c r="I835" s="2" t="n">
        <f aca="false">IF(F835="Present",9,IF(F835="Half Day",4,0))</f>
        <v>9</v>
      </c>
      <c r="J835" s="2"/>
      <c r="K835" s="2"/>
    </row>
    <row r="836" customFormat="false" ht="15" hidden="false" customHeight="false" outlineLevel="0" collapsed="false">
      <c r="A836" s="2" t="s">
        <v>97</v>
      </c>
      <c r="B836" s="2" t="s">
        <v>98</v>
      </c>
      <c r="C836" s="2" t="s">
        <v>45</v>
      </c>
      <c r="D836" s="3" t="n">
        <v>46263</v>
      </c>
      <c r="E836" s="2" t="str">
        <f aca="false">TEXT(D836,"dddd")</f>
        <v>Saturday</v>
      </c>
      <c r="F836" s="2" t="s">
        <v>457</v>
      </c>
      <c r="G836" s="2" t="s">
        <v>458</v>
      </c>
      <c r="H836" s="2" t="s">
        <v>459</v>
      </c>
      <c r="I836" s="2" t="n">
        <f aca="false">IF(F836="Present",9,IF(F836="Half Day",4,0))</f>
        <v>9</v>
      </c>
      <c r="J836" s="2"/>
      <c r="K836" s="2"/>
    </row>
    <row r="837" customFormat="false" ht="15" hidden="false" customHeight="false" outlineLevel="0" collapsed="false">
      <c r="A837" s="2" t="s">
        <v>97</v>
      </c>
      <c r="B837" s="2" t="s">
        <v>98</v>
      </c>
      <c r="C837" s="2" t="s">
        <v>45</v>
      </c>
      <c r="D837" s="3" t="n">
        <v>46264</v>
      </c>
      <c r="E837" s="2" t="str">
        <f aca="false">TEXT(D837,"dddd")</f>
        <v>Sunday</v>
      </c>
      <c r="F837" s="2" t="s">
        <v>460</v>
      </c>
      <c r="G837" s="2"/>
      <c r="H837" s="2"/>
      <c r="I837" s="2" t="n">
        <f aca="false">IF(F837="Present",9,IF(F837="Half Day",4,0))</f>
        <v>0</v>
      </c>
      <c r="J837" s="2"/>
      <c r="K837" s="2" t="s">
        <v>460</v>
      </c>
    </row>
    <row r="838" customFormat="false" ht="15" hidden="false" customHeight="false" outlineLevel="0" collapsed="false">
      <c r="A838" s="2" t="s">
        <v>97</v>
      </c>
      <c r="B838" s="2" t="s">
        <v>98</v>
      </c>
      <c r="C838" s="2" t="s">
        <v>45</v>
      </c>
      <c r="D838" s="3" t="n">
        <v>46265</v>
      </c>
      <c r="E838" s="2" t="str">
        <f aca="false">TEXT(D838,"dddd")</f>
        <v>Monday</v>
      </c>
      <c r="F838" s="2" t="s">
        <v>457</v>
      </c>
      <c r="G838" s="2" t="s">
        <v>458</v>
      </c>
      <c r="H838" s="2" t="s">
        <v>459</v>
      </c>
      <c r="I838" s="2" t="n">
        <f aca="false">IF(F838="Present",9,IF(F838="Half Day",4,0))</f>
        <v>9</v>
      </c>
      <c r="J838" s="2"/>
      <c r="K838" s="2"/>
    </row>
    <row r="839" customFormat="false" ht="15" hidden="false" customHeight="false" outlineLevel="0" collapsed="false">
      <c r="A839" s="2" t="s">
        <v>99</v>
      </c>
      <c r="B839" s="2" t="s">
        <v>100</v>
      </c>
      <c r="C839" s="2" t="s">
        <v>49</v>
      </c>
      <c r="D839" s="3" t="n">
        <v>46235</v>
      </c>
      <c r="E839" s="2" t="str">
        <f aca="false">TEXT(D839,"dddd")</f>
        <v>Saturday</v>
      </c>
      <c r="F839" s="2" t="s">
        <v>461</v>
      </c>
      <c r="G839" s="2"/>
      <c r="H839" s="2"/>
      <c r="I839" s="2" t="n">
        <f aca="false">IF(F839="Present",9,IF(F839="Half Day",4,0))</f>
        <v>0</v>
      </c>
      <c r="J839" s="2"/>
      <c r="K839" s="2" t="s">
        <v>462</v>
      </c>
    </row>
    <row r="840" customFormat="false" ht="15" hidden="false" customHeight="false" outlineLevel="0" collapsed="false">
      <c r="A840" s="2" t="s">
        <v>99</v>
      </c>
      <c r="B840" s="2" t="s">
        <v>100</v>
      </c>
      <c r="C840" s="2" t="s">
        <v>49</v>
      </c>
      <c r="D840" s="3" t="n">
        <v>46236</v>
      </c>
      <c r="E840" s="2" t="str">
        <f aca="false">TEXT(D840,"dddd")</f>
        <v>Sunday</v>
      </c>
      <c r="F840" s="2" t="s">
        <v>460</v>
      </c>
      <c r="G840" s="2"/>
      <c r="H840" s="2"/>
      <c r="I840" s="2" t="n">
        <f aca="false">IF(F840="Present",9,IF(F840="Half Day",4,0))</f>
        <v>0</v>
      </c>
      <c r="J840" s="2"/>
      <c r="K840" s="2" t="s">
        <v>460</v>
      </c>
    </row>
    <row r="841" customFormat="false" ht="15" hidden="false" customHeight="false" outlineLevel="0" collapsed="false">
      <c r="A841" s="2" t="s">
        <v>99</v>
      </c>
      <c r="B841" s="2" t="s">
        <v>100</v>
      </c>
      <c r="C841" s="2" t="s">
        <v>49</v>
      </c>
      <c r="D841" s="3" t="n">
        <v>46237</v>
      </c>
      <c r="E841" s="2" t="str">
        <f aca="false">TEXT(D841,"dddd")</f>
        <v>Monday</v>
      </c>
      <c r="F841" s="2" t="s">
        <v>461</v>
      </c>
      <c r="G841" s="2"/>
      <c r="H841" s="2"/>
      <c r="I841" s="2" t="n">
        <f aca="false">IF(F841="Present",9,IF(F841="Half Day",4,0))</f>
        <v>0</v>
      </c>
      <c r="J841" s="2"/>
      <c r="K841" s="2" t="s">
        <v>462</v>
      </c>
    </row>
    <row r="842" customFormat="false" ht="15" hidden="false" customHeight="false" outlineLevel="0" collapsed="false">
      <c r="A842" s="2" t="s">
        <v>99</v>
      </c>
      <c r="B842" s="2" t="s">
        <v>100</v>
      </c>
      <c r="C842" s="2" t="s">
        <v>49</v>
      </c>
      <c r="D842" s="3" t="n">
        <v>46238</v>
      </c>
      <c r="E842" s="2" t="str">
        <f aca="false">TEXT(D842,"dddd")</f>
        <v>Tuesday</v>
      </c>
      <c r="F842" s="2" t="s">
        <v>457</v>
      </c>
      <c r="G842" s="2" t="s">
        <v>458</v>
      </c>
      <c r="H842" s="2" t="s">
        <v>459</v>
      </c>
      <c r="I842" s="2" t="n">
        <f aca="false">IF(F842="Present",9,IF(F842="Half Day",4,0))</f>
        <v>9</v>
      </c>
      <c r="J842" s="2"/>
      <c r="K842" s="2"/>
    </row>
    <row r="843" customFormat="false" ht="15" hidden="false" customHeight="false" outlineLevel="0" collapsed="false">
      <c r="A843" s="2" t="s">
        <v>99</v>
      </c>
      <c r="B843" s="2" t="s">
        <v>100</v>
      </c>
      <c r="C843" s="2" t="s">
        <v>49</v>
      </c>
      <c r="D843" s="3" t="n">
        <v>46239</v>
      </c>
      <c r="E843" s="2" t="str">
        <f aca="false">TEXT(D843,"dddd")</f>
        <v>Wednesday</v>
      </c>
      <c r="F843" s="2" t="s">
        <v>457</v>
      </c>
      <c r="G843" s="2" t="s">
        <v>458</v>
      </c>
      <c r="H843" s="2" t="s">
        <v>459</v>
      </c>
      <c r="I843" s="2" t="n">
        <f aca="false">IF(F843="Present",9,IF(F843="Half Day",4,0))</f>
        <v>9</v>
      </c>
      <c r="J843" s="2"/>
      <c r="K843" s="2"/>
    </row>
    <row r="844" customFormat="false" ht="15" hidden="false" customHeight="false" outlineLevel="0" collapsed="false">
      <c r="A844" s="2" t="s">
        <v>99</v>
      </c>
      <c r="B844" s="2" t="s">
        <v>100</v>
      </c>
      <c r="C844" s="2" t="s">
        <v>49</v>
      </c>
      <c r="D844" s="3" t="n">
        <v>46240</v>
      </c>
      <c r="E844" s="2" t="str">
        <f aca="false">TEXT(D844,"dddd")</f>
        <v>Thursday</v>
      </c>
      <c r="F844" s="2" t="s">
        <v>457</v>
      </c>
      <c r="G844" s="2" t="s">
        <v>458</v>
      </c>
      <c r="H844" s="2" t="s">
        <v>459</v>
      </c>
      <c r="I844" s="2" t="n">
        <f aca="false">IF(F844="Present",9,IF(F844="Half Day",4,0))</f>
        <v>9</v>
      </c>
      <c r="J844" s="2"/>
      <c r="K844" s="2"/>
    </row>
    <row r="845" customFormat="false" ht="15" hidden="false" customHeight="false" outlineLevel="0" collapsed="false">
      <c r="A845" s="2" t="s">
        <v>99</v>
      </c>
      <c r="B845" s="2" t="s">
        <v>100</v>
      </c>
      <c r="C845" s="2" t="s">
        <v>49</v>
      </c>
      <c r="D845" s="3" t="n">
        <v>46241</v>
      </c>
      <c r="E845" s="2" t="str">
        <f aca="false">TEXT(D845,"dddd")</f>
        <v>Friday</v>
      </c>
      <c r="F845" s="2" t="s">
        <v>457</v>
      </c>
      <c r="G845" s="2" t="s">
        <v>458</v>
      </c>
      <c r="H845" s="2" t="s">
        <v>459</v>
      </c>
      <c r="I845" s="2" t="n">
        <f aca="false">IF(F845="Present",9,IF(F845="Half Day",4,0))</f>
        <v>9</v>
      </c>
      <c r="J845" s="2"/>
      <c r="K845" s="2"/>
    </row>
    <row r="846" customFormat="false" ht="15" hidden="false" customHeight="false" outlineLevel="0" collapsed="false">
      <c r="A846" s="2" t="s">
        <v>99</v>
      </c>
      <c r="B846" s="2" t="s">
        <v>100</v>
      </c>
      <c r="C846" s="2" t="s">
        <v>49</v>
      </c>
      <c r="D846" s="3" t="n">
        <v>46242</v>
      </c>
      <c r="E846" s="2" t="str">
        <f aca="false">TEXT(D846,"dddd")</f>
        <v>Saturday</v>
      </c>
      <c r="F846" s="2" t="s">
        <v>461</v>
      </c>
      <c r="G846" s="2"/>
      <c r="H846" s="2"/>
      <c r="I846" s="2" t="n">
        <f aca="false">IF(F846="Present",9,IF(F846="Half Day",4,0))</f>
        <v>0</v>
      </c>
      <c r="J846" s="2"/>
      <c r="K846" s="2" t="s">
        <v>462</v>
      </c>
    </row>
    <row r="847" customFormat="false" ht="15" hidden="false" customHeight="false" outlineLevel="0" collapsed="false">
      <c r="A847" s="2" t="s">
        <v>99</v>
      </c>
      <c r="B847" s="2" t="s">
        <v>100</v>
      </c>
      <c r="C847" s="2" t="s">
        <v>49</v>
      </c>
      <c r="D847" s="3" t="n">
        <v>46243</v>
      </c>
      <c r="E847" s="2" t="str">
        <f aca="false">TEXT(D847,"dddd")</f>
        <v>Sunday</v>
      </c>
      <c r="F847" s="2" t="s">
        <v>460</v>
      </c>
      <c r="G847" s="2"/>
      <c r="H847" s="2"/>
      <c r="I847" s="2" t="n">
        <f aca="false">IF(F847="Present",9,IF(F847="Half Day",4,0))</f>
        <v>0</v>
      </c>
      <c r="J847" s="2"/>
      <c r="K847" s="2" t="s">
        <v>460</v>
      </c>
    </row>
    <row r="848" customFormat="false" ht="15" hidden="false" customHeight="false" outlineLevel="0" collapsed="false">
      <c r="A848" s="2" t="s">
        <v>99</v>
      </c>
      <c r="B848" s="2" t="s">
        <v>100</v>
      </c>
      <c r="C848" s="2" t="s">
        <v>49</v>
      </c>
      <c r="D848" s="3" t="n">
        <v>46244</v>
      </c>
      <c r="E848" s="2" t="str">
        <f aca="false">TEXT(D848,"dddd")</f>
        <v>Monday</v>
      </c>
      <c r="F848" s="2" t="s">
        <v>457</v>
      </c>
      <c r="G848" s="2" t="s">
        <v>458</v>
      </c>
      <c r="H848" s="2" t="s">
        <v>459</v>
      </c>
      <c r="I848" s="2" t="n">
        <f aca="false">IF(F848="Present",9,IF(F848="Half Day",4,0))</f>
        <v>9</v>
      </c>
      <c r="J848" s="2"/>
      <c r="K848" s="2"/>
    </row>
    <row r="849" customFormat="false" ht="15" hidden="false" customHeight="false" outlineLevel="0" collapsed="false">
      <c r="A849" s="2" t="s">
        <v>99</v>
      </c>
      <c r="B849" s="2" t="s">
        <v>100</v>
      </c>
      <c r="C849" s="2" t="s">
        <v>49</v>
      </c>
      <c r="D849" s="3" t="n">
        <v>46245</v>
      </c>
      <c r="E849" s="2" t="str">
        <f aca="false">TEXT(D849,"dddd")</f>
        <v>Tuesday</v>
      </c>
      <c r="F849" s="2" t="s">
        <v>457</v>
      </c>
      <c r="G849" s="2" t="s">
        <v>458</v>
      </c>
      <c r="H849" s="2" t="s">
        <v>459</v>
      </c>
      <c r="I849" s="2" t="n">
        <f aca="false">IF(F849="Present",9,IF(F849="Half Day",4,0))</f>
        <v>9</v>
      </c>
      <c r="J849" s="2"/>
      <c r="K849" s="2"/>
    </row>
    <row r="850" customFormat="false" ht="15" hidden="false" customHeight="false" outlineLevel="0" collapsed="false">
      <c r="A850" s="2" t="s">
        <v>99</v>
      </c>
      <c r="B850" s="2" t="s">
        <v>100</v>
      </c>
      <c r="C850" s="2" t="s">
        <v>49</v>
      </c>
      <c r="D850" s="3" t="n">
        <v>46246</v>
      </c>
      <c r="E850" s="2" t="str">
        <f aca="false">TEXT(D850,"dddd")</f>
        <v>Wednesday</v>
      </c>
      <c r="F850" s="2" t="s">
        <v>457</v>
      </c>
      <c r="G850" s="2" t="s">
        <v>458</v>
      </c>
      <c r="H850" s="2" t="s">
        <v>459</v>
      </c>
      <c r="I850" s="2" t="n">
        <f aca="false">IF(F850="Present",9,IF(F850="Half Day",4,0))</f>
        <v>9</v>
      </c>
      <c r="J850" s="2"/>
      <c r="K850" s="2"/>
    </row>
    <row r="851" customFormat="false" ht="15" hidden="false" customHeight="false" outlineLevel="0" collapsed="false">
      <c r="A851" s="2" t="s">
        <v>99</v>
      </c>
      <c r="B851" s="2" t="s">
        <v>100</v>
      </c>
      <c r="C851" s="2" t="s">
        <v>49</v>
      </c>
      <c r="D851" s="3" t="n">
        <v>46247</v>
      </c>
      <c r="E851" s="2" t="str">
        <f aca="false">TEXT(D851,"dddd")</f>
        <v>Thursday</v>
      </c>
      <c r="F851" s="2" t="s">
        <v>457</v>
      </c>
      <c r="G851" s="2" t="s">
        <v>458</v>
      </c>
      <c r="H851" s="2" t="s">
        <v>459</v>
      </c>
      <c r="I851" s="2" t="n">
        <f aca="false">IF(F851="Present",9,IF(F851="Half Day",4,0))</f>
        <v>9</v>
      </c>
      <c r="J851" s="2"/>
      <c r="K851" s="2"/>
    </row>
    <row r="852" customFormat="false" ht="15" hidden="false" customHeight="false" outlineLevel="0" collapsed="false">
      <c r="A852" s="2" t="s">
        <v>99</v>
      </c>
      <c r="B852" s="2" t="s">
        <v>100</v>
      </c>
      <c r="C852" s="2" t="s">
        <v>49</v>
      </c>
      <c r="D852" s="3" t="n">
        <v>46248</v>
      </c>
      <c r="E852" s="2" t="str">
        <f aca="false">TEXT(D852,"dddd")</f>
        <v>Friday</v>
      </c>
      <c r="F852" s="2" t="s">
        <v>457</v>
      </c>
      <c r="G852" s="2" t="s">
        <v>458</v>
      </c>
      <c r="H852" s="2" t="s">
        <v>459</v>
      </c>
      <c r="I852" s="2" t="n">
        <f aca="false">IF(F852="Present",9,IF(F852="Half Day",4,0))</f>
        <v>9</v>
      </c>
      <c r="J852" s="2"/>
      <c r="K852" s="2"/>
    </row>
    <row r="853" customFormat="false" ht="15" hidden="false" customHeight="false" outlineLevel="0" collapsed="false">
      <c r="A853" s="2" t="s">
        <v>99</v>
      </c>
      <c r="B853" s="2" t="s">
        <v>100</v>
      </c>
      <c r="C853" s="2" t="s">
        <v>49</v>
      </c>
      <c r="D853" s="3" t="n">
        <v>46249</v>
      </c>
      <c r="E853" s="2" t="str">
        <f aca="false">TEXT(D853,"dddd")</f>
        <v>Saturday</v>
      </c>
      <c r="F853" s="2" t="s">
        <v>466</v>
      </c>
      <c r="G853" s="2" t="s">
        <v>458</v>
      </c>
      <c r="H853" s="2" t="s">
        <v>467</v>
      </c>
      <c r="I853" s="2" t="n">
        <f aca="false">IF(F853="Present",9,IF(F853="Half Day",4,0))</f>
        <v>4</v>
      </c>
      <c r="J853" s="2"/>
      <c r="K853" s="2" t="s">
        <v>466</v>
      </c>
    </row>
    <row r="854" customFormat="false" ht="15" hidden="false" customHeight="false" outlineLevel="0" collapsed="false">
      <c r="A854" s="2" t="s">
        <v>99</v>
      </c>
      <c r="B854" s="2" t="s">
        <v>100</v>
      </c>
      <c r="C854" s="2" t="s">
        <v>49</v>
      </c>
      <c r="D854" s="3" t="n">
        <v>46250</v>
      </c>
      <c r="E854" s="2" t="str">
        <f aca="false">TEXT(D854,"dddd")</f>
        <v>Sunday</v>
      </c>
      <c r="F854" s="2" t="s">
        <v>460</v>
      </c>
      <c r="G854" s="2"/>
      <c r="H854" s="2"/>
      <c r="I854" s="2" t="n">
        <f aca="false">IF(F854="Present",9,IF(F854="Half Day",4,0))</f>
        <v>0</v>
      </c>
      <c r="J854" s="2"/>
      <c r="K854" s="2" t="s">
        <v>460</v>
      </c>
    </row>
    <row r="855" customFormat="false" ht="15" hidden="false" customHeight="false" outlineLevel="0" collapsed="false">
      <c r="A855" s="2" t="s">
        <v>99</v>
      </c>
      <c r="B855" s="2" t="s">
        <v>100</v>
      </c>
      <c r="C855" s="2" t="s">
        <v>49</v>
      </c>
      <c r="D855" s="3" t="n">
        <v>46251</v>
      </c>
      <c r="E855" s="2" t="str">
        <f aca="false">TEXT(D855,"dddd")</f>
        <v>Monday</v>
      </c>
      <c r="F855" s="2" t="s">
        <v>461</v>
      </c>
      <c r="G855" s="2"/>
      <c r="H855" s="2"/>
      <c r="I855" s="2" t="n">
        <f aca="false">IF(F855="Present",9,IF(F855="Half Day",4,0))</f>
        <v>0</v>
      </c>
      <c r="J855" s="2"/>
      <c r="K855" s="2" t="s">
        <v>462</v>
      </c>
    </row>
    <row r="856" customFormat="false" ht="15" hidden="false" customHeight="false" outlineLevel="0" collapsed="false">
      <c r="A856" s="2" t="s">
        <v>99</v>
      </c>
      <c r="B856" s="2" t="s">
        <v>100</v>
      </c>
      <c r="C856" s="2" t="s">
        <v>49</v>
      </c>
      <c r="D856" s="3" t="n">
        <v>46252</v>
      </c>
      <c r="E856" s="2" t="str">
        <f aca="false">TEXT(D856,"dddd")</f>
        <v>Tuesday</v>
      </c>
      <c r="F856" s="2" t="s">
        <v>466</v>
      </c>
      <c r="G856" s="2" t="s">
        <v>458</v>
      </c>
      <c r="H856" s="2" t="s">
        <v>467</v>
      </c>
      <c r="I856" s="2" t="n">
        <f aca="false">IF(F856="Present",9,IF(F856="Half Day",4,0))</f>
        <v>4</v>
      </c>
      <c r="J856" s="2"/>
      <c r="K856" s="2" t="s">
        <v>466</v>
      </c>
    </row>
    <row r="857" customFormat="false" ht="15" hidden="false" customHeight="false" outlineLevel="0" collapsed="false">
      <c r="A857" s="2" t="s">
        <v>99</v>
      </c>
      <c r="B857" s="2" t="s">
        <v>100</v>
      </c>
      <c r="C857" s="2" t="s">
        <v>49</v>
      </c>
      <c r="D857" s="3" t="n">
        <v>46253</v>
      </c>
      <c r="E857" s="2" t="str">
        <f aca="false">TEXT(D857,"dddd")</f>
        <v>Wednesday</v>
      </c>
      <c r="F857" s="2" t="s">
        <v>457</v>
      </c>
      <c r="G857" s="2" t="s">
        <v>458</v>
      </c>
      <c r="H857" s="2" t="s">
        <v>459</v>
      </c>
      <c r="I857" s="2" t="n">
        <f aca="false">IF(F857="Present",9,IF(F857="Half Day",4,0))</f>
        <v>9</v>
      </c>
      <c r="J857" s="2"/>
      <c r="K857" s="2"/>
    </row>
    <row r="858" customFormat="false" ht="15" hidden="false" customHeight="false" outlineLevel="0" collapsed="false">
      <c r="A858" s="2" t="s">
        <v>99</v>
      </c>
      <c r="B858" s="2" t="s">
        <v>100</v>
      </c>
      <c r="C858" s="2" t="s">
        <v>49</v>
      </c>
      <c r="D858" s="3" t="n">
        <v>46254</v>
      </c>
      <c r="E858" s="2" t="str">
        <f aca="false">TEXT(D858,"dddd")</f>
        <v>Thursday</v>
      </c>
      <c r="F858" s="2" t="s">
        <v>457</v>
      </c>
      <c r="G858" s="2" t="s">
        <v>458</v>
      </c>
      <c r="H858" s="2" t="s">
        <v>459</v>
      </c>
      <c r="I858" s="2" t="n">
        <f aca="false">IF(F858="Present",9,IF(F858="Half Day",4,0))</f>
        <v>9</v>
      </c>
      <c r="J858" s="2"/>
      <c r="K858" s="2"/>
    </row>
    <row r="859" customFormat="false" ht="15" hidden="false" customHeight="false" outlineLevel="0" collapsed="false">
      <c r="A859" s="2" t="s">
        <v>99</v>
      </c>
      <c r="B859" s="2" t="s">
        <v>100</v>
      </c>
      <c r="C859" s="2" t="s">
        <v>49</v>
      </c>
      <c r="D859" s="3" t="n">
        <v>46255</v>
      </c>
      <c r="E859" s="2" t="str">
        <f aca="false">TEXT(D859,"dddd")</f>
        <v>Friday</v>
      </c>
      <c r="F859" s="2" t="s">
        <v>457</v>
      </c>
      <c r="G859" s="2" t="s">
        <v>458</v>
      </c>
      <c r="H859" s="2" t="s">
        <v>459</v>
      </c>
      <c r="I859" s="2" t="n">
        <f aca="false">IF(F859="Present",9,IF(F859="Half Day",4,0))</f>
        <v>9</v>
      </c>
      <c r="J859" s="2"/>
      <c r="K859" s="2"/>
    </row>
    <row r="860" customFormat="false" ht="15" hidden="false" customHeight="false" outlineLevel="0" collapsed="false">
      <c r="A860" s="2" t="s">
        <v>99</v>
      </c>
      <c r="B860" s="2" t="s">
        <v>100</v>
      </c>
      <c r="C860" s="2" t="s">
        <v>49</v>
      </c>
      <c r="D860" s="3" t="n">
        <v>46256</v>
      </c>
      <c r="E860" s="2" t="str">
        <f aca="false">TEXT(D860,"dddd")</f>
        <v>Saturday</v>
      </c>
      <c r="F860" s="2" t="s">
        <v>457</v>
      </c>
      <c r="G860" s="2" t="s">
        <v>458</v>
      </c>
      <c r="H860" s="2" t="s">
        <v>459</v>
      </c>
      <c r="I860" s="2" t="n">
        <f aca="false">IF(F860="Present",9,IF(F860="Half Day",4,0))</f>
        <v>9</v>
      </c>
      <c r="J860" s="2"/>
      <c r="K860" s="2"/>
    </row>
    <row r="861" customFormat="false" ht="15" hidden="false" customHeight="false" outlineLevel="0" collapsed="false">
      <c r="A861" s="2" t="s">
        <v>99</v>
      </c>
      <c r="B861" s="2" t="s">
        <v>100</v>
      </c>
      <c r="C861" s="2" t="s">
        <v>49</v>
      </c>
      <c r="D861" s="3" t="n">
        <v>46257</v>
      </c>
      <c r="E861" s="2" t="str">
        <f aca="false">TEXT(D861,"dddd")</f>
        <v>Sunday</v>
      </c>
      <c r="F861" s="2" t="s">
        <v>460</v>
      </c>
      <c r="G861" s="2"/>
      <c r="H861" s="2"/>
      <c r="I861" s="2" t="n">
        <f aca="false">IF(F861="Present",9,IF(F861="Half Day",4,0))</f>
        <v>0</v>
      </c>
      <c r="J861" s="2"/>
      <c r="K861" s="2" t="s">
        <v>460</v>
      </c>
    </row>
    <row r="862" customFormat="false" ht="15" hidden="false" customHeight="false" outlineLevel="0" collapsed="false">
      <c r="A862" s="2" t="s">
        <v>99</v>
      </c>
      <c r="B862" s="2" t="s">
        <v>100</v>
      </c>
      <c r="C862" s="2" t="s">
        <v>49</v>
      </c>
      <c r="D862" s="3" t="n">
        <v>46258</v>
      </c>
      <c r="E862" s="2" t="str">
        <f aca="false">TEXT(D862,"dddd")</f>
        <v>Monday</v>
      </c>
      <c r="F862" s="2" t="s">
        <v>461</v>
      </c>
      <c r="G862" s="2"/>
      <c r="H862" s="2"/>
      <c r="I862" s="2" t="n">
        <f aca="false">IF(F862="Present",9,IF(F862="Half Day",4,0))</f>
        <v>0</v>
      </c>
      <c r="J862" s="2"/>
      <c r="K862" s="2" t="s">
        <v>462</v>
      </c>
    </row>
    <row r="863" customFormat="false" ht="15" hidden="false" customHeight="false" outlineLevel="0" collapsed="false">
      <c r="A863" s="2" t="s">
        <v>99</v>
      </c>
      <c r="B863" s="2" t="s">
        <v>100</v>
      </c>
      <c r="C863" s="2" t="s">
        <v>49</v>
      </c>
      <c r="D863" s="3" t="n">
        <v>46259</v>
      </c>
      <c r="E863" s="2" t="str">
        <f aca="false">TEXT(D863,"dddd")</f>
        <v>Tuesday</v>
      </c>
      <c r="F863" s="2" t="s">
        <v>461</v>
      </c>
      <c r="G863" s="2"/>
      <c r="H863" s="2"/>
      <c r="I863" s="2" t="n">
        <f aca="false">IF(F863="Present",9,IF(F863="Half Day",4,0))</f>
        <v>0</v>
      </c>
      <c r="J863" s="2"/>
      <c r="K863" s="2" t="s">
        <v>462</v>
      </c>
    </row>
    <row r="864" customFormat="false" ht="15" hidden="false" customHeight="false" outlineLevel="0" collapsed="false">
      <c r="A864" s="2" t="s">
        <v>99</v>
      </c>
      <c r="B864" s="2" t="s">
        <v>100</v>
      </c>
      <c r="C864" s="2" t="s">
        <v>49</v>
      </c>
      <c r="D864" s="3" t="n">
        <v>46260</v>
      </c>
      <c r="E864" s="2" t="str">
        <f aca="false">TEXT(D864,"dddd")</f>
        <v>Wednesday</v>
      </c>
      <c r="F864" s="2" t="s">
        <v>457</v>
      </c>
      <c r="G864" s="2" t="s">
        <v>458</v>
      </c>
      <c r="H864" s="2" t="s">
        <v>459</v>
      </c>
      <c r="I864" s="2" t="n">
        <f aca="false">IF(F864="Present",9,IF(F864="Half Day",4,0))</f>
        <v>9</v>
      </c>
      <c r="J864" s="2"/>
      <c r="K864" s="2"/>
    </row>
    <row r="865" customFormat="false" ht="15" hidden="false" customHeight="false" outlineLevel="0" collapsed="false">
      <c r="A865" s="2" t="s">
        <v>99</v>
      </c>
      <c r="B865" s="2" t="s">
        <v>100</v>
      </c>
      <c r="C865" s="2" t="s">
        <v>49</v>
      </c>
      <c r="D865" s="3" t="n">
        <v>46261</v>
      </c>
      <c r="E865" s="2" t="str">
        <f aca="false">TEXT(D865,"dddd")</f>
        <v>Thursday</v>
      </c>
      <c r="F865" s="2" t="s">
        <v>461</v>
      </c>
      <c r="G865" s="2"/>
      <c r="H865" s="2"/>
      <c r="I865" s="2" t="n">
        <f aca="false">IF(F865="Present",9,IF(F865="Half Day",4,0))</f>
        <v>0</v>
      </c>
      <c r="J865" s="2"/>
      <c r="K865" s="2" t="s">
        <v>462</v>
      </c>
    </row>
    <row r="866" customFormat="false" ht="15" hidden="false" customHeight="false" outlineLevel="0" collapsed="false">
      <c r="A866" s="2" t="s">
        <v>99</v>
      </c>
      <c r="B866" s="2" t="s">
        <v>100</v>
      </c>
      <c r="C866" s="2" t="s">
        <v>49</v>
      </c>
      <c r="D866" s="3" t="n">
        <v>46262</v>
      </c>
      <c r="E866" s="2" t="str">
        <f aca="false">TEXT(D866,"dddd")</f>
        <v>Friday</v>
      </c>
      <c r="F866" s="2" t="s">
        <v>461</v>
      </c>
      <c r="G866" s="2"/>
      <c r="H866" s="2"/>
      <c r="I866" s="2" t="n">
        <f aca="false">IF(F866="Present",9,IF(F866="Half Day",4,0))</f>
        <v>0</v>
      </c>
      <c r="J866" s="2"/>
      <c r="K866" s="2" t="s">
        <v>462</v>
      </c>
    </row>
    <row r="867" customFormat="false" ht="15" hidden="false" customHeight="false" outlineLevel="0" collapsed="false">
      <c r="A867" s="2" t="s">
        <v>99</v>
      </c>
      <c r="B867" s="2" t="s">
        <v>100</v>
      </c>
      <c r="C867" s="2" t="s">
        <v>49</v>
      </c>
      <c r="D867" s="3" t="n">
        <v>46263</v>
      </c>
      <c r="E867" s="2" t="str">
        <f aca="false">TEXT(D867,"dddd")</f>
        <v>Saturday</v>
      </c>
      <c r="F867" s="2" t="s">
        <v>457</v>
      </c>
      <c r="G867" s="2" t="s">
        <v>458</v>
      </c>
      <c r="H867" s="2" t="s">
        <v>459</v>
      </c>
      <c r="I867" s="2" t="n">
        <f aca="false">IF(F867="Present",9,IF(F867="Half Day",4,0))</f>
        <v>9</v>
      </c>
      <c r="J867" s="2"/>
      <c r="K867" s="2"/>
    </row>
    <row r="868" customFormat="false" ht="15" hidden="false" customHeight="false" outlineLevel="0" collapsed="false">
      <c r="A868" s="2" t="s">
        <v>99</v>
      </c>
      <c r="B868" s="2" t="s">
        <v>100</v>
      </c>
      <c r="C868" s="2" t="s">
        <v>49</v>
      </c>
      <c r="D868" s="3" t="n">
        <v>46264</v>
      </c>
      <c r="E868" s="2" t="str">
        <f aca="false">TEXT(D868,"dddd")</f>
        <v>Sunday</v>
      </c>
      <c r="F868" s="2" t="s">
        <v>460</v>
      </c>
      <c r="G868" s="2"/>
      <c r="H868" s="2"/>
      <c r="I868" s="2" t="n">
        <f aca="false">IF(F868="Present",9,IF(F868="Half Day",4,0))</f>
        <v>0</v>
      </c>
      <c r="J868" s="2"/>
      <c r="K868" s="2" t="s">
        <v>460</v>
      </c>
    </row>
    <row r="869" customFormat="false" ht="15" hidden="false" customHeight="false" outlineLevel="0" collapsed="false">
      <c r="A869" s="2" t="s">
        <v>99</v>
      </c>
      <c r="B869" s="2" t="s">
        <v>100</v>
      </c>
      <c r="C869" s="2" t="s">
        <v>49</v>
      </c>
      <c r="D869" s="3" t="n">
        <v>46265</v>
      </c>
      <c r="E869" s="2" t="str">
        <f aca="false">TEXT(D869,"dddd")</f>
        <v>Monday</v>
      </c>
      <c r="F869" s="2" t="s">
        <v>457</v>
      </c>
      <c r="G869" s="2" t="s">
        <v>458</v>
      </c>
      <c r="H869" s="2" t="s">
        <v>459</v>
      </c>
      <c r="I869" s="2" t="n">
        <f aca="false">IF(F869="Present",9,IF(F869="Half Day",4,0))</f>
        <v>9</v>
      </c>
      <c r="J869" s="2"/>
      <c r="K869" s="2"/>
    </row>
    <row r="870" customFormat="false" ht="15" hidden="false" customHeight="false" outlineLevel="0" collapsed="false">
      <c r="A870" s="2" t="s">
        <v>101</v>
      </c>
      <c r="B870" s="2" t="s">
        <v>102</v>
      </c>
      <c r="C870" s="2" t="s">
        <v>53</v>
      </c>
      <c r="D870" s="3" t="n">
        <v>46235</v>
      </c>
      <c r="E870" s="2" t="str">
        <f aca="false">TEXT(D870,"dddd")</f>
        <v>Saturday</v>
      </c>
      <c r="F870" s="2" t="s">
        <v>457</v>
      </c>
      <c r="G870" s="2" t="s">
        <v>458</v>
      </c>
      <c r="H870" s="2" t="s">
        <v>459</v>
      </c>
      <c r="I870" s="2" t="n">
        <f aca="false">IF(F870="Present",9,IF(F870="Half Day",4,0))</f>
        <v>9</v>
      </c>
      <c r="J870" s="2"/>
      <c r="K870" s="2"/>
    </row>
    <row r="871" customFormat="false" ht="15" hidden="false" customHeight="false" outlineLevel="0" collapsed="false">
      <c r="A871" s="2" t="s">
        <v>101</v>
      </c>
      <c r="B871" s="2" t="s">
        <v>102</v>
      </c>
      <c r="C871" s="2" t="s">
        <v>53</v>
      </c>
      <c r="D871" s="3" t="n">
        <v>46236</v>
      </c>
      <c r="E871" s="2" t="str">
        <f aca="false">TEXT(D871,"dddd")</f>
        <v>Sunday</v>
      </c>
      <c r="F871" s="2" t="s">
        <v>460</v>
      </c>
      <c r="G871" s="2"/>
      <c r="H871" s="2"/>
      <c r="I871" s="2" t="n">
        <f aca="false">IF(F871="Present",9,IF(F871="Half Day",4,0))</f>
        <v>0</v>
      </c>
      <c r="J871" s="2"/>
      <c r="K871" s="2" t="s">
        <v>460</v>
      </c>
    </row>
    <row r="872" customFormat="false" ht="15" hidden="false" customHeight="false" outlineLevel="0" collapsed="false">
      <c r="A872" s="2" t="s">
        <v>101</v>
      </c>
      <c r="B872" s="2" t="s">
        <v>102</v>
      </c>
      <c r="C872" s="2" t="s">
        <v>53</v>
      </c>
      <c r="D872" s="3" t="n">
        <v>46237</v>
      </c>
      <c r="E872" s="2" t="str">
        <f aca="false">TEXT(D872,"dddd")</f>
        <v>Monday</v>
      </c>
      <c r="F872" s="2" t="s">
        <v>457</v>
      </c>
      <c r="G872" s="2" t="s">
        <v>458</v>
      </c>
      <c r="H872" s="2" t="s">
        <v>459</v>
      </c>
      <c r="I872" s="2" t="n">
        <f aca="false">IF(F872="Present",9,IF(F872="Half Day",4,0))</f>
        <v>9</v>
      </c>
      <c r="J872" s="2"/>
      <c r="K872" s="2"/>
    </row>
    <row r="873" customFormat="false" ht="15" hidden="false" customHeight="false" outlineLevel="0" collapsed="false">
      <c r="A873" s="2" t="s">
        <v>101</v>
      </c>
      <c r="B873" s="2" t="s">
        <v>102</v>
      </c>
      <c r="C873" s="2" t="s">
        <v>53</v>
      </c>
      <c r="D873" s="3" t="n">
        <v>46238</v>
      </c>
      <c r="E873" s="2" t="str">
        <f aca="false">TEXT(D873,"dddd")</f>
        <v>Tuesday</v>
      </c>
      <c r="F873" s="2" t="s">
        <v>463</v>
      </c>
      <c r="G873" s="2"/>
      <c r="H873" s="2"/>
      <c r="I873" s="2" t="n">
        <f aca="false">IF(F873="Present",9,IF(F873="Half Day",4,0))</f>
        <v>0</v>
      </c>
      <c r="J873" s="2" t="s">
        <v>470</v>
      </c>
      <c r="K873" s="2" t="s">
        <v>471</v>
      </c>
    </row>
    <row r="874" customFormat="false" ht="15" hidden="false" customHeight="false" outlineLevel="0" collapsed="false">
      <c r="A874" s="2" t="s">
        <v>101</v>
      </c>
      <c r="B874" s="2" t="s">
        <v>102</v>
      </c>
      <c r="C874" s="2" t="s">
        <v>53</v>
      </c>
      <c r="D874" s="3" t="n">
        <v>46239</v>
      </c>
      <c r="E874" s="2" t="str">
        <f aca="false">TEXT(D874,"dddd")</f>
        <v>Wednesday</v>
      </c>
      <c r="F874" s="2" t="s">
        <v>457</v>
      </c>
      <c r="G874" s="2" t="s">
        <v>458</v>
      </c>
      <c r="H874" s="2" t="s">
        <v>459</v>
      </c>
      <c r="I874" s="2" t="n">
        <f aca="false">IF(F874="Present",9,IF(F874="Half Day",4,0))</f>
        <v>9</v>
      </c>
      <c r="J874" s="2"/>
      <c r="K874" s="2"/>
    </row>
    <row r="875" customFormat="false" ht="15" hidden="false" customHeight="false" outlineLevel="0" collapsed="false">
      <c r="A875" s="2" t="s">
        <v>101</v>
      </c>
      <c r="B875" s="2" t="s">
        <v>102</v>
      </c>
      <c r="C875" s="2" t="s">
        <v>53</v>
      </c>
      <c r="D875" s="3" t="n">
        <v>46240</v>
      </c>
      <c r="E875" s="2" t="str">
        <f aca="false">TEXT(D875,"dddd")</f>
        <v>Thursday</v>
      </c>
      <c r="F875" s="2" t="s">
        <v>457</v>
      </c>
      <c r="G875" s="2" t="s">
        <v>458</v>
      </c>
      <c r="H875" s="2" t="s">
        <v>459</v>
      </c>
      <c r="I875" s="2" t="n">
        <f aca="false">IF(F875="Present",9,IF(F875="Half Day",4,0))</f>
        <v>9</v>
      </c>
      <c r="J875" s="2"/>
      <c r="K875" s="2"/>
    </row>
    <row r="876" customFormat="false" ht="15" hidden="false" customHeight="false" outlineLevel="0" collapsed="false">
      <c r="A876" s="2" t="s">
        <v>101</v>
      </c>
      <c r="B876" s="2" t="s">
        <v>102</v>
      </c>
      <c r="C876" s="2" t="s">
        <v>53</v>
      </c>
      <c r="D876" s="3" t="n">
        <v>46241</v>
      </c>
      <c r="E876" s="2" t="str">
        <f aca="false">TEXT(D876,"dddd")</f>
        <v>Friday</v>
      </c>
      <c r="F876" s="2" t="s">
        <v>457</v>
      </c>
      <c r="G876" s="2" t="s">
        <v>458</v>
      </c>
      <c r="H876" s="2" t="s">
        <v>459</v>
      </c>
      <c r="I876" s="2" t="n">
        <f aca="false">IF(F876="Present",9,IF(F876="Half Day",4,0))</f>
        <v>9</v>
      </c>
      <c r="J876" s="2"/>
      <c r="K876" s="2"/>
    </row>
    <row r="877" customFormat="false" ht="15" hidden="false" customHeight="false" outlineLevel="0" collapsed="false">
      <c r="A877" s="2" t="s">
        <v>101</v>
      </c>
      <c r="B877" s="2" t="s">
        <v>102</v>
      </c>
      <c r="C877" s="2" t="s">
        <v>53</v>
      </c>
      <c r="D877" s="3" t="n">
        <v>46242</v>
      </c>
      <c r="E877" s="2" t="str">
        <f aca="false">TEXT(D877,"dddd")</f>
        <v>Saturday</v>
      </c>
      <c r="F877" s="2" t="s">
        <v>461</v>
      </c>
      <c r="G877" s="2"/>
      <c r="H877" s="2"/>
      <c r="I877" s="2" t="n">
        <f aca="false">IF(F877="Present",9,IF(F877="Half Day",4,0))</f>
        <v>0</v>
      </c>
      <c r="J877" s="2"/>
      <c r="K877" s="2" t="s">
        <v>462</v>
      </c>
    </row>
    <row r="878" customFormat="false" ht="15" hidden="false" customHeight="false" outlineLevel="0" collapsed="false">
      <c r="A878" s="2" t="s">
        <v>101</v>
      </c>
      <c r="B878" s="2" t="s">
        <v>102</v>
      </c>
      <c r="C878" s="2" t="s">
        <v>53</v>
      </c>
      <c r="D878" s="3" t="n">
        <v>46243</v>
      </c>
      <c r="E878" s="2" t="str">
        <f aca="false">TEXT(D878,"dddd")</f>
        <v>Sunday</v>
      </c>
      <c r="F878" s="2" t="s">
        <v>460</v>
      </c>
      <c r="G878" s="2"/>
      <c r="H878" s="2"/>
      <c r="I878" s="2" t="n">
        <f aca="false">IF(F878="Present",9,IF(F878="Half Day",4,0))</f>
        <v>0</v>
      </c>
      <c r="J878" s="2"/>
      <c r="K878" s="2" t="s">
        <v>460</v>
      </c>
    </row>
    <row r="879" customFormat="false" ht="15" hidden="false" customHeight="false" outlineLevel="0" collapsed="false">
      <c r="A879" s="2" t="s">
        <v>101</v>
      </c>
      <c r="B879" s="2" t="s">
        <v>102</v>
      </c>
      <c r="C879" s="2" t="s">
        <v>53</v>
      </c>
      <c r="D879" s="3" t="n">
        <v>46244</v>
      </c>
      <c r="E879" s="2" t="str">
        <f aca="false">TEXT(D879,"dddd")</f>
        <v>Monday</v>
      </c>
      <c r="F879" s="2" t="s">
        <v>457</v>
      </c>
      <c r="G879" s="2" t="s">
        <v>458</v>
      </c>
      <c r="H879" s="2" t="s">
        <v>459</v>
      </c>
      <c r="I879" s="2" t="n">
        <f aca="false">IF(F879="Present",9,IF(F879="Half Day",4,0))</f>
        <v>9</v>
      </c>
      <c r="J879" s="2"/>
      <c r="K879" s="2"/>
    </row>
    <row r="880" customFormat="false" ht="15" hidden="false" customHeight="false" outlineLevel="0" collapsed="false">
      <c r="A880" s="2" t="s">
        <v>101</v>
      </c>
      <c r="B880" s="2" t="s">
        <v>102</v>
      </c>
      <c r="C880" s="2" t="s">
        <v>53</v>
      </c>
      <c r="D880" s="3" t="n">
        <v>46245</v>
      </c>
      <c r="E880" s="2" t="str">
        <f aca="false">TEXT(D880,"dddd")</f>
        <v>Tuesday</v>
      </c>
      <c r="F880" s="2" t="s">
        <v>457</v>
      </c>
      <c r="G880" s="2" t="s">
        <v>458</v>
      </c>
      <c r="H880" s="2" t="s">
        <v>459</v>
      </c>
      <c r="I880" s="2" t="n">
        <f aca="false">IF(F880="Present",9,IF(F880="Half Day",4,0))</f>
        <v>9</v>
      </c>
      <c r="J880" s="2"/>
      <c r="K880" s="2"/>
    </row>
    <row r="881" customFormat="false" ht="15" hidden="false" customHeight="false" outlineLevel="0" collapsed="false">
      <c r="A881" s="2" t="s">
        <v>101</v>
      </c>
      <c r="B881" s="2" t="s">
        <v>102</v>
      </c>
      <c r="C881" s="2" t="s">
        <v>53</v>
      </c>
      <c r="D881" s="3" t="n">
        <v>46246</v>
      </c>
      <c r="E881" s="2" t="str">
        <f aca="false">TEXT(D881,"dddd")</f>
        <v>Wednesday</v>
      </c>
      <c r="F881" s="2" t="s">
        <v>457</v>
      </c>
      <c r="G881" s="2" t="s">
        <v>458</v>
      </c>
      <c r="H881" s="2" t="s">
        <v>459</v>
      </c>
      <c r="I881" s="2" t="n">
        <f aca="false">IF(F881="Present",9,IF(F881="Half Day",4,0))</f>
        <v>9</v>
      </c>
      <c r="J881" s="2"/>
      <c r="K881" s="2"/>
    </row>
    <row r="882" customFormat="false" ht="15" hidden="false" customHeight="false" outlineLevel="0" collapsed="false">
      <c r="A882" s="2" t="s">
        <v>101</v>
      </c>
      <c r="B882" s="2" t="s">
        <v>102</v>
      </c>
      <c r="C882" s="2" t="s">
        <v>53</v>
      </c>
      <c r="D882" s="3" t="n">
        <v>46247</v>
      </c>
      <c r="E882" s="2" t="str">
        <f aca="false">TEXT(D882,"dddd")</f>
        <v>Thursday</v>
      </c>
      <c r="F882" s="2" t="s">
        <v>457</v>
      </c>
      <c r="G882" s="2" t="s">
        <v>458</v>
      </c>
      <c r="H882" s="2" t="s">
        <v>459</v>
      </c>
      <c r="I882" s="2" t="n">
        <f aca="false">IF(F882="Present",9,IF(F882="Half Day",4,0))</f>
        <v>9</v>
      </c>
      <c r="J882" s="2"/>
      <c r="K882" s="2"/>
    </row>
    <row r="883" customFormat="false" ht="15" hidden="false" customHeight="false" outlineLevel="0" collapsed="false">
      <c r="A883" s="2" t="s">
        <v>101</v>
      </c>
      <c r="B883" s="2" t="s">
        <v>102</v>
      </c>
      <c r="C883" s="2" t="s">
        <v>53</v>
      </c>
      <c r="D883" s="3" t="n">
        <v>46248</v>
      </c>
      <c r="E883" s="2" t="str">
        <f aca="false">TEXT(D883,"dddd")</f>
        <v>Friday</v>
      </c>
      <c r="F883" s="2" t="s">
        <v>457</v>
      </c>
      <c r="G883" s="2" t="s">
        <v>458</v>
      </c>
      <c r="H883" s="2" t="s">
        <v>459</v>
      </c>
      <c r="I883" s="2" t="n">
        <f aca="false">IF(F883="Present",9,IF(F883="Half Day",4,0))</f>
        <v>9</v>
      </c>
      <c r="J883" s="2"/>
      <c r="K883" s="2"/>
    </row>
    <row r="884" customFormat="false" ht="15" hidden="false" customHeight="false" outlineLevel="0" collapsed="false">
      <c r="A884" s="2" t="s">
        <v>101</v>
      </c>
      <c r="B884" s="2" t="s">
        <v>102</v>
      </c>
      <c r="C884" s="2" t="s">
        <v>53</v>
      </c>
      <c r="D884" s="3" t="n">
        <v>46249</v>
      </c>
      <c r="E884" s="2" t="str">
        <f aca="false">TEXT(D884,"dddd")</f>
        <v>Saturday</v>
      </c>
      <c r="F884" s="2" t="s">
        <v>457</v>
      </c>
      <c r="G884" s="2" t="s">
        <v>458</v>
      </c>
      <c r="H884" s="2" t="s">
        <v>459</v>
      </c>
      <c r="I884" s="2" t="n">
        <f aca="false">IF(F884="Present",9,IF(F884="Half Day",4,0))</f>
        <v>9</v>
      </c>
      <c r="J884" s="2"/>
      <c r="K884" s="2"/>
    </row>
    <row r="885" customFormat="false" ht="15" hidden="false" customHeight="false" outlineLevel="0" collapsed="false">
      <c r="A885" s="2" t="s">
        <v>101</v>
      </c>
      <c r="B885" s="2" t="s">
        <v>102</v>
      </c>
      <c r="C885" s="2" t="s">
        <v>53</v>
      </c>
      <c r="D885" s="3" t="n">
        <v>46250</v>
      </c>
      <c r="E885" s="2" t="str">
        <f aca="false">TEXT(D885,"dddd")</f>
        <v>Sunday</v>
      </c>
      <c r="F885" s="2" t="s">
        <v>460</v>
      </c>
      <c r="G885" s="2"/>
      <c r="H885" s="2"/>
      <c r="I885" s="2" t="n">
        <f aca="false">IF(F885="Present",9,IF(F885="Half Day",4,0))</f>
        <v>0</v>
      </c>
      <c r="J885" s="2"/>
      <c r="K885" s="2" t="s">
        <v>460</v>
      </c>
    </row>
    <row r="886" customFormat="false" ht="15" hidden="false" customHeight="false" outlineLevel="0" collapsed="false">
      <c r="A886" s="2" t="s">
        <v>101</v>
      </c>
      <c r="B886" s="2" t="s">
        <v>102</v>
      </c>
      <c r="C886" s="2" t="s">
        <v>53</v>
      </c>
      <c r="D886" s="3" t="n">
        <v>46251</v>
      </c>
      <c r="E886" s="2" t="str">
        <f aca="false">TEXT(D886,"dddd")</f>
        <v>Monday</v>
      </c>
      <c r="F886" s="2" t="s">
        <v>457</v>
      </c>
      <c r="G886" s="2" t="s">
        <v>458</v>
      </c>
      <c r="H886" s="2" t="s">
        <v>459</v>
      </c>
      <c r="I886" s="2" t="n">
        <f aca="false">IF(F886="Present",9,IF(F886="Half Day",4,0))</f>
        <v>9</v>
      </c>
      <c r="J886" s="2"/>
      <c r="K886" s="2"/>
    </row>
    <row r="887" customFormat="false" ht="15" hidden="false" customHeight="false" outlineLevel="0" collapsed="false">
      <c r="A887" s="2" t="s">
        <v>101</v>
      </c>
      <c r="B887" s="2" t="s">
        <v>102</v>
      </c>
      <c r="C887" s="2" t="s">
        <v>53</v>
      </c>
      <c r="D887" s="3" t="n">
        <v>46252</v>
      </c>
      <c r="E887" s="2" t="str">
        <f aca="false">TEXT(D887,"dddd")</f>
        <v>Tuesday</v>
      </c>
      <c r="F887" s="2" t="s">
        <v>463</v>
      </c>
      <c r="G887" s="2"/>
      <c r="H887" s="2"/>
      <c r="I887" s="2" t="n">
        <f aca="false">IF(F887="Present",9,IF(F887="Half Day",4,0))</f>
        <v>0</v>
      </c>
      <c r="J887" s="2" t="s">
        <v>468</v>
      </c>
      <c r="K887" s="2" t="s">
        <v>469</v>
      </c>
    </row>
    <row r="888" customFormat="false" ht="15" hidden="false" customHeight="false" outlineLevel="0" collapsed="false">
      <c r="A888" s="2" t="s">
        <v>101</v>
      </c>
      <c r="B888" s="2" t="s">
        <v>102</v>
      </c>
      <c r="C888" s="2" t="s">
        <v>53</v>
      </c>
      <c r="D888" s="3" t="n">
        <v>46253</v>
      </c>
      <c r="E888" s="2" t="str">
        <f aca="false">TEXT(D888,"dddd")</f>
        <v>Wednesday</v>
      </c>
      <c r="F888" s="2" t="s">
        <v>457</v>
      </c>
      <c r="G888" s="2" t="s">
        <v>458</v>
      </c>
      <c r="H888" s="2" t="s">
        <v>459</v>
      </c>
      <c r="I888" s="2" t="n">
        <f aca="false">IF(F888="Present",9,IF(F888="Half Day",4,0))</f>
        <v>9</v>
      </c>
      <c r="J888" s="2"/>
      <c r="K888" s="2"/>
    </row>
    <row r="889" customFormat="false" ht="15" hidden="false" customHeight="false" outlineLevel="0" collapsed="false">
      <c r="A889" s="2" t="s">
        <v>101</v>
      </c>
      <c r="B889" s="2" t="s">
        <v>102</v>
      </c>
      <c r="C889" s="2" t="s">
        <v>53</v>
      </c>
      <c r="D889" s="3" t="n">
        <v>46254</v>
      </c>
      <c r="E889" s="2" t="str">
        <f aca="false">TEXT(D889,"dddd")</f>
        <v>Thursday</v>
      </c>
      <c r="F889" s="2" t="s">
        <v>457</v>
      </c>
      <c r="G889" s="2" t="s">
        <v>458</v>
      </c>
      <c r="H889" s="2" t="s">
        <v>459</v>
      </c>
      <c r="I889" s="2" t="n">
        <f aca="false">IF(F889="Present",9,IF(F889="Half Day",4,0))</f>
        <v>9</v>
      </c>
      <c r="J889" s="2"/>
      <c r="K889" s="2"/>
    </row>
    <row r="890" customFormat="false" ht="15" hidden="false" customHeight="false" outlineLevel="0" collapsed="false">
      <c r="A890" s="2" t="s">
        <v>101</v>
      </c>
      <c r="B890" s="2" t="s">
        <v>102</v>
      </c>
      <c r="C890" s="2" t="s">
        <v>53</v>
      </c>
      <c r="D890" s="3" t="n">
        <v>46255</v>
      </c>
      <c r="E890" s="2" t="str">
        <f aca="false">TEXT(D890,"dddd")</f>
        <v>Friday</v>
      </c>
      <c r="F890" s="2" t="s">
        <v>457</v>
      </c>
      <c r="G890" s="2" t="s">
        <v>458</v>
      </c>
      <c r="H890" s="2" t="s">
        <v>459</v>
      </c>
      <c r="I890" s="2" t="n">
        <f aca="false">IF(F890="Present",9,IF(F890="Half Day",4,0))</f>
        <v>9</v>
      </c>
      <c r="J890" s="2"/>
      <c r="K890" s="2"/>
    </row>
    <row r="891" customFormat="false" ht="15" hidden="false" customHeight="false" outlineLevel="0" collapsed="false">
      <c r="A891" s="2" t="s">
        <v>101</v>
      </c>
      <c r="B891" s="2" t="s">
        <v>102</v>
      </c>
      <c r="C891" s="2" t="s">
        <v>53</v>
      </c>
      <c r="D891" s="3" t="n">
        <v>46256</v>
      </c>
      <c r="E891" s="2" t="str">
        <f aca="false">TEXT(D891,"dddd")</f>
        <v>Saturday</v>
      </c>
      <c r="F891" s="2" t="s">
        <v>461</v>
      </c>
      <c r="G891" s="2"/>
      <c r="H891" s="2"/>
      <c r="I891" s="2" t="n">
        <f aca="false">IF(F891="Present",9,IF(F891="Half Day",4,0))</f>
        <v>0</v>
      </c>
      <c r="J891" s="2"/>
      <c r="K891" s="2" t="s">
        <v>462</v>
      </c>
    </row>
    <row r="892" customFormat="false" ht="15" hidden="false" customHeight="false" outlineLevel="0" collapsed="false">
      <c r="A892" s="2" t="s">
        <v>101</v>
      </c>
      <c r="B892" s="2" t="s">
        <v>102</v>
      </c>
      <c r="C892" s="2" t="s">
        <v>53</v>
      </c>
      <c r="D892" s="3" t="n">
        <v>46257</v>
      </c>
      <c r="E892" s="2" t="str">
        <f aca="false">TEXT(D892,"dddd")</f>
        <v>Sunday</v>
      </c>
      <c r="F892" s="2" t="s">
        <v>460</v>
      </c>
      <c r="G892" s="2"/>
      <c r="H892" s="2"/>
      <c r="I892" s="2" t="n">
        <f aca="false">IF(F892="Present",9,IF(F892="Half Day",4,0))</f>
        <v>0</v>
      </c>
      <c r="J892" s="2"/>
      <c r="K892" s="2" t="s">
        <v>460</v>
      </c>
    </row>
    <row r="893" customFormat="false" ht="15" hidden="false" customHeight="false" outlineLevel="0" collapsed="false">
      <c r="A893" s="2" t="s">
        <v>101</v>
      </c>
      <c r="B893" s="2" t="s">
        <v>102</v>
      </c>
      <c r="C893" s="2" t="s">
        <v>53</v>
      </c>
      <c r="D893" s="3" t="n">
        <v>46258</v>
      </c>
      <c r="E893" s="2" t="str">
        <f aca="false">TEXT(D893,"dddd")</f>
        <v>Monday</v>
      </c>
      <c r="F893" s="2" t="s">
        <v>457</v>
      </c>
      <c r="G893" s="2" t="s">
        <v>458</v>
      </c>
      <c r="H893" s="2" t="s">
        <v>459</v>
      </c>
      <c r="I893" s="2" t="n">
        <f aca="false">IF(F893="Present",9,IF(F893="Half Day",4,0))</f>
        <v>9</v>
      </c>
      <c r="J893" s="2"/>
      <c r="K893" s="2"/>
    </row>
    <row r="894" customFormat="false" ht="15" hidden="false" customHeight="false" outlineLevel="0" collapsed="false">
      <c r="A894" s="2" t="s">
        <v>101</v>
      </c>
      <c r="B894" s="2" t="s">
        <v>102</v>
      </c>
      <c r="C894" s="2" t="s">
        <v>53</v>
      </c>
      <c r="D894" s="3" t="n">
        <v>46259</v>
      </c>
      <c r="E894" s="2" t="str">
        <f aca="false">TEXT(D894,"dddd")</f>
        <v>Tuesday</v>
      </c>
      <c r="F894" s="2" t="s">
        <v>457</v>
      </c>
      <c r="G894" s="2" t="s">
        <v>458</v>
      </c>
      <c r="H894" s="2" t="s">
        <v>459</v>
      </c>
      <c r="I894" s="2" t="n">
        <f aca="false">IF(F894="Present",9,IF(F894="Half Day",4,0))</f>
        <v>9</v>
      </c>
      <c r="J894" s="2"/>
      <c r="K894" s="2"/>
    </row>
    <row r="895" customFormat="false" ht="15" hidden="false" customHeight="false" outlineLevel="0" collapsed="false">
      <c r="A895" s="2" t="s">
        <v>101</v>
      </c>
      <c r="B895" s="2" t="s">
        <v>102</v>
      </c>
      <c r="C895" s="2" t="s">
        <v>53</v>
      </c>
      <c r="D895" s="3" t="n">
        <v>46260</v>
      </c>
      <c r="E895" s="2" t="str">
        <f aca="false">TEXT(D895,"dddd")</f>
        <v>Wednesday</v>
      </c>
      <c r="F895" s="2" t="s">
        <v>457</v>
      </c>
      <c r="G895" s="2" t="s">
        <v>458</v>
      </c>
      <c r="H895" s="2" t="s">
        <v>459</v>
      </c>
      <c r="I895" s="2" t="n">
        <f aca="false">IF(F895="Present",9,IF(F895="Half Day",4,0))</f>
        <v>9</v>
      </c>
      <c r="J895" s="2"/>
      <c r="K895" s="2"/>
    </row>
    <row r="896" customFormat="false" ht="15" hidden="false" customHeight="false" outlineLevel="0" collapsed="false">
      <c r="A896" s="2" t="s">
        <v>101</v>
      </c>
      <c r="B896" s="2" t="s">
        <v>102</v>
      </c>
      <c r="C896" s="2" t="s">
        <v>53</v>
      </c>
      <c r="D896" s="3" t="n">
        <v>46261</v>
      </c>
      <c r="E896" s="2" t="str">
        <f aca="false">TEXT(D896,"dddd")</f>
        <v>Thursday</v>
      </c>
      <c r="F896" s="2" t="s">
        <v>457</v>
      </c>
      <c r="G896" s="2" t="s">
        <v>458</v>
      </c>
      <c r="H896" s="2" t="s">
        <v>459</v>
      </c>
      <c r="I896" s="2" t="n">
        <f aca="false">IF(F896="Present",9,IF(F896="Half Day",4,0))</f>
        <v>9</v>
      </c>
      <c r="J896" s="2"/>
      <c r="K896" s="2"/>
    </row>
    <row r="897" customFormat="false" ht="15" hidden="false" customHeight="false" outlineLevel="0" collapsed="false">
      <c r="A897" s="2" t="s">
        <v>101</v>
      </c>
      <c r="B897" s="2" t="s">
        <v>102</v>
      </c>
      <c r="C897" s="2" t="s">
        <v>53</v>
      </c>
      <c r="D897" s="3" t="n">
        <v>46262</v>
      </c>
      <c r="E897" s="2" t="str">
        <f aca="false">TEXT(D897,"dddd")</f>
        <v>Friday</v>
      </c>
      <c r="F897" s="2" t="s">
        <v>457</v>
      </c>
      <c r="G897" s="2" t="s">
        <v>458</v>
      </c>
      <c r="H897" s="2" t="s">
        <v>459</v>
      </c>
      <c r="I897" s="2" t="n">
        <f aca="false">IF(F897="Present",9,IF(F897="Half Day",4,0))</f>
        <v>9</v>
      </c>
      <c r="J897" s="2"/>
      <c r="K897" s="2"/>
    </row>
    <row r="898" customFormat="false" ht="15" hidden="false" customHeight="false" outlineLevel="0" collapsed="false">
      <c r="A898" s="2" t="s">
        <v>101</v>
      </c>
      <c r="B898" s="2" t="s">
        <v>102</v>
      </c>
      <c r="C898" s="2" t="s">
        <v>53</v>
      </c>
      <c r="D898" s="3" t="n">
        <v>46263</v>
      </c>
      <c r="E898" s="2" t="str">
        <f aca="false">TEXT(D898,"dddd")</f>
        <v>Saturday</v>
      </c>
      <c r="F898" s="2" t="s">
        <v>457</v>
      </c>
      <c r="G898" s="2" t="s">
        <v>458</v>
      </c>
      <c r="H898" s="2" t="s">
        <v>459</v>
      </c>
      <c r="I898" s="2" t="n">
        <f aca="false">IF(F898="Present",9,IF(F898="Half Day",4,0))</f>
        <v>9</v>
      </c>
      <c r="J898" s="2"/>
      <c r="K898" s="2"/>
    </row>
    <row r="899" customFormat="false" ht="15" hidden="false" customHeight="false" outlineLevel="0" collapsed="false">
      <c r="A899" s="2" t="s">
        <v>101</v>
      </c>
      <c r="B899" s="2" t="s">
        <v>102</v>
      </c>
      <c r="C899" s="2" t="s">
        <v>53</v>
      </c>
      <c r="D899" s="3" t="n">
        <v>46264</v>
      </c>
      <c r="E899" s="2" t="str">
        <f aca="false">TEXT(D899,"dddd")</f>
        <v>Sunday</v>
      </c>
      <c r="F899" s="2" t="s">
        <v>460</v>
      </c>
      <c r="G899" s="2"/>
      <c r="H899" s="2"/>
      <c r="I899" s="2" t="n">
        <f aca="false">IF(F899="Present",9,IF(F899="Half Day",4,0))</f>
        <v>0</v>
      </c>
      <c r="J899" s="2"/>
      <c r="K899" s="2" t="s">
        <v>460</v>
      </c>
    </row>
    <row r="900" customFormat="false" ht="15" hidden="false" customHeight="false" outlineLevel="0" collapsed="false">
      <c r="A900" s="2" t="s">
        <v>101</v>
      </c>
      <c r="B900" s="2" t="s">
        <v>102</v>
      </c>
      <c r="C900" s="2" t="s">
        <v>53</v>
      </c>
      <c r="D900" s="3" t="n">
        <v>46265</v>
      </c>
      <c r="E900" s="2" t="str">
        <f aca="false">TEXT(D900,"dddd")</f>
        <v>Monday</v>
      </c>
      <c r="F900" s="2" t="s">
        <v>457</v>
      </c>
      <c r="G900" s="2" t="s">
        <v>458</v>
      </c>
      <c r="H900" s="2" t="s">
        <v>459</v>
      </c>
      <c r="I900" s="2" t="n">
        <f aca="false">IF(F900="Present",9,IF(F900="Half Day",4,0))</f>
        <v>9</v>
      </c>
      <c r="J900" s="2"/>
      <c r="K900" s="2"/>
    </row>
    <row r="901" customFormat="false" ht="15" hidden="false" customHeight="false" outlineLevel="0" collapsed="false">
      <c r="A901" s="2" t="s">
        <v>104</v>
      </c>
      <c r="B901" s="2" t="s">
        <v>105</v>
      </c>
      <c r="C901" s="2" t="s">
        <v>57</v>
      </c>
      <c r="D901" s="3" t="n">
        <v>46235</v>
      </c>
      <c r="E901" s="2" t="str">
        <f aca="false">TEXT(D901,"dddd")</f>
        <v>Saturday</v>
      </c>
      <c r="F901" s="2" t="s">
        <v>457</v>
      </c>
      <c r="G901" s="2" t="s">
        <v>458</v>
      </c>
      <c r="H901" s="2" t="s">
        <v>459</v>
      </c>
      <c r="I901" s="2" t="n">
        <f aca="false">IF(F901="Present",9,IF(F901="Half Day",4,0))</f>
        <v>9</v>
      </c>
      <c r="J901" s="2"/>
      <c r="K901" s="2"/>
    </row>
    <row r="902" customFormat="false" ht="15" hidden="false" customHeight="false" outlineLevel="0" collapsed="false">
      <c r="A902" s="2" t="s">
        <v>104</v>
      </c>
      <c r="B902" s="2" t="s">
        <v>105</v>
      </c>
      <c r="C902" s="2" t="s">
        <v>57</v>
      </c>
      <c r="D902" s="3" t="n">
        <v>46236</v>
      </c>
      <c r="E902" s="2" t="str">
        <f aca="false">TEXT(D902,"dddd")</f>
        <v>Sunday</v>
      </c>
      <c r="F902" s="2" t="s">
        <v>460</v>
      </c>
      <c r="G902" s="2"/>
      <c r="H902" s="2"/>
      <c r="I902" s="2" t="n">
        <f aca="false">IF(F902="Present",9,IF(F902="Half Day",4,0))</f>
        <v>0</v>
      </c>
      <c r="J902" s="2"/>
      <c r="K902" s="2" t="s">
        <v>460</v>
      </c>
    </row>
    <row r="903" customFormat="false" ht="15" hidden="false" customHeight="false" outlineLevel="0" collapsed="false">
      <c r="A903" s="2" t="s">
        <v>104</v>
      </c>
      <c r="B903" s="2" t="s">
        <v>105</v>
      </c>
      <c r="C903" s="2" t="s">
        <v>57</v>
      </c>
      <c r="D903" s="3" t="n">
        <v>46237</v>
      </c>
      <c r="E903" s="2" t="str">
        <f aca="false">TEXT(D903,"dddd")</f>
        <v>Monday</v>
      </c>
      <c r="F903" s="2" t="s">
        <v>457</v>
      </c>
      <c r="G903" s="2" t="s">
        <v>458</v>
      </c>
      <c r="H903" s="2" t="s">
        <v>459</v>
      </c>
      <c r="I903" s="2" t="n">
        <f aca="false">IF(F903="Present",9,IF(F903="Half Day",4,0))</f>
        <v>9</v>
      </c>
      <c r="J903" s="2"/>
      <c r="K903" s="2"/>
    </row>
    <row r="904" customFormat="false" ht="15" hidden="false" customHeight="false" outlineLevel="0" collapsed="false">
      <c r="A904" s="2" t="s">
        <v>104</v>
      </c>
      <c r="B904" s="2" t="s">
        <v>105</v>
      </c>
      <c r="C904" s="2" t="s">
        <v>57</v>
      </c>
      <c r="D904" s="3" t="n">
        <v>46238</v>
      </c>
      <c r="E904" s="2" t="str">
        <f aca="false">TEXT(D904,"dddd")</f>
        <v>Tuesday</v>
      </c>
      <c r="F904" s="2" t="s">
        <v>457</v>
      </c>
      <c r="G904" s="2" t="s">
        <v>458</v>
      </c>
      <c r="H904" s="2" t="s">
        <v>459</v>
      </c>
      <c r="I904" s="2" t="n">
        <f aca="false">IF(F904="Present",9,IF(F904="Half Day",4,0))</f>
        <v>9</v>
      </c>
      <c r="J904" s="2"/>
      <c r="K904" s="2"/>
    </row>
    <row r="905" customFormat="false" ht="15" hidden="false" customHeight="false" outlineLevel="0" collapsed="false">
      <c r="A905" s="2" t="s">
        <v>104</v>
      </c>
      <c r="B905" s="2" t="s">
        <v>105</v>
      </c>
      <c r="C905" s="2" t="s">
        <v>57</v>
      </c>
      <c r="D905" s="3" t="n">
        <v>46239</v>
      </c>
      <c r="E905" s="2" t="str">
        <f aca="false">TEXT(D905,"dddd")</f>
        <v>Wednesday</v>
      </c>
      <c r="F905" s="2" t="s">
        <v>457</v>
      </c>
      <c r="G905" s="2" t="s">
        <v>458</v>
      </c>
      <c r="H905" s="2" t="s">
        <v>459</v>
      </c>
      <c r="I905" s="2" t="n">
        <f aca="false">IF(F905="Present",9,IF(F905="Half Day",4,0))</f>
        <v>9</v>
      </c>
      <c r="J905" s="2"/>
      <c r="K905" s="2"/>
    </row>
    <row r="906" customFormat="false" ht="15" hidden="false" customHeight="false" outlineLevel="0" collapsed="false">
      <c r="A906" s="2" t="s">
        <v>104</v>
      </c>
      <c r="B906" s="2" t="s">
        <v>105</v>
      </c>
      <c r="C906" s="2" t="s">
        <v>57</v>
      </c>
      <c r="D906" s="3" t="n">
        <v>46240</v>
      </c>
      <c r="E906" s="2" t="str">
        <f aca="false">TEXT(D906,"dddd")</f>
        <v>Thursday</v>
      </c>
      <c r="F906" s="2" t="s">
        <v>457</v>
      </c>
      <c r="G906" s="2" t="s">
        <v>458</v>
      </c>
      <c r="H906" s="2" t="s">
        <v>459</v>
      </c>
      <c r="I906" s="2" t="n">
        <f aca="false">IF(F906="Present",9,IF(F906="Half Day",4,0))</f>
        <v>9</v>
      </c>
      <c r="J906" s="2"/>
      <c r="K906" s="2"/>
    </row>
    <row r="907" customFormat="false" ht="15" hidden="false" customHeight="false" outlineLevel="0" collapsed="false">
      <c r="A907" s="2" t="s">
        <v>104</v>
      </c>
      <c r="B907" s="2" t="s">
        <v>105</v>
      </c>
      <c r="C907" s="2" t="s">
        <v>57</v>
      </c>
      <c r="D907" s="3" t="n">
        <v>46241</v>
      </c>
      <c r="E907" s="2" t="str">
        <f aca="false">TEXT(D907,"dddd")</f>
        <v>Friday</v>
      </c>
      <c r="F907" s="2" t="s">
        <v>457</v>
      </c>
      <c r="G907" s="2" t="s">
        <v>458</v>
      </c>
      <c r="H907" s="2" t="s">
        <v>459</v>
      </c>
      <c r="I907" s="2" t="n">
        <f aca="false">IF(F907="Present",9,IF(F907="Half Day",4,0))</f>
        <v>9</v>
      </c>
      <c r="J907" s="2"/>
      <c r="K907" s="2"/>
    </row>
    <row r="908" customFormat="false" ht="15" hidden="false" customHeight="false" outlineLevel="0" collapsed="false">
      <c r="A908" s="2" t="s">
        <v>104</v>
      </c>
      <c r="B908" s="2" t="s">
        <v>105</v>
      </c>
      <c r="C908" s="2" t="s">
        <v>57</v>
      </c>
      <c r="D908" s="3" t="n">
        <v>46242</v>
      </c>
      <c r="E908" s="2" t="str">
        <f aca="false">TEXT(D908,"dddd")</f>
        <v>Saturday</v>
      </c>
      <c r="F908" s="2" t="s">
        <v>457</v>
      </c>
      <c r="G908" s="2" t="s">
        <v>458</v>
      </c>
      <c r="H908" s="2" t="s">
        <v>459</v>
      </c>
      <c r="I908" s="2" t="n">
        <f aca="false">IF(F908="Present",9,IF(F908="Half Day",4,0))</f>
        <v>9</v>
      </c>
      <c r="J908" s="2"/>
      <c r="K908" s="2"/>
    </row>
    <row r="909" customFormat="false" ht="15" hidden="false" customHeight="false" outlineLevel="0" collapsed="false">
      <c r="A909" s="2" t="s">
        <v>104</v>
      </c>
      <c r="B909" s="2" t="s">
        <v>105</v>
      </c>
      <c r="C909" s="2" t="s">
        <v>57</v>
      </c>
      <c r="D909" s="3" t="n">
        <v>46243</v>
      </c>
      <c r="E909" s="2" t="str">
        <f aca="false">TEXT(D909,"dddd")</f>
        <v>Sunday</v>
      </c>
      <c r="F909" s="2" t="s">
        <v>460</v>
      </c>
      <c r="G909" s="2"/>
      <c r="H909" s="2"/>
      <c r="I909" s="2" t="n">
        <f aca="false">IF(F909="Present",9,IF(F909="Half Day",4,0))</f>
        <v>0</v>
      </c>
      <c r="J909" s="2"/>
      <c r="K909" s="2" t="s">
        <v>460</v>
      </c>
    </row>
    <row r="910" customFormat="false" ht="15" hidden="false" customHeight="false" outlineLevel="0" collapsed="false">
      <c r="A910" s="2" t="s">
        <v>104</v>
      </c>
      <c r="B910" s="2" t="s">
        <v>105</v>
      </c>
      <c r="C910" s="2" t="s">
        <v>57</v>
      </c>
      <c r="D910" s="3" t="n">
        <v>46244</v>
      </c>
      <c r="E910" s="2" t="str">
        <f aca="false">TEXT(D910,"dddd")</f>
        <v>Monday</v>
      </c>
      <c r="F910" s="2" t="s">
        <v>457</v>
      </c>
      <c r="G910" s="2" t="s">
        <v>458</v>
      </c>
      <c r="H910" s="2" t="s">
        <v>459</v>
      </c>
      <c r="I910" s="2" t="n">
        <f aca="false">IF(F910="Present",9,IF(F910="Half Day",4,0))</f>
        <v>9</v>
      </c>
      <c r="J910" s="2"/>
      <c r="K910" s="2"/>
    </row>
    <row r="911" customFormat="false" ht="15" hidden="false" customHeight="false" outlineLevel="0" collapsed="false">
      <c r="A911" s="2" t="s">
        <v>104</v>
      </c>
      <c r="B911" s="2" t="s">
        <v>105</v>
      </c>
      <c r="C911" s="2" t="s">
        <v>57</v>
      </c>
      <c r="D911" s="3" t="n">
        <v>46245</v>
      </c>
      <c r="E911" s="2" t="str">
        <f aca="false">TEXT(D911,"dddd")</f>
        <v>Tuesday</v>
      </c>
      <c r="F911" s="2" t="s">
        <v>457</v>
      </c>
      <c r="G911" s="2" t="s">
        <v>458</v>
      </c>
      <c r="H911" s="2" t="s">
        <v>459</v>
      </c>
      <c r="I911" s="2" t="n">
        <f aca="false">IF(F911="Present",9,IF(F911="Half Day",4,0))</f>
        <v>9</v>
      </c>
      <c r="J911" s="2"/>
      <c r="K911" s="2"/>
    </row>
    <row r="912" customFormat="false" ht="15" hidden="false" customHeight="false" outlineLevel="0" collapsed="false">
      <c r="A912" s="2" t="s">
        <v>104</v>
      </c>
      <c r="B912" s="2" t="s">
        <v>105</v>
      </c>
      <c r="C912" s="2" t="s">
        <v>57</v>
      </c>
      <c r="D912" s="3" t="n">
        <v>46246</v>
      </c>
      <c r="E912" s="2" t="str">
        <f aca="false">TEXT(D912,"dddd")</f>
        <v>Wednesday</v>
      </c>
      <c r="F912" s="2" t="s">
        <v>457</v>
      </c>
      <c r="G912" s="2" t="s">
        <v>458</v>
      </c>
      <c r="H912" s="2" t="s">
        <v>459</v>
      </c>
      <c r="I912" s="2" t="n">
        <f aca="false">IF(F912="Present",9,IF(F912="Half Day",4,0))</f>
        <v>9</v>
      </c>
      <c r="J912" s="2"/>
      <c r="K912" s="2"/>
    </row>
    <row r="913" customFormat="false" ht="15" hidden="false" customHeight="false" outlineLevel="0" collapsed="false">
      <c r="A913" s="2" t="s">
        <v>104</v>
      </c>
      <c r="B913" s="2" t="s">
        <v>105</v>
      </c>
      <c r="C913" s="2" t="s">
        <v>57</v>
      </c>
      <c r="D913" s="3" t="n">
        <v>46247</v>
      </c>
      <c r="E913" s="2" t="str">
        <f aca="false">TEXT(D913,"dddd")</f>
        <v>Thursday</v>
      </c>
      <c r="F913" s="2" t="s">
        <v>457</v>
      </c>
      <c r="G913" s="2" t="s">
        <v>458</v>
      </c>
      <c r="H913" s="2" t="s">
        <v>459</v>
      </c>
      <c r="I913" s="2" t="n">
        <f aca="false">IF(F913="Present",9,IF(F913="Half Day",4,0))</f>
        <v>9</v>
      </c>
      <c r="J913" s="2"/>
      <c r="K913" s="2"/>
    </row>
    <row r="914" customFormat="false" ht="15" hidden="false" customHeight="false" outlineLevel="0" collapsed="false">
      <c r="A914" s="2" t="s">
        <v>104</v>
      </c>
      <c r="B914" s="2" t="s">
        <v>105</v>
      </c>
      <c r="C914" s="2" t="s">
        <v>57</v>
      </c>
      <c r="D914" s="3" t="n">
        <v>46248</v>
      </c>
      <c r="E914" s="2" t="str">
        <f aca="false">TEXT(D914,"dddd")</f>
        <v>Friday</v>
      </c>
      <c r="F914" s="2" t="s">
        <v>457</v>
      </c>
      <c r="G914" s="2" t="s">
        <v>458</v>
      </c>
      <c r="H914" s="2" t="s">
        <v>459</v>
      </c>
      <c r="I914" s="2" t="n">
        <f aca="false">IF(F914="Present",9,IF(F914="Half Day",4,0))</f>
        <v>9</v>
      </c>
      <c r="J914" s="2"/>
      <c r="K914" s="2"/>
    </row>
    <row r="915" customFormat="false" ht="15" hidden="false" customHeight="false" outlineLevel="0" collapsed="false">
      <c r="A915" s="2" t="s">
        <v>104</v>
      </c>
      <c r="B915" s="2" t="s">
        <v>105</v>
      </c>
      <c r="C915" s="2" t="s">
        <v>57</v>
      </c>
      <c r="D915" s="3" t="n">
        <v>46249</v>
      </c>
      <c r="E915" s="2" t="str">
        <f aca="false">TEXT(D915,"dddd")</f>
        <v>Saturday</v>
      </c>
      <c r="F915" s="2" t="s">
        <v>457</v>
      </c>
      <c r="G915" s="2" t="s">
        <v>458</v>
      </c>
      <c r="H915" s="2" t="s">
        <v>459</v>
      </c>
      <c r="I915" s="2" t="n">
        <f aca="false">IF(F915="Present",9,IF(F915="Half Day",4,0))</f>
        <v>9</v>
      </c>
      <c r="J915" s="2"/>
      <c r="K915" s="2"/>
    </row>
    <row r="916" customFormat="false" ht="15" hidden="false" customHeight="false" outlineLevel="0" collapsed="false">
      <c r="A916" s="2" t="s">
        <v>104</v>
      </c>
      <c r="B916" s="2" t="s">
        <v>105</v>
      </c>
      <c r="C916" s="2" t="s">
        <v>57</v>
      </c>
      <c r="D916" s="3" t="n">
        <v>46250</v>
      </c>
      <c r="E916" s="2" t="str">
        <f aca="false">TEXT(D916,"dddd")</f>
        <v>Sunday</v>
      </c>
      <c r="F916" s="2" t="s">
        <v>460</v>
      </c>
      <c r="G916" s="2"/>
      <c r="H916" s="2"/>
      <c r="I916" s="2" t="n">
        <f aca="false">IF(F916="Present",9,IF(F916="Half Day",4,0))</f>
        <v>0</v>
      </c>
      <c r="J916" s="2"/>
      <c r="K916" s="2" t="s">
        <v>460</v>
      </c>
    </row>
    <row r="917" customFormat="false" ht="15" hidden="false" customHeight="false" outlineLevel="0" collapsed="false">
      <c r="A917" s="2" t="s">
        <v>104</v>
      </c>
      <c r="B917" s="2" t="s">
        <v>105</v>
      </c>
      <c r="C917" s="2" t="s">
        <v>57</v>
      </c>
      <c r="D917" s="3" t="n">
        <v>46251</v>
      </c>
      <c r="E917" s="2" t="str">
        <f aca="false">TEXT(D917,"dddd")</f>
        <v>Monday</v>
      </c>
      <c r="F917" s="2" t="s">
        <v>457</v>
      </c>
      <c r="G917" s="2" t="s">
        <v>458</v>
      </c>
      <c r="H917" s="2" t="s">
        <v>459</v>
      </c>
      <c r="I917" s="2" t="n">
        <f aca="false">IF(F917="Present",9,IF(F917="Half Day",4,0))</f>
        <v>9</v>
      </c>
      <c r="J917" s="2"/>
      <c r="K917" s="2"/>
    </row>
    <row r="918" customFormat="false" ht="15" hidden="false" customHeight="false" outlineLevel="0" collapsed="false">
      <c r="A918" s="2" t="s">
        <v>104</v>
      </c>
      <c r="B918" s="2" t="s">
        <v>105</v>
      </c>
      <c r="C918" s="2" t="s">
        <v>57</v>
      </c>
      <c r="D918" s="3" t="n">
        <v>46252</v>
      </c>
      <c r="E918" s="2" t="str">
        <f aca="false">TEXT(D918,"dddd")</f>
        <v>Tuesday</v>
      </c>
      <c r="F918" s="2" t="s">
        <v>461</v>
      </c>
      <c r="G918" s="2"/>
      <c r="H918" s="2"/>
      <c r="I918" s="2" t="n">
        <f aca="false">IF(F918="Present",9,IF(F918="Half Day",4,0))</f>
        <v>0</v>
      </c>
      <c r="J918" s="2"/>
      <c r="K918" s="2" t="s">
        <v>462</v>
      </c>
    </row>
    <row r="919" customFormat="false" ht="15" hidden="false" customHeight="false" outlineLevel="0" collapsed="false">
      <c r="A919" s="2" t="s">
        <v>104</v>
      </c>
      <c r="B919" s="2" t="s">
        <v>105</v>
      </c>
      <c r="C919" s="2" t="s">
        <v>57</v>
      </c>
      <c r="D919" s="3" t="n">
        <v>46253</v>
      </c>
      <c r="E919" s="2" t="str">
        <f aca="false">TEXT(D919,"dddd")</f>
        <v>Wednesday</v>
      </c>
      <c r="F919" s="2" t="s">
        <v>461</v>
      </c>
      <c r="G919" s="2"/>
      <c r="H919" s="2"/>
      <c r="I919" s="2" t="n">
        <f aca="false">IF(F919="Present",9,IF(F919="Half Day",4,0))</f>
        <v>0</v>
      </c>
      <c r="J919" s="2"/>
      <c r="K919" s="2" t="s">
        <v>462</v>
      </c>
    </row>
    <row r="920" customFormat="false" ht="15" hidden="false" customHeight="false" outlineLevel="0" collapsed="false">
      <c r="A920" s="2" t="s">
        <v>104</v>
      </c>
      <c r="B920" s="2" t="s">
        <v>105</v>
      </c>
      <c r="C920" s="2" t="s">
        <v>57</v>
      </c>
      <c r="D920" s="3" t="n">
        <v>46254</v>
      </c>
      <c r="E920" s="2" t="str">
        <f aca="false">TEXT(D920,"dddd")</f>
        <v>Thursday</v>
      </c>
      <c r="F920" s="2" t="s">
        <v>457</v>
      </c>
      <c r="G920" s="2" t="s">
        <v>458</v>
      </c>
      <c r="H920" s="2" t="s">
        <v>459</v>
      </c>
      <c r="I920" s="2" t="n">
        <f aca="false">IF(F920="Present",9,IF(F920="Half Day",4,0))</f>
        <v>9</v>
      </c>
      <c r="J920" s="2"/>
      <c r="K920" s="2"/>
    </row>
    <row r="921" customFormat="false" ht="15" hidden="false" customHeight="false" outlineLevel="0" collapsed="false">
      <c r="A921" s="2" t="s">
        <v>104</v>
      </c>
      <c r="B921" s="2" t="s">
        <v>105</v>
      </c>
      <c r="C921" s="2" t="s">
        <v>57</v>
      </c>
      <c r="D921" s="3" t="n">
        <v>46255</v>
      </c>
      <c r="E921" s="2" t="str">
        <f aca="false">TEXT(D921,"dddd")</f>
        <v>Friday</v>
      </c>
      <c r="F921" s="2" t="s">
        <v>461</v>
      </c>
      <c r="G921" s="2"/>
      <c r="H921" s="2"/>
      <c r="I921" s="2" t="n">
        <f aca="false">IF(F921="Present",9,IF(F921="Half Day",4,0))</f>
        <v>0</v>
      </c>
      <c r="J921" s="2"/>
      <c r="K921" s="2" t="s">
        <v>462</v>
      </c>
    </row>
    <row r="922" customFormat="false" ht="15" hidden="false" customHeight="false" outlineLevel="0" collapsed="false">
      <c r="A922" s="2" t="s">
        <v>104</v>
      </c>
      <c r="B922" s="2" t="s">
        <v>105</v>
      </c>
      <c r="C922" s="2" t="s">
        <v>57</v>
      </c>
      <c r="D922" s="3" t="n">
        <v>46256</v>
      </c>
      <c r="E922" s="2" t="str">
        <f aca="false">TEXT(D922,"dddd")</f>
        <v>Saturday</v>
      </c>
      <c r="F922" s="2" t="s">
        <v>457</v>
      </c>
      <c r="G922" s="2" t="s">
        <v>458</v>
      </c>
      <c r="H922" s="2" t="s">
        <v>459</v>
      </c>
      <c r="I922" s="2" t="n">
        <f aca="false">IF(F922="Present",9,IF(F922="Half Day",4,0))</f>
        <v>9</v>
      </c>
      <c r="J922" s="2"/>
      <c r="K922" s="2"/>
    </row>
    <row r="923" customFormat="false" ht="15" hidden="false" customHeight="false" outlineLevel="0" collapsed="false">
      <c r="A923" s="2" t="s">
        <v>104</v>
      </c>
      <c r="B923" s="2" t="s">
        <v>105</v>
      </c>
      <c r="C923" s="2" t="s">
        <v>57</v>
      </c>
      <c r="D923" s="3" t="n">
        <v>46257</v>
      </c>
      <c r="E923" s="2" t="str">
        <f aca="false">TEXT(D923,"dddd")</f>
        <v>Sunday</v>
      </c>
      <c r="F923" s="2" t="s">
        <v>460</v>
      </c>
      <c r="G923" s="2"/>
      <c r="H923" s="2"/>
      <c r="I923" s="2" t="n">
        <f aca="false">IF(F923="Present",9,IF(F923="Half Day",4,0))</f>
        <v>0</v>
      </c>
      <c r="J923" s="2"/>
      <c r="K923" s="2" t="s">
        <v>460</v>
      </c>
    </row>
    <row r="924" customFormat="false" ht="15" hidden="false" customHeight="false" outlineLevel="0" collapsed="false">
      <c r="A924" s="2" t="s">
        <v>104</v>
      </c>
      <c r="B924" s="2" t="s">
        <v>105</v>
      </c>
      <c r="C924" s="2" t="s">
        <v>57</v>
      </c>
      <c r="D924" s="3" t="n">
        <v>46258</v>
      </c>
      <c r="E924" s="2" t="str">
        <f aca="false">TEXT(D924,"dddd")</f>
        <v>Monday</v>
      </c>
      <c r="F924" s="2" t="s">
        <v>457</v>
      </c>
      <c r="G924" s="2" t="s">
        <v>458</v>
      </c>
      <c r="H924" s="2" t="s">
        <v>459</v>
      </c>
      <c r="I924" s="2" t="n">
        <f aca="false">IF(F924="Present",9,IF(F924="Half Day",4,0))</f>
        <v>9</v>
      </c>
      <c r="J924" s="2"/>
      <c r="K924" s="2"/>
    </row>
    <row r="925" customFormat="false" ht="15" hidden="false" customHeight="false" outlineLevel="0" collapsed="false">
      <c r="A925" s="2" t="s">
        <v>104</v>
      </c>
      <c r="B925" s="2" t="s">
        <v>105</v>
      </c>
      <c r="C925" s="2" t="s">
        <v>57</v>
      </c>
      <c r="D925" s="3" t="n">
        <v>46259</v>
      </c>
      <c r="E925" s="2" t="str">
        <f aca="false">TEXT(D925,"dddd")</f>
        <v>Tuesday</v>
      </c>
      <c r="F925" s="2" t="s">
        <v>457</v>
      </c>
      <c r="G925" s="2" t="s">
        <v>458</v>
      </c>
      <c r="H925" s="2" t="s">
        <v>459</v>
      </c>
      <c r="I925" s="2" t="n">
        <f aca="false">IF(F925="Present",9,IF(F925="Half Day",4,0))</f>
        <v>9</v>
      </c>
      <c r="J925" s="2"/>
      <c r="K925" s="2"/>
    </row>
    <row r="926" customFormat="false" ht="15" hidden="false" customHeight="false" outlineLevel="0" collapsed="false">
      <c r="A926" s="2" t="s">
        <v>104</v>
      </c>
      <c r="B926" s="2" t="s">
        <v>105</v>
      </c>
      <c r="C926" s="2" t="s">
        <v>57</v>
      </c>
      <c r="D926" s="3" t="n">
        <v>46260</v>
      </c>
      <c r="E926" s="2" t="str">
        <f aca="false">TEXT(D926,"dddd")</f>
        <v>Wednesday</v>
      </c>
      <c r="F926" s="2" t="s">
        <v>457</v>
      </c>
      <c r="G926" s="2" t="s">
        <v>458</v>
      </c>
      <c r="H926" s="2" t="s">
        <v>459</v>
      </c>
      <c r="I926" s="2" t="n">
        <f aca="false">IF(F926="Present",9,IF(F926="Half Day",4,0))</f>
        <v>9</v>
      </c>
      <c r="J926" s="2"/>
      <c r="K926" s="2"/>
    </row>
    <row r="927" customFormat="false" ht="15" hidden="false" customHeight="false" outlineLevel="0" collapsed="false">
      <c r="A927" s="2" t="s">
        <v>104</v>
      </c>
      <c r="B927" s="2" t="s">
        <v>105</v>
      </c>
      <c r="C927" s="2" t="s">
        <v>57</v>
      </c>
      <c r="D927" s="3" t="n">
        <v>46261</v>
      </c>
      <c r="E927" s="2" t="str">
        <f aca="false">TEXT(D927,"dddd")</f>
        <v>Thursday</v>
      </c>
      <c r="F927" s="2" t="s">
        <v>457</v>
      </c>
      <c r="G927" s="2" t="s">
        <v>458</v>
      </c>
      <c r="H927" s="2" t="s">
        <v>459</v>
      </c>
      <c r="I927" s="2" t="n">
        <f aca="false">IF(F927="Present",9,IF(F927="Half Day",4,0))</f>
        <v>9</v>
      </c>
      <c r="J927" s="2"/>
      <c r="K927" s="2"/>
    </row>
    <row r="928" customFormat="false" ht="15" hidden="false" customHeight="false" outlineLevel="0" collapsed="false">
      <c r="A928" s="2" t="s">
        <v>104</v>
      </c>
      <c r="B928" s="2" t="s">
        <v>105</v>
      </c>
      <c r="C928" s="2" t="s">
        <v>57</v>
      </c>
      <c r="D928" s="3" t="n">
        <v>46262</v>
      </c>
      <c r="E928" s="2" t="str">
        <f aca="false">TEXT(D928,"dddd")</f>
        <v>Friday</v>
      </c>
      <c r="F928" s="2" t="s">
        <v>457</v>
      </c>
      <c r="G928" s="2" t="s">
        <v>458</v>
      </c>
      <c r="H928" s="2" t="s">
        <v>459</v>
      </c>
      <c r="I928" s="2" t="n">
        <f aca="false">IF(F928="Present",9,IF(F928="Half Day",4,0))</f>
        <v>9</v>
      </c>
      <c r="J928" s="2"/>
      <c r="K928" s="2"/>
    </row>
    <row r="929" customFormat="false" ht="15" hidden="false" customHeight="false" outlineLevel="0" collapsed="false">
      <c r="A929" s="2" t="s">
        <v>104</v>
      </c>
      <c r="B929" s="2" t="s">
        <v>105</v>
      </c>
      <c r="C929" s="2" t="s">
        <v>57</v>
      </c>
      <c r="D929" s="3" t="n">
        <v>46263</v>
      </c>
      <c r="E929" s="2" t="str">
        <f aca="false">TEXT(D929,"dddd")</f>
        <v>Saturday</v>
      </c>
      <c r="F929" s="2" t="s">
        <v>463</v>
      </c>
      <c r="G929" s="2"/>
      <c r="H929" s="2"/>
      <c r="I929" s="2" t="n">
        <f aca="false">IF(F929="Present",9,IF(F929="Half Day",4,0))</f>
        <v>0</v>
      </c>
      <c r="J929" s="2" t="s">
        <v>472</v>
      </c>
      <c r="K929" s="2" t="s">
        <v>473</v>
      </c>
    </row>
    <row r="930" customFormat="false" ht="15" hidden="false" customHeight="false" outlineLevel="0" collapsed="false">
      <c r="A930" s="2" t="s">
        <v>104</v>
      </c>
      <c r="B930" s="2" t="s">
        <v>105</v>
      </c>
      <c r="C930" s="2" t="s">
        <v>57</v>
      </c>
      <c r="D930" s="3" t="n">
        <v>46264</v>
      </c>
      <c r="E930" s="2" t="str">
        <f aca="false">TEXT(D930,"dddd")</f>
        <v>Sunday</v>
      </c>
      <c r="F930" s="2" t="s">
        <v>460</v>
      </c>
      <c r="G930" s="2"/>
      <c r="H930" s="2"/>
      <c r="I930" s="2" t="n">
        <f aca="false">IF(F930="Present",9,IF(F930="Half Day",4,0))</f>
        <v>0</v>
      </c>
      <c r="J930" s="2"/>
      <c r="K930" s="2" t="s">
        <v>460</v>
      </c>
    </row>
    <row r="931" customFormat="false" ht="15" hidden="false" customHeight="false" outlineLevel="0" collapsed="false">
      <c r="A931" s="2" t="s">
        <v>104</v>
      </c>
      <c r="B931" s="2" t="s">
        <v>105</v>
      </c>
      <c r="C931" s="2" t="s">
        <v>57</v>
      </c>
      <c r="D931" s="3" t="n">
        <v>46265</v>
      </c>
      <c r="E931" s="2" t="str">
        <f aca="false">TEXT(D931,"dddd")</f>
        <v>Monday</v>
      </c>
      <c r="F931" s="2" t="s">
        <v>461</v>
      </c>
      <c r="G931" s="2"/>
      <c r="H931" s="2"/>
      <c r="I931" s="2" t="n">
        <f aca="false">IF(F931="Present",9,IF(F931="Half Day",4,0))</f>
        <v>0</v>
      </c>
      <c r="J931" s="2"/>
      <c r="K931" s="2" t="s">
        <v>462</v>
      </c>
    </row>
    <row r="932" customFormat="false" ht="15" hidden="false" customHeight="false" outlineLevel="0" collapsed="false">
      <c r="A932" s="2" t="s">
        <v>106</v>
      </c>
      <c r="B932" s="2" t="s">
        <v>107</v>
      </c>
      <c r="C932" s="2" t="s">
        <v>17</v>
      </c>
      <c r="D932" s="3" t="n">
        <v>46235</v>
      </c>
      <c r="E932" s="2" t="str">
        <f aca="false">TEXT(D932,"dddd")</f>
        <v>Saturday</v>
      </c>
      <c r="F932" s="2" t="s">
        <v>457</v>
      </c>
      <c r="G932" s="2" t="s">
        <v>458</v>
      </c>
      <c r="H932" s="2" t="s">
        <v>459</v>
      </c>
      <c r="I932" s="2" t="n">
        <f aca="false">IF(F932="Present",9,IF(F932="Half Day",4,0))</f>
        <v>9</v>
      </c>
      <c r="J932" s="2"/>
      <c r="K932" s="2"/>
    </row>
    <row r="933" customFormat="false" ht="15" hidden="false" customHeight="false" outlineLevel="0" collapsed="false">
      <c r="A933" s="2" t="s">
        <v>106</v>
      </c>
      <c r="B933" s="2" t="s">
        <v>107</v>
      </c>
      <c r="C933" s="2" t="s">
        <v>17</v>
      </c>
      <c r="D933" s="3" t="n">
        <v>46236</v>
      </c>
      <c r="E933" s="2" t="str">
        <f aca="false">TEXT(D933,"dddd")</f>
        <v>Sunday</v>
      </c>
      <c r="F933" s="2" t="s">
        <v>460</v>
      </c>
      <c r="G933" s="2"/>
      <c r="H933" s="2"/>
      <c r="I933" s="2" t="n">
        <f aca="false">IF(F933="Present",9,IF(F933="Half Day",4,0))</f>
        <v>0</v>
      </c>
      <c r="J933" s="2"/>
      <c r="K933" s="2" t="s">
        <v>460</v>
      </c>
    </row>
    <row r="934" customFormat="false" ht="15" hidden="false" customHeight="false" outlineLevel="0" collapsed="false">
      <c r="A934" s="2" t="s">
        <v>106</v>
      </c>
      <c r="B934" s="2" t="s">
        <v>107</v>
      </c>
      <c r="C934" s="2" t="s">
        <v>17</v>
      </c>
      <c r="D934" s="3" t="n">
        <v>46237</v>
      </c>
      <c r="E934" s="2" t="str">
        <f aca="false">TEXT(D934,"dddd")</f>
        <v>Monday</v>
      </c>
      <c r="F934" s="2" t="s">
        <v>457</v>
      </c>
      <c r="G934" s="2" t="s">
        <v>458</v>
      </c>
      <c r="H934" s="2" t="s">
        <v>459</v>
      </c>
      <c r="I934" s="2" t="n">
        <f aca="false">IF(F934="Present",9,IF(F934="Half Day",4,0))</f>
        <v>9</v>
      </c>
      <c r="J934" s="2"/>
      <c r="K934" s="2"/>
    </row>
    <row r="935" customFormat="false" ht="15" hidden="false" customHeight="false" outlineLevel="0" collapsed="false">
      <c r="A935" s="2" t="s">
        <v>106</v>
      </c>
      <c r="B935" s="2" t="s">
        <v>107</v>
      </c>
      <c r="C935" s="2" t="s">
        <v>17</v>
      </c>
      <c r="D935" s="3" t="n">
        <v>46238</v>
      </c>
      <c r="E935" s="2" t="str">
        <f aca="false">TEXT(D935,"dddd")</f>
        <v>Tuesday</v>
      </c>
      <c r="F935" s="2" t="s">
        <v>457</v>
      </c>
      <c r="G935" s="2" t="s">
        <v>458</v>
      </c>
      <c r="H935" s="2" t="s">
        <v>459</v>
      </c>
      <c r="I935" s="2" t="n">
        <f aca="false">IF(F935="Present",9,IF(F935="Half Day",4,0))</f>
        <v>9</v>
      </c>
      <c r="J935" s="2"/>
      <c r="K935" s="2"/>
    </row>
    <row r="936" customFormat="false" ht="15" hidden="false" customHeight="false" outlineLevel="0" collapsed="false">
      <c r="A936" s="2" t="s">
        <v>106</v>
      </c>
      <c r="B936" s="2" t="s">
        <v>107</v>
      </c>
      <c r="C936" s="2" t="s">
        <v>17</v>
      </c>
      <c r="D936" s="3" t="n">
        <v>46239</v>
      </c>
      <c r="E936" s="2" t="str">
        <f aca="false">TEXT(D936,"dddd")</f>
        <v>Wednesday</v>
      </c>
      <c r="F936" s="2" t="s">
        <v>457</v>
      </c>
      <c r="G936" s="2" t="s">
        <v>458</v>
      </c>
      <c r="H936" s="2" t="s">
        <v>459</v>
      </c>
      <c r="I936" s="2" t="n">
        <f aca="false">IF(F936="Present",9,IF(F936="Half Day",4,0))</f>
        <v>9</v>
      </c>
      <c r="J936" s="2"/>
      <c r="K936" s="2"/>
    </row>
    <row r="937" customFormat="false" ht="15" hidden="false" customHeight="false" outlineLevel="0" collapsed="false">
      <c r="A937" s="2" t="s">
        <v>106</v>
      </c>
      <c r="B937" s="2" t="s">
        <v>107</v>
      </c>
      <c r="C937" s="2" t="s">
        <v>17</v>
      </c>
      <c r="D937" s="3" t="n">
        <v>46240</v>
      </c>
      <c r="E937" s="2" t="str">
        <f aca="false">TEXT(D937,"dddd")</f>
        <v>Thursday</v>
      </c>
      <c r="F937" s="2" t="s">
        <v>461</v>
      </c>
      <c r="G937" s="2"/>
      <c r="H937" s="2"/>
      <c r="I937" s="2" t="n">
        <f aca="false">IF(F937="Present",9,IF(F937="Half Day",4,0))</f>
        <v>0</v>
      </c>
      <c r="J937" s="2"/>
      <c r="K937" s="2" t="s">
        <v>462</v>
      </c>
    </row>
    <row r="938" customFormat="false" ht="15" hidden="false" customHeight="false" outlineLevel="0" collapsed="false">
      <c r="A938" s="2" t="s">
        <v>106</v>
      </c>
      <c r="B938" s="2" t="s">
        <v>107</v>
      </c>
      <c r="C938" s="2" t="s">
        <v>17</v>
      </c>
      <c r="D938" s="3" t="n">
        <v>46241</v>
      </c>
      <c r="E938" s="2" t="str">
        <f aca="false">TEXT(D938,"dddd")</f>
        <v>Friday</v>
      </c>
      <c r="F938" s="2" t="s">
        <v>457</v>
      </c>
      <c r="G938" s="2" t="s">
        <v>458</v>
      </c>
      <c r="H938" s="2" t="s">
        <v>459</v>
      </c>
      <c r="I938" s="2" t="n">
        <f aca="false">IF(F938="Present",9,IF(F938="Half Day",4,0))</f>
        <v>9</v>
      </c>
      <c r="J938" s="2"/>
      <c r="K938" s="2"/>
    </row>
    <row r="939" customFormat="false" ht="15" hidden="false" customHeight="false" outlineLevel="0" collapsed="false">
      <c r="A939" s="2" t="s">
        <v>106</v>
      </c>
      <c r="B939" s="2" t="s">
        <v>107</v>
      </c>
      <c r="C939" s="2" t="s">
        <v>17</v>
      </c>
      <c r="D939" s="3" t="n">
        <v>46242</v>
      </c>
      <c r="E939" s="2" t="str">
        <f aca="false">TEXT(D939,"dddd")</f>
        <v>Saturday</v>
      </c>
      <c r="F939" s="2" t="s">
        <v>457</v>
      </c>
      <c r="G939" s="2" t="s">
        <v>458</v>
      </c>
      <c r="H939" s="2" t="s">
        <v>459</v>
      </c>
      <c r="I939" s="2" t="n">
        <f aca="false">IF(F939="Present",9,IF(F939="Half Day",4,0))</f>
        <v>9</v>
      </c>
      <c r="J939" s="2"/>
      <c r="K939" s="2"/>
    </row>
    <row r="940" customFormat="false" ht="15" hidden="false" customHeight="false" outlineLevel="0" collapsed="false">
      <c r="A940" s="2" t="s">
        <v>106</v>
      </c>
      <c r="B940" s="2" t="s">
        <v>107</v>
      </c>
      <c r="C940" s="2" t="s">
        <v>17</v>
      </c>
      <c r="D940" s="3" t="n">
        <v>46243</v>
      </c>
      <c r="E940" s="2" t="str">
        <f aca="false">TEXT(D940,"dddd")</f>
        <v>Sunday</v>
      </c>
      <c r="F940" s="2" t="s">
        <v>460</v>
      </c>
      <c r="G940" s="2"/>
      <c r="H940" s="2"/>
      <c r="I940" s="2" t="n">
        <f aca="false">IF(F940="Present",9,IF(F940="Half Day",4,0))</f>
        <v>0</v>
      </c>
      <c r="J940" s="2"/>
      <c r="K940" s="2" t="s">
        <v>460</v>
      </c>
    </row>
    <row r="941" customFormat="false" ht="15" hidden="false" customHeight="false" outlineLevel="0" collapsed="false">
      <c r="A941" s="2" t="s">
        <v>106</v>
      </c>
      <c r="B941" s="2" t="s">
        <v>107</v>
      </c>
      <c r="C941" s="2" t="s">
        <v>17</v>
      </c>
      <c r="D941" s="3" t="n">
        <v>46244</v>
      </c>
      <c r="E941" s="2" t="str">
        <f aca="false">TEXT(D941,"dddd")</f>
        <v>Monday</v>
      </c>
      <c r="F941" s="2" t="s">
        <v>457</v>
      </c>
      <c r="G941" s="2" t="s">
        <v>458</v>
      </c>
      <c r="H941" s="2" t="s">
        <v>459</v>
      </c>
      <c r="I941" s="2" t="n">
        <f aca="false">IF(F941="Present",9,IF(F941="Half Day",4,0))</f>
        <v>9</v>
      </c>
      <c r="J941" s="2"/>
      <c r="K941" s="2"/>
    </row>
    <row r="942" customFormat="false" ht="15" hidden="false" customHeight="false" outlineLevel="0" collapsed="false">
      <c r="A942" s="2" t="s">
        <v>106</v>
      </c>
      <c r="B942" s="2" t="s">
        <v>107</v>
      </c>
      <c r="C942" s="2" t="s">
        <v>17</v>
      </c>
      <c r="D942" s="3" t="n">
        <v>46245</v>
      </c>
      <c r="E942" s="2" t="str">
        <f aca="false">TEXT(D942,"dddd")</f>
        <v>Tuesday</v>
      </c>
      <c r="F942" s="2" t="s">
        <v>457</v>
      </c>
      <c r="G942" s="2" t="s">
        <v>458</v>
      </c>
      <c r="H942" s="2" t="s">
        <v>459</v>
      </c>
      <c r="I942" s="2" t="n">
        <f aca="false">IF(F942="Present",9,IF(F942="Half Day",4,0))</f>
        <v>9</v>
      </c>
      <c r="J942" s="2"/>
      <c r="K942" s="2"/>
    </row>
    <row r="943" customFormat="false" ht="15" hidden="false" customHeight="false" outlineLevel="0" collapsed="false">
      <c r="A943" s="2" t="s">
        <v>106</v>
      </c>
      <c r="B943" s="2" t="s">
        <v>107</v>
      </c>
      <c r="C943" s="2" t="s">
        <v>17</v>
      </c>
      <c r="D943" s="3" t="n">
        <v>46246</v>
      </c>
      <c r="E943" s="2" t="str">
        <f aca="false">TEXT(D943,"dddd")</f>
        <v>Wednesday</v>
      </c>
      <c r="F943" s="2" t="s">
        <v>457</v>
      </c>
      <c r="G943" s="2" t="s">
        <v>458</v>
      </c>
      <c r="H943" s="2" t="s">
        <v>459</v>
      </c>
      <c r="I943" s="2" t="n">
        <f aca="false">IF(F943="Present",9,IF(F943="Half Day",4,0))</f>
        <v>9</v>
      </c>
      <c r="J943" s="2"/>
      <c r="K943" s="2"/>
    </row>
    <row r="944" customFormat="false" ht="15" hidden="false" customHeight="false" outlineLevel="0" collapsed="false">
      <c r="A944" s="2" t="s">
        <v>106</v>
      </c>
      <c r="B944" s="2" t="s">
        <v>107</v>
      </c>
      <c r="C944" s="2" t="s">
        <v>17</v>
      </c>
      <c r="D944" s="3" t="n">
        <v>46247</v>
      </c>
      <c r="E944" s="2" t="str">
        <f aca="false">TEXT(D944,"dddd")</f>
        <v>Thursday</v>
      </c>
      <c r="F944" s="2" t="s">
        <v>466</v>
      </c>
      <c r="G944" s="2" t="s">
        <v>458</v>
      </c>
      <c r="H944" s="2" t="s">
        <v>467</v>
      </c>
      <c r="I944" s="2" t="n">
        <f aca="false">IF(F944="Present",9,IF(F944="Half Day",4,0))</f>
        <v>4</v>
      </c>
      <c r="J944" s="2"/>
      <c r="K944" s="2" t="s">
        <v>466</v>
      </c>
    </row>
    <row r="945" customFormat="false" ht="15" hidden="false" customHeight="false" outlineLevel="0" collapsed="false">
      <c r="A945" s="2" t="s">
        <v>106</v>
      </c>
      <c r="B945" s="2" t="s">
        <v>107</v>
      </c>
      <c r="C945" s="2" t="s">
        <v>17</v>
      </c>
      <c r="D945" s="3" t="n">
        <v>46248</v>
      </c>
      <c r="E945" s="2" t="str">
        <f aca="false">TEXT(D945,"dddd")</f>
        <v>Friday</v>
      </c>
      <c r="F945" s="2" t="s">
        <v>457</v>
      </c>
      <c r="G945" s="2" t="s">
        <v>458</v>
      </c>
      <c r="H945" s="2" t="s">
        <v>459</v>
      </c>
      <c r="I945" s="2" t="n">
        <f aca="false">IF(F945="Present",9,IF(F945="Half Day",4,0))</f>
        <v>9</v>
      </c>
      <c r="J945" s="2"/>
      <c r="K945" s="2"/>
    </row>
    <row r="946" customFormat="false" ht="15" hidden="false" customHeight="false" outlineLevel="0" collapsed="false">
      <c r="A946" s="2" t="s">
        <v>106</v>
      </c>
      <c r="B946" s="2" t="s">
        <v>107</v>
      </c>
      <c r="C946" s="2" t="s">
        <v>17</v>
      </c>
      <c r="D946" s="3" t="n">
        <v>46249</v>
      </c>
      <c r="E946" s="2" t="str">
        <f aca="false">TEXT(D946,"dddd")</f>
        <v>Saturday</v>
      </c>
      <c r="F946" s="2" t="s">
        <v>461</v>
      </c>
      <c r="G946" s="2"/>
      <c r="H946" s="2"/>
      <c r="I946" s="2" t="n">
        <f aca="false">IF(F946="Present",9,IF(F946="Half Day",4,0))</f>
        <v>0</v>
      </c>
      <c r="J946" s="2"/>
      <c r="K946" s="2" t="s">
        <v>462</v>
      </c>
    </row>
    <row r="947" customFormat="false" ht="15" hidden="false" customHeight="false" outlineLevel="0" collapsed="false">
      <c r="A947" s="2" t="s">
        <v>106</v>
      </c>
      <c r="B947" s="2" t="s">
        <v>107</v>
      </c>
      <c r="C947" s="2" t="s">
        <v>17</v>
      </c>
      <c r="D947" s="3" t="n">
        <v>46250</v>
      </c>
      <c r="E947" s="2" t="str">
        <f aca="false">TEXT(D947,"dddd")</f>
        <v>Sunday</v>
      </c>
      <c r="F947" s="2" t="s">
        <v>460</v>
      </c>
      <c r="G947" s="2"/>
      <c r="H947" s="2"/>
      <c r="I947" s="2" t="n">
        <f aca="false">IF(F947="Present",9,IF(F947="Half Day",4,0))</f>
        <v>0</v>
      </c>
      <c r="J947" s="2"/>
      <c r="K947" s="2" t="s">
        <v>460</v>
      </c>
    </row>
    <row r="948" customFormat="false" ht="15" hidden="false" customHeight="false" outlineLevel="0" collapsed="false">
      <c r="A948" s="2" t="s">
        <v>106</v>
      </c>
      <c r="B948" s="2" t="s">
        <v>107</v>
      </c>
      <c r="C948" s="2" t="s">
        <v>17</v>
      </c>
      <c r="D948" s="3" t="n">
        <v>46251</v>
      </c>
      <c r="E948" s="2" t="str">
        <f aca="false">TEXT(D948,"dddd")</f>
        <v>Monday</v>
      </c>
      <c r="F948" s="2" t="s">
        <v>461</v>
      </c>
      <c r="G948" s="2"/>
      <c r="H948" s="2"/>
      <c r="I948" s="2" t="n">
        <f aca="false">IF(F948="Present",9,IF(F948="Half Day",4,0))</f>
        <v>0</v>
      </c>
      <c r="J948" s="2"/>
      <c r="K948" s="2" t="s">
        <v>462</v>
      </c>
    </row>
    <row r="949" customFormat="false" ht="15" hidden="false" customHeight="false" outlineLevel="0" collapsed="false">
      <c r="A949" s="2" t="s">
        <v>106</v>
      </c>
      <c r="B949" s="2" t="s">
        <v>107</v>
      </c>
      <c r="C949" s="2" t="s">
        <v>17</v>
      </c>
      <c r="D949" s="3" t="n">
        <v>46252</v>
      </c>
      <c r="E949" s="2" t="str">
        <f aca="false">TEXT(D949,"dddd")</f>
        <v>Tuesday</v>
      </c>
      <c r="F949" s="2" t="s">
        <v>457</v>
      </c>
      <c r="G949" s="2" t="s">
        <v>458</v>
      </c>
      <c r="H949" s="2" t="s">
        <v>459</v>
      </c>
      <c r="I949" s="2" t="n">
        <f aca="false">IF(F949="Present",9,IF(F949="Half Day",4,0))</f>
        <v>9</v>
      </c>
      <c r="J949" s="2"/>
      <c r="K949" s="2"/>
    </row>
    <row r="950" customFormat="false" ht="15" hidden="false" customHeight="false" outlineLevel="0" collapsed="false">
      <c r="A950" s="2" t="s">
        <v>106</v>
      </c>
      <c r="B950" s="2" t="s">
        <v>107</v>
      </c>
      <c r="C950" s="2" t="s">
        <v>17</v>
      </c>
      <c r="D950" s="3" t="n">
        <v>46253</v>
      </c>
      <c r="E950" s="2" t="str">
        <f aca="false">TEXT(D950,"dddd")</f>
        <v>Wednesday</v>
      </c>
      <c r="F950" s="2" t="s">
        <v>461</v>
      </c>
      <c r="G950" s="2"/>
      <c r="H950" s="2"/>
      <c r="I950" s="2" t="n">
        <f aca="false">IF(F950="Present",9,IF(F950="Half Day",4,0))</f>
        <v>0</v>
      </c>
      <c r="J950" s="2"/>
      <c r="K950" s="2" t="s">
        <v>462</v>
      </c>
    </row>
    <row r="951" customFormat="false" ht="15" hidden="false" customHeight="false" outlineLevel="0" collapsed="false">
      <c r="A951" s="2" t="s">
        <v>106</v>
      </c>
      <c r="B951" s="2" t="s">
        <v>107</v>
      </c>
      <c r="C951" s="2" t="s">
        <v>17</v>
      </c>
      <c r="D951" s="3" t="n">
        <v>46254</v>
      </c>
      <c r="E951" s="2" t="str">
        <f aca="false">TEXT(D951,"dddd")</f>
        <v>Thursday</v>
      </c>
      <c r="F951" s="2" t="s">
        <v>457</v>
      </c>
      <c r="G951" s="2" t="s">
        <v>458</v>
      </c>
      <c r="H951" s="2" t="s">
        <v>459</v>
      </c>
      <c r="I951" s="2" t="n">
        <f aca="false">IF(F951="Present",9,IF(F951="Half Day",4,0))</f>
        <v>9</v>
      </c>
      <c r="J951" s="2"/>
      <c r="K951" s="2"/>
    </row>
    <row r="952" customFormat="false" ht="15" hidden="false" customHeight="false" outlineLevel="0" collapsed="false">
      <c r="A952" s="2" t="s">
        <v>106</v>
      </c>
      <c r="B952" s="2" t="s">
        <v>107</v>
      </c>
      <c r="C952" s="2" t="s">
        <v>17</v>
      </c>
      <c r="D952" s="3" t="n">
        <v>46255</v>
      </c>
      <c r="E952" s="2" t="str">
        <f aca="false">TEXT(D952,"dddd")</f>
        <v>Friday</v>
      </c>
      <c r="F952" s="2" t="s">
        <v>457</v>
      </c>
      <c r="G952" s="2" t="s">
        <v>458</v>
      </c>
      <c r="H952" s="2" t="s">
        <v>459</v>
      </c>
      <c r="I952" s="2" t="n">
        <f aca="false">IF(F952="Present",9,IF(F952="Half Day",4,0))</f>
        <v>9</v>
      </c>
      <c r="J952" s="2"/>
      <c r="K952" s="2"/>
    </row>
    <row r="953" customFormat="false" ht="15" hidden="false" customHeight="false" outlineLevel="0" collapsed="false">
      <c r="A953" s="2" t="s">
        <v>106</v>
      </c>
      <c r="B953" s="2" t="s">
        <v>107</v>
      </c>
      <c r="C953" s="2" t="s">
        <v>17</v>
      </c>
      <c r="D953" s="3" t="n">
        <v>46256</v>
      </c>
      <c r="E953" s="2" t="str">
        <f aca="false">TEXT(D953,"dddd")</f>
        <v>Saturday</v>
      </c>
      <c r="F953" s="2" t="s">
        <v>457</v>
      </c>
      <c r="G953" s="2" t="s">
        <v>458</v>
      </c>
      <c r="H953" s="2" t="s">
        <v>459</v>
      </c>
      <c r="I953" s="2" t="n">
        <f aca="false">IF(F953="Present",9,IF(F953="Half Day",4,0))</f>
        <v>9</v>
      </c>
      <c r="J953" s="2"/>
      <c r="K953" s="2"/>
    </row>
    <row r="954" customFormat="false" ht="15" hidden="false" customHeight="false" outlineLevel="0" collapsed="false">
      <c r="A954" s="2" t="s">
        <v>106</v>
      </c>
      <c r="B954" s="2" t="s">
        <v>107</v>
      </c>
      <c r="C954" s="2" t="s">
        <v>17</v>
      </c>
      <c r="D954" s="3" t="n">
        <v>46257</v>
      </c>
      <c r="E954" s="2" t="str">
        <f aca="false">TEXT(D954,"dddd")</f>
        <v>Sunday</v>
      </c>
      <c r="F954" s="2" t="s">
        <v>460</v>
      </c>
      <c r="G954" s="2"/>
      <c r="H954" s="2"/>
      <c r="I954" s="2" t="n">
        <f aca="false">IF(F954="Present",9,IF(F954="Half Day",4,0))</f>
        <v>0</v>
      </c>
      <c r="J954" s="2"/>
      <c r="K954" s="2" t="s">
        <v>460</v>
      </c>
    </row>
    <row r="955" customFormat="false" ht="15" hidden="false" customHeight="false" outlineLevel="0" collapsed="false">
      <c r="A955" s="2" t="s">
        <v>106</v>
      </c>
      <c r="B955" s="2" t="s">
        <v>107</v>
      </c>
      <c r="C955" s="2" t="s">
        <v>17</v>
      </c>
      <c r="D955" s="3" t="n">
        <v>46258</v>
      </c>
      <c r="E955" s="2" t="str">
        <f aca="false">TEXT(D955,"dddd")</f>
        <v>Monday</v>
      </c>
      <c r="F955" s="2" t="s">
        <v>457</v>
      </c>
      <c r="G955" s="2" t="s">
        <v>458</v>
      </c>
      <c r="H955" s="2" t="s">
        <v>459</v>
      </c>
      <c r="I955" s="2" t="n">
        <f aca="false">IF(F955="Present",9,IF(F955="Half Day",4,0))</f>
        <v>9</v>
      </c>
      <c r="J955" s="2"/>
      <c r="K955" s="2"/>
    </row>
    <row r="956" customFormat="false" ht="15" hidden="false" customHeight="false" outlineLevel="0" collapsed="false">
      <c r="A956" s="2" t="s">
        <v>106</v>
      </c>
      <c r="B956" s="2" t="s">
        <v>107</v>
      </c>
      <c r="C956" s="2" t="s">
        <v>17</v>
      </c>
      <c r="D956" s="3" t="n">
        <v>46259</v>
      </c>
      <c r="E956" s="2" t="str">
        <f aca="false">TEXT(D956,"dddd")</f>
        <v>Tuesday</v>
      </c>
      <c r="F956" s="2" t="s">
        <v>457</v>
      </c>
      <c r="G956" s="2" t="s">
        <v>458</v>
      </c>
      <c r="H956" s="2" t="s">
        <v>459</v>
      </c>
      <c r="I956" s="2" t="n">
        <f aca="false">IF(F956="Present",9,IF(F956="Half Day",4,0))</f>
        <v>9</v>
      </c>
      <c r="J956" s="2"/>
      <c r="K956" s="2"/>
    </row>
    <row r="957" customFormat="false" ht="15" hidden="false" customHeight="false" outlineLevel="0" collapsed="false">
      <c r="A957" s="2" t="s">
        <v>106</v>
      </c>
      <c r="B957" s="2" t="s">
        <v>107</v>
      </c>
      <c r="C957" s="2" t="s">
        <v>17</v>
      </c>
      <c r="D957" s="3" t="n">
        <v>46260</v>
      </c>
      <c r="E957" s="2" t="str">
        <f aca="false">TEXT(D957,"dddd")</f>
        <v>Wednesday</v>
      </c>
      <c r="F957" s="2" t="s">
        <v>457</v>
      </c>
      <c r="G957" s="2" t="s">
        <v>458</v>
      </c>
      <c r="H957" s="2" t="s">
        <v>459</v>
      </c>
      <c r="I957" s="2" t="n">
        <f aca="false">IF(F957="Present",9,IF(F957="Half Day",4,0))</f>
        <v>9</v>
      </c>
      <c r="J957" s="2"/>
      <c r="K957" s="2"/>
    </row>
    <row r="958" customFormat="false" ht="15" hidden="false" customHeight="false" outlineLevel="0" collapsed="false">
      <c r="A958" s="2" t="s">
        <v>106</v>
      </c>
      <c r="B958" s="2" t="s">
        <v>107</v>
      </c>
      <c r="C958" s="2" t="s">
        <v>17</v>
      </c>
      <c r="D958" s="3" t="n">
        <v>46261</v>
      </c>
      <c r="E958" s="2" t="str">
        <f aca="false">TEXT(D958,"dddd")</f>
        <v>Thursday</v>
      </c>
      <c r="F958" s="2" t="s">
        <v>457</v>
      </c>
      <c r="G958" s="2" t="s">
        <v>458</v>
      </c>
      <c r="H958" s="2" t="s">
        <v>459</v>
      </c>
      <c r="I958" s="2" t="n">
        <f aca="false">IF(F958="Present",9,IF(F958="Half Day",4,0))</f>
        <v>9</v>
      </c>
      <c r="J958" s="2"/>
      <c r="K958" s="2"/>
    </row>
    <row r="959" customFormat="false" ht="15" hidden="false" customHeight="false" outlineLevel="0" collapsed="false">
      <c r="A959" s="2" t="s">
        <v>106</v>
      </c>
      <c r="B959" s="2" t="s">
        <v>107</v>
      </c>
      <c r="C959" s="2" t="s">
        <v>17</v>
      </c>
      <c r="D959" s="3" t="n">
        <v>46262</v>
      </c>
      <c r="E959" s="2" t="str">
        <f aca="false">TEXT(D959,"dddd")</f>
        <v>Friday</v>
      </c>
      <c r="F959" s="2" t="s">
        <v>457</v>
      </c>
      <c r="G959" s="2" t="s">
        <v>458</v>
      </c>
      <c r="H959" s="2" t="s">
        <v>459</v>
      </c>
      <c r="I959" s="2" t="n">
        <f aca="false">IF(F959="Present",9,IF(F959="Half Day",4,0))</f>
        <v>9</v>
      </c>
      <c r="J959" s="2"/>
      <c r="K959" s="2"/>
    </row>
    <row r="960" customFormat="false" ht="15" hidden="false" customHeight="false" outlineLevel="0" collapsed="false">
      <c r="A960" s="2" t="s">
        <v>106</v>
      </c>
      <c r="B960" s="2" t="s">
        <v>107</v>
      </c>
      <c r="C960" s="2" t="s">
        <v>17</v>
      </c>
      <c r="D960" s="3" t="n">
        <v>46263</v>
      </c>
      <c r="E960" s="2" t="str">
        <f aca="false">TEXT(D960,"dddd")</f>
        <v>Saturday</v>
      </c>
      <c r="F960" s="2" t="s">
        <v>461</v>
      </c>
      <c r="G960" s="2"/>
      <c r="H960" s="2"/>
      <c r="I960" s="2" t="n">
        <f aca="false">IF(F960="Present",9,IF(F960="Half Day",4,0))</f>
        <v>0</v>
      </c>
      <c r="J960" s="2"/>
      <c r="K960" s="2" t="s">
        <v>462</v>
      </c>
    </row>
    <row r="961" customFormat="false" ht="15" hidden="false" customHeight="false" outlineLevel="0" collapsed="false">
      <c r="A961" s="2" t="s">
        <v>106</v>
      </c>
      <c r="B961" s="2" t="s">
        <v>107</v>
      </c>
      <c r="C961" s="2" t="s">
        <v>17</v>
      </c>
      <c r="D961" s="3" t="n">
        <v>46264</v>
      </c>
      <c r="E961" s="2" t="str">
        <f aca="false">TEXT(D961,"dddd")</f>
        <v>Sunday</v>
      </c>
      <c r="F961" s="2" t="s">
        <v>460</v>
      </c>
      <c r="G961" s="2"/>
      <c r="H961" s="2"/>
      <c r="I961" s="2" t="n">
        <f aca="false">IF(F961="Present",9,IF(F961="Half Day",4,0))</f>
        <v>0</v>
      </c>
      <c r="J961" s="2"/>
      <c r="K961" s="2" t="s">
        <v>460</v>
      </c>
    </row>
    <row r="962" customFormat="false" ht="15" hidden="false" customHeight="false" outlineLevel="0" collapsed="false">
      <c r="A962" s="2" t="s">
        <v>106</v>
      </c>
      <c r="B962" s="2" t="s">
        <v>107</v>
      </c>
      <c r="C962" s="2" t="s">
        <v>17</v>
      </c>
      <c r="D962" s="3" t="n">
        <v>46265</v>
      </c>
      <c r="E962" s="2" t="str">
        <f aca="false">TEXT(D962,"dddd")</f>
        <v>Monday</v>
      </c>
      <c r="F962" s="2" t="s">
        <v>461</v>
      </c>
      <c r="G962" s="2"/>
      <c r="H962" s="2"/>
      <c r="I962" s="2" t="n">
        <f aca="false">IF(F962="Present",9,IF(F962="Half Day",4,0))</f>
        <v>0</v>
      </c>
      <c r="J962" s="2"/>
      <c r="K962" s="2" t="s">
        <v>462</v>
      </c>
    </row>
    <row r="963" customFormat="false" ht="15" hidden="false" customHeight="false" outlineLevel="0" collapsed="false">
      <c r="A963" s="2" t="s">
        <v>108</v>
      </c>
      <c r="B963" s="2" t="s">
        <v>109</v>
      </c>
      <c r="C963" s="2" t="s">
        <v>24</v>
      </c>
      <c r="D963" s="3" t="n">
        <v>46235</v>
      </c>
      <c r="E963" s="2" t="str">
        <f aca="false">TEXT(D963,"dddd")</f>
        <v>Saturday</v>
      </c>
      <c r="F963" s="2" t="s">
        <v>457</v>
      </c>
      <c r="G963" s="2" t="s">
        <v>458</v>
      </c>
      <c r="H963" s="2" t="s">
        <v>459</v>
      </c>
      <c r="I963" s="2" t="n">
        <f aca="false">IF(F963="Present",9,IF(F963="Half Day",4,0))</f>
        <v>9</v>
      </c>
      <c r="J963" s="2"/>
      <c r="K963" s="2"/>
    </row>
    <row r="964" customFormat="false" ht="15" hidden="false" customHeight="false" outlineLevel="0" collapsed="false">
      <c r="A964" s="2" t="s">
        <v>108</v>
      </c>
      <c r="B964" s="2" t="s">
        <v>109</v>
      </c>
      <c r="C964" s="2" t="s">
        <v>24</v>
      </c>
      <c r="D964" s="3" t="n">
        <v>46236</v>
      </c>
      <c r="E964" s="2" t="str">
        <f aca="false">TEXT(D964,"dddd")</f>
        <v>Sunday</v>
      </c>
      <c r="F964" s="2" t="s">
        <v>460</v>
      </c>
      <c r="G964" s="2"/>
      <c r="H964" s="2"/>
      <c r="I964" s="2" t="n">
        <f aca="false">IF(F964="Present",9,IF(F964="Half Day",4,0))</f>
        <v>0</v>
      </c>
      <c r="J964" s="2"/>
      <c r="K964" s="2" t="s">
        <v>460</v>
      </c>
    </row>
    <row r="965" customFormat="false" ht="15" hidden="false" customHeight="false" outlineLevel="0" collapsed="false">
      <c r="A965" s="2" t="s">
        <v>108</v>
      </c>
      <c r="B965" s="2" t="s">
        <v>109</v>
      </c>
      <c r="C965" s="2" t="s">
        <v>24</v>
      </c>
      <c r="D965" s="3" t="n">
        <v>46237</v>
      </c>
      <c r="E965" s="2" t="str">
        <f aca="false">TEXT(D965,"dddd")</f>
        <v>Monday</v>
      </c>
      <c r="F965" s="2" t="s">
        <v>457</v>
      </c>
      <c r="G965" s="2" t="s">
        <v>458</v>
      </c>
      <c r="H965" s="2" t="s">
        <v>459</v>
      </c>
      <c r="I965" s="2" t="n">
        <f aca="false">IF(F965="Present",9,IF(F965="Half Day",4,0))</f>
        <v>9</v>
      </c>
      <c r="J965" s="2"/>
      <c r="K965" s="2"/>
    </row>
    <row r="966" customFormat="false" ht="15" hidden="false" customHeight="false" outlineLevel="0" collapsed="false">
      <c r="A966" s="2" t="s">
        <v>108</v>
      </c>
      <c r="B966" s="2" t="s">
        <v>109</v>
      </c>
      <c r="C966" s="2" t="s">
        <v>24</v>
      </c>
      <c r="D966" s="3" t="n">
        <v>46238</v>
      </c>
      <c r="E966" s="2" t="str">
        <f aca="false">TEXT(D966,"dddd")</f>
        <v>Tuesday</v>
      </c>
      <c r="F966" s="2" t="s">
        <v>457</v>
      </c>
      <c r="G966" s="2" t="s">
        <v>458</v>
      </c>
      <c r="H966" s="2" t="s">
        <v>459</v>
      </c>
      <c r="I966" s="2" t="n">
        <f aca="false">IF(F966="Present",9,IF(F966="Half Day",4,0))</f>
        <v>9</v>
      </c>
      <c r="J966" s="2"/>
      <c r="K966" s="2"/>
    </row>
    <row r="967" customFormat="false" ht="15" hidden="false" customHeight="false" outlineLevel="0" collapsed="false">
      <c r="A967" s="2" t="s">
        <v>108</v>
      </c>
      <c r="B967" s="2" t="s">
        <v>109</v>
      </c>
      <c r="C967" s="2" t="s">
        <v>24</v>
      </c>
      <c r="D967" s="3" t="n">
        <v>46239</v>
      </c>
      <c r="E967" s="2" t="str">
        <f aca="false">TEXT(D967,"dddd")</f>
        <v>Wednesday</v>
      </c>
      <c r="F967" s="2" t="s">
        <v>457</v>
      </c>
      <c r="G967" s="2" t="s">
        <v>458</v>
      </c>
      <c r="H967" s="2" t="s">
        <v>459</v>
      </c>
      <c r="I967" s="2" t="n">
        <f aca="false">IF(F967="Present",9,IF(F967="Half Day",4,0))</f>
        <v>9</v>
      </c>
      <c r="J967" s="2"/>
      <c r="K967" s="2"/>
    </row>
    <row r="968" customFormat="false" ht="15" hidden="false" customHeight="false" outlineLevel="0" collapsed="false">
      <c r="A968" s="2" t="s">
        <v>108</v>
      </c>
      <c r="B968" s="2" t="s">
        <v>109</v>
      </c>
      <c r="C968" s="2" t="s">
        <v>24</v>
      </c>
      <c r="D968" s="3" t="n">
        <v>46240</v>
      </c>
      <c r="E968" s="2" t="str">
        <f aca="false">TEXT(D968,"dddd")</f>
        <v>Thursday</v>
      </c>
      <c r="F968" s="2" t="s">
        <v>457</v>
      </c>
      <c r="G968" s="2" t="s">
        <v>458</v>
      </c>
      <c r="H968" s="2" t="s">
        <v>459</v>
      </c>
      <c r="I968" s="2" t="n">
        <f aca="false">IF(F968="Present",9,IF(F968="Half Day",4,0))</f>
        <v>9</v>
      </c>
      <c r="J968" s="2"/>
      <c r="K968" s="2"/>
    </row>
    <row r="969" customFormat="false" ht="15" hidden="false" customHeight="false" outlineLevel="0" collapsed="false">
      <c r="A969" s="2" t="s">
        <v>108</v>
      </c>
      <c r="B969" s="2" t="s">
        <v>109</v>
      </c>
      <c r="C969" s="2" t="s">
        <v>24</v>
      </c>
      <c r="D969" s="3" t="n">
        <v>46241</v>
      </c>
      <c r="E969" s="2" t="str">
        <f aca="false">TEXT(D969,"dddd")</f>
        <v>Friday</v>
      </c>
      <c r="F969" s="2" t="s">
        <v>457</v>
      </c>
      <c r="G969" s="2" t="s">
        <v>458</v>
      </c>
      <c r="H969" s="2" t="s">
        <v>459</v>
      </c>
      <c r="I969" s="2" t="n">
        <f aca="false">IF(F969="Present",9,IF(F969="Half Day",4,0))</f>
        <v>9</v>
      </c>
      <c r="J969" s="2"/>
      <c r="K969" s="2"/>
    </row>
    <row r="970" customFormat="false" ht="15" hidden="false" customHeight="false" outlineLevel="0" collapsed="false">
      <c r="A970" s="2" t="s">
        <v>108</v>
      </c>
      <c r="B970" s="2" t="s">
        <v>109</v>
      </c>
      <c r="C970" s="2" t="s">
        <v>24</v>
      </c>
      <c r="D970" s="3" t="n">
        <v>46242</v>
      </c>
      <c r="E970" s="2" t="str">
        <f aca="false">TEXT(D970,"dddd")</f>
        <v>Saturday</v>
      </c>
      <c r="F970" s="2" t="s">
        <v>457</v>
      </c>
      <c r="G970" s="2" t="s">
        <v>458</v>
      </c>
      <c r="H970" s="2" t="s">
        <v>459</v>
      </c>
      <c r="I970" s="2" t="n">
        <f aca="false">IF(F970="Present",9,IF(F970="Half Day",4,0))</f>
        <v>9</v>
      </c>
      <c r="J970" s="2"/>
      <c r="K970" s="2"/>
    </row>
    <row r="971" customFormat="false" ht="15" hidden="false" customHeight="false" outlineLevel="0" collapsed="false">
      <c r="A971" s="2" t="s">
        <v>108</v>
      </c>
      <c r="B971" s="2" t="s">
        <v>109</v>
      </c>
      <c r="C971" s="2" t="s">
        <v>24</v>
      </c>
      <c r="D971" s="3" t="n">
        <v>46243</v>
      </c>
      <c r="E971" s="2" t="str">
        <f aca="false">TEXT(D971,"dddd")</f>
        <v>Sunday</v>
      </c>
      <c r="F971" s="2" t="s">
        <v>460</v>
      </c>
      <c r="G971" s="2"/>
      <c r="H971" s="2"/>
      <c r="I971" s="2" t="n">
        <f aca="false">IF(F971="Present",9,IF(F971="Half Day",4,0))</f>
        <v>0</v>
      </c>
      <c r="J971" s="2"/>
      <c r="K971" s="2" t="s">
        <v>460</v>
      </c>
    </row>
    <row r="972" customFormat="false" ht="15" hidden="false" customHeight="false" outlineLevel="0" collapsed="false">
      <c r="A972" s="2" t="s">
        <v>108</v>
      </c>
      <c r="B972" s="2" t="s">
        <v>109</v>
      </c>
      <c r="C972" s="2" t="s">
        <v>24</v>
      </c>
      <c r="D972" s="3" t="n">
        <v>46244</v>
      </c>
      <c r="E972" s="2" t="str">
        <f aca="false">TEXT(D972,"dddd")</f>
        <v>Monday</v>
      </c>
      <c r="F972" s="2" t="s">
        <v>457</v>
      </c>
      <c r="G972" s="2" t="s">
        <v>458</v>
      </c>
      <c r="H972" s="2" t="s">
        <v>459</v>
      </c>
      <c r="I972" s="2" t="n">
        <f aca="false">IF(F972="Present",9,IF(F972="Half Day",4,0))</f>
        <v>9</v>
      </c>
      <c r="J972" s="2"/>
      <c r="K972" s="2"/>
    </row>
    <row r="973" customFormat="false" ht="15" hidden="false" customHeight="false" outlineLevel="0" collapsed="false">
      <c r="A973" s="2" t="s">
        <v>108</v>
      </c>
      <c r="B973" s="2" t="s">
        <v>109</v>
      </c>
      <c r="C973" s="2" t="s">
        <v>24</v>
      </c>
      <c r="D973" s="3" t="n">
        <v>46245</v>
      </c>
      <c r="E973" s="2" t="str">
        <f aca="false">TEXT(D973,"dddd")</f>
        <v>Tuesday</v>
      </c>
      <c r="F973" s="2" t="s">
        <v>457</v>
      </c>
      <c r="G973" s="2" t="s">
        <v>458</v>
      </c>
      <c r="H973" s="2" t="s">
        <v>459</v>
      </c>
      <c r="I973" s="2" t="n">
        <f aca="false">IF(F973="Present",9,IF(F973="Half Day",4,0))</f>
        <v>9</v>
      </c>
      <c r="J973" s="2"/>
      <c r="K973" s="2"/>
    </row>
    <row r="974" customFormat="false" ht="15" hidden="false" customHeight="false" outlineLevel="0" collapsed="false">
      <c r="A974" s="2" t="s">
        <v>108</v>
      </c>
      <c r="B974" s="2" t="s">
        <v>109</v>
      </c>
      <c r="C974" s="2" t="s">
        <v>24</v>
      </c>
      <c r="D974" s="3" t="n">
        <v>46246</v>
      </c>
      <c r="E974" s="2" t="str">
        <f aca="false">TEXT(D974,"dddd")</f>
        <v>Wednesday</v>
      </c>
      <c r="F974" s="2" t="s">
        <v>457</v>
      </c>
      <c r="G974" s="2" t="s">
        <v>458</v>
      </c>
      <c r="H974" s="2" t="s">
        <v>459</v>
      </c>
      <c r="I974" s="2" t="n">
        <f aca="false">IF(F974="Present",9,IF(F974="Half Day",4,0))</f>
        <v>9</v>
      </c>
      <c r="J974" s="2"/>
      <c r="K974" s="2"/>
    </row>
    <row r="975" customFormat="false" ht="15" hidden="false" customHeight="false" outlineLevel="0" collapsed="false">
      <c r="A975" s="2" t="s">
        <v>108</v>
      </c>
      <c r="B975" s="2" t="s">
        <v>109</v>
      </c>
      <c r="C975" s="2" t="s">
        <v>24</v>
      </c>
      <c r="D975" s="3" t="n">
        <v>46247</v>
      </c>
      <c r="E975" s="2" t="str">
        <f aca="false">TEXT(D975,"dddd")</f>
        <v>Thursday</v>
      </c>
      <c r="F975" s="2" t="s">
        <v>457</v>
      </c>
      <c r="G975" s="2" t="s">
        <v>458</v>
      </c>
      <c r="H975" s="2" t="s">
        <v>459</v>
      </c>
      <c r="I975" s="2" t="n">
        <f aca="false">IF(F975="Present",9,IF(F975="Half Day",4,0))</f>
        <v>9</v>
      </c>
      <c r="J975" s="2"/>
      <c r="K975" s="2"/>
    </row>
    <row r="976" customFormat="false" ht="15" hidden="false" customHeight="false" outlineLevel="0" collapsed="false">
      <c r="A976" s="2" t="s">
        <v>108</v>
      </c>
      <c r="B976" s="2" t="s">
        <v>109</v>
      </c>
      <c r="C976" s="2" t="s">
        <v>24</v>
      </c>
      <c r="D976" s="3" t="n">
        <v>46248</v>
      </c>
      <c r="E976" s="2" t="str">
        <f aca="false">TEXT(D976,"dddd")</f>
        <v>Friday</v>
      </c>
      <c r="F976" s="2" t="s">
        <v>457</v>
      </c>
      <c r="G976" s="2" t="s">
        <v>458</v>
      </c>
      <c r="H976" s="2" t="s">
        <v>459</v>
      </c>
      <c r="I976" s="2" t="n">
        <f aca="false">IF(F976="Present",9,IF(F976="Half Day",4,0))</f>
        <v>9</v>
      </c>
      <c r="J976" s="2"/>
      <c r="K976" s="2"/>
    </row>
    <row r="977" customFormat="false" ht="15" hidden="false" customHeight="false" outlineLevel="0" collapsed="false">
      <c r="A977" s="2" t="s">
        <v>108</v>
      </c>
      <c r="B977" s="2" t="s">
        <v>109</v>
      </c>
      <c r="C977" s="2" t="s">
        <v>24</v>
      </c>
      <c r="D977" s="3" t="n">
        <v>46249</v>
      </c>
      <c r="E977" s="2" t="str">
        <f aca="false">TEXT(D977,"dddd")</f>
        <v>Saturday</v>
      </c>
      <c r="F977" s="2" t="s">
        <v>457</v>
      </c>
      <c r="G977" s="2" t="s">
        <v>458</v>
      </c>
      <c r="H977" s="2" t="s">
        <v>459</v>
      </c>
      <c r="I977" s="2" t="n">
        <f aca="false">IF(F977="Present",9,IF(F977="Half Day",4,0))</f>
        <v>9</v>
      </c>
      <c r="J977" s="2"/>
      <c r="K977" s="2"/>
    </row>
    <row r="978" customFormat="false" ht="15" hidden="false" customHeight="false" outlineLevel="0" collapsed="false">
      <c r="A978" s="2" t="s">
        <v>108</v>
      </c>
      <c r="B978" s="2" t="s">
        <v>109</v>
      </c>
      <c r="C978" s="2" t="s">
        <v>24</v>
      </c>
      <c r="D978" s="3" t="n">
        <v>46250</v>
      </c>
      <c r="E978" s="2" t="str">
        <f aca="false">TEXT(D978,"dddd")</f>
        <v>Sunday</v>
      </c>
      <c r="F978" s="2" t="s">
        <v>460</v>
      </c>
      <c r="G978" s="2"/>
      <c r="H978" s="2"/>
      <c r="I978" s="2" t="n">
        <f aca="false">IF(F978="Present",9,IF(F978="Half Day",4,0))</f>
        <v>0</v>
      </c>
      <c r="J978" s="2"/>
      <c r="K978" s="2" t="s">
        <v>460</v>
      </c>
    </row>
    <row r="979" customFormat="false" ht="15" hidden="false" customHeight="false" outlineLevel="0" collapsed="false">
      <c r="A979" s="2" t="s">
        <v>108</v>
      </c>
      <c r="B979" s="2" t="s">
        <v>109</v>
      </c>
      <c r="C979" s="2" t="s">
        <v>24</v>
      </c>
      <c r="D979" s="3" t="n">
        <v>46251</v>
      </c>
      <c r="E979" s="2" t="str">
        <f aca="false">TEXT(D979,"dddd")</f>
        <v>Monday</v>
      </c>
      <c r="F979" s="2" t="s">
        <v>457</v>
      </c>
      <c r="G979" s="2" t="s">
        <v>458</v>
      </c>
      <c r="H979" s="2" t="s">
        <v>459</v>
      </c>
      <c r="I979" s="2" t="n">
        <f aca="false">IF(F979="Present",9,IF(F979="Half Day",4,0))</f>
        <v>9</v>
      </c>
      <c r="J979" s="2"/>
      <c r="K979" s="2"/>
    </row>
    <row r="980" customFormat="false" ht="15" hidden="false" customHeight="false" outlineLevel="0" collapsed="false">
      <c r="A980" s="2" t="s">
        <v>108</v>
      </c>
      <c r="B980" s="2" t="s">
        <v>109</v>
      </c>
      <c r="C980" s="2" t="s">
        <v>24</v>
      </c>
      <c r="D980" s="3" t="n">
        <v>46252</v>
      </c>
      <c r="E980" s="2" t="str">
        <f aca="false">TEXT(D980,"dddd")</f>
        <v>Tuesday</v>
      </c>
      <c r="F980" s="2" t="s">
        <v>466</v>
      </c>
      <c r="G980" s="2" t="s">
        <v>458</v>
      </c>
      <c r="H980" s="2" t="s">
        <v>467</v>
      </c>
      <c r="I980" s="2" t="n">
        <f aca="false">IF(F980="Present",9,IF(F980="Half Day",4,0))</f>
        <v>4</v>
      </c>
      <c r="J980" s="2"/>
      <c r="K980" s="2" t="s">
        <v>466</v>
      </c>
    </row>
    <row r="981" customFormat="false" ht="15" hidden="false" customHeight="false" outlineLevel="0" collapsed="false">
      <c r="A981" s="2" t="s">
        <v>108</v>
      </c>
      <c r="B981" s="2" t="s">
        <v>109</v>
      </c>
      <c r="C981" s="2" t="s">
        <v>24</v>
      </c>
      <c r="D981" s="3" t="n">
        <v>46253</v>
      </c>
      <c r="E981" s="2" t="str">
        <f aca="false">TEXT(D981,"dddd")</f>
        <v>Wednesday</v>
      </c>
      <c r="F981" s="2" t="s">
        <v>457</v>
      </c>
      <c r="G981" s="2" t="s">
        <v>458</v>
      </c>
      <c r="H981" s="2" t="s">
        <v>459</v>
      </c>
      <c r="I981" s="2" t="n">
        <f aca="false">IF(F981="Present",9,IF(F981="Half Day",4,0))</f>
        <v>9</v>
      </c>
      <c r="J981" s="2"/>
      <c r="K981" s="2"/>
    </row>
    <row r="982" customFormat="false" ht="15" hidden="false" customHeight="false" outlineLevel="0" collapsed="false">
      <c r="A982" s="2" t="s">
        <v>108</v>
      </c>
      <c r="B982" s="2" t="s">
        <v>109</v>
      </c>
      <c r="C982" s="2" t="s">
        <v>24</v>
      </c>
      <c r="D982" s="3" t="n">
        <v>46254</v>
      </c>
      <c r="E982" s="2" t="str">
        <f aca="false">TEXT(D982,"dddd")</f>
        <v>Thursday</v>
      </c>
      <c r="F982" s="2" t="s">
        <v>457</v>
      </c>
      <c r="G982" s="2" t="s">
        <v>458</v>
      </c>
      <c r="H982" s="2" t="s">
        <v>459</v>
      </c>
      <c r="I982" s="2" t="n">
        <f aca="false">IF(F982="Present",9,IF(F982="Half Day",4,0))</f>
        <v>9</v>
      </c>
      <c r="J982" s="2"/>
      <c r="K982" s="2"/>
    </row>
    <row r="983" customFormat="false" ht="15" hidden="false" customHeight="false" outlineLevel="0" collapsed="false">
      <c r="A983" s="2" t="s">
        <v>108</v>
      </c>
      <c r="B983" s="2" t="s">
        <v>109</v>
      </c>
      <c r="C983" s="2" t="s">
        <v>24</v>
      </c>
      <c r="D983" s="3" t="n">
        <v>46255</v>
      </c>
      <c r="E983" s="2" t="str">
        <f aca="false">TEXT(D983,"dddd")</f>
        <v>Friday</v>
      </c>
      <c r="F983" s="2" t="s">
        <v>457</v>
      </c>
      <c r="G983" s="2" t="s">
        <v>458</v>
      </c>
      <c r="H983" s="2" t="s">
        <v>459</v>
      </c>
      <c r="I983" s="2" t="n">
        <f aca="false">IF(F983="Present",9,IF(F983="Half Day",4,0))</f>
        <v>9</v>
      </c>
      <c r="J983" s="2"/>
      <c r="K983" s="2"/>
    </row>
    <row r="984" customFormat="false" ht="15" hidden="false" customHeight="false" outlineLevel="0" collapsed="false">
      <c r="A984" s="2" t="s">
        <v>108</v>
      </c>
      <c r="B984" s="2" t="s">
        <v>109</v>
      </c>
      <c r="C984" s="2" t="s">
        <v>24</v>
      </c>
      <c r="D984" s="3" t="n">
        <v>46256</v>
      </c>
      <c r="E984" s="2" t="str">
        <f aca="false">TEXT(D984,"dddd")</f>
        <v>Saturday</v>
      </c>
      <c r="F984" s="2" t="s">
        <v>457</v>
      </c>
      <c r="G984" s="2" t="s">
        <v>458</v>
      </c>
      <c r="H984" s="2" t="s">
        <v>459</v>
      </c>
      <c r="I984" s="2" t="n">
        <f aca="false">IF(F984="Present",9,IF(F984="Half Day",4,0))</f>
        <v>9</v>
      </c>
      <c r="J984" s="2"/>
      <c r="K984" s="2"/>
    </row>
    <row r="985" customFormat="false" ht="15" hidden="false" customHeight="false" outlineLevel="0" collapsed="false">
      <c r="A985" s="2" t="s">
        <v>108</v>
      </c>
      <c r="B985" s="2" t="s">
        <v>109</v>
      </c>
      <c r="C985" s="2" t="s">
        <v>24</v>
      </c>
      <c r="D985" s="3" t="n">
        <v>46257</v>
      </c>
      <c r="E985" s="2" t="str">
        <f aca="false">TEXT(D985,"dddd")</f>
        <v>Sunday</v>
      </c>
      <c r="F985" s="2" t="s">
        <v>460</v>
      </c>
      <c r="G985" s="2"/>
      <c r="H985" s="2"/>
      <c r="I985" s="2" t="n">
        <f aca="false">IF(F985="Present",9,IF(F985="Half Day",4,0))</f>
        <v>0</v>
      </c>
      <c r="J985" s="2"/>
      <c r="K985" s="2" t="s">
        <v>460</v>
      </c>
    </row>
    <row r="986" customFormat="false" ht="15" hidden="false" customHeight="false" outlineLevel="0" collapsed="false">
      <c r="A986" s="2" t="s">
        <v>108</v>
      </c>
      <c r="B986" s="2" t="s">
        <v>109</v>
      </c>
      <c r="C986" s="2" t="s">
        <v>24</v>
      </c>
      <c r="D986" s="3" t="n">
        <v>46258</v>
      </c>
      <c r="E986" s="2" t="str">
        <f aca="false">TEXT(D986,"dddd")</f>
        <v>Monday</v>
      </c>
      <c r="F986" s="2" t="s">
        <v>457</v>
      </c>
      <c r="G986" s="2" t="s">
        <v>458</v>
      </c>
      <c r="H986" s="2" t="s">
        <v>459</v>
      </c>
      <c r="I986" s="2" t="n">
        <f aca="false">IF(F986="Present",9,IF(F986="Half Day",4,0))</f>
        <v>9</v>
      </c>
      <c r="J986" s="2"/>
      <c r="K986" s="2"/>
    </row>
    <row r="987" customFormat="false" ht="15" hidden="false" customHeight="false" outlineLevel="0" collapsed="false">
      <c r="A987" s="2" t="s">
        <v>108</v>
      </c>
      <c r="B987" s="2" t="s">
        <v>109</v>
      </c>
      <c r="C987" s="2" t="s">
        <v>24</v>
      </c>
      <c r="D987" s="3" t="n">
        <v>46259</v>
      </c>
      <c r="E987" s="2" t="str">
        <f aca="false">TEXT(D987,"dddd")</f>
        <v>Tuesday</v>
      </c>
      <c r="F987" s="2" t="s">
        <v>457</v>
      </c>
      <c r="G987" s="2" t="s">
        <v>458</v>
      </c>
      <c r="H987" s="2" t="s">
        <v>459</v>
      </c>
      <c r="I987" s="2" t="n">
        <f aca="false">IF(F987="Present",9,IF(F987="Half Day",4,0))</f>
        <v>9</v>
      </c>
      <c r="J987" s="2"/>
      <c r="K987" s="2"/>
    </row>
    <row r="988" customFormat="false" ht="15" hidden="false" customHeight="false" outlineLevel="0" collapsed="false">
      <c r="A988" s="2" t="s">
        <v>108</v>
      </c>
      <c r="B988" s="2" t="s">
        <v>109</v>
      </c>
      <c r="C988" s="2" t="s">
        <v>24</v>
      </c>
      <c r="D988" s="3" t="n">
        <v>46260</v>
      </c>
      <c r="E988" s="2" t="str">
        <f aca="false">TEXT(D988,"dddd")</f>
        <v>Wednesday</v>
      </c>
      <c r="F988" s="2" t="s">
        <v>457</v>
      </c>
      <c r="G988" s="2" t="s">
        <v>458</v>
      </c>
      <c r="H988" s="2" t="s">
        <v>459</v>
      </c>
      <c r="I988" s="2" t="n">
        <f aca="false">IF(F988="Present",9,IF(F988="Half Day",4,0))</f>
        <v>9</v>
      </c>
      <c r="J988" s="2"/>
      <c r="K988" s="2"/>
    </row>
    <row r="989" customFormat="false" ht="15" hidden="false" customHeight="false" outlineLevel="0" collapsed="false">
      <c r="A989" s="2" t="s">
        <v>108</v>
      </c>
      <c r="B989" s="2" t="s">
        <v>109</v>
      </c>
      <c r="C989" s="2" t="s">
        <v>24</v>
      </c>
      <c r="D989" s="3" t="n">
        <v>46261</v>
      </c>
      <c r="E989" s="2" t="str">
        <f aca="false">TEXT(D989,"dddd")</f>
        <v>Thursday</v>
      </c>
      <c r="F989" s="2" t="s">
        <v>457</v>
      </c>
      <c r="G989" s="2" t="s">
        <v>458</v>
      </c>
      <c r="H989" s="2" t="s">
        <v>459</v>
      </c>
      <c r="I989" s="2" t="n">
        <f aca="false">IF(F989="Present",9,IF(F989="Half Day",4,0))</f>
        <v>9</v>
      </c>
      <c r="J989" s="2"/>
      <c r="K989" s="2"/>
    </row>
    <row r="990" customFormat="false" ht="15" hidden="false" customHeight="false" outlineLevel="0" collapsed="false">
      <c r="A990" s="2" t="s">
        <v>108</v>
      </c>
      <c r="B990" s="2" t="s">
        <v>109</v>
      </c>
      <c r="C990" s="2" t="s">
        <v>24</v>
      </c>
      <c r="D990" s="3" t="n">
        <v>46262</v>
      </c>
      <c r="E990" s="2" t="str">
        <f aca="false">TEXT(D990,"dddd")</f>
        <v>Friday</v>
      </c>
      <c r="F990" s="2" t="s">
        <v>457</v>
      </c>
      <c r="G990" s="2" t="s">
        <v>458</v>
      </c>
      <c r="H990" s="2" t="s">
        <v>459</v>
      </c>
      <c r="I990" s="2" t="n">
        <f aca="false">IF(F990="Present",9,IF(F990="Half Day",4,0))</f>
        <v>9</v>
      </c>
      <c r="J990" s="2"/>
      <c r="K990" s="2"/>
    </row>
    <row r="991" customFormat="false" ht="15" hidden="false" customHeight="false" outlineLevel="0" collapsed="false">
      <c r="A991" s="2" t="s">
        <v>108</v>
      </c>
      <c r="B991" s="2" t="s">
        <v>109</v>
      </c>
      <c r="C991" s="2" t="s">
        <v>24</v>
      </c>
      <c r="D991" s="3" t="n">
        <v>46263</v>
      </c>
      <c r="E991" s="2" t="str">
        <f aca="false">TEXT(D991,"dddd")</f>
        <v>Saturday</v>
      </c>
      <c r="F991" s="2" t="s">
        <v>466</v>
      </c>
      <c r="G991" s="2" t="s">
        <v>458</v>
      </c>
      <c r="H991" s="2" t="s">
        <v>467</v>
      </c>
      <c r="I991" s="2" t="n">
        <f aca="false">IF(F991="Present",9,IF(F991="Half Day",4,0))</f>
        <v>4</v>
      </c>
      <c r="J991" s="2"/>
      <c r="K991" s="2" t="s">
        <v>466</v>
      </c>
    </row>
    <row r="992" customFormat="false" ht="15" hidden="false" customHeight="false" outlineLevel="0" collapsed="false">
      <c r="A992" s="2" t="s">
        <v>108</v>
      </c>
      <c r="B992" s="2" t="s">
        <v>109</v>
      </c>
      <c r="C992" s="2" t="s">
        <v>24</v>
      </c>
      <c r="D992" s="3" t="n">
        <v>46264</v>
      </c>
      <c r="E992" s="2" t="str">
        <f aca="false">TEXT(D992,"dddd")</f>
        <v>Sunday</v>
      </c>
      <c r="F992" s="2" t="s">
        <v>460</v>
      </c>
      <c r="G992" s="2"/>
      <c r="H992" s="2"/>
      <c r="I992" s="2" t="n">
        <f aca="false">IF(F992="Present",9,IF(F992="Half Day",4,0))</f>
        <v>0</v>
      </c>
      <c r="J992" s="2"/>
      <c r="K992" s="2" t="s">
        <v>460</v>
      </c>
    </row>
    <row r="993" customFormat="false" ht="15" hidden="false" customHeight="false" outlineLevel="0" collapsed="false">
      <c r="A993" s="2" t="s">
        <v>108</v>
      </c>
      <c r="B993" s="2" t="s">
        <v>109</v>
      </c>
      <c r="C993" s="2" t="s">
        <v>24</v>
      </c>
      <c r="D993" s="3" t="n">
        <v>46265</v>
      </c>
      <c r="E993" s="2" t="str">
        <f aca="false">TEXT(D993,"dddd")</f>
        <v>Monday</v>
      </c>
      <c r="F993" s="2" t="s">
        <v>457</v>
      </c>
      <c r="G993" s="2" t="s">
        <v>458</v>
      </c>
      <c r="H993" s="2" t="s">
        <v>459</v>
      </c>
      <c r="I993" s="2" t="n">
        <f aca="false">IF(F993="Present",9,IF(F993="Half Day",4,0))</f>
        <v>9</v>
      </c>
      <c r="J993" s="2"/>
      <c r="K993" s="2"/>
    </row>
    <row r="994" customFormat="false" ht="15" hidden="false" customHeight="false" outlineLevel="0" collapsed="false">
      <c r="A994" s="2" t="s">
        <v>110</v>
      </c>
      <c r="B994" s="2" t="s">
        <v>111</v>
      </c>
      <c r="C994" s="2" t="s">
        <v>28</v>
      </c>
      <c r="D994" s="3" t="n">
        <v>46235</v>
      </c>
      <c r="E994" s="2" t="str">
        <f aca="false">TEXT(D994,"dddd")</f>
        <v>Saturday</v>
      </c>
      <c r="F994" s="2" t="s">
        <v>457</v>
      </c>
      <c r="G994" s="2" t="s">
        <v>458</v>
      </c>
      <c r="H994" s="2" t="s">
        <v>459</v>
      </c>
      <c r="I994" s="2" t="n">
        <f aca="false">IF(F994="Present",9,IF(F994="Half Day",4,0))</f>
        <v>9</v>
      </c>
      <c r="J994" s="2"/>
      <c r="K994" s="2"/>
    </row>
    <row r="995" customFormat="false" ht="15" hidden="false" customHeight="false" outlineLevel="0" collapsed="false">
      <c r="A995" s="2" t="s">
        <v>110</v>
      </c>
      <c r="B995" s="2" t="s">
        <v>111</v>
      </c>
      <c r="C995" s="2" t="s">
        <v>28</v>
      </c>
      <c r="D995" s="3" t="n">
        <v>46236</v>
      </c>
      <c r="E995" s="2" t="str">
        <f aca="false">TEXT(D995,"dddd")</f>
        <v>Sunday</v>
      </c>
      <c r="F995" s="2" t="s">
        <v>460</v>
      </c>
      <c r="G995" s="2"/>
      <c r="H995" s="2"/>
      <c r="I995" s="2" t="n">
        <f aca="false">IF(F995="Present",9,IF(F995="Half Day",4,0))</f>
        <v>0</v>
      </c>
      <c r="J995" s="2"/>
      <c r="K995" s="2" t="s">
        <v>460</v>
      </c>
    </row>
    <row r="996" customFormat="false" ht="15" hidden="false" customHeight="false" outlineLevel="0" collapsed="false">
      <c r="A996" s="2" t="s">
        <v>110</v>
      </c>
      <c r="B996" s="2" t="s">
        <v>111</v>
      </c>
      <c r="C996" s="2" t="s">
        <v>28</v>
      </c>
      <c r="D996" s="3" t="n">
        <v>46237</v>
      </c>
      <c r="E996" s="2" t="str">
        <f aca="false">TEXT(D996,"dddd")</f>
        <v>Monday</v>
      </c>
      <c r="F996" s="2" t="s">
        <v>461</v>
      </c>
      <c r="G996" s="2"/>
      <c r="H996" s="2"/>
      <c r="I996" s="2" t="n">
        <f aca="false">IF(F996="Present",9,IF(F996="Half Day",4,0))</f>
        <v>0</v>
      </c>
      <c r="J996" s="2"/>
      <c r="K996" s="2" t="s">
        <v>462</v>
      </c>
    </row>
    <row r="997" customFormat="false" ht="15" hidden="false" customHeight="false" outlineLevel="0" collapsed="false">
      <c r="A997" s="2" t="s">
        <v>110</v>
      </c>
      <c r="B997" s="2" t="s">
        <v>111</v>
      </c>
      <c r="C997" s="2" t="s">
        <v>28</v>
      </c>
      <c r="D997" s="3" t="n">
        <v>46238</v>
      </c>
      <c r="E997" s="2" t="str">
        <f aca="false">TEXT(D997,"dddd")</f>
        <v>Tuesday</v>
      </c>
      <c r="F997" s="2" t="s">
        <v>457</v>
      </c>
      <c r="G997" s="2" t="s">
        <v>458</v>
      </c>
      <c r="H997" s="2" t="s">
        <v>459</v>
      </c>
      <c r="I997" s="2" t="n">
        <f aca="false">IF(F997="Present",9,IF(F997="Half Day",4,0))</f>
        <v>9</v>
      </c>
      <c r="J997" s="2"/>
      <c r="K997" s="2"/>
    </row>
    <row r="998" customFormat="false" ht="15" hidden="false" customHeight="false" outlineLevel="0" collapsed="false">
      <c r="A998" s="2" t="s">
        <v>110</v>
      </c>
      <c r="B998" s="2" t="s">
        <v>111</v>
      </c>
      <c r="C998" s="2" t="s">
        <v>28</v>
      </c>
      <c r="D998" s="3" t="n">
        <v>46239</v>
      </c>
      <c r="E998" s="2" t="str">
        <f aca="false">TEXT(D998,"dddd")</f>
        <v>Wednesday</v>
      </c>
      <c r="F998" s="2" t="s">
        <v>461</v>
      </c>
      <c r="G998" s="2"/>
      <c r="H998" s="2"/>
      <c r="I998" s="2" t="n">
        <f aca="false">IF(F998="Present",9,IF(F998="Half Day",4,0))</f>
        <v>0</v>
      </c>
      <c r="J998" s="2"/>
      <c r="K998" s="2" t="s">
        <v>462</v>
      </c>
    </row>
    <row r="999" customFormat="false" ht="15" hidden="false" customHeight="false" outlineLevel="0" collapsed="false">
      <c r="A999" s="2" t="s">
        <v>110</v>
      </c>
      <c r="B999" s="2" t="s">
        <v>111</v>
      </c>
      <c r="C999" s="2" t="s">
        <v>28</v>
      </c>
      <c r="D999" s="3" t="n">
        <v>46240</v>
      </c>
      <c r="E999" s="2" t="str">
        <f aca="false">TEXT(D999,"dddd")</f>
        <v>Thursday</v>
      </c>
      <c r="F999" s="2" t="s">
        <v>457</v>
      </c>
      <c r="G999" s="2" t="s">
        <v>458</v>
      </c>
      <c r="H999" s="2" t="s">
        <v>459</v>
      </c>
      <c r="I999" s="2" t="n">
        <f aca="false">IF(F999="Present",9,IF(F999="Half Day",4,0))</f>
        <v>9</v>
      </c>
      <c r="J999" s="2"/>
      <c r="K999" s="2"/>
    </row>
    <row r="1000" customFormat="false" ht="15" hidden="false" customHeight="false" outlineLevel="0" collapsed="false">
      <c r="A1000" s="2" t="s">
        <v>110</v>
      </c>
      <c r="B1000" s="2" t="s">
        <v>111</v>
      </c>
      <c r="C1000" s="2" t="s">
        <v>28</v>
      </c>
      <c r="D1000" s="3" t="n">
        <v>46241</v>
      </c>
      <c r="E1000" s="2" t="str">
        <f aca="false">TEXT(D1000,"dddd")</f>
        <v>Friday</v>
      </c>
      <c r="F1000" s="2" t="s">
        <v>461</v>
      </c>
      <c r="G1000" s="2"/>
      <c r="H1000" s="2"/>
      <c r="I1000" s="2" t="n">
        <f aca="false">IF(F1000="Present",9,IF(F1000="Half Day",4,0))</f>
        <v>0</v>
      </c>
      <c r="J1000" s="2"/>
      <c r="K1000" s="2" t="s">
        <v>462</v>
      </c>
    </row>
    <row r="1001" customFormat="false" ht="15" hidden="false" customHeight="false" outlineLevel="0" collapsed="false">
      <c r="A1001" s="2" t="s">
        <v>110</v>
      </c>
      <c r="B1001" s="2" t="s">
        <v>111</v>
      </c>
      <c r="C1001" s="2" t="s">
        <v>28</v>
      </c>
      <c r="D1001" s="3" t="n">
        <v>46242</v>
      </c>
      <c r="E1001" s="2" t="str">
        <f aca="false">TEXT(D1001,"dddd")</f>
        <v>Saturday</v>
      </c>
      <c r="F1001" s="2" t="s">
        <v>457</v>
      </c>
      <c r="G1001" s="2" t="s">
        <v>458</v>
      </c>
      <c r="H1001" s="2" t="s">
        <v>459</v>
      </c>
      <c r="I1001" s="2" t="n">
        <f aca="false">IF(F1001="Present",9,IF(F1001="Half Day",4,0))</f>
        <v>9</v>
      </c>
      <c r="J1001" s="2"/>
      <c r="K1001" s="2"/>
    </row>
    <row r="1002" customFormat="false" ht="15" hidden="false" customHeight="false" outlineLevel="0" collapsed="false">
      <c r="A1002" s="2" t="s">
        <v>110</v>
      </c>
      <c r="B1002" s="2" t="s">
        <v>111</v>
      </c>
      <c r="C1002" s="2" t="s">
        <v>28</v>
      </c>
      <c r="D1002" s="3" t="n">
        <v>46243</v>
      </c>
      <c r="E1002" s="2" t="str">
        <f aca="false">TEXT(D1002,"dddd")</f>
        <v>Sunday</v>
      </c>
      <c r="F1002" s="2" t="s">
        <v>460</v>
      </c>
      <c r="G1002" s="2"/>
      <c r="H1002" s="2"/>
      <c r="I1002" s="2" t="n">
        <f aca="false">IF(F1002="Present",9,IF(F1002="Half Day",4,0))</f>
        <v>0</v>
      </c>
      <c r="J1002" s="2"/>
      <c r="K1002" s="2" t="s">
        <v>460</v>
      </c>
    </row>
    <row r="1003" customFormat="false" ht="15" hidden="false" customHeight="false" outlineLevel="0" collapsed="false">
      <c r="A1003" s="2" t="s">
        <v>110</v>
      </c>
      <c r="B1003" s="2" t="s">
        <v>111</v>
      </c>
      <c r="C1003" s="2" t="s">
        <v>28</v>
      </c>
      <c r="D1003" s="3" t="n">
        <v>46244</v>
      </c>
      <c r="E1003" s="2" t="str">
        <f aca="false">TEXT(D1003,"dddd")</f>
        <v>Monday</v>
      </c>
      <c r="F1003" s="2" t="s">
        <v>461</v>
      </c>
      <c r="G1003" s="2"/>
      <c r="H1003" s="2"/>
      <c r="I1003" s="2" t="n">
        <f aca="false">IF(F1003="Present",9,IF(F1003="Half Day",4,0))</f>
        <v>0</v>
      </c>
      <c r="J1003" s="2"/>
      <c r="K1003" s="2" t="s">
        <v>462</v>
      </c>
    </row>
    <row r="1004" customFormat="false" ht="15" hidden="false" customHeight="false" outlineLevel="0" collapsed="false">
      <c r="A1004" s="2" t="s">
        <v>110</v>
      </c>
      <c r="B1004" s="2" t="s">
        <v>111</v>
      </c>
      <c r="C1004" s="2" t="s">
        <v>28</v>
      </c>
      <c r="D1004" s="3" t="n">
        <v>46245</v>
      </c>
      <c r="E1004" s="2" t="str">
        <f aca="false">TEXT(D1004,"dddd")</f>
        <v>Tuesday</v>
      </c>
      <c r="F1004" s="2" t="s">
        <v>461</v>
      </c>
      <c r="G1004" s="2"/>
      <c r="H1004" s="2"/>
      <c r="I1004" s="2" t="n">
        <f aca="false">IF(F1004="Present",9,IF(F1004="Half Day",4,0))</f>
        <v>0</v>
      </c>
      <c r="J1004" s="2"/>
      <c r="K1004" s="2" t="s">
        <v>462</v>
      </c>
    </row>
    <row r="1005" customFormat="false" ht="15" hidden="false" customHeight="false" outlineLevel="0" collapsed="false">
      <c r="A1005" s="2" t="s">
        <v>110</v>
      </c>
      <c r="B1005" s="2" t="s">
        <v>111</v>
      </c>
      <c r="C1005" s="2" t="s">
        <v>28</v>
      </c>
      <c r="D1005" s="3" t="n">
        <v>46246</v>
      </c>
      <c r="E1005" s="2" t="str">
        <f aca="false">TEXT(D1005,"dddd")</f>
        <v>Wednesday</v>
      </c>
      <c r="F1005" s="2" t="s">
        <v>457</v>
      </c>
      <c r="G1005" s="2" t="s">
        <v>458</v>
      </c>
      <c r="H1005" s="2" t="s">
        <v>459</v>
      </c>
      <c r="I1005" s="2" t="n">
        <f aca="false">IF(F1005="Present",9,IF(F1005="Half Day",4,0))</f>
        <v>9</v>
      </c>
      <c r="J1005" s="2"/>
      <c r="K1005" s="2"/>
    </row>
    <row r="1006" customFormat="false" ht="15" hidden="false" customHeight="false" outlineLevel="0" collapsed="false">
      <c r="A1006" s="2" t="s">
        <v>110</v>
      </c>
      <c r="B1006" s="2" t="s">
        <v>111</v>
      </c>
      <c r="C1006" s="2" t="s">
        <v>28</v>
      </c>
      <c r="D1006" s="3" t="n">
        <v>46247</v>
      </c>
      <c r="E1006" s="2" t="str">
        <f aca="false">TEXT(D1006,"dddd")</f>
        <v>Thursday</v>
      </c>
      <c r="F1006" s="2" t="s">
        <v>461</v>
      </c>
      <c r="G1006" s="2"/>
      <c r="H1006" s="2"/>
      <c r="I1006" s="2" t="n">
        <f aca="false">IF(F1006="Present",9,IF(F1006="Half Day",4,0))</f>
        <v>0</v>
      </c>
      <c r="J1006" s="2"/>
      <c r="K1006" s="2" t="s">
        <v>462</v>
      </c>
    </row>
    <row r="1007" customFormat="false" ht="15" hidden="false" customHeight="false" outlineLevel="0" collapsed="false">
      <c r="A1007" s="2" t="s">
        <v>110</v>
      </c>
      <c r="B1007" s="2" t="s">
        <v>111</v>
      </c>
      <c r="C1007" s="2" t="s">
        <v>28</v>
      </c>
      <c r="D1007" s="3" t="n">
        <v>46248</v>
      </c>
      <c r="E1007" s="2" t="str">
        <f aca="false">TEXT(D1007,"dddd")</f>
        <v>Friday</v>
      </c>
      <c r="F1007" s="2" t="s">
        <v>457</v>
      </c>
      <c r="G1007" s="2" t="s">
        <v>458</v>
      </c>
      <c r="H1007" s="2" t="s">
        <v>459</v>
      </c>
      <c r="I1007" s="2" t="n">
        <f aca="false">IF(F1007="Present",9,IF(F1007="Half Day",4,0))</f>
        <v>9</v>
      </c>
      <c r="J1007" s="2"/>
      <c r="K1007" s="2"/>
    </row>
    <row r="1008" customFormat="false" ht="15" hidden="false" customHeight="false" outlineLevel="0" collapsed="false">
      <c r="A1008" s="2" t="s">
        <v>110</v>
      </c>
      <c r="B1008" s="2" t="s">
        <v>111</v>
      </c>
      <c r="C1008" s="2" t="s">
        <v>28</v>
      </c>
      <c r="D1008" s="3" t="n">
        <v>46249</v>
      </c>
      <c r="E1008" s="2" t="str">
        <f aca="false">TEXT(D1008,"dddd")</f>
        <v>Saturday</v>
      </c>
      <c r="F1008" s="2" t="s">
        <v>461</v>
      </c>
      <c r="G1008" s="2"/>
      <c r="H1008" s="2"/>
      <c r="I1008" s="2" t="n">
        <f aca="false">IF(F1008="Present",9,IF(F1008="Half Day",4,0))</f>
        <v>0</v>
      </c>
      <c r="J1008" s="2"/>
      <c r="K1008" s="2" t="s">
        <v>462</v>
      </c>
    </row>
    <row r="1009" customFormat="false" ht="15" hidden="false" customHeight="false" outlineLevel="0" collapsed="false">
      <c r="A1009" s="2" t="s">
        <v>110</v>
      </c>
      <c r="B1009" s="2" t="s">
        <v>111</v>
      </c>
      <c r="C1009" s="2" t="s">
        <v>28</v>
      </c>
      <c r="D1009" s="3" t="n">
        <v>46250</v>
      </c>
      <c r="E1009" s="2" t="str">
        <f aca="false">TEXT(D1009,"dddd")</f>
        <v>Sunday</v>
      </c>
      <c r="F1009" s="2" t="s">
        <v>460</v>
      </c>
      <c r="G1009" s="2"/>
      <c r="H1009" s="2"/>
      <c r="I1009" s="2" t="n">
        <f aca="false">IF(F1009="Present",9,IF(F1009="Half Day",4,0))</f>
        <v>0</v>
      </c>
      <c r="J1009" s="2"/>
      <c r="K1009" s="2" t="s">
        <v>460</v>
      </c>
    </row>
    <row r="1010" customFormat="false" ht="15" hidden="false" customHeight="false" outlineLevel="0" collapsed="false">
      <c r="A1010" s="2" t="s">
        <v>110</v>
      </c>
      <c r="B1010" s="2" t="s">
        <v>111</v>
      </c>
      <c r="C1010" s="2" t="s">
        <v>28</v>
      </c>
      <c r="D1010" s="3" t="n">
        <v>46251</v>
      </c>
      <c r="E1010" s="2" t="str">
        <f aca="false">TEXT(D1010,"dddd")</f>
        <v>Monday</v>
      </c>
      <c r="F1010" s="2" t="s">
        <v>457</v>
      </c>
      <c r="G1010" s="2" t="s">
        <v>458</v>
      </c>
      <c r="H1010" s="2" t="s">
        <v>459</v>
      </c>
      <c r="I1010" s="2" t="n">
        <f aca="false">IF(F1010="Present",9,IF(F1010="Half Day",4,0))</f>
        <v>9</v>
      </c>
      <c r="J1010" s="2"/>
      <c r="K1010" s="2"/>
    </row>
    <row r="1011" customFormat="false" ht="15" hidden="false" customHeight="false" outlineLevel="0" collapsed="false">
      <c r="A1011" s="2" t="s">
        <v>110</v>
      </c>
      <c r="B1011" s="2" t="s">
        <v>111</v>
      </c>
      <c r="C1011" s="2" t="s">
        <v>28</v>
      </c>
      <c r="D1011" s="3" t="n">
        <v>46252</v>
      </c>
      <c r="E1011" s="2" t="str">
        <f aca="false">TEXT(D1011,"dddd")</f>
        <v>Tuesday</v>
      </c>
      <c r="F1011" s="2" t="s">
        <v>457</v>
      </c>
      <c r="G1011" s="2" t="s">
        <v>458</v>
      </c>
      <c r="H1011" s="2" t="s">
        <v>459</v>
      </c>
      <c r="I1011" s="2" t="n">
        <f aca="false">IF(F1011="Present",9,IF(F1011="Half Day",4,0))</f>
        <v>9</v>
      </c>
      <c r="J1011" s="2"/>
      <c r="K1011" s="2"/>
    </row>
    <row r="1012" customFormat="false" ht="15" hidden="false" customHeight="false" outlineLevel="0" collapsed="false">
      <c r="A1012" s="2" t="s">
        <v>110</v>
      </c>
      <c r="B1012" s="2" t="s">
        <v>111</v>
      </c>
      <c r="C1012" s="2" t="s">
        <v>28</v>
      </c>
      <c r="D1012" s="3" t="n">
        <v>46253</v>
      </c>
      <c r="E1012" s="2" t="str">
        <f aca="false">TEXT(D1012,"dddd")</f>
        <v>Wednesday</v>
      </c>
      <c r="F1012" s="2" t="s">
        <v>457</v>
      </c>
      <c r="G1012" s="2" t="s">
        <v>458</v>
      </c>
      <c r="H1012" s="2" t="s">
        <v>459</v>
      </c>
      <c r="I1012" s="2" t="n">
        <f aca="false">IF(F1012="Present",9,IF(F1012="Half Day",4,0))</f>
        <v>9</v>
      </c>
      <c r="J1012" s="2"/>
      <c r="K1012" s="2"/>
    </row>
    <row r="1013" customFormat="false" ht="15" hidden="false" customHeight="false" outlineLevel="0" collapsed="false">
      <c r="A1013" s="2" t="s">
        <v>110</v>
      </c>
      <c r="B1013" s="2" t="s">
        <v>111</v>
      </c>
      <c r="C1013" s="2" t="s">
        <v>28</v>
      </c>
      <c r="D1013" s="3" t="n">
        <v>46254</v>
      </c>
      <c r="E1013" s="2" t="str">
        <f aca="false">TEXT(D1013,"dddd")</f>
        <v>Thursday</v>
      </c>
      <c r="F1013" s="2" t="s">
        <v>457</v>
      </c>
      <c r="G1013" s="2" t="s">
        <v>458</v>
      </c>
      <c r="H1013" s="2" t="s">
        <v>459</v>
      </c>
      <c r="I1013" s="2" t="n">
        <f aca="false">IF(F1013="Present",9,IF(F1013="Half Day",4,0))</f>
        <v>9</v>
      </c>
      <c r="J1013" s="2"/>
      <c r="K1013" s="2"/>
    </row>
    <row r="1014" customFormat="false" ht="15" hidden="false" customHeight="false" outlineLevel="0" collapsed="false">
      <c r="A1014" s="2" t="s">
        <v>110</v>
      </c>
      <c r="B1014" s="2" t="s">
        <v>111</v>
      </c>
      <c r="C1014" s="2" t="s">
        <v>28</v>
      </c>
      <c r="D1014" s="3" t="n">
        <v>46255</v>
      </c>
      <c r="E1014" s="2" t="str">
        <f aca="false">TEXT(D1014,"dddd")</f>
        <v>Friday</v>
      </c>
      <c r="F1014" s="2" t="s">
        <v>457</v>
      </c>
      <c r="G1014" s="2" t="s">
        <v>458</v>
      </c>
      <c r="H1014" s="2" t="s">
        <v>459</v>
      </c>
      <c r="I1014" s="2" t="n">
        <f aca="false">IF(F1014="Present",9,IF(F1014="Half Day",4,0))</f>
        <v>9</v>
      </c>
      <c r="J1014" s="2"/>
      <c r="K1014" s="2"/>
    </row>
    <row r="1015" customFormat="false" ht="15" hidden="false" customHeight="false" outlineLevel="0" collapsed="false">
      <c r="A1015" s="2" t="s">
        <v>110</v>
      </c>
      <c r="B1015" s="2" t="s">
        <v>111</v>
      </c>
      <c r="C1015" s="2" t="s">
        <v>28</v>
      </c>
      <c r="D1015" s="3" t="n">
        <v>46256</v>
      </c>
      <c r="E1015" s="2" t="str">
        <f aca="false">TEXT(D1015,"dddd")</f>
        <v>Saturday</v>
      </c>
      <c r="F1015" s="2" t="s">
        <v>457</v>
      </c>
      <c r="G1015" s="2" t="s">
        <v>458</v>
      </c>
      <c r="H1015" s="2" t="s">
        <v>459</v>
      </c>
      <c r="I1015" s="2" t="n">
        <f aca="false">IF(F1015="Present",9,IF(F1015="Half Day",4,0))</f>
        <v>9</v>
      </c>
      <c r="J1015" s="2"/>
      <c r="K1015" s="2"/>
    </row>
    <row r="1016" customFormat="false" ht="15" hidden="false" customHeight="false" outlineLevel="0" collapsed="false">
      <c r="A1016" s="2" t="s">
        <v>110</v>
      </c>
      <c r="B1016" s="2" t="s">
        <v>111</v>
      </c>
      <c r="C1016" s="2" t="s">
        <v>28</v>
      </c>
      <c r="D1016" s="3" t="n">
        <v>46257</v>
      </c>
      <c r="E1016" s="2" t="str">
        <f aca="false">TEXT(D1016,"dddd")</f>
        <v>Sunday</v>
      </c>
      <c r="F1016" s="2" t="s">
        <v>460</v>
      </c>
      <c r="G1016" s="2"/>
      <c r="H1016" s="2"/>
      <c r="I1016" s="2" t="n">
        <f aca="false">IF(F1016="Present",9,IF(F1016="Half Day",4,0))</f>
        <v>0</v>
      </c>
      <c r="J1016" s="2"/>
      <c r="K1016" s="2" t="s">
        <v>460</v>
      </c>
    </row>
    <row r="1017" customFormat="false" ht="15" hidden="false" customHeight="false" outlineLevel="0" collapsed="false">
      <c r="A1017" s="2" t="s">
        <v>110</v>
      </c>
      <c r="B1017" s="2" t="s">
        <v>111</v>
      </c>
      <c r="C1017" s="2" t="s">
        <v>28</v>
      </c>
      <c r="D1017" s="3" t="n">
        <v>46258</v>
      </c>
      <c r="E1017" s="2" t="str">
        <f aca="false">TEXT(D1017,"dddd")</f>
        <v>Monday</v>
      </c>
      <c r="F1017" s="2" t="s">
        <v>457</v>
      </c>
      <c r="G1017" s="2" t="s">
        <v>458</v>
      </c>
      <c r="H1017" s="2" t="s">
        <v>459</v>
      </c>
      <c r="I1017" s="2" t="n">
        <f aca="false">IF(F1017="Present",9,IF(F1017="Half Day",4,0))</f>
        <v>9</v>
      </c>
      <c r="J1017" s="2"/>
      <c r="K1017" s="2"/>
    </row>
    <row r="1018" customFormat="false" ht="15" hidden="false" customHeight="false" outlineLevel="0" collapsed="false">
      <c r="A1018" s="2" t="s">
        <v>110</v>
      </c>
      <c r="B1018" s="2" t="s">
        <v>111</v>
      </c>
      <c r="C1018" s="2" t="s">
        <v>28</v>
      </c>
      <c r="D1018" s="3" t="n">
        <v>46259</v>
      </c>
      <c r="E1018" s="2" t="str">
        <f aca="false">TEXT(D1018,"dddd")</f>
        <v>Tuesday</v>
      </c>
      <c r="F1018" s="2" t="s">
        <v>461</v>
      </c>
      <c r="G1018" s="2"/>
      <c r="H1018" s="2"/>
      <c r="I1018" s="2" t="n">
        <f aca="false">IF(F1018="Present",9,IF(F1018="Half Day",4,0))</f>
        <v>0</v>
      </c>
      <c r="J1018" s="2"/>
      <c r="K1018" s="2" t="s">
        <v>462</v>
      </c>
    </row>
    <row r="1019" customFormat="false" ht="15" hidden="false" customHeight="false" outlineLevel="0" collapsed="false">
      <c r="A1019" s="2" t="s">
        <v>110</v>
      </c>
      <c r="B1019" s="2" t="s">
        <v>111</v>
      </c>
      <c r="C1019" s="2" t="s">
        <v>28</v>
      </c>
      <c r="D1019" s="3" t="n">
        <v>46260</v>
      </c>
      <c r="E1019" s="2" t="str">
        <f aca="false">TEXT(D1019,"dddd")</f>
        <v>Wednesday</v>
      </c>
      <c r="F1019" s="2" t="s">
        <v>457</v>
      </c>
      <c r="G1019" s="2" t="s">
        <v>458</v>
      </c>
      <c r="H1019" s="2" t="s">
        <v>459</v>
      </c>
      <c r="I1019" s="2" t="n">
        <f aca="false">IF(F1019="Present",9,IF(F1019="Half Day",4,0))</f>
        <v>9</v>
      </c>
      <c r="J1019" s="2"/>
      <c r="K1019" s="2"/>
    </row>
    <row r="1020" customFormat="false" ht="15" hidden="false" customHeight="false" outlineLevel="0" collapsed="false">
      <c r="A1020" s="2" t="s">
        <v>110</v>
      </c>
      <c r="B1020" s="2" t="s">
        <v>111</v>
      </c>
      <c r="C1020" s="2" t="s">
        <v>28</v>
      </c>
      <c r="D1020" s="3" t="n">
        <v>46261</v>
      </c>
      <c r="E1020" s="2" t="str">
        <f aca="false">TEXT(D1020,"dddd")</f>
        <v>Thursday</v>
      </c>
      <c r="F1020" s="2" t="s">
        <v>457</v>
      </c>
      <c r="G1020" s="2" t="s">
        <v>458</v>
      </c>
      <c r="H1020" s="2" t="s">
        <v>459</v>
      </c>
      <c r="I1020" s="2" t="n">
        <f aca="false">IF(F1020="Present",9,IF(F1020="Half Day",4,0))</f>
        <v>9</v>
      </c>
      <c r="J1020" s="2"/>
      <c r="K1020" s="2"/>
    </row>
    <row r="1021" customFormat="false" ht="15" hidden="false" customHeight="false" outlineLevel="0" collapsed="false">
      <c r="A1021" s="2" t="s">
        <v>110</v>
      </c>
      <c r="B1021" s="2" t="s">
        <v>111</v>
      </c>
      <c r="C1021" s="2" t="s">
        <v>28</v>
      </c>
      <c r="D1021" s="3" t="n">
        <v>46262</v>
      </c>
      <c r="E1021" s="2" t="str">
        <f aca="false">TEXT(D1021,"dddd")</f>
        <v>Friday</v>
      </c>
      <c r="F1021" s="2" t="s">
        <v>461</v>
      </c>
      <c r="G1021" s="2"/>
      <c r="H1021" s="2"/>
      <c r="I1021" s="2" t="n">
        <f aca="false">IF(F1021="Present",9,IF(F1021="Half Day",4,0))</f>
        <v>0</v>
      </c>
      <c r="J1021" s="2"/>
      <c r="K1021" s="2" t="s">
        <v>462</v>
      </c>
    </row>
    <row r="1022" customFormat="false" ht="15" hidden="false" customHeight="false" outlineLevel="0" collapsed="false">
      <c r="A1022" s="2" t="s">
        <v>110</v>
      </c>
      <c r="B1022" s="2" t="s">
        <v>111</v>
      </c>
      <c r="C1022" s="2" t="s">
        <v>28</v>
      </c>
      <c r="D1022" s="3" t="n">
        <v>46263</v>
      </c>
      <c r="E1022" s="2" t="str">
        <f aca="false">TEXT(D1022,"dddd")</f>
        <v>Saturday</v>
      </c>
      <c r="F1022" s="2" t="s">
        <v>457</v>
      </c>
      <c r="G1022" s="2" t="s">
        <v>458</v>
      </c>
      <c r="H1022" s="2" t="s">
        <v>459</v>
      </c>
      <c r="I1022" s="2" t="n">
        <f aca="false">IF(F1022="Present",9,IF(F1022="Half Day",4,0))</f>
        <v>9</v>
      </c>
      <c r="J1022" s="2"/>
      <c r="K1022" s="2"/>
    </row>
    <row r="1023" customFormat="false" ht="15" hidden="false" customHeight="false" outlineLevel="0" collapsed="false">
      <c r="A1023" s="2" t="s">
        <v>110</v>
      </c>
      <c r="B1023" s="2" t="s">
        <v>111</v>
      </c>
      <c r="C1023" s="2" t="s">
        <v>28</v>
      </c>
      <c r="D1023" s="3" t="n">
        <v>46264</v>
      </c>
      <c r="E1023" s="2" t="str">
        <f aca="false">TEXT(D1023,"dddd")</f>
        <v>Sunday</v>
      </c>
      <c r="F1023" s="2" t="s">
        <v>460</v>
      </c>
      <c r="G1023" s="2"/>
      <c r="H1023" s="2"/>
      <c r="I1023" s="2" t="n">
        <f aca="false">IF(F1023="Present",9,IF(F1023="Half Day",4,0))</f>
        <v>0</v>
      </c>
      <c r="J1023" s="2"/>
      <c r="K1023" s="2" t="s">
        <v>460</v>
      </c>
    </row>
    <row r="1024" customFormat="false" ht="15" hidden="false" customHeight="false" outlineLevel="0" collapsed="false">
      <c r="A1024" s="2" t="s">
        <v>110</v>
      </c>
      <c r="B1024" s="2" t="s">
        <v>111</v>
      </c>
      <c r="C1024" s="2" t="s">
        <v>28</v>
      </c>
      <c r="D1024" s="3" t="n">
        <v>46265</v>
      </c>
      <c r="E1024" s="2" t="str">
        <f aca="false">TEXT(D1024,"dddd")</f>
        <v>Monday</v>
      </c>
      <c r="F1024" s="2" t="s">
        <v>457</v>
      </c>
      <c r="G1024" s="2" t="s">
        <v>458</v>
      </c>
      <c r="H1024" s="2" t="s">
        <v>459</v>
      </c>
      <c r="I1024" s="2" t="n">
        <f aca="false">IF(F1024="Present",9,IF(F1024="Half Day",4,0))</f>
        <v>9</v>
      </c>
      <c r="J1024" s="2"/>
      <c r="K1024" s="2"/>
    </row>
    <row r="1025" customFormat="false" ht="15" hidden="false" customHeight="false" outlineLevel="0" collapsed="false">
      <c r="A1025" s="2" t="s">
        <v>112</v>
      </c>
      <c r="B1025" s="2" t="s">
        <v>113</v>
      </c>
      <c r="C1025" s="2" t="s">
        <v>32</v>
      </c>
      <c r="D1025" s="3" t="n">
        <v>46235</v>
      </c>
      <c r="E1025" s="2" t="str">
        <f aca="false">TEXT(D1025,"dddd")</f>
        <v>Saturday</v>
      </c>
      <c r="F1025" s="2" t="s">
        <v>457</v>
      </c>
      <c r="G1025" s="2" t="s">
        <v>458</v>
      </c>
      <c r="H1025" s="2" t="s">
        <v>459</v>
      </c>
      <c r="I1025" s="2" t="n">
        <f aca="false">IF(F1025="Present",9,IF(F1025="Half Day",4,0))</f>
        <v>9</v>
      </c>
      <c r="J1025" s="2"/>
      <c r="K1025" s="2"/>
    </row>
    <row r="1026" customFormat="false" ht="15" hidden="false" customHeight="false" outlineLevel="0" collapsed="false">
      <c r="A1026" s="2" t="s">
        <v>112</v>
      </c>
      <c r="B1026" s="2" t="s">
        <v>113</v>
      </c>
      <c r="C1026" s="2" t="s">
        <v>32</v>
      </c>
      <c r="D1026" s="3" t="n">
        <v>46236</v>
      </c>
      <c r="E1026" s="2" t="str">
        <f aca="false">TEXT(D1026,"dddd")</f>
        <v>Sunday</v>
      </c>
      <c r="F1026" s="2" t="s">
        <v>460</v>
      </c>
      <c r="G1026" s="2"/>
      <c r="H1026" s="2"/>
      <c r="I1026" s="2" t="n">
        <f aca="false">IF(F1026="Present",9,IF(F1026="Half Day",4,0))</f>
        <v>0</v>
      </c>
      <c r="J1026" s="2"/>
      <c r="K1026" s="2" t="s">
        <v>460</v>
      </c>
    </row>
    <row r="1027" customFormat="false" ht="15" hidden="false" customHeight="false" outlineLevel="0" collapsed="false">
      <c r="A1027" s="2" t="s">
        <v>112</v>
      </c>
      <c r="B1027" s="2" t="s">
        <v>113</v>
      </c>
      <c r="C1027" s="2" t="s">
        <v>32</v>
      </c>
      <c r="D1027" s="3" t="n">
        <v>46237</v>
      </c>
      <c r="E1027" s="2" t="str">
        <f aca="false">TEXT(D1027,"dddd")</f>
        <v>Monday</v>
      </c>
      <c r="F1027" s="2" t="s">
        <v>457</v>
      </c>
      <c r="G1027" s="2" t="s">
        <v>458</v>
      </c>
      <c r="H1027" s="2" t="s">
        <v>459</v>
      </c>
      <c r="I1027" s="2" t="n">
        <f aca="false">IF(F1027="Present",9,IF(F1027="Half Day",4,0))</f>
        <v>9</v>
      </c>
      <c r="J1027" s="2"/>
      <c r="K1027" s="2"/>
    </row>
    <row r="1028" customFormat="false" ht="15" hidden="false" customHeight="false" outlineLevel="0" collapsed="false">
      <c r="A1028" s="2" t="s">
        <v>112</v>
      </c>
      <c r="B1028" s="2" t="s">
        <v>113</v>
      </c>
      <c r="C1028" s="2" t="s">
        <v>32</v>
      </c>
      <c r="D1028" s="3" t="n">
        <v>46238</v>
      </c>
      <c r="E1028" s="2" t="str">
        <f aca="false">TEXT(D1028,"dddd")</f>
        <v>Tuesday</v>
      </c>
      <c r="F1028" s="2" t="s">
        <v>457</v>
      </c>
      <c r="G1028" s="2" t="s">
        <v>458</v>
      </c>
      <c r="H1028" s="2" t="s">
        <v>459</v>
      </c>
      <c r="I1028" s="2" t="n">
        <f aca="false">IF(F1028="Present",9,IF(F1028="Half Day",4,0))</f>
        <v>9</v>
      </c>
      <c r="J1028" s="2"/>
      <c r="K1028" s="2"/>
    </row>
    <row r="1029" customFormat="false" ht="15" hidden="false" customHeight="false" outlineLevel="0" collapsed="false">
      <c r="A1029" s="2" t="s">
        <v>112</v>
      </c>
      <c r="B1029" s="2" t="s">
        <v>113</v>
      </c>
      <c r="C1029" s="2" t="s">
        <v>32</v>
      </c>
      <c r="D1029" s="3" t="n">
        <v>46239</v>
      </c>
      <c r="E1029" s="2" t="str">
        <f aca="false">TEXT(D1029,"dddd")</f>
        <v>Wednesday</v>
      </c>
      <c r="F1029" s="2" t="s">
        <v>457</v>
      </c>
      <c r="G1029" s="2" t="s">
        <v>458</v>
      </c>
      <c r="H1029" s="2" t="s">
        <v>459</v>
      </c>
      <c r="I1029" s="2" t="n">
        <f aca="false">IF(F1029="Present",9,IF(F1029="Half Day",4,0))</f>
        <v>9</v>
      </c>
      <c r="J1029" s="2"/>
      <c r="K1029" s="2"/>
    </row>
    <row r="1030" customFormat="false" ht="15" hidden="false" customHeight="false" outlineLevel="0" collapsed="false">
      <c r="A1030" s="2" t="s">
        <v>112</v>
      </c>
      <c r="B1030" s="2" t="s">
        <v>113</v>
      </c>
      <c r="C1030" s="2" t="s">
        <v>32</v>
      </c>
      <c r="D1030" s="3" t="n">
        <v>46240</v>
      </c>
      <c r="E1030" s="2" t="str">
        <f aca="false">TEXT(D1030,"dddd")</f>
        <v>Thursday</v>
      </c>
      <c r="F1030" s="2" t="s">
        <v>457</v>
      </c>
      <c r="G1030" s="2" t="s">
        <v>458</v>
      </c>
      <c r="H1030" s="2" t="s">
        <v>459</v>
      </c>
      <c r="I1030" s="2" t="n">
        <f aca="false">IF(F1030="Present",9,IF(F1030="Half Day",4,0))</f>
        <v>9</v>
      </c>
      <c r="J1030" s="2"/>
      <c r="K1030" s="2"/>
    </row>
    <row r="1031" customFormat="false" ht="15" hidden="false" customHeight="false" outlineLevel="0" collapsed="false">
      <c r="A1031" s="2" t="s">
        <v>112</v>
      </c>
      <c r="B1031" s="2" t="s">
        <v>113</v>
      </c>
      <c r="C1031" s="2" t="s">
        <v>32</v>
      </c>
      <c r="D1031" s="3" t="n">
        <v>46241</v>
      </c>
      <c r="E1031" s="2" t="str">
        <f aca="false">TEXT(D1031,"dddd")</f>
        <v>Friday</v>
      </c>
      <c r="F1031" s="2" t="s">
        <v>457</v>
      </c>
      <c r="G1031" s="2" t="s">
        <v>458</v>
      </c>
      <c r="H1031" s="2" t="s">
        <v>459</v>
      </c>
      <c r="I1031" s="2" t="n">
        <f aca="false">IF(F1031="Present",9,IF(F1031="Half Day",4,0))</f>
        <v>9</v>
      </c>
      <c r="J1031" s="2"/>
      <c r="K1031" s="2"/>
    </row>
    <row r="1032" customFormat="false" ht="15" hidden="false" customHeight="false" outlineLevel="0" collapsed="false">
      <c r="A1032" s="2" t="s">
        <v>112</v>
      </c>
      <c r="B1032" s="2" t="s">
        <v>113</v>
      </c>
      <c r="C1032" s="2" t="s">
        <v>32</v>
      </c>
      <c r="D1032" s="3" t="n">
        <v>46242</v>
      </c>
      <c r="E1032" s="2" t="str">
        <f aca="false">TEXT(D1032,"dddd")</f>
        <v>Saturday</v>
      </c>
      <c r="F1032" s="2" t="s">
        <v>457</v>
      </c>
      <c r="G1032" s="2" t="s">
        <v>458</v>
      </c>
      <c r="H1032" s="2" t="s">
        <v>459</v>
      </c>
      <c r="I1032" s="2" t="n">
        <f aca="false">IF(F1032="Present",9,IF(F1032="Half Day",4,0))</f>
        <v>9</v>
      </c>
      <c r="J1032" s="2"/>
      <c r="K1032" s="2"/>
    </row>
    <row r="1033" customFormat="false" ht="15" hidden="false" customHeight="false" outlineLevel="0" collapsed="false">
      <c r="A1033" s="2" t="s">
        <v>112</v>
      </c>
      <c r="B1033" s="2" t="s">
        <v>113</v>
      </c>
      <c r="C1033" s="2" t="s">
        <v>32</v>
      </c>
      <c r="D1033" s="3" t="n">
        <v>46243</v>
      </c>
      <c r="E1033" s="2" t="str">
        <f aca="false">TEXT(D1033,"dddd")</f>
        <v>Sunday</v>
      </c>
      <c r="F1033" s="2" t="s">
        <v>460</v>
      </c>
      <c r="G1033" s="2"/>
      <c r="H1033" s="2"/>
      <c r="I1033" s="2" t="n">
        <f aca="false">IF(F1033="Present",9,IF(F1033="Half Day",4,0))</f>
        <v>0</v>
      </c>
      <c r="J1033" s="2"/>
      <c r="K1033" s="2" t="s">
        <v>460</v>
      </c>
    </row>
    <row r="1034" customFormat="false" ht="15" hidden="false" customHeight="false" outlineLevel="0" collapsed="false">
      <c r="A1034" s="2" t="s">
        <v>112</v>
      </c>
      <c r="B1034" s="2" t="s">
        <v>113</v>
      </c>
      <c r="C1034" s="2" t="s">
        <v>32</v>
      </c>
      <c r="D1034" s="3" t="n">
        <v>46244</v>
      </c>
      <c r="E1034" s="2" t="str">
        <f aca="false">TEXT(D1034,"dddd")</f>
        <v>Monday</v>
      </c>
      <c r="F1034" s="2" t="s">
        <v>457</v>
      </c>
      <c r="G1034" s="2" t="s">
        <v>458</v>
      </c>
      <c r="H1034" s="2" t="s">
        <v>459</v>
      </c>
      <c r="I1034" s="2" t="n">
        <f aca="false">IF(F1034="Present",9,IF(F1034="Half Day",4,0))</f>
        <v>9</v>
      </c>
      <c r="J1034" s="2"/>
      <c r="K1034" s="2"/>
    </row>
    <row r="1035" customFormat="false" ht="15" hidden="false" customHeight="false" outlineLevel="0" collapsed="false">
      <c r="A1035" s="2" t="s">
        <v>112</v>
      </c>
      <c r="B1035" s="2" t="s">
        <v>113</v>
      </c>
      <c r="C1035" s="2" t="s">
        <v>32</v>
      </c>
      <c r="D1035" s="3" t="n">
        <v>46245</v>
      </c>
      <c r="E1035" s="2" t="str">
        <f aca="false">TEXT(D1035,"dddd")</f>
        <v>Tuesday</v>
      </c>
      <c r="F1035" s="2" t="s">
        <v>457</v>
      </c>
      <c r="G1035" s="2" t="s">
        <v>458</v>
      </c>
      <c r="H1035" s="2" t="s">
        <v>459</v>
      </c>
      <c r="I1035" s="2" t="n">
        <f aca="false">IF(F1035="Present",9,IF(F1035="Half Day",4,0))</f>
        <v>9</v>
      </c>
      <c r="J1035" s="2"/>
      <c r="K1035" s="2"/>
    </row>
    <row r="1036" customFormat="false" ht="15" hidden="false" customHeight="false" outlineLevel="0" collapsed="false">
      <c r="A1036" s="2" t="s">
        <v>112</v>
      </c>
      <c r="B1036" s="2" t="s">
        <v>113</v>
      </c>
      <c r="C1036" s="2" t="s">
        <v>32</v>
      </c>
      <c r="D1036" s="3" t="n">
        <v>46246</v>
      </c>
      <c r="E1036" s="2" t="str">
        <f aca="false">TEXT(D1036,"dddd")</f>
        <v>Wednesday</v>
      </c>
      <c r="F1036" s="2" t="s">
        <v>457</v>
      </c>
      <c r="G1036" s="2" t="s">
        <v>458</v>
      </c>
      <c r="H1036" s="2" t="s">
        <v>459</v>
      </c>
      <c r="I1036" s="2" t="n">
        <f aca="false">IF(F1036="Present",9,IF(F1036="Half Day",4,0))</f>
        <v>9</v>
      </c>
      <c r="J1036" s="2"/>
      <c r="K1036" s="2"/>
    </row>
    <row r="1037" customFormat="false" ht="15" hidden="false" customHeight="false" outlineLevel="0" collapsed="false">
      <c r="A1037" s="2" t="s">
        <v>112</v>
      </c>
      <c r="B1037" s="2" t="s">
        <v>113</v>
      </c>
      <c r="C1037" s="2" t="s">
        <v>32</v>
      </c>
      <c r="D1037" s="3" t="n">
        <v>46247</v>
      </c>
      <c r="E1037" s="2" t="str">
        <f aca="false">TEXT(D1037,"dddd")</f>
        <v>Thursday</v>
      </c>
      <c r="F1037" s="2" t="s">
        <v>457</v>
      </c>
      <c r="G1037" s="2" t="s">
        <v>458</v>
      </c>
      <c r="H1037" s="2" t="s">
        <v>459</v>
      </c>
      <c r="I1037" s="2" t="n">
        <f aca="false">IF(F1037="Present",9,IF(F1037="Half Day",4,0))</f>
        <v>9</v>
      </c>
      <c r="J1037" s="2"/>
      <c r="K1037" s="2"/>
    </row>
    <row r="1038" customFormat="false" ht="15" hidden="false" customHeight="false" outlineLevel="0" collapsed="false">
      <c r="A1038" s="2" t="s">
        <v>112</v>
      </c>
      <c r="B1038" s="2" t="s">
        <v>113</v>
      </c>
      <c r="C1038" s="2" t="s">
        <v>32</v>
      </c>
      <c r="D1038" s="3" t="n">
        <v>46248</v>
      </c>
      <c r="E1038" s="2" t="str">
        <f aca="false">TEXT(D1038,"dddd")</f>
        <v>Friday</v>
      </c>
      <c r="F1038" s="2" t="s">
        <v>457</v>
      </c>
      <c r="G1038" s="2" t="s">
        <v>458</v>
      </c>
      <c r="H1038" s="2" t="s">
        <v>459</v>
      </c>
      <c r="I1038" s="2" t="n">
        <f aca="false">IF(F1038="Present",9,IF(F1038="Half Day",4,0))</f>
        <v>9</v>
      </c>
      <c r="J1038" s="2"/>
      <c r="K1038" s="2"/>
    </row>
    <row r="1039" customFormat="false" ht="15" hidden="false" customHeight="false" outlineLevel="0" collapsed="false">
      <c r="A1039" s="2" t="s">
        <v>112</v>
      </c>
      <c r="B1039" s="2" t="s">
        <v>113</v>
      </c>
      <c r="C1039" s="2" t="s">
        <v>32</v>
      </c>
      <c r="D1039" s="3" t="n">
        <v>46249</v>
      </c>
      <c r="E1039" s="2" t="str">
        <f aca="false">TEXT(D1039,"dddd")</f>
        <v>Saturday</v>
      </c>
      <c r="F1039" s="2" t="s">
        <v>457</v>
      </c>
      <c r="G1039" s="2" t="s">
        <v>458</v>
      </c>
      <c r="H1039" s="2" t="s">
        <v>459</v>
      </c>
      <c r="I1039" s="2" t="n">
        <f aca="false">IF(F1039="Present",9,IF(F1039="Half Day",4,0))</f>
        <v>9</v>
      </c>
      <c r="J1039" s="2"/>
      <c r="K1039" s="2"/>
    </row>
    <row r="1040" customFormat="false" ht="15" hidden="false" customHeight="false" outlineLevel="0" collapsed="false">
      <c r="A1040" s="2" t="s">
        <v>112</v>
      </c>
      <c r="B1040" s="2" t="s">
        <v>113</v>
      </c>
      <c r="C1040" s="2" t="s">
        <v>32</v>
      </c>
      <c r="D1040" s="3" t="n">
        <v>46250</v>
      </c>
      <c r="E1040" s="2" t="str">
        <f aca="false">TEXT(D1040,"dddd")</f>
        <v>Sunday</v>
      </c>
      <c r="F1040" s="2" t="s">
        <v>460</v>
      </c>
      <c r="G1040" s="2"/>
      <c r="H1040" s="2"/>
      <c r="I1040" s="2" t="n">
        <f aca="false">IF(F1040="Present",9,IF(F1040="Half Day",4,0))</f>
        <v>0</v>
      </c>
      <c r="J1040" s="2"/>
      <c r="K1040" s="2" t="s">
        <v>460</v>
      </c>
    </row>
    <row r="1041" customFormat="false" ht="15" hidden="false" customHeight="false" outlineLevel="0" collapsed="false">
      <c r="A1041" s="2" t="s">
        <v>112</v>
      </c>
      <c r="B1041" s="2" t="s">
        <v>113</v>
      </c>
      <c r="C1041" s="2" t="s">
        <v>32</v>
      </c>
      <c r="D1041" s="3" t="n">
        <v>46251</v>
      </c>
      <c r="E1041" s="2" t="str">
        <f aca="false">TEXT(D1041,"dddd")</f>
        <v>Monday</v>
      </c>
      <c r="F1041" s="2" t="s">
        <v>457</v>
      </c>
      <c r="G1041" s="2" t="s">
        <v>458</v>
      </c>
      <c r="H1041" s="2" t="s">
        <v>459</v>
      </c>
      <c r="I1041" s="2" t="n">
        <f aca="false">IF(F1041="Present",9,IF(F1041="Half Day",4,0))</f>
        <v>9</v>
      </c>
      <c r="J1041" s="2"/>
      <c r="K1041" s="2"/>
    </row>
    <row r="1042" customFormat="false" ht="15" hidden="false" customHeight="false" outlineLevel="0" collapsed="false">
      <c r="A1042" s="2" t="s">
        <v>112</v>
      </c>
      <c r="B1042" s="2" t="s">
        <v>113</v>
      </c>
      <c r="C1042" s="2" t="s">
        <v>32</v>
      </c>
      <c r="D1042" s="3" t="n">
        <v>46252</v>
      </c>
      <c r="E1042" s="2" t="str">
        <f aca="false">TEXT(D1042,"dddd")</f>
        <v>Tuesday</v>
      </c>
      <c r="F1042" s="2" t="s">
        <v>457</v>
      </c>
      <c r="G1042" s="2" t="s">
        <v>458</v>
      </c>
      <c r="H1042" s="2" t="s">
        <v>459</v>
      </c>
      <c r="I1042" s="2" t="n">
        <f aca="false">IF(F1042="Present",9,IF(F1042="Half Day",4,0))</f>
        <v>9</v>
      </c>
      <c r="J1042" s="2"/>
      <c r="K1042" s="2"/>
    </row>
    <row r="1043" customFormat="false" ht="15" hidden="false" customHeight="false" outlineLevel="0" collapsed="false">
      <c r="A1043" s="2" t="s">
        <v>112</v>
      </c>
      <c r="B1043" s="2" t="s">
        <v>113</v>
      </c>
      <c r="C1043" s="2" t="s">
        <v>32</v>
      </c>
      <c r="D1043" s="3" t="n">
        <v>46253</v>
      </c>
      <c r="E1043" s="2" t="str">
        <f aca="false">TEXT(D1043,"dddd")</f>
        <v>Wednesday</v>
      </c>
      <c r="F1043" s="2" t="s">
        <v>457</v>
      </c>
      <c r="G1043" s="2" t="s">
        <v>458</v>
      </c>
      <c r="H1043" s="2" t="s">
        <v>459</v>
      </c>
      <c r="I1043" s="2" t="n">
        <f aca="false">IF(F1043="Present",9,IF(F1043="Half Day",4,0))</f>
        <v>9</v>
      </c>
      <c r="J1043" s="2"/>
      <c r="K1043" s="2"/>
    </row>
    <row r="1044" customFormat="false" ht="15" hidden="false" customHeight="false" outlineLevel="0" collapsed="false">
      <c r="A1044" s="2" t="s">
        <v>112</v>
      </c>
      <c r="B1044" s="2" t="s">
        <v>113</v>
      </c>
      <c r="C1044" s="2" t="s">
        <v>32</v>
      </c>
      <c r="D1044" s="3" t="n">
        <v>46254</v>
      </c>
      <c r="E1044" s="2" t="str">
        <f aca="false">TEXT(D1044,"dddd")</f>
        <v>Thursday</v>
      </c>
      <c r="F1044" s="2" t="s">
        <v>466</v>
      </c>
      <c r="G1044" s="2" t="s">
        <v>458</v>
      </c>
      <c r="H1044" s="2" t="s">
        <v>467</v>
      </c>
      <c r="I1044" s="2" t="n">
        <f aca="false">IF(F1044="Present",9,IF(F1044="Half Day",4,0))</f>
        <v>4</v>
      </c>
      <c r="J1044" s="2"/>
      <c r="K1044" s="2" t="s">
        <v>466</v>
      </c>
    </row>
    <row r="1045" customFormat="false" ht="15" hidden="false" customHeight="false" outlineLevel="0" collapsed="false">
      <c r="A1045" s="2" t="s">
        <v>112</v>
      </c>
      <c r="B1045" s="2" t="s">
        <v>113</v>
      </c>
      <c r="C1045" s="2" t="s">
        <v>32</v>
      </c>
      <c r="D1045" s="3" t="n">
        <v>46255</v>
      </c>
      <c r="E1045" s="2" t="str">
        <f aca="false">TEXT(D1045,"dddd")</f>
        <v>Friday</v>
      </c>
      <c r="F1045" s="2" t="s">
        <v>457</v>
      </c>
      <c r="G1045" s="2" t="s">
        <v>458</v>
      </c>
      <c r="H1045" s="2" t="s">
        <v>459</v>
      </c>
      <c r="I1045" s="2" t="n">
        <f aca="false">IF(F1045="Present",9,IF(F1045="Half Day",4,0))</f>
        <v>9</v>
      </c>
      <c r="J1045" s="2"/>
      <c r="K1045" s="2"/>
    </row>
    <row r="1046" customFormat="false" ht="15" hidden="false" customHeight="false" outlineLevel="0" collapsed="false">
      <c r="A1046" s="2" t="s">
        <v>112</v>
      </c>
      <c r="B1046" s="2" t="s">
        <v>113</v>
      </c>
      <c r="C1046" s="2" t="s">
        <v>32</v>
      </c>
      <c r="D1046" s="3" t="n">
        <v>46256</v>
      </c>
      <c r="E1046" s="2" t="str">
        <f aca="false">TEXT(D1046,"dddd")</f>
        <v>Saturday</v>
      </c>
      <c r="F1046" s="2" t="s">
        <v>466</v>
      </c>
      <c r="G1046" s="2" t="s">
        <v>458</v>
      </c>
      <c r="H1046" s="2" t="s">
        <v>467</v>
      </c>
      <c r="I1046" s="2" t="n">
        <f aca="false">IF(F1046="Present",9,IF(F1046="Half Day",4,0))</f>
        <v>4</v>
      </c>
      <c r="J1046" s="2"/>
      <c r="K1046" s="2" t="s">
        <v>466</v>
      </c>
    </row>
    <row r="1047" customFormat="false" ht="15" hidden="false" customHeight="false" outlineLevel="0" collapsed="false">
      <c r="A1047" s="2" t="s">
        <v>112</v>
      </c>
      <c r="B1047" s="2" t="s">
        <v>113</v>
      </c>
      <c r="C1047" s="2" t="s">
        <v>32</v>
      </c>
      <c r="D1047" s="3" t="n">
        <v>46257</v>
      </c>
      <c r="E1047" s="2" t="str">
        <f aca="false">TEXT(D1047,"dddd")</f>
        <v>Sunday</v>
      </c>
      <c r="F1047" s="2" t="s">
        <v>460</v>
      </c>
      <c r="G1047" s="2"/>
      <c r="H1047" s="2"/>
      <c r="I1047" s="2" t="n">
        <f aca="false">IF(F1047="Present",9,IF(F1047="Half Day",4,0))</f>
        <v>0</v>
      </c>
      <c r="J1047" s="2"/>
      <c r="K1047" s="2" t="s">
        <v>460</v>
      </c>
    </row>
    <row r="1048" customFormat="false" ht="15" hidden="false" customHeight="false" outlineLevel="0" collapsed="false">
      <c r="A1048" s="2" t="s">
        <v>112</v>
      </c>
      <c r="B1048" s="2" t="s">
        <v>113</v>
      </c>
      <c r="C1048" s="2" t="s">
        <v>32</v>
      </c>
      <c r="D1048" s="3" t="n">
        <v>46258</v>
      </c>
      <c r="E1048" s="2" t="str">
        <f aca="false">TEXT(D1048,"dddd")</f>
        <v>Monday</v>
      </c>
      <c r="F1048" s="2" t="s">
        <v>457</v>
      </c>
      <c r="G1048" s="2" t="s">
        <v>458</v>
      </c>
      <c r="H1048" s="2" t="s">
        <v>459</v>
      </c>
      <c r="I1048" s="2" t="n">
        <f aca="false">IF(F1048="Present",9,IF(F1048="Half Day",4,0))</f>
        <v>9</v>
      </c>
      <c r="J1048" s="2"/>
      <c r="K1048" s="2"/>
    </row>
    <row r="1049" customFormat="false" ht="15" hidden="false" customHeight="false" outlineLevel="0" collapsed="false">
      <c r="A1049" s="2" t="s">
        <v>112</v>
      </c>
      <c r="B1049" s="2" t="s">
        <v>113</v>
      </c>
      <c r="C1049" s="2" t="s">
        <v>32</v>
      </c>
      <c r="D1049" s="3" t="n">
        <v>46259</v>
      </c>
      <c r="E1049" s="2" t="str">
        <f aca="false">TEXT(D1049,"dddd")</f>
        <v>Tuesday</v>
      </c>
      <c r="F1049" s="2" t="s">
        <v>457</v>
      </c>
      <c r="G1049" s="2" t="s">
        <v>458</v>
      </c>
      <c r="H1049" s="2" t="s">
        <v>459</v>
      </c>
      <c r="I1049" s="2" t="n">
        <f aca="false">IF(F1049="Present",9,IF(F1049="Half Day",4,0))</f>
        <v>9</v>
      </c>
      <c r="J1049" s="2"/>
      <c r="K1049" s="2"/>
    </row>
    <row r="1050" customFormat="false" ht="15" hidden="false" customHeight="false" outlineLevel="0" collapsed="false">
      <c r="A1050" s="2" t="s">
        <v>112</v>
      </c>
      <c r="B1050" s="2" t="s">
        <v>113</v>
      </c>
      <c r="C1050" s="2" t="s">
        <v>32</v>
      </c>
      <c r="D1050" s="3" t="n">
        <v>46260</v>
      </c>
      <c r="E1050" s="2" t="str">
        <f aca="false">TEXT(D1050,"dddd")</f>
        <v>Wednesday</v>
      </c>
      <c r="F1050" s="2" t="s">
        <v>457</v>
      </c>
      <c r="G1050" s="2" t="s">
        <v>458</v>
      </c>
      <c r="H1050" s="2" t="s">
        <v>459</v>
      </c>
      <c r="I1050" s="2" t="n">
        <f aca="false">IF(F1050="Present",9,IF(F1050="Half Day",4,0))</f>
        <v>9</v>
      </c>
      <c r="J1050" s="2"/>
      <c r="K1050" s="2"/>
    </row>
    <row r="1051" customFormat="false" ht="15" hidden="false" customHeight="false" outlineLevel="0" collapsed="false">
      <c r="A1051" s="2" t="s">
        <v>112</v>
      </c>
      <c r="B1051" s="2" t="s">
        <v>113</v>
      </c>
      <c r="C1051" s="2" t="s">
        <v>32</v>
      </c>
      <c r="D1051" s="3" t="n">
        <v>46261</v>
      </c>
      <c r="E1051" s="2" t="str">
        <f aca="false">TEXT(D1051,"dddd")</f>
        <v>Thursday</v>
      </c>
      <c r="F1051" s="2" t="s">
        <v>457</v>
      </c>
      <c r="G1051" s="2" t="s">
        <v>458</v>
      </c>
      <c r="H1051" s="2" t="s">
        <v>459</v>
      </c>
      <c r="I1051" s="2" t="n">
        <f aca="false">IF(F1051="Present",9,IF(F1051="Half Day",4,0))</f>
        <v>9</v>
      </c>
      <c r="J1051" s="2"/>
      <c r="K1051" s="2"/>
    </row>
    <row r="1052" customFormat="false" ht="15" hidden="false" customHeight="false" outlineLevel="0" collapsed="false">
      <c r="A1052" s="2" t="s">
        <v>112</v>
      </c>
      <c r="B1052" s="2" t="s">
        <v>113</v>
      </c>
      <c r="C1052" s="2" t="s">
        <v>32</v>
      </c>
      <c r="D1052" s="3" t="n">
        <v>46262</v>
      </c>
      <c r="E1052" s="2" t="str">
        <f aca="false">TEXT(D1052,"dddd")</f>
        <v>Friday</v>
      </c>
      <c r="F1052" s="2" t="s">
        <v>457</v>
      </c>
      <c r="G1052" s="2" t="s">
        <v>458</v>
      </c>
      <c r="H1052" s="2" t="s">
        <v>459</v>
      </c>
      <c r="I1052" s="2" t="n">
        <f aca="false">IF(F1052="Present",9,IF(F1052="Half Day",4,0))</f>
        <v>9</v>
      </c>
      <c r="J1052" s="2"/>
      <c r="K1052" s="2"/>
    </row>
    <row r="1053" customFormat="false" ht="15" hidden="false" customHeight="false" outlineLevel="0" collapsed="false">
      <c r="A1053" s="2" t="s">
        <v>112</v>
      </c>
      <c r="B1053" s="2" t="s">
        <v>113</v>
      </c>
      <c r="C1053" s="2" t="s">
        <v>32</v>
      </c>
      <c r="D1053" s="3" t="n">
        <v>46263</v>
      </c>
      <c r="E1053" s="2" t="str">
        <f aca="false">TEXT(D1053,"dddd")</f>
        <v>Saturday</v>
      </c>
      <c r="F1053" s="2" t="s">
        <v>457</v>
      </c>
      <c r="G1053" s="2" t="s">
        <v>458</v>
      </c>
      <c r="H1053" s="2" t="s">
        <v>459</v>
      </c>
      <c r="I1053" s="2" t="n">
        <f aca="false">IF(F1053="Present",9,IF(F1053="Half Day",4,0))</f>
        <v>9</v>
      </c>
      <c r="J1053" s="2"/>
      <c r="K1053" s="2"/>
    </row>
    <row r="1054" customFormat="false" ht="15" hidden="false" customHeight="false" outlineLevel="0" collapsed="false">
      <c r="A1054" s="2" t="s">
        <v>112</v>
      </c>
      <c r="B1054" s="2" t="s">
        <v>113</v>
      </c>
      <c r="C1054" s="2" t="s">
        <v>32</v>
      </c>
      <c r="D1054" s="3" t="n">
        <v>46264</v>
      </c>
      <c r="E1054" s="2" t="str">
        <f aca="false">TEXT(D1054,"dddd")</f>
        <v>Sunday</v>
      </c>
      <c r="F1054" s="2" t="s">
        <v>460</v>
      </c>
      <c r="G1054" s="2"/>
      <c r="H1054" s="2"/>
      <c r="I1054" s="2" t="n">
        <f aca="false">IF(F1054="Present",9,IF(F1054="Half Day",4,0))</f>
        <v>0</v>
      </c>
      <c r="J1054" s="2"/>
      <c r="K1054" s="2" t="s">
        <v>460</v>
      </c>
    </row>
    <row r="1055" customFormat="false" ht="15" hidden="false" customHeight="false" outlineLevel="0" collapsed="false">
      <c r="A1055" s="2" t="s">
        <v>112</v>
      </c>
      <c r="B1055" s="2" t="s">
        <v>113</v>
      </c>
      <c r="C1055" s="2" t="s">
        <v>32</v>
      </c>
      <c r="D1055" s="3" t="n">
        <v>46265</v>
      </c>
      <c r="E1055" s="2" t="str">
        <f aca="false">TEXT(D1055,"dddd")</f>
        <v>Monday</v>
      </c>
      <c r="F1055" s="2" t="s">
        <v>457</v>
      </c>
      <c r="G1055" s="2" t="s">
        <v>458</v>
      </c>
      <c r="H1055" s="2" t="s">
        <v>459</v>
      </c>
      <c r="I1055" s="2" t="n">
        <f aca="false">IF(F1055="Present",9,IF(F1055="Half Day",4,0))</f>
        <v>9</v>
      </c>
      <c r="J1055" s="2"/>
      <c r="K1055" s="2"/>
    </row>
    <row r="1056" customFormat="false" ht="15" hidden="false" customHeight="false" outlineLevel="0" collapsed="false">
      <c r="A1056" s="2" t="s">
        <v>114</v>
      </c>
      <c r="B1056" s="2" t="s">
        <v>115</v>
      </c>
      <c r="C1056" s="2" t="s">
        <v>36</v>
      </c>
      <c r="D1056" s="3" t="n">
        <v>46235</v>
      </c>
      <c r="E1056" s="2" t="str">
        <f aca="false">TEXT(D1056,"dddd")</f>
        <v>Saturday</v>
      </c>
      <c r="F1056" s="2" t="s">
        <v>457</v>
      </c>
      <c r="G1056" s="2" t="s">
        <v>458</v>
      </c>
      <c r="H1056" s="2" t="s">
        <v>459</v>
      </c>
      <c r="I1056" s="2" t="n">
        <f aca="false">IF(F1056="Present",9,IF(F1056="Half Day",4,0))</f>
        <v>9</v>
      </c>
      <c r="J1056" s="2"/>
      <c r="K1056" s="2"/>
    </row>
    <row r="1057" customFormat="false" ht="15" hidden="false" customHeight="false" outlineLevel="0" collapsed="false">
      <c r="A1057" s="2" t="s">
        <v>114</v>
      </c>
      <c r="B1057" s="2" t="s">
        <v>115</v>
      </c>
      <c r="C1057" s="2" t="s">
        <v>36</v>
      </c>
      <c r="D1057" s="3" t="n">
        <v>46236</v>
      </c>
      <c r="E1057" s="2" t="str">
        <f aca="false">TEXT(D1057,"dddd")</f>
        <v>Sunday</v>
      </c>
      <c r="F1057" s="2" t="s">
        <v>460</v>
      </c>
      <c r="G1057" s="2"/>
      <c r="H1057" s="2"/>
      <c r="I1057" s="2" t="n">
        <f aca="false">IF(F1057="Present",9,IF(F1057="Half Day",4,0))</f>
        <v>0</v>
      </c>
      <c r="J1057" s="2"/>
      <c r="K1057" s="2" t="s">
        <v>460</v>
      </c>
    </row>
    <row r="1058" customFormat="false" ht="15" hidden="false" customHeight="false" outlineLevel="0" collapsed="false">
      <c r="A1058" s="2" t="s">
        <v>114</v>
      </c>
      <c r="B1058" s="2" t="s">
        <v>115</v>
      </c>
      <c r="C1058" s="2" t="s">
        <v>36</v>
      </c>
      <c r="D1058" s="3" t="n">
        <v>46237</v>
      </c>
      <c r="E1058" s="2" t="str">
        <f aca="false">TEXT(D1058,"dddd")</f>
        <v>Monday</v>
      </c>
      <c r="F1058" s="2" t="s">
        <v>457</v>
      </c>
      <c r="G1058" s="2" t="s">
        <v>458</v>
      </c>
      <c r="H1058" s="2" t="s">
        <v>459</v>
      </c>
      <c r="I1058" s="2" t="n">
        <f aca="false">IF(F1058="Present",9,IF(F1058="Half Day",4,0))</f>
        <v>9</v>
      </c>
      <c r="J1058" s="2"/>
      <c r="K1058" s="2"/>
    </row>
    <row r="1059" customFormat="false" ht="15" hidden="false" customHeight="false" outlineLevel="0" collapsed="false">
      <c r="A1059" s="2" t="s">
        <v>114</v>
      </c>
      <c r="B1059" s="2" t="s">
        <v>115</v>
      </c>
      <c r="C1059" s="2" t="s">
        <v>36</v>
      </c>
      <c r="D1059" s="3" t="n">
        <v>46238</v>
      </c>
      <c r="E1059" s="2" t="str">
        <f aca="false">TEXT(D1059,"dddd")</f>
        <v>Tuesday</v>
      </c>
      <c r="F1059" s="2" t="s">
        <v>461</v>
      </c>
      <c r="G1059" s="2"/>
      <c r="H1059" s="2"/>
      <c r="I1059" s="2" t="n">
        <f aca="false">IF(F1059="Present",9,IF(F1059="Half Day",4,0))</f>
        <v>0</v>
      </c>
      <c r="J1059" s="2"/>
      <c r="K1059" s="2" t="s">
        <v>462</v>
      </c>
    </row>
    <row r="1060" customFormat="false" ht="15" hidden="false" customHeight="false" outlineLevel="0" collapsed="false">
      <c r="A1060" s="2" t="s">
        <v>114</v>
      </c>
      <c r="B1060" s="2" t="s">
        <v>115</v>
      </c>
      <c r="C1060" s="2" t="s">
        <v>36</v>
      </c>
      <c r="D1060" s="3" t="n">
        <v>46239</v>
      </c>
      <c r="E1060" s="2" t="str">
        <f aca="false">TEXT(D1060,"dddd")</f>
        <v>Wednesday</v>
      </c>
      <c r="F1060" s="2" t="s">
        <v>461</v>
      </c>
      <c r="G1060" s="2"/>
      <c r="H1060" s="2"/>
      <c r="I1060" s="2" t="n">
        <f aca="false">IF(F1060="Present",9,IF(F1060="Half Day",4,0))</f>
        <v>0</v>
      </c>
      <c r="J1060" s="2"/>
      <c r="K1060" s="2" t="s">
        <v>462</v>
      </c>
    </row>
    <row r="1061" customFormat="false" ht="15" hidden="false" customHeight="false" outlineLevel="0" collapsed="false">
      <c r="A1061" s="2" t="s">
        <v>114</v>
      </c>
      <c r="B1061" s="2" t="s">
        <v>115</v>
      </c>
      <c r="C1061" s="2" t="s">
        <v>36</v>
      </c>
      <c r="D1061" s="3" t="n">
        <v>46240</v>
      </c>
      <c r="E1061" s="2" t="str">
        <f aca="false">TEXT(D1061,"dddd")</f>
        <v>Thursday</v>
      </c>
      <c r="F1061" s="2" t="s">
        <v>457</v>
      </c>
      <c r="G1061" s="2" t="s">
        <v>458</v>
      </c>
      <c r="H1061" s="2" t="s">
        <v>459</v>
      </c>
      <c r="I1061" s="2" t="n">
        <f aca="false">IF(F1061="Present",9,IF(F1061="Half Day",4,0))</f>
        <v>9</v>
      </c>
      <c r="J1061" s="2"/>
      <c r="K1061" s="2"/>
    </row>
    <row r="1062" customFormat="false" ht="15" hidden="false" customHeight="false" outlineLevel="0" collapsed="false">
      <c r="A1062" s="2" t="s">
        <v>114</v>
      </c>
      <c r="B1062" s="2" t="s">
        <v>115</v>
      </c>
      <c r="C1062" s="2" t="s">
        <v>36</v>
      </c>
      <c r="D1062" s="3" t="n">
        <v>46241</v>
      </c>
      <c r="E1062" s="2" t="str">
        <f aca="false">TEXT(D1062,"dddd")</f>
        <v>Friday</v>
      </c>
      <c r="F1062" s="2" t="s">
        <v>457</v>
      </c>
      <c r="G1062" s="2" t="s">
        <v>458</v>
      </c>
      <c r="H1062" s="2" t="s">
        <v>459</v>
      </c>
      <c r="I1062" s="2" t="n">
        <f aca="false">IF(F1062="Present",9,IF(F1062="Half Day",4,0))</f>
        <v>9</v>
      </c>
      <c r="J1062" s="2"/>
      <c r="K1062" s="2"/>
    </row>
    <row r="1063" customFormat="false" ht="15" hidden="false" customHeight="false" outlineLevel="0" collapsed="false">
      <c r="A1063" s="2" t="s">
        <v>114</v>
      </c>
      <c r="B1063" s="2" t="s">
        <v>115</v>
      </c>
      <c r="C1063" s="2" t="s">
        <v>36</v>
      </c>
      <c r="D1063" s="3" t="n">
        <v>46242</v>
      </c>
      <c r="E1063" s="2" t="str">
        <f aca="false">TEXT(D1063,"dddd")</f>
        <v>Saturday</v>
      </c>
      <c r="F1063" s="2" t="s">
        <v>457</v>
      </c>
      <c r="G1063" s="2" t="s">
        <v>458</v>
      </c>
      <c r="H1063" s="2" t="s">
        <v>459</v>
      </c>
      <c r="I1063" s="2" t="n">
        <f aca="false">IF(F1063="Present",9,IF(F1063="Half Day",4,0))</f>
        <v>9</v>
      </c>
      <c r="J1063" s="2"/>
      <c r="K1063" s="2"/>
    </row>
    <row r="1064" customFormat="false" ht="15" hidden="false" customHeight="false" outlineLevel="0" collapsed="false">
      <c r="A1064" s="2" t="s">
        <v>114</v>
      </c>
      <c r="B1064" s="2" t="s">
        <v>115</v>
      </c>
      <c r="C1064" s="2" t="s">
        <v>36</v>
      </c>
      <c r="D1064" s="3" t="n">
        <v>46243</v>
      </c>
      <c r="E1064" s="2" t="str">
        <f aca="false">TEXT(D1064,"dddd")</f>
        <v>Sunday</v>
      </c>
      <c r="F1064" s="2" t="s">
        <v>460</v>
      </c>
      <c r="G1064" s="2"/>
      <c r="H1064" s="2"/>
      <c r="I1064" s="2" t="n">
        <f aca="false">IF(F1064="Present",9,IF(F1064="Half Day",4,0))</f>
        <v>0</v>
      </c>
      <c r="J1064" s="2"/>
      <c r="K1064" s="2" t="s">
        <v>460</v>
      </c>
    </row>
    <row r="1065" customFormat="false" ht="15" hidden="false" customHeight="false" outlineLevel="0" collapsed="false">
      <c r="A1065" s="2" t="s">
        <v>114</v>
      </c>
      <c r="B1065" s="2" t="s">
        <v>115</v>
      </c>
      <c r="C1065" s="2" t="s">
        <v>36</v>
      </c>
      <c r="D1065" s="3" t="n">
        <v>46244</v>
      </c>
      <c r="E1065" s="2" t="str">
        <f aca="false">TEXT(D1065,"dddd")</f>
        <v>Monday</v>
      </c>
      <c r="F1065" s="2" t="s">
        <v>457</v>
      </c>
      <c r="G1065" s="2" t="s">
        <v>458</v>
      </c>
      <c r="H1065" s="2" t="s">
        <v>459</v>
      </c>
      <c r="I1065" s="2" t="n">
        <f aca="false">IF(F1065="Present",9,IF(F1065="Half Day",4,0))</f>
        <v>9</v>
      </c>
      <c r="J1065" s="2"/>
      <c r="K1065" s="2"/>
    </row>
    <row r="1066" customFormat="false" ht="15" hidden="false" customHeight="false" outlineLevel="0" collapsed="false">
      <c r="A1066" s="2" t="s">
        <v>114</v>
      </c>
      <c r="B1066" s="2" t="s">
        <v>115</v>
      </c>
      <c r="C1066" s="2" t="s">
        <v>36</v>
      </c>
      <c r="D1066" s="3" t="n">
        <v>46245</v>
      </c>
      <c r="E1066" s="2" t="str">
        <f aca="false">TEXT(D1066,"dddd")</f>
        <v>Tuesday</v>
      </c>
      <c r="F1066" s="2" t="s">
        <v>461</v>
      </c>
      <c r="G1066" s="2"/>
      <c r="H1066" s="2"/>
      <c r="I1066" s="2" t="n">
        <f aca="false">IF(F1066="Present",9,IF(F1066="Half Day",4,0))</f>
        <v>0</v>
      </c>
      <c r="J1066" s="2"/>
      <c r="K1066" s="2" t="s">
        <v>462</v>
      </c>
    </row>
    <row r="1067" customFormat="false" ht="15" hidden="false" customHeight="false" outlineLevel="0" collapsed="false">
      <c r="A1067" s="2" t="s">
        <v>114</v>
      </c>
      <c r="B1067" s="2" t="s">
        <v>115</v>
      </c>
      <c r="C1067" s="2" t="s">
        <v>36</v>
      </c>
      <c r="D1067" s="3" t="n">
        <v>46246</v>
      </c>
      <c r="E1067" s="2" t="str">
        <f aca="false">TEXT(D1067,"dddd")</f>
        <v>Wednesday</v>
      </c>
      <c r="F1067" s="2" t="s">
        <v>457</v>
      </c>
      <c r="G1067" s="2" t="s">
        <v>458</v>
      </c>
      <c r="H1067" s="2" t="s">
        <v>459</v>
      </c>
      <c r="I1067" s="2" t="n">
        <f aca="false">IF(F1067="Present",9,IF(F1067="Half Day",4,0))</f>
        <v>9</v>
      </c>
      <c r="J1067" s="2"/>
      <c r="K1067" s="2"/>
    </row>
    <row r="1068" customFormat="false" ht="15" hidden="false" customHeight="false" outlineLevel="0" collapsed="false">
      <c r="A1068" s="2" t="s">
        <v>114</v>
      </c>
      <c r="B1068" s="2" t="s">
        <v>115</v>
      </c>
      <c r="C1068" s="2" t="s">
        <v>36</v>
      </c>
      <c r="D1068" s="3" t="n">
        <v>46247</v>
      </c>
      <c r="E1068" s="2" t="str">
        <f aca="false">TEXT(D1068,"dddd")</f>
        <v>Thursday</v>
      </c>
      <c r="F1068" s="2" t="s">
        <v>463</v>
      </c>
      <c r="G1068" s="2"/>
      <c r="H1068" s="2"/>
      <c r="I1068" s="2" t="n">
        <f aca="false">IF(F1068="Present",9,IF(F1068="Half Day",4,0))</f>
        <v>0</v>
      </c>
      <c r="J1068" s="2" t="s">
        <v>464</v>
      </c>
      <c r="K1068" s="2" t="s">
        <v>465</v>
      </c>
    </row>
    <row r="1069" customFormat="false" ht="15" hidden="false" customHeight="false" outlineLevel="0" collapsed="false">
      <c r="A1069" s="2" t="s">
        <v>114</v>
      </c>
      <c r="B1069" s="2" t="s">
        <v>115</v>
      </c>
      <c r="C1069" s="2" t="s">
        <v>36</v>
      </c>
      <c r="D1069" s="3" t="n">
        <v>46248</v>
      </c>
      <c r="E1069" s="2" t="str">
        <f aca="false">TEXT(D1069,"dddd")</f>
        <v>Friday</v>
      </c>
      <c r="F1069" s="2" t="s">
        <v>457</v>
      </c>
      <c r="G1069" s="2" t="s">
        <v>458</v>
      </c>
      <c r="H1069" s="2" t="s">
        <v>459</v>
      </c>
      <c r="I1069" s="2" t="n">
        <f aca="false">IF(F1069="Present",9,IF(F1069="Half Day",4,0))</f>
        <v>9</v>
      </c>
      <c r="J1069" s="2"/>
      <c r="K1069" s="2"/>
    </row>
    <row r="1070" customFormat="false" ht="15" hidden="false" customHeight="false" outlineLevel="0" collapsed="false">
      <c r="A1070" s="2" t="s">
        <v>114</v>
      </c>
      <c r="B1070" s="2" t="s">
        <v>115</v>
      </c>
      <c r="C1070" s="2" t="s">
        <v>36</v>
      </c>
      <c r="D1070" s="3" t="n">
        <v>46249</v>
      </c>
      <c r="E1070" s="2" t="str">
        <f aca="false">TEXT(D1070,"dddd")</f>
        <v>Saturday</v>
      </c>
      <c r="F1070" s="2" t="s">
        <v>457</v>
      </c>
      <c r="G1070" s="2" t="s">
        <v>458</v>
      </c>
      <c r="H1070" s="2" t="s">
        <v>459</v>
      </c>
      <c r="I1070" s="2" t="n">
        <f aca="false">IF(F1070="Present",9,IF(F1070="Half Day",4,0))</f>
        <v>9</v>
      </c>
      <c r="J1070" s="2"/>
      <c r="K1070" s="2"/>
    </row>
    <row r="1071" customFormat="false" ht="15" hidden="false" customHeight="false" outlineLevel="0" collapsed="false">
      <c r="A1071" s="2" t="s">
        <v>114</v>
      </c>
      <c r="B1071" s="2" t="s">
        <v>115</v>
      </c>
      <c r="C1071" s="2" t="s">
        <v>36</v>
      </c>
      <c r="D1071" s="3" t="n">
        <v>46250</v>
      </c>
      <c r="E1071" s="2" t="str">
        <f aca="false">TEXT(D1071,"dddd")</f>
        <v>Sunday</v>
      </c>
      <c r="F1071" s="2" t="s">
        <v>460</v>
      </c>
      <c r="G1071" s="2"/>
      <c r="H1071" s="2"/>
      <c r="I1071" s="2" t="n">
        <f aca="false">IF(F1071="Present",9,IF(F1071="Half Day",4,0))</f>
        <v>0</v>
      </c>
      <c r="J1071" s="2"/>
      <c r="K1071" s="2" t="s">
        <v>460</v>
      </c>
    </row>
    <row r="1072" customFormat="false" ht="15" hidden="false" customHeight="false" outlineLevel="0" collapsed="false">
      <c r="A1072" s="2" t="s">
        <v>114</v>
      </c>
      <c r="B1072" s="2" t="s">
        <v>115</v>
      </c>
      <c r="C1072" s="2" t="s">
        <v>36</v>
      </c>
      <c r="D1072" s="3" t="n">
        <v>46251</v>
      </c>
      <c r="E1072" s="2" t="str">
        <f aca="false">TEXT(D1072,"dddd")</f>
        <v>Monday</v>
      </c>
      <c r="F1072" s="2" t="s">
        <v>461</v>
      </c>
      <c r="G1072" s="2"/>
      <c r="H1072" s="2"/>
      <c r="I1072" s="2" t="n">
        <f aca="false">IF(F1072="Present",9,IF(F1072="Half Day",4,0))</f>
        <v>0</v>
      </c>
      <c r="J1072" s="2"/>
      <c r="K1072" s="2" t="s">
        <v>462</v>
      </c>
    </row>
    <row r="1073" customFormat="false" ht="15" hidden="false" customHeight="false" outlineLevel="0" collapsed="false">
      <c r="A1073" s="2" t="s">
        <v>114</v>
      </c>
      <c r="B1073" s="2" t="s">
        <v>115</v>
      </c>
      <c r="C1073" s="2" t="s">
        <v>36</v>
      </c>
      <c r="D1073" s="3" t="n">
        <v>46252</v>
      </c>
      <c r="E1073" s="2" t="str">
        <f aca="false">TEXT(D1073,"dddd")</f>
        <v>Tuesday</v>
      </c>
      <c r="F1073" s="2" t="s">
        <v>457</v>
      </c>
      <c r="G1073" s="2" t="s">
        <v>458</v>
      </c>
      <c r="H1073" s="2" t="s">
        <v>459</v>
      </c>
      <c r="I1073" s="2" t="n">
        <f aca="false">IF(F1073="Present",9,IF(F1073="Half Day",4,0))</f>
        <v>9</v>
      </c>
      <c r="J1073" s="2"/>
      <c r="K1073" s="2"/>
    </row>
    <row r="1074" customFormat="false" ht="15" hidden="false" customHeight="false" outlineLevel="0" collapsed="false">
      <c r="A1074" s="2" t="s">
        <v>114</v>
      </c>
      <c r="B1074" s="2" t="s">
        <v>115</v>
      </c>
      <c r="C1074" s="2" t="s">
        <v>36</v>
      </c>
      <c r="D1074" s="3" t="n">
        <v>46253</v>
      </c>
      <c r="E1074" s="2" t="str">
        <f aca="false">TEXT(D1074,"dddd")</f>
        <v>Wednesday</v>
      </c>
      <c r="F1074" s="2" t="s">
        <v>457</v>
      </c>
      <c r="G1074" s="2" t="s">
        <v>458</v>
      </c>
      <c r="H1074" s="2" t="s">
        <v>459</v>
      </c>
      <c r="I1074" s="2" t="n">
        <f aca="false">IF(F1074="Present",9,IF(F1074="Half Day",4,0))</f>
        <v>9</v>
      </c>
      <c r="J1074" s="2"/>
      <c r="K1074" s="2"/>
    </row>
    <row r="1075" customFormat="false" ht="15" hidden="false" customHeight="false" outlineLevel="0" collapsed="false">
      <c r="A1075" s="2" t="s">
        <v>114</v>
      </c>
      <c r="B1075" s="2" t="s">
        <v>115</v>
      </c>
      <c r="C1075" s="2" t="s">
        <v>36</v>
      </c>
      <c r="D1075" s="3" t="n">
        <v>46254</v>
      </c>
      <c r="E1075" s="2" t="str">
        <f aca="false">TEXT(D1075,"dddd")</f>
        <v>Thursday</v>
      </c>
      <c r="F1075" s="2" t="s">
        <v>466</v>
      </c>
      <c r="G1075" s="2" t="s">
        <v>458</v>
      </c>
      <c r="H1075" s="2" t="s">
        <v>467</v>
      </c>
      <c r="I1075" s="2" t="n">
        <f aca="false">IF(F1075="Present",9,IF(F1075="Half Day",4,0))</f>
        <v>4</v>
      </c>
      <c r="J1075" s="2"/>
      <c r="K1075" s="2" t="s">
        <v>466</v>
      </c>
    </row>
    <row r="1076" customFormat="false" ht="15" hidden="false" customHeight="false" outlineLevel="0" collapsed="false">
      <c r="A1076" s="2" t="s">
        <v>114</v>
      </c>
      <c r="B1076" s="2" t="s">
        <v>115</v>
      </c>
      <c r="C1076" s="2" t="s">
        <v>36</v>
      </c>
      <c r="D1076" s="3" t="n">
        <v>46255</v>
      </c>
      <c r="E1076" s="2" t="str">
        <f aca="false">TEXT(D1076,"dddd")</f>
        <v>Friday</v>
      </c>
      <c r="F1076" s="2" t="s">
        <v>457</v>
      </c>
      <c r="G1076" s="2" t="s">
        <v>458</v>
      </c>
      <c r="H1076" s="2" t="s">
        <v>459</v>
      </c>
      <c r="I1076" s="2" t="n">
        <f aca="false">IF(F1076="Present",9,IF(F1076="Half Day",4,0))</f>
        <v>9</v>
      </c>
      <c r="J1076" s="2"/>
      <c r="K1076" s="2"/>
    </row>
    <row r="1077" customFormat="false" ht="15" hidden="false" customHeight="false" outlineLevel="0" collapsed="false">
      <c r="A1077" s="2" t="s">
        <v>114</v>
      </c>
      <c r="B1077" s="2" t="s">
        <v>115</v>
      </c>
      <c r="C1077" s="2" t="s">
        <v>36</v>
      </c>
      <c r="D1077" s="3" t="n">
        <v>46256</v>
      </c>
      <c r="E1077" s="2" t="str">
        <f aca="false">TEXT(D1077,"dddd")</f>
        <v>Saturday</v>
      </c>
      <c r="F1077" s="2" t="s">
        <v>461</v>
      </c>
      <c r="G1077" s="2"/>
      <c r="H1077" s="2"/>
      <c r="I1077" s="2" t="n">
        <f aca="false">IF(F1077="Present",9,IF(F1077="Half Day",4,0))</f>
        <v>0</v>
      </c>
      <c r="J1077" s="2"/>
      <c r="K1077" s="2" t="s">
        <v>462</v>
      </c>
    </row>
    <row r="1078" customFormat="false" ht="15" hidden="false" customHeight="false" outlineLevel="0" collapsed="false">
      <c r="A1078" s="2" t="s">
        <v>114</v>
      </c>
      <c r="B1078" s="2" t="s">
        <v>115</v>
      </c>
      <c r="C1078" s="2" t="s">
        <v>36</v>
      </c>
      <c r="D1078" s="3" t="n">
        <v>46257</v>
      </c>
      <c r="E1078" s="2" t="str">
        <f aca="false">TEXT(D1078,"dddd")</f>
        <v>Sunday</v>
      </c>
      <c r="F1078" s="2" t="s">
        <v>460</v>
      </c>
      <c r="G1078" s="2"/>
      <c r="H1078" s="2"/>
      <c r="I1078" s="2" t="n">
        <f aca="false">IF(F1078="Present",9,IF(F1078="Half Day",4,0))</f>
        <v>0</v>
      </c>
      <c r="J1078" s="2"/>
      <c r="K1078" s="2" t="s">
        <v>460</v>
      </c>
    </row>
    <row r="1079" customFormat="false" ht="15" hidden="false" customHeight="false" outlineLevel="0" collapsed="false">
      <c r="A1079" s="2" t="s">
        <v>114</v>
      </c>
      <c r="B1079" s="2" t="s">
        <v>115</v>
      </c>
      <c r="C1079" s="2" t="s">
        <v>36</v>
      </c>
      <c r="D1079" s="3" t="n">
        <v>46258</v>
      </c>
      <c r="E1079" s="2" t="str">
        <f aca="false">TEXT(D1079,"dddd")</f>
        <v>Monday</v>
      </c>
      <c r="F1079" s="2" t="s">
        <v>461</v>
      </c>
      <c r="G1079" s="2"/>
      <c r="H1079" s="2"/>
      <c r="I1079" s="2" t="n">
        <f aca="false">IF(F1079="Present",9,IF(F1079="Half Day",4,0))</f>
        <v>0</v>
      </c>
      <c r="J1079" s="2"/>
      <c r="K1079" s="2" t="s">
        <v>462</v>
      </c>
    </row>
    <row r="1080" customFormat="false" ht="15" hidden="false" customHeight="false" outlineLevel="0" collapsed="false">
      <c r="A1080" s="2" t="s">
        <v>114</v>
      </c>
      <c r="B1080" s="2" t="s">
        <v>115</v>
      </c>
      <c r="C1080" s="2" t="s">
        <v>36</v>
      </c>
      <c r="D1080" s="3" t="n">
        <v>46259</v>
      </c>
      <c r="E1080" s="2" t="str">
        <f aca="false">TEXT(D1080,"dddd")</f>
        <v>Tuesday</v>
      </c>
      <c r="F1080" s="2" t="s">
        <v>457</v>
      </c>
      <c r="G1080" s="2" t="s">
        <v>458</v>
      </c>
      <c r="H1080" s="2" t="s">
        <v>459</v>
      </c>
      <c r="I1080" s="2" t="n">
        <f aca="false">IF(F1080="Present",9,IF(F1080="Half Day",4,0))</f>
        <v>9</v>
      </c>
      <c r="J1080" s="2"/>
      <c r="K1080" s="2"/>
    </row>
    <row r="1081" customFormat="false" ht="15" hidden="false" customHeight="false" outlineLevel="0" collapsed="false">
      <c r="A1081" s="2" t="s">
        <v>114</v>
      </c>
      <c r="B1081" s="2" t="s">
        <v>115</v>
      </c>
      <c r="C1081" s="2" t="s">
        <v>36</v>
      </c>
      <c r="D1081" s="3" t="n">
        <v>46260</v>
      </c>
      <c r="E1081" s="2" t="str">
        <f aca="false">TEXT(D1081,"dddd")</f>
        <v>Wednesday</v>
      </c>
      <c r="F1081" s="2" t="s">
        <v>457</v>
      </c>
      <c r="G1081" s="2" t="s">
        <v>458</v>
      </c>
      <c r="H1081" s="2" t="s">
        <v>459</v>
      </c>
      <c r="I1081" s="2" t="n">
        <f aca="false">IF(F1081="Present",9,IF(F1081="Half Day",4,0))</f>
        <v>9</v>
      </c>
      <c r="J1081" s="2"/>
      <c r="K1081" s="2"/>
    </row>
    <row r="1082" customFormat="false" ht="15" hidden="false" customHeight="false" outlineLevel="0" collapsed="false">
      <c r="A1082" s="2" t="s">
        <v>114</v>
      </c>
      <c r="B1082" s="2" t="s">
        <v>115</v>
      </c>
      <c r="C1082" s="2" t="s">
        <v>36</v>
      </c>
      <c r="D1082" s="3" t="n">
        <v>46261</v>
      </c>
      <c r="E1082" s="2" t="str">
        <f aca="false">TEXT(D1082,"dddd")</f>
        <v>Thursday</v>
      </c>
      <c r="F1082" s="2" t="s">
        <v>457</v>
      </c>
      <c r="G1082" s="2" t="s">
        <v>458</v>
      </c>
      <c r="H1082" s="2" t="s">
        <v>459</v>
      </c>
      <c r="I1082" s="2" t="n">
        <f aca="false">IF(F1082="Present",9,IF(F1082="Half Day",4,0))</f>
        <v>9</v>
      </c>
      <c r="J1082" s="2"/>
      <c r="K1082" s="2"/>
    </row>
    <row r="1083" customFormat="false" ht="15" hidden="false" customHeight="false" outlineLevel="0" collapsed="false">
      <c r="A1083" s="2" t="s">
        <v>114</v>
      </c>
      <c r="B1083" s="2" t="s">
        <v>115</v>
      </c>
      <c r="C1083" s="2" t="s">
        <v>36</v>
      </c>
      <c r="D1083" s="3" t="n">
        <v>46262</v>
      </c>
      <c r="E1083" s="2" t="str">
        <f aca="false">TEXT(D1083,"dddd")</f>
        <v>Friday</v>
      </c>
      <c r="F1083" s="2" t="s">
        <v>461</v>
      </c>
      <c r="G1083" s="2"/>
      <c r="H1083" s="2"/>
      <c r="I1083" s="2" t="n">
        <f aca="false">IF(F1083="Present",9,IF(F1083="Half Day",4,0))</f>
        <v>0</v>
      </c>
      <c r="J1083" s="2"/>
      <c r="K1083" s="2" t="s">
        <v>462</v>
      </c>
    </row>
    <row r="1084" customFormat="false" ht="15" hidden="false" customHeight="false" outlineLevel="0" collapsed="false">
      <c r="A1084" s="2" t="s">
        <v>114</v>
      </c>
      <c r="B1084" s="2" t="s">
        <v>115</v>
      </c>
      <c r="C1084" s="2" t="s">
        <v>36</v>
      </c>
      <c r="D1084" s="3" t="n">
        <v>46263</v>
      </c>
      <c r="E1084" s="2" t="str">
        <f aca="false">TEXT(D1084,"dddd")</f>
        <v>Saturday</v>
      </c>
      <c r="F1084" s="2" t="s">
        <v>461</v>
      </c>
      <c r="G1084" s="2"/>
      <c r="H1084" s="2"/>
      <c r="I1084" s="2" t="n">
        <f aca="false">IF(F1084="Present",9,IF(F1084="Half Day",4,0))</f>
        <v>0</v>
      </c>
      <c r="J1084" s="2"/>
      <c r="K1084" s="2" t="s">
        <v>462</v>
      </c>
    </row>
    <row r="1085" customFormat="false" ht="15" hidden="false" customHeight="false" outlineLevel="0" collapsed="false">
      <c r="A1085" s="2" t="s">
        <v>114</v>
      </c>
      <c r="B1085" s="2" t="s">
        <v>115</v>
      </c>
      <c r="C1085" s="2" t="s">
        <v>36</v>
      </c>
      <c r="D1085" s="3" t="n">
        <v>46264</v>
      </c>
      <c r="E1085" s="2" t="str">
        <f aca="false">TEXT(D1085,"dddd")</f>
        <v>Sunday</v>
      </c>
      <c r="F1085" s="2" t="s">
        <v>460</v>
      </c>
      <c r="G1085" s="2"/>
      <c r="H1085" s="2"/>
      <c r="I1085" s="2" t="n">
        <f aca="false">IF(F1085="Present",9,IF(F1085="Half Day",4,0))</f>
        <v>0</v>
      </c>
      <c r="J1085" s="2"/>
      <c r="K1085" s="2" t="s">
        <v>460</v>
      </c>
    </row>
    <row r="1086" customFormat="false" ht="15" hidden="false" customHeight="false" outlineLevel="0" collapsed="false">
      <c r="A1086" s="2" t="s">
        <v>114</v>
      </c>
      <c r="B1086" s="2" t="s">
        <v>115</v>
      </c>
      <c r="C1086" s="2" t="s">
        <v>36</v>
      </c>
      <c r="D1086" s="3" t="n">
        <v>46265</v>
      </c>
      <c r="E1086" s="2" t="str">
        <f aca="false">TEXT(D1086,"dddd")</f>
        <v>Monday</v>
      </c>
      <c r="F1086" s="2" t="s">
        <v>457</v>
      </c>
      <c r="G1086" s="2" t="s">
        <v>458</v>
      </c>
      <c r="H1086" s="2" t="s">
        <v>459</v>
      </c>
      <c r="I1086" s="2" t="n">
        <f aca="false">IF(F1086="Present",9,IF(F1086="Half Day",4,0))</f>
        <v>9</v>
      </c>
      <c r="J1086" s="2"/>
      <c r="K1086" s="2"/>
    </row>
    <row r="1087" customFormat="false" ht="15" hidden="false" customHeight="false" outlineLevel="0" collapsed="false">
      <c r="A1087" s="2" t="s">
        <v>116</v>
      </c>
      <c r="B1087" s="2" t="s">
        <v>117</v>
      </c>
      <c r="C1087" s="2" t="s">
        <v>41</v>
      </c>
      <c r="D1087" s="3" t="n">
        <v>46235</v>
      </c>
      <c r="E1087" s="2" t="str">
        <f aca="false">TEXT(D1087,"dddd")</f>
        <v>Saturday</v>
      </c>
      <c r="F1087" s="2" t="s">
        <v>463</v>
      </c>
      <c r="G1087" s="2"/>
      <c r="H1087" s="2"/>
      <c r="I1087" s="2" t="n">
        <f aca="false">IF(F1087="Present",9,IF(F1087="Half Day",4,0))</f>
        <v>0</v>
      </c>
      <c r="J1087" s="2" t="s">
        <v>464</v>
      </c>
      <c r="K1087" s="2" t="s">
        <v>465</v>
      </c>
    </row>
    <row r="1088" customFormat="false" ht="15" hidden="false" customHeight="false" outlineLevel="0" collapsed="false">
      <c r="A1088" s="2" t="s">
        <v>116</v>
      </c>
      <c r="B1088" s="2" t="s">
        <v>117</v>
      </c>
      <c r="C1088" s="2" t="s">
        <v>41</v>
      </c>
      <c r="D1088" s="3" t="n">
        <v>46236</v>
      </c>
      <c r="E1088" s="2" t="str">
        <f aca="false">TEXT(D1088,"dddd")</f>
        <v>Sunday</v>
      </c>
      <c r="F1088" s="2" t="s">
        <v>460</v>
      </c>
      <c r="G1088" s="2"/>
      <c r="H1088" s="2"/>
      <c r="I1088" s="2" t="n">
        <f aca="false">IF(F1088="Present",9,IF(F1088="Half Day",4,0))</f>
        <v>0</v>
      </c>
      <c r="J1088" s="2"/>
      <c r="K1088" s="2" t="s">
        <v>460</v>
      </c>
    </row>
    <row r="1089" customFormat="false" ht="15" hidden="false" customHeight="false" outlineLevel="0" collapsed="false">
      <c r="A1089" s="2" t="s">
        <v>116</v>
      </c>
      <c r="B1089" s="2" t="s">
        <v>117</v>
      </c>
      <c r="C1089" s="2" t="s">
        <v>41</v>
      </c>
      <c r="D1089" s="3" t="n">
        <v>46237</v>
      </c>
      <c r="E1089" s="2" t="str">
        <f aca="false">TEXT(D1089,"dddd")</f>
        <v>Monday</v>
      </c>
      <c r="F1089" s="2" t="s">
        <v>457</v>
      </c>
      <c r="G1089" s="2" t="s">
        <v>458</v>
      </c>
      <c r="H1089" s="2" t="s">
        <v>459</v>
      </c>
      <c r="I1089" s="2" t="n">
        <f aca="false">IF(F1089="Present",9,IF(F1089="Half Day",4,0))</f>
        <v>9</v>
      </c>
      <c r="J1089" s="2"/>
      <c r="K1089" s="2"/>
    </row>
    <row r="1090" customFormat="false" ht="15" hidden="false" customHeight="false" outlineLevel="0" collapsed="false">
      <c r="A1090" s="2" t="s">
        <v>116</v>
      </c>
      <c r="B1090" s="2" t="s">
        <v>117</v>
      </c>
      <c r="C1090" s="2" t="s">
        <v>41</v>
      </c>
      <c r="D1090" s="3" t="n">
        <v>46238</v>
      </c>
      <c r="E1090" s="2" t="str">
        <f aca="false">TEXT(D1090,"dddd")</f>
        <v>Tuesday</v>
      </c>
      <c r="F1090" s="2" t="s">
        <v>457</v>
      </c>
      <c r="G1090" s="2" t="s">
        <v>458</v>
      </c>
      <c r="H1090" s="2" t="s">
        <v>459</v>
      </c>
      <c r="I1090" s="2" t="n">
        <f aca="false">IF(F1090="Present",9,IF(F1090="Half Day",4,0))</f>
        <v>9</v>
      </c>
      <c r="J1090" s="2"/>
      <c r="K1090" s="2"/>
    </row>
    <row r="1091" customFormat="false" ht="15" hidden="false" customHeight="false" outlineLevel="0" collapsed="false">
      <c r="A1091" s="2" t="s">
        <v>116</v>
      </c>
      <c r="B1091" s="2" t="s">
        <v>117</v>
      </c>
      <c r="C1091" s="2" t="s">
        <v>41</v>
      </c>
      <c r="D1091" s="3" t="n">
        <v>46239</v>
      </c>
      <c r="E1091" s="2" t="str">
        <f aca="false">TEXT(D1091,"dddd")</f>
        <v>Wednesday</v>
      </c>
      <c r="F1091" s="2" t="s">
        <v>457</v>
      </c>
      <c r="G1091" s="2" t="s">
        <v>458</v>
      </c>
      <c r="H1091" s="2" t="s">
        <v>459</v>
      </c>
      <c r="I1091" s="2" t="n">
        <f aca="false">IF(F1091="Present",9,IF(F1091="Half Day",4,0))</f>
        <v>9</v>
      </c>
      <c r="J1091" s="2"/>
      <c r="K1091" s="2"/>
    </row>
    <row r="1092" customFormat="false" ht="15" hidden="false" customHeight="false" outlineLevel="0" collapsed="false">
      <c r="A1092" s="2" t="s">
        <v>116</v>
      </c>
      <c r="B1092" s="2" t="s">
        <v>117</v>
      </c>
      <c r="C1092" s="2" t="s">
        <v>41</v>
      </c>
      <c r="D1092" s="3" t="n">
        <v>46240</v>
      </c>
      <c r="E1092" s="2" t="str">
        <f aca="false">TEXT(D1092,"dddd")</f>
        <v>Thursday</v>
      </c>
      <c r="F1092" s="2" t="s">
        <v>457</v>
      </c>
      <c r="G1092" s="2" t="s">
        <v>458</v>
      </c>
      <c r="H1092" s="2" t="s">
        <v>459</v>
      </c>
      <c r="I1092" s="2" t="n">
        <f aca="false">IF(F1092="Present",9,IF(F1092="Half Day",4,0))</f>
        <v>9</v>
      </c>
      <c r="J1092" s="2"/>
      <c r="K1092" s="2"/>
    </row>
    <row r="1093" customFormat="false" ht="15" hidden="false" customHeight="false" outlineLevel="0" collapsed="false">
      <c r="A1093" s="2" t="s">
        <v>116</v>
      </c>
      <c r="B1093" s="2" t="s">
        <v>117</v>
      </c>
      <c r="C1093" s="2" t="s">
        <v>41</v>
      </c>
      <c r="D1093" s="3" t="n">
        <v>46241</v>
      </c>
      <c r="E1093" s="2" t="str">
        <f aca="false">TEXT(D1093,"dddd")</f>
        <v>Friday</v>
      </c>
      <c r="F1093" s="2" t="s">
        <v>457</v>
      </c>
      <c r="G1093" s="2" t="s">
        <v>458</v>
      </c>
      <c r="H1093" s="2" t="s">
        <v>459</v>
      </c>
      <c r="I1093" s="2" t="n">
        <f aca="false">IF(F1093="Present",9,IF(F1093="Half Day",4,0))</f>
        <v>9</v>
      </c>
      <c r="J1093" s="2"/>
      <c r="K1093" s="2"/>
    </row>
    <row r="1094" customFormat="false" ht="15" hidden="false" customHeight="false" outlineLevel="0" collapsed="false">
      <c r="A1094" s="2" t="s">
        <v>116</v>
      </c>
      <c r="B1094" s="2" t="s">
        <v>117</v>
      </c>
      <c r="C1094" s="2" t="s">
        <v>41</v>
      </c>
      <c r="D1094" s="3" t="n">
        <v>46242</v>
      </c>
      <c r="E1094" s="2" t="str">
        <f aca="false">TEXT(D1094,"dddd")</f>
        <v>Saturday</v>
      </c>
      <c r="F1094" s="2" t="s">
        <v>457</v>
      </c>
      <c r="G1094" s="2" t="s">
        <v>458</v>
      </c>
      <c r="H1094" s="2" t="s">
        <v>459</v>
      </c>
      <c r="I1094" s="2" t="n">
        <f aca="false">IF(F1094="Present",9,IF(F1094="Half Day",4,0))</f>
        <v>9</v>
      </c>
      <c r="J1094" s="2"/>
      <c r="K1094" s="2"/>
    </row>
    <row r="1095" customFormat="false" ht="15" hidden="false" customHeight="false" outlineLevel="0" collapsed="false">
      <c r="A1095" s="2" t="s">
        <v>116</v>
      </c>
      <c r="B1095" s="2" t="s">
        <v>117</v>
      </c>
      <c r="C1095" s="2" t="s">
        <v>41</v>
      </c>
      <c r="D1095" s="3" t="n">
        <v>46243</v>
      </c>
      <c r="E1095" s="2" t="str">
        <f aca="false">TEXT(D1095,"dddd")</f>
        <v>Sunday</v>
      </c>
      <c r="F1095" s="2" t="s">
        <v>460</v>
      </c>
      <c r="G1095" s="2"/>
      <c r="H1095" s="2"/>
      <c r="I1095" s="2" t="n">
        <f aca="false">IF(F1095="Present",9,IF(F1095="Half Day",4,0))</f>
        <v>0</v>
      </c>
      <c r="J1095" s="2"/>
      <c r="K1095" s="2" t="s">
        <v>460</v>
      </c>
    </row>
    <row r="1096" customFormat="false" ht="15" hidden="false" customHeight="false" outlineLevel="0" collapsed="false">
      <c r="A1096" s="2" t="s">
        <v>116</v>
      </c>
      <c r="B1096" s="2" t="s">
        <v>117</v>
      </c>
      <c r="C1096" s="2" t="s">
        <v>41</v>
      </c>
      <c r="D1096" s="3" t="n">
        <v>46244</v>
      </c>
      <c r="E1096" s="2" t="str">
        <f aca="false">TEXT(D1096,"dddd")</f>
        <v>Monday</v>
      </c>
      <c r="F1096" s="2" t="s">
        <v>457</v>
      </c>
      <c r="G1096" s="2" t="s">
        <v>458</v>
      </c>
      <c r="H1096" s="2" t="s">
        <v>459</v>
      </c>
      <c r="I1096" s="2" t="n">
        <f aca="false">IF(F1096="Present",9,IF(F1096="Half Day",4,0))</f>
        <v>9</v>
      </c>
      <c r="J1096" s="2"/>
      <c r="K1096" s="2"/>
    </row>
    <row r="1097" customFormat="false" ht="15" hidden="false" customHeight="false" outlineLevel="0" collapsed="false">
      <c r="A1097" s="2" t="s">
        <v>116</v>
      </c>
      <c r="B1097" s="2" t="s">
        <v>117</v>
      </c>
      <c r="C1097" s="2" t="s">
        <v>41</v>
      </c>
      <c r="D1097" s="3" t="n">
        <v>46245</v>
      </c>
      <c r="E1097" s="2" t="str">
        <f aca="false">TEXT(D1097,"dddd")</f>
        <v>Tuesday</v>
      </c>
      <c r="F1097" s="2" t="s">
        <v>457</v>
      </c>
      <c r="G1097" s="2" t="s">
        <v>458</v>
      </c>
      <c r="H1097" s="2" t="s">
        <v>459</v>
      </c>
      <c r="I1097" s="2" t="n">
        <f aca="false">IF(F1097="Present",9,IF(F1097="Half Day",4,0))</f>
        <v>9</v>
      </c>
      <c r="J1097" s="2"/>
      <c r="K1097" s="2"/>
    </row>
    <row r="1098" customFormat="false" ht="15" hidden="false" customHeight="false" outlineLevel="0" collapsed="false">
      <c r="A1098" s="2" t="s">
        <v>116</v>
      </c>
      <c r="B1098" s="2" t="s">
        <v>117</v>
      </c>
      <c r="C1098" s="2" t="s">
        <v>41</v>
      </c>
      <c r="D1098" s="3" t="n">
        <v>46246</v>
      </c>
      <c r="E1098" s="2" t="str">
        <f aca="false">TEXT(D1098,"dddd")</f>
        <v>Wednesday</v>
      </c>
      <c r="F1098" s="2" t="s">
        <v>457</v>
      </c>
      <c r="G1098" s="2" t="s">
        <v>458</v>
      </c>
      <c r="H1098" s="2" t="s">
        <v>459</v>
      </c>
      <c r="I1098" s="2" t="n">
        <f aca="false">IF(F1098="Present",9,IF(F1098="Half Day",4,0))</f>
        <v>9</v>
      </c>
      <c r="J1098" s="2"/>
      <c r="K1098" s="2"/>
    </row>
    <row r="1099" customFormat="false" ht="15" hidden="false" customHeight="false" outlineLevel="0" collapsed="false">
      <c r="A1099" s="2" t="s">
        <v>116</v>
      </c>
      <c r="B1099" s="2" t="s">
        <v>117</v>
      </c>
      <c r="C1099" s="2" t="s">
        <v>41</v>
      </c>
      <c r="D1099" s="3" t="n">
        <v>46247</v>
      </c>
      <c r="E1099" s="2" t="str">
        <f aca="false">TEXT(D1099,"dddd")</f>
        <v>Thursday</v>
      </c>
      <c r="F1099" s="2" t="s">
        <v>457</v>
      </c>
      <c r="G1099" s="2" t="s">
        <v>458</v>
      </c>
      <c r="H1099" s="2" t="s">
        <v>459</v>
      </c>
      <c r="I1099" s="2" t="n">
        <f aca="false">IF(F1099="Present",9,IF(F1099="Half Day",4,0))</f>
        <v>9</v>
      </c>
      <c r="J1099" s="2"/>
      <c r="K1099" s="2"/>
    </row>
    <row r="1100" customFormat="false" ht="15" hidden="false" customHeight="false" outlineLevel="0" collapsed="false">
      <c r="A1100" s="2" t="s">
        <v>116</v>
      </c>
      <c r="B1100" s="2" t="s">
        <v>117</v>
      </c>
      <c r="C1100" s="2" t="s">
        <v>41</v>
      </c>
      <c r="D1100" s="3" t="n">
        <v>46248</v>
      </c>
      <c r="E1100" s="2" t="str">
        <f aca="false">TEXT(D1100,"dddd")</f>
        <v>Friday</v>
      </c>
      <c r="F1100" s="2" t="s">
        <v>457</v>
      </c>
      <c r="G1100" s="2" t="s">
        <v>458</v>
      </c>
      <c r="H1100" s="2" t="s">
        <v>459</v>
      </c>
      <c r="I1100" s="2" t="n">
        <f aca="false">IF(F1100="Present",9,IF(F1100="Half Day",4,0))</f>
        <v>9</v>
      </c>
      <c r="J1100" s="2"/>
      <c r="K1100" s="2"/>
    </row>
    <row r="1101" customFormat="false" ht="15" hidden="false" customHeight="false" outlineLevel="0" collapsed="false">
      <c r="A1101" s="2" t="s">
        <v>116</v>
      </c>
      <c r="B1101" s="2" t="s">
        <v>117</v>
      </c>
      <c r="C1101" s="2" t="s">
        <v>41</v>
      </c>
      <c r="D1101" s="3" t="n">
        <v>46249</v>
      </c>
      <c r="E1101" s="2" t="str">
        <f aca="false">TEXT(D1101,"dddd")</f>
        <v>Saturday</v>
      </c>
      <c r="F1101" s="2" t="s">
        <v>457</v>
      </c>
      <c r="G1101" s="2" t="s">
        <v>458</v>
      </c>
      <c r="H1101" s="2" t="s">
        <v>459</v>
      </c>
      <c r="I1101" s="2" t="n">
        <f aca="false">IF(F1101="Present",9,IF(F1101="Half Day",4,0))</f>
        <v>9</v>
      </c>
      <c r="J1101" s="2"/>
      <c r="K1101" s="2"/>
    </row>
    <row r="1102" customFormat="false" ht="15" hidden="false" customHeight="false" outlineLevel="0" collapsed="false">
      <c r="A1102" s="2" t="s">
        <v>116</v>
      </c>
      <c r="B1102" s="2" t="s">
        <v>117</v>
      </c>
      <c r="C1102" s="2" t="s">
        <v>41</v>
      </c>
      <c r="D1102" s="3" t="n">
        <v>46250</v>
      </c>
      <c r="E1102" s="2" t="str">
        <f aca="false">TEXT(D1102,"dddd")</f>
        <v>Sunday</v>
      </c>
      <c r="F1102" s="2" t="s">
        <v>460</v>
      </c>
      <c r="G1102" s="2"/>
      <c r="H1102" s="2"/>
      <c r="I1102" s="2" t="n">
        <f aca="false">IF(F1102="Present",9,IF(F1102="Half Day",4,0))</f>
        <v>0</v>
      </c>
      <c r="J1102" s="2"/>
      <c r="K1102" s="2" t="s">
        <v>460</v>
      </c>
    </row>
    <row r="1103" customFormat="false" ht="15" hidden="false" customHeight="false" outlineLevel="0" collapsed="false">
      <c r="A1103" s="2" t="s">
        <v>116</v>
      </c>
      <c r="B1103" s="2" t="s">
        <v>117</v>
      </c>
      <c r="C1103" s="2" t="s">
        <v>41</v>
      </c>
      <c r="D1103" s="3" t="n">
        <v>46251</v>
      </c>
      <c r="E1103" s="2" t="str">
        <f aca="false">TEXT(D1103,"dddd")</f>
        <v>Monday</v>
      </c>
      <c r="F1103" s="2" t="s">
        <v>457</v>
      </c>
      <c r="G1103" s="2" t="s">
        <v>458</v>
      </c>
      <c r="H1103" s="2" t="s">
        <v>459</v>
      </c>
      <c r="I1103" s="2" t="n">
        <f aca="false">IF(F1103="Present",9,IF(F1103="Half Day",4,0))</f>
        <v>9</v>
      </c>
      <c r="J1103" s="2"/>
      <c r="K1103" s="2"/>
    </row>
    <row r="1104" customFormat="false" ht="15" hidden="false" customHeight="false" outlineLevel="0" collapsed="false">
      <c r="A1104" s="2" t="s">
        <v>116</v>
      </c>
      <c r="B1104" s="2" t="s">
        <v>117</v>
      </c>
      <c r="C1104" s="2" t="s">
        <v>41</v>
      </c>
      <c r="D1104" s="3" t="n">
        <v>46252</v>
      </c>
      <c r="E1104" s="2" t="str">
        <f aca="false">TEXT(D1104,"dddd")</f>
        <v>Tuesday</v>
      </c>
      <c r="F1104" s="2" t="s">
        <v>457</v>
      </c>
      <c r="G1104" s="2" t="s">
        <v>458</v>
      </c>
      <c r="H1104" s="2" t="s">
        <v>459</v>
      </c>
      <c r="I1104" s="2" t="n">
        <f aca="false">IF(F1104="Present",9,IF(F1104="Half Day",4,0))</f>
        <v>9</v>
      </c>
      <c r="J1104" s="2"/>
      <c r="K1104" s="2"/>
    </row>
    <row r="1105" customFormat="false" ht="15" hidden="false" customHeight="false" outlineLevel="0" collapsed="false">
      <c r="A1105" s="2" t="s">
        <v>116</v>
      </c>
      <c r="B1105" s="2" t="s">
        <v>117</v>
      </c>
      <c r="C1105" s="2" t="s">
        <v>41</v>
      </c>
      <c r="D1105" s="3" t="n">
        <v>46253</v>
      </c>
      <c r="E1105" s="2" t="str">
        <f aca="false">TEXT(D1105,"dddd")</f>
        <v>Wednesday</v>
      </c>
      <c r="F1105" s="2" t="s">
        <v>457</v>
      </c>
      <c r="G1105" s="2" t="s">
        <v>458</v>
      </c>
      <c r="H1105" s="2" t="s">
        <v>459</v>
      </c>
      <c r="I1105" s="2" t="n">
        <f aca="false">IF(F1105="Present",9,IF(F1105="Half Day",4,0))</f>
        <v>9</v>
      </c>
      <c r="J1105" s="2"/>
      <c r="K1105" s="2"/>
    </row>
    <row r="1106" customFormat="false" ht="15" hidden="false" customHeight="false" outlineLevel="0" collapsed="false">
      <c r="A1106" s="2" t="s">
        <v>116</v>
      </c>
      <c r="B1106" s="2" t="s">
        <v>117</v>
      </c>
      <c r="C1106" s="2" t="s">
        <v>41</v>
      </c>
      <c r="D1106" s="3" t="n">
        <v>46254</v>
      </c>
      <c r="E1106" s="2" t="str">
        <f aca="false">TEXT(D1106,"dddd")</f>
        <v>Thursday</v>
      </c>
      <c r="F1106" s="2" t="s">
        <v>457</v>
      </c>
      <c r="G1106" s="2" t="s">
        <v>458</v>
      </c>
      <c r="H1106" s="2" t="s">
        <v>459</v>
      </c>
      <c r="I1106" s="2" t="n">
        <f aca="false">IF(F1106="Present",9,IF(F1106="Half Day",4,0))</f>
        <v>9</v>
      </c>
      <c r="J1106" s="2"/>
      <c r="K1106" s="2"/>
    </row>
    <row r="1107" customFormat="false" ht="15" hidden="false" customHeight="false" outlineLevel="0" collapsed="false">
      <c r="A1107" s="2" t="s">
        <v>116</v>
      </c>
      <c r="B1107" s="2" t="s">
        <v>117</v>
      </c>
      <c r="C1107" s="2" t="s">
        <v>41</v>
      </c>
      <c r="D1107" s="3" t="n">
        <v>46255</v>
      </c>
      <c r="E1107" s="2" t="str">
        <f aca="false">TEXT(D1107,"dddd")</f>
        <v>Friday</v>
      </c>
      <c r="F1107" s="2" t="s">
        <v>461</v>
      </c>
      <c r="G1107" s="2"/>
      <c r="H1107" s="2"/>
      <c r="I1107" s="2" t="n">
        <f aca="false">IF(F1107="Present",9,IF(F1107="Half Day",4,0))</f>
        <v>0</v>
      </c>
      <c r="J1107" s="2"/>
      <c r="K1107" s="2" t="s">
        <v>462</v>
      </c>
    </row>
    <row r="1108" customFormat="false" ht="15" hidden="false" customHeight="false" outlineLevel="0" collapsed="false">
      <c r="A1108" s="2" t="s">
        <v>116</v>
      </c>
      <c r="B1108" s="2" t="s">
        <v>117</v>
      </c>
      <c r="C1108" s="2" t="s">
        <v>41</v>
      </c>
      <c r="D1108" s="3" t="n">
        <v>46256</v>
      </c>
      <c r="E1108" s="2" t="str">
        <f aca="false">TEXT(D1108,"dddd")</f>
        <v>Saturday</v>
      </c>
      <c r="F1108" s="2" t="s">
        <v>457</v>
      </c>
      <c r="G1108" s="2" t="s">
        <v>458</v>
      </c>
      <c r="H1108" s="2" t="s">
        <v>459</v>
      </c>
      <c r="I1108" s="2" t="n">
        <f aca="false">IF(F1108="Present",9,IF(F1108="Half Day",4,0))</f>
        <v>9</v>
      </c>
      <c r="J1108" s="2"/>
      <c r="K1108" s="2"/>
    </row>
    <row r="1109" customFormat="false" ht="15" hidden="false" customHeight="false" outlineLevel="0" collapsed="false">
      <c r="A1109" s="2" t="s">
        <v>116</v>
      </c>
      <c r="B1109" s="2" t="s">
        <v>117</v>
      </c>
      <c r="C1109" s="2" t="s">
        <v>41</v>
      </c>
      <c r="D1109" s="3" t="n">
        <v>46257</v>
      </c>
      <c r="E1109" s="2" t="str">
        <f aca="false">TEXT(D1109,"dddd")</f>
        <v>Sunday</v>
      </c>
      <c r="F1109" s="2" t="s">
        <v>460</v>
      </c>
      <c r="G1109" s="2"/>
      <c r="H1109" s="2"/>
      <c r="I1109" s="2" t="n">
        <f aca="false">IF(F1109="Present",9,IF(F1109="Half Day",4,0))</f>
        <v>0</v>
      </c>
      <c r="J1109" s="2"/>
      <c r="K1109" s="2" t="s">
        <v>460</v>
      </c>
    </row>
    <row r="1110" customFormat="false" ht="15" hidden="false" customHeight="false" outlineLevel="0" collapsed="false">
      <c r="A1110" s="2" t="s">
        <v>116</v>
      </c>
      <c r="B1110" s="2" t="s">
        <v>117</v>
      </c>
      <c r="C1110" s="2" t="s">
        <v>41</v>
      </c>
      <c r="D1110" s="3" t="n">
        <v>46258</v>
      </c>
      <c r="E1110" s="2" t="str">
        <f aca="false">TEXT(D1110,"dddd")</f>
        <v>Monday</v>
      </c>
      <c r="F1110" s="2" t="s">
        <v>457</v>
      </c>
      <c r="G1110" s="2" t="s">
        <v>458</v>
      </c>
      <c r="H1110" s="2" t="s">
        <v>459</v>
      </c>
      <c r="I1110" s="2" t="n">
        <f aca="false">IF(F1110="Present",9,IF(F1110="Half Day",4,0))</f>
        <v>9</v>
      </c>
      <c r="J1110" s="2"/>
      <c r="K1110" s="2"/>
    </row>
    <row r="1111" customFormat="false" ht="15" hidden="false" customHeight="false" outlineLevel="0" collapsed="false">
      <c r="A1111" s="2" t="s">
        <v>116</v>
      </c>
      <c r="B1111" s="2" t="s">
        <v>117</v>
      </c>
      <c r="C1111" s="2" t="s">
        <v>41</v>
      </c>
      <c r="D1111" s="3" t="n">
        <v>46259</v>
      </c>
      <c r="E1111" s="2" t="str">
        <f aca="false">TEXT(D1111,"dddd")</f>
        <v>Tuesday</v>
      </c>
      <c r="F1111" s="2" t="s">
        <v>461</v>
      </c>
      <c r="G1111" s="2"/>
      <c r="H1111" s="2"/>
      <c r="I1111" s="2" t="n">
        <f aca="false">IF(F1111="Present",9,IF(F1111="Half Day",4,0))</f>
        <v>0</v>
      </c>
      <c r="J1111" s="2"/>
      <c r="K1111" s="2" t="s">
        <v>462</v>
      </c>
    </row>
    <row r="1112" customFormat="false" ht="15" hidden="false" customHeight="false" outlineLevel="0" collapsed="false">
      <c r="A1112" s="2" t="s">
        <v>116</v>
      </c>
      <c r="B1112" s="2" t="s">
        <v>117</v>
      </c>
      <c r="C1112" s="2" t="s">
        <v>41</v>
      </c>
      <c r="D1112" s="3" t="n">
        <v>46260</v>
      </c>
      <c r="E1112" s="2" t="str">
        <f aca="false">TEXT(D1112,"dddd")</f>
        <v>Wednesday</v>
      </c>
      <c r="F1112" s="2" t="s">
        <v>457</v>
      </c>
      <c r="G1112" s="2" t="s">
        <v>458</v>
      </c>
      <c r="H1112" s="2" t="s">
        <v>459</v>
      </c>
      <c r="I1112" s="2" t="n">
        <f aca="false">IF(F1112="Present",9,IF(F1112="Half Day",4,0))</f>
        <v>9</v>
      </c>
      <c r="J1112" s="2"/>
      <c r="K1112" s="2"/>
    </row>
    <row r="1113" customFormat="false" ht="15" hidden="false" customHeight="false" outlineLevel="0" collapsed="false">
      <c r="A1113" s="2" t="s">
        <v>116</v>
      </c>
      <c r="B1113" s="2" t="s">
        <v>117</v>
      </c>
      <c r="C1113" s="2" t="s">
        <v>41</v>
      </c>
      <c r="D1113" s="3" t="n">
        <v>46261</v>
      </c>
      <c r="E1113" s="2" t="str">
        <f aca="false">TEXT(D1113,"dddd")</f>
        <v>Thursday</v>
      </c>
      <c r="F1113" s="2" t="s">
        <v>457</v>
      </c>
      <c r="G1113" s="2" t="s">
        <v>458</v>
      </c>
      <c r="H1113" s="2" t="s">
        <v>459</v>
      </c>
      <c r="I1113" s="2" t="n">
        <f aca="false">IF(F1113="Present",9,IF(F1113="Half Day",4,0))</f>
        <v>9</v>
      </c>
      <c r="J1113" s="2"/>
      <c r="K1113" s="2"/>
    </row>
    <row r="1114" customFormat="false" ht="15" hidden="false" customHeight="false" outlineLevel="0" collapsed="false">
      <c r="A1114" s="2" t="s">
        <v>116</v>
      </c>
      <c r="B1114" s="2" t="s">
        <v>117</v>
      </c>
      <c r="C1114" s="2" t="s">
        <v>41</v>
      </c>
      <c r="D1114" s="3" t="n">
        <v>46262</v>
      </c>
      <c r="E1114" s="2" t="str">
        <f aca="false">TEXT(D1114,"dddd")</f>
        <v>Friday</v>
      </c>
      <c r="F1114" s="2" t="s">
        <v>457</v>
      </c>
      <c r="G1114" s="2" t="s">
        <v>458</v>
      </c>
      <c r="H1114" s="2" t="s">
        <v>459</v>
      </c>
      <c r="I1114" s="2" t="n">
        <f aca="false">IF(F1114="Present",9,IF(F1114="Half Day",4,0))</f>
        <v>9</v>
      </c>
      <c r="J1114" s="2"/>
      <c r="K1114" s="2"/>
    </row>
    <row r="1115" customFormat="false" ht="15" hidden="false" customHeight="false" outlineLevel="0" collapsed="false">
      <c r="A1115" s="2" t="s">
        <v>116</v>
      </c>
      <c r="B1115" s="2" t="s">
        <v>117</v>
      </c>
      <c r="C1115" s="2" t="s">
        <v>41</v>
      </c>
      <c r="D1115" s="3" t="n">
        <v>46263</v>
      </c>
      <c r="E1115" s="2" t="str">
        <f aca="false">TEXT(D1115,"dddd")</f>
        <v>Saturday</v>
      </c>
      <c r="F1115" s="2" t="s">
        <v>457</v>
      </c>
      <c r="G1115" s="2" t="s">
        <v>458</v>
      </c>
      <c r="H1115" s="2" t="s">
        <v>459</v>
      </c>
      <c r="I1115" s="2" t="n">
        <f aca="false">IF(F1115="Present",9,IF(F1115="Half Day",4,0))</f>
        <v>9</v>
      </c>
      <c r="J1115" s="2"/>
      <c r="K1115" s="2"/>
    </row>
    <row r="1116" customFormat="false" ht="15" hidden="false" customHeight="false" outlineLevel="0" collapsed="false">
      <c r="A1116" s="2" t="s">
        <v>116</v>
      </c>
      <c r="B1116" s="2" t="s">
        <v>117</v>
      </c>
      <c r="C1116" s="2" t="s">
        <v>41</v>
      </c>
      <c r="D1116" s="3" t="n">
        <v>46264</v>
      </c>
      <c r="E1116" s="2" t="str">
        <f aca="false">TEXT(D1116,"dddd")</f>
        <v>Sunday</v>
      </c>
      <c r="F1116" s="2" t="s">
        <v>460</v>
      </c>
      <c r="G1116" s="2"/>
      <c r="H1116" s="2"/>
      <c r="I1116" s="2" t="n">
        <f aca="false">IF(F1116="Present",9,IF(F1116="Half Day",4,0))</f>
        <v>0</v>
      </c>
      <c r="J1116" s="2"/>
      <c r="K1116" s="2" t="s">
        <v>460</v>
      </c>
    </row>
    <row r="1117" customFormat="false" ht="15" hidden="false" customHeight="false" outlineLevel="0" collapsed="false">
      <c r="A1117" s="2" t="s">
        <v>116</v>
      </c>
      <c r="B1117" s="2" t="s">
        <v>117</v>
      </c>
      <c r="C1117" s="2" t="s">
        <v>41</v>
      </c>
      <c r="D1117" s="3" t="n">
        <v>46265</v>
      </c>
      <c r="E1117" s="2" t="str">
        <f aca="false">TEXT(D1117,"dddd")</f>
        <v>Monday</v>
      </c>
      <c r="F1117" s="2" t="s">
        <v>457</v>
      </c>
      <c r="G1117" s="2" t="s">
        <v>458</v>
      </c>
      <c r="H1117" s="2" t="s">
        <v>459</v>
      </c>
      <c r="I1117" s="2" t="n">
        <f aca="false">IF(F1117="Present",9,IF(F1117="Half Day",4,0))</f>
        <v>9</v>
      </c>
      <c r="J1117" s="2"/>
      <c r="K1117" s="2"/>
    </row>
    <row r="1118" customFormat="false" ht="15" hidden="false" customHeight="false" outlineLevel="0" collapsed="false">
      <c r="A1118" s="2" t="s">
        <v>118</v>
      </c>
      <c r="B1118" s="2" t="s">
        <v>119</v>
      </c>
      <c r="C1118" s="2" t="s">
        <v>45</v>
      </c>
      <c r="D1118" s="3" t="n">
        <v>46235</v>
      </c>
      <c r="E1118" s="2" t="str">
        <f aca="false">TEXT(D1118,"dddd")</f>
        <v>Saturday</v>
      </c>
      <c r="F1118" s="2" t="s">
        <v>457</v>
      </c>
      <c r="G1118" s="2" t="s">
        <v>458</v>
      </c>
      <c r="H1118" s="2" t="s">
        <v>459</v>
      </c>
      <c r="I1118" s="2" t="n">
        <f aca="false">IF(F1118="Present",9,IF(F1118="Half Day",4,0))</f>
        <v>9</v>
      </c>
      <c r="J1118" s="2"/>
      <c r="K1118" s="2"/>
    </row>
    <row r="1119" customFormat="false" ht="15" hidden="false" customHeight="false" outlineLevel="0" collapsed="false">
      <c r="A1119" s="2" t="s">
        <v>118</v>
      </c>
      <c r="B1119" s="2" t="s">
        <v>119</v>
      </c>
      <c r="C1119" s="2" t="s">
        <v>45</v>
      </c>
      <c r="D1119" s="3" t="n">
        <v>46236</v>
      </c>
      <c r="E1119" s="2" t="str">
        <f aca="false">TEXT(D1119,"dddd")</f>
        <v>Sunday</v>
      </c>
      <c r="F1119" s="2" t="s">
        <v>460</v>
      </c>
      <c r="G1119" s="2"/>
      <c r="H1119" s="2"/>
      <c r="I1119" s="2" t="n">
        <f aca="false">IF(F1119="Present",9,IF(F1119="Half Day",4,0))</f>
        <v>0</v>
      </c>
      <c r="J1119" s="2"/>
      <c r="K1119" s="2" t="s">
        <v>460</v>
      </c>
    </row>
    <row r="1120" customFormat="false" ht="15" hidden="false" customHeight="false" outlineLevel="0" collapsed="false">
      <c r="A1120" s="2" t="s">
        <v>118</v>
      </c>
      <c r="B1120" s="2" t="s">
        <v>119</v>
      </c>
      <c r="C1120" s="2" t="s">
        <v>45</v>
      </c>
      <c r="D1120" s="3" t="n">
        <v>46237</v>
      </c>
      <c r="E1120" s="2" t="str">
        <f aca="false">TEXT(D1120,"dddd")</f>
        <v>Monday</v>
      </c>
      <c r="F1120" s="2" t="s">
        <v>457</v>
      </c>
      <c r="G1120" s="2" t="s">
        <v>458</v>
      </c>
      <c r="H1120" s="2" t="s">
        <v>459</v>
      </c>
      <c r="I1120" s="2" t="n">
        <f aca="false">IF(F1120="Present",9,IF(F1120="Half Day",4,0))</f>
        <v>9</v>
      </c>
      <c r="J1120" s="2"/>
      <c r="K1120" s="2"/>
    </row>
    <row r="1121" customFormat="false" ht="15" hidden="false" customHeight="false" outlineLevel="0" collapsed="false">
      <c r="A1121" s="2" t="s">
        <v>118</v>
      </c>
      <c r="B1121" s="2" t="s">
        <v>119</v>
      </c>
      <c r="C1121" s="2" t="s">
        <v>45</v>
      </c>
      <c r="D1121" s="3" t="n">
        <v>46238</v>
      </c>
      <c r="E1121" s="2" t="str">
        <f aca="false">TEXT(D1121,"dddd")</f>
        <v>Tuesday</v>
      </c>
      <c r="F1121" s="2" t="s">
        <v>457</v>
      </c>
      <c r="G1121" s="2" t="s">
        <v>458</v>
      </c>
      <c r="H1121" s="2" t="s">
        <v>459</v>
      </c>
      <c r="I1121" s="2" t="n">
        <f aca="false">IF(F1121="Present",9,IF(F1121="Half Day",4,0))</f>
        <v>9</v>
      </c>
      <c r="J1121" s="2"/>
      <c r="K1121" s="2"/>
    </row>
    <row r="1122" customFormat="false" ht="15" hidden="false" customHeight="false" outlineLevel="0" collapsed="false">
      <c r="A1122" s="2" t="s">
        <v>118</v>
      </c>
      <c r="B1122" s="2" t="s">
        <v>119</v>
      </c>
      <c r="C1122" s="2" t="s">
        <v>45</v>
      </c>
      <c r="D1122" s="3" t="n">
        <v>46239</v>
      </c>
      <c r="E1122" s="2" t="str">
        <f aca="false">TEXT(D1122,"dddd")</f>
        <v>Wednesday</v>
      </c>
      <c r="F1122" s="2" t="s">
        <v>457</v>
      </c>
      <c r="G1122" s="2" t="s">
        <v>458</v>
      </c>
      <c r="H1122" s="2" t="s">
        <v>459</v>
      </c>
      <c r="I1122" s="2" t="n">
        <f aca="false">IF(F1122="Present",9,IF(F1122="Half Day",4,0))</f>
        <v>9</v>
      </c>
      <c r="J1122" s="2"/>
      <c r="K1122" s="2"/>
    </row>
    <row r="1123" customFormat="false" ht="15" hidden="false" customHeight="false" outlineLevel="0" collapsed="false">
      <c r="A1123" s="2" t="s">
        <v>118</v>
      </c>
      <c r="B1123" s="2" t="s">
        <v>119</v>
      </c>
      <c r="C1123" s="2" t="s">
        <v>45</v>
      </c>
      <c r="D1123" s="3" t="n">
        <v>46240</v>
      </c>
      <c r="E1123" s="2" t="str">
        <f aca="false">TEXT(D1123,"dddd")</f>
        <v>Thursday</v>
      </c>
      <c r="F1123" s="2" t="s">
        <v>457</v>
      </c>
      <c r="G1123" s="2" t="s">
        <v>458</v>
      </c>
      <c r="H1123" s="2" t="s">
        <v>459</v>
      </c>
      <c r="I1123" s="2" t="n">
        <f aca="false">IF(F1123="Present",9,IF(F1123="Half Day",4,0))</f>
        <v>9</v>
      </c>
      <c r="J1123" s="2"/>
      <c r="K1123" s="2"/>
    </row>
    <row r="1124" customFormat="false" ht="15" hidden="false" customHeight="false" outlineLevel="0" collapsed="false">
      <c r="A1124" s="2" t="s">
        <v>118</v>
      </c>
      <c r="B1124" s="2" t="s">
        <v>119</v>
      </c>
      <c r="C1124" s="2" t="s">
        <v>45</v>
      </c>
      <c r="D1124" s="3" t="n">
        <v>46241</v>
      </c>
      <c r="E1124" s="2" t="str">
        <f aca="false">TEXT(D1124,"dddd")</f>
        <v>Friday</v>
      </c>
      <c r="F1124" s="2" t="s">
        <v>461</v>
      </c>
      <c r="G1124" s="2"/>
      <c r="H1124" s="2"/>
      <c r="I1124" s="2" t="n">
        <f aca="false">IF(F1124="Present",9,IF(F1124="Half Day",4,0))</f>
        <v>0</v>
      </c>
      <c r="J1124" s="2"/>
      <c r="K1124" s="2" t="s">
        <v>462</v>
      </c>
    </row>
    <row r="1125" customFormat="false" ht="15" hidden="false" customHeight="false" outlineLevel="0" collapsed="false">
      <c r="A1125" s="2" t="s">
        <v>118</v>
      </c>
      <c r="B1125" s="2" t="s">
        <v>119</v>
      </c>
      <c r="C1125" s="2" t="s">
        <v>45</v>
      </c>
      <c r="D1125" s="3" t="n">
        <v>46242</v>
      </c>
      <c r="E1125" s="2" t="str">
        <f aca="false">TEXT(D1125,"dddd")</f>
        <v>Saturday</v>
      </c>
      <c r="F1125" s="2" t="s">
        <v>457</v>
      </c>
      <c r="G1125" s="2" t="s">
        <v>458</v>
      </c>
      <c r="H1125" s="2" t="s">
        <v>459</v>
      </c>
      <c r="I1125" s="2" t="n">
        <f aca="false">IF(F1125="Present",9,IF(F1125="Half Day",4,0))</f>
        <v>9</v>
      </c>
      <c r="J1125" s="2"/>
      <c r="K1125" s="2"/>
    </row>
    <row r="1126" customFormat="false" ht="15" hidden="false" customHeight="false" outlineLevel="0" collapsed="false">
      <c r="A1126" s="2" t="s">
        <v>118</v>
      </c>
      <c r="B1126" s="2" t="s">
        <v>119</v>
      </c>
      <c r="C1126" s="2" t="s">
        <v>45</v>
      </c>
      <c r="D1126" s="3" t="n">
        <v>46243</v>
      </c>
      <c r="E1126" s="2" t="str">
        <f aca="false">TEXT(D1126,"dddd")</f>
        <v>Sunday</v>
      </c>
      <c r="F1126" s="2" t="s">
        <v>460</v>
      </c>
      <c r="G1126" s="2"/>
      <c r="H1126" s="2"/>
      <c r="I1126" s="2" t="n">
        <f aca="false">IF(F1126="Present",9,IF(F1126="Half Day",4,0))</f>
        <v>0</v>
      </c>
      <c r="J1126" s="2"/>
      <c r="K1126" s="2" t="s">
        <v>460</v>
      </c>
    </row>
    <row r="1127" customFormat="false" ht="15" hidden="false" customHeight="false" outlineLevel="0" collapsed="false">
      <c r="A1127" s="2" t="s">
        <v>118</v>
      </c>
      <c r="B1127" s="2" t="s">
        <v>119</v>
      </c>
      <c r="C1127" s="2" t="s">
        <v>45</v>
      </c>
      <c r="D1127" s="3" t="n">
        <v>46244</v>
      </c>
      <c r="E1127" s="2" t="str">
        <f aca="false">TEXT(D1127,"dddd")</f>
        <v>Monday</v>
      </c>
      <c r="F1127" s="2" t="s">
        <v>457</v>
      </c>
      <c r="G1127" s="2" t="s">
        <v>458</v>
      </c>
      <c r="H1127" s="2" t="s">
        <v>459</v>
      </c>
      <c r="I1127" s="2" t="n">
        <f aca="false">IF(F1127="Present",9,IF(F1127="Half Day",4,0))</f>
        <v>9</v>
      </c>
      <c r="J1127" s="2"/>
      <c r="K1127" s="2"/>
    </row>
    <row r="1128" customFormat="false" ht="15" hidden="false" customHeight="false" outlineLevel="0" collapsed="false">
      <c r="A1128" s="2" t="s">
        <v>118</v>
      </c>
      <c r="B1128" s="2" t="s">
        <v>119</v>
      </c>
      <c r="C1128" s="2" t="s">
        <v>45</v>
      </c>
      <c r="D1128" s="3" t="n">
        <v>46245</v>
      </c>
      <c r="E1128" s="2" t="str">
        <f aca="false">TEXT(D1128,"dddd")</f>
        <v>Tuesday</v>
      </c>
      <c r="F1128" s="2" t="s">
        <v>457</v>
      </c>
      <c r="G1128" s="2" t="s">
        <v>458</v>
      </c>
      <c r="H1128" s="2" t="s">
        <v>459</v>
      </c>
      <c r="I1128" s="2" t="n">
        <f aca="false">IF(F1128="Present",9,IF(F1128="Half Day",4,0))</f>
        <v>9</v>
      </c>
      <c r="J1128" s="2"/>
      <c r="K1128" s="2"/>
    </row>
    <row r="1129" customFormat="false" ht="15" hidden="false" customHeight="false" outlineLevel="0" collapsed="false">
      <c r="A1129" s="2" t="s">
        <v>118</v>
      </c>
      <c r="B1129" s="2" t="s">
        <v>119</v>
      </c>
      <c r="C1129" s="2" t="s">
        <v>45</v>
      </c>
      <c r="D1129" s="3" t="n">
        <v>46246</v>
      </c>
      <c r="E1129" s="2" t="str">
        <f aca="false">TEXT(D1129,"dddd")</f>
        <v>Wednesday</v>
      </c>
      <c r="F1129" s="2" t="s">
        <v>457</v>
      </c>
      <c r="G1129" s="2" t="s">
        <v>458</v>
      </c>
      <c r="H1129" s="2" t="s">
        <v>459</v>
      </c>
      <c r="I1129" s="2" t="n">
        <f aca="false">IF(F1129="Present",9,IF(F1129="Half Day",4,0))</f>
        <v>9</v>
      </c>
      <c r="J1129" s="2"/>
      <c r="K1129" s="2"/>
    </row>
    <row r="1130" customFormat="false" ht="15" hidden="false" customHeight="false" outlineLevel="0" collapsed="false">
      <c r="A1130" s="2" t="s">
        <v>118</v>
      </c>
      <c r="B1130" s="2" t="s">
        <v>119</v>
      </c>
      <c r="C1130" s="2" t="s">
        <v>45</v>
      </c>
      <c r="D1130" s="3" t="n">
        <v>46247</v>
      </c>
      <c r="E1130" s="2" t="str">
        <f aca="false">TEXT(D1130,"dddd")</f>
        <v>Thursday</v>
      </c>
      <c r="F1130" s="2" t="s">
        <v>461</v>
      </c>
      <c r="G1130" s="2"/>
      <c r="H1130" s="2"/>
      <c r="I1130" s="2" t="n">
        <f aca="false">IF(F1130="Present",9,IF(F1130="Half Day",4,0))</f>
        <v>0</v>
      </c>
      <c r="J1130" s="2"/>
      <c r="K1130" s="2" t="s">
        <v>462</v>
      </c>
    </row>
    <row r="1131" customFormat="false" ht="15" hidden="false" customHeight="false" outlineLevel="0" collapsed="false">
      <c r="A1131" s="2" t="s">
        <v>118</v>
      </c>
      <c r="B1131" s="2" t="s">
        <v>119</v>
      </c>
      <c r="C1131" s="2" t="s">
        <v>45</v>
      </c>
      <c r="D1131" s="3" t="n">
        <v>46248</v>
      </c>
      <c r="E1131" s="2" t="str">
        <f aca="false">TEXT(D1131,"dddd")</f>
        <v>Friday</v>
      </c>
      <c r="F1131" s="2" t="s">
        <v>457</v>
      </c>
      <c r="G1131" s="2" t="s">
        <v>458</v>
      </c>
      <c r="H1131" s="2" t="s">
        <v>459</v>
      </c>
      <c r="I1131" s="2" t="n">
        <f aca="false">IF(F1131="Present",9,IF(F1131="Half Day",4,0))</f>
        <v>9</v>
      </c>
      <c r="J1131" s="2"/>
      <c r="K1131" s="2"/>
    </row>
    <row r="1132" customFormat="false" ht="15" hidden="false" customHeight="false" outlineLevel="0" collapsed="false">
      <c r="A1132" s="2" t="s">
        <v>118</v>
      </c>
      <c r="B1132" s="2" t="s">
        <v>119</v>
      </c>
      <c r="C1132" s="2" t="s">
        <v>45</v>
      </c>
      <c r="D1132" s="3" t="n">
        <v>46249</v>
      </c>
      <c r="E1132" s="2" t="str">
        <f aca="false">TEXT(D1132,"dddd")</f>
        <v>Saturday</v>
      </c>
      <c r="F1132" s="2" t="s">
        <v>457</v>
      </c>
      <c r="G1132" s="2" t="s">
        <v>458</v>
      </c>
      <c r="H1132" s="2" t="s">
        <v>459</v>
      </c>
      <c r="I1132" s="2" t="n">
        <f aca="false">IF(F1132="Present",9,IF(F1132="Half Day",4,0))</f>
        <v>9</v>
      </c>
      <c r="J1132" s="2"/>
      <c r="K1132" s="2"/>
    </row>
    <row r="1133" customFormat="false" ht="15" hidden="false" customHeight="false" outlineLevel="0" collapsed="false">
      <c r="A1133" s="2" t="s">
        <v>118</v>
      </c>
      <c r="B1133" s="2" t="s">
        <v>119</v>
      </c>
      <c r="C1133" s="2" t="s">
        <v>45</v>
      </c>
      <c r="D1133" s="3" t="n">
        <v>46250</v>
      </c>
      <c r="E1133" s="2" t="str">
        <f aca="false">TEXT(D1133,"dddd")</f>
        <v>Sunday</v>
      </c>
      <c r="F1133" s="2" t="s">
        <v>460</v>
      </c>
      <c r="G1133" s="2"/>
      <c r="H1133" s="2"/>
      <c r="I1133" s="2" t="n">
        <f aca="false">IF(F1133="Present",9,IF(F1133="Half Day",4,0))</f>
        <v>0</v>
      </c>
      <c r="J1133" s="2"/>
      <c r="K1133" s="2" t="s">
        <v>460</v>
      </c>
    </row>
    <row r="1134" customFormat="false" ht="15" hidden="false" customHeight="false" outlineLevel="0" collapsed="false">
      <c r="A1134" s="2" t="s">
        <v>118</v>
      </c>
      <c r="B1134" s="2" t="s">
        <v>119</v>
      </c>
      <c r="C1134" s="2" t="s">
        <v>45</v>
      </c>
      <c r="D1134" s="3" t="n">
        <v>46251</v>
      </c>
      <c r="E1134" s="2" t="str">
        <f aca="false">TEXT(D1134,"dddd")</f>
        <v>Monday</v>
      </c>
      <c r="F1134" s="2" t="s">
        <v>457</v>
      </c>
      <c r="G1134" s="2" t="s">
        <v>458</v>
      </c>
      <c r="H1134" s="2" t="s">
        <v>459</v>
      </c>
      <c r="I1134" s="2" t="n">
        <f aca="false">IF(F1134="Present",9,IF(F1134="Half Day",4,0))</f>
        <v>9</v>
      </c>
      <c r="J1134" s="2"/>
      <c r="K1134" s="2"/>
    </row>
    <row r="1135" customFormat="false" ht="15" hidden="false" customHeight="false" outlineLevel="0" collapsed="false">
      <c r="A1135" s="2" t="s">
        <v>118</v>
      </c>
      <c r="B1135" s="2" t="s">
        <v>119</v>
      </c>
      <c r="C1135" s="2" t="s">
        <v>45</v>
      </c>
      <c r="D1135" s="3" t="n">
        <v>46252</v>
      </c>
      <c r="E1135" s="2" t="str">
        <f aca="false">TEXT(D1135,"dddd")</f>
        <v>Tuesday</v>
      </c>
      <c r="F1135" s="2" t="s">
        <v>457</v>
      </c>
      <c r="G1135" s="2" t="s">
        <v>458</v>
      </c>
      <c r="H1135" s="2" t="s">
        <v>459</v>
      </c>
      <c r="I1135" s="2" t="n">
        <f aca="false">IF(F1135="Present",9,IF(F1135="Half Day",4,0))</f>
        <v>9</v>
      </c>
      <c r="J1135" s="2"/>
      <c r="K1135" s="2"/>
    </row>
    <row r="1136" customFormat="false" ht="15" hidden="false" customHeight="false" outlineLevel="0" collapsed="false">
      <c r="A1136" s="2" t="s">
        <v>118</v>
      </c>
      <c r="B1136" s="2" t="s">
        <v>119</v>
      </c>
      <c r="C1136" s="2" t="s">
        <v>45</v>
      </c>
      <c r="D1136" s="3" t="n">
        <v>46253</v>
      </c>
      <c r="E1136" s="2" t="str">
        <f aca="false">TEXT(D1136,"dddd")</f>
        <v>Wednesday</v>
      </c>
      <c r="F1136" s="2" t="s">
        <v>457</v>
      </c>
      <c r="G1136" s="2" t="s">
        <v>458</v>
      </c>
      <c r="H1136" s="2" t="s">
        <v>459</v>
      </c>
      <c r="I1136" s="2" t="n">
        <f aca="false">IF(F1136="Present",9,IF(F1136="Half Day",4,0))</f>
        <v>9</v>
      </c>
      <c r="J1136" s="2"/>
      <c r="K1136" s="2"/>
    </row>
    <row r="1137" customFormat="false" ht="15" hidden="false" customHeight="false" outlineLevel="0" collapsed="false">
      <c r="A1137" s="2" t="s">
        <v>118</v>
      </c>
      <c r="B1137" s="2" t="s">
        <v>119</v>
      </c>
      <c r="C1137" s="2" t="s">
        <v>45</v>
      </c>
      <c r="D1137" s="3" t="n">
        <v>46254</v>
      </c>
      <c r="E1137" s="2" t="str">
        <f aca="false">TEXT(D1137,"dddd")</f>
        <v>Thursday</v>
      </c>
      <c r="F1137" s="2" t="s">
        <v>457</v>
      </c>
      <c r="G1137" s="2" t="s">
        <v>458</v>
      </c>
      <c r="H1137" s="2" t="s">
        <v>459</v>
      </c>
      <c r="I1137" s="2" t="n">
        <f aca="false">IF(F1137="Present",9,IF(F1137="Half Day",4,0))</f>
        <v>9</v>
      </c>
      <c r="J1137" s="2"/>
      <c r="K1137" s="2"/>
    </row>
    <row r="1138" customFormat="false" ht="15" hidden="false" customHeight="false" outlineLevel="0" collapsed="false">
      <c r="A1138" s="2" t="s">
        <v>118</v>
      </c>
      <c r="B1138" s="2" t="s">
        <v>119</v>
      </c>
      <c r="C1138" s="2" t="s">
        <v>45</v>
      </c>
      <c r="D1138" s="3" t="n">
        <v>46255</v>
      </c>
      <c r="E1138" s="2" t="str">
        <f aca="false">TEXT(D1138,"dddd")</f>
        <v>Friday</v>
      </c>
      <c r="F1138" s="2" t="s">
        <v>457</v>
      </c>
      <c r="G1138" s="2" t="s">
        <v>458</v>
      </c>
      <c r="H1138" s="2" t="s">
        <v>459</v>
      </c>
      <c r="I1138" s="2" t="n">
        <f aca="false">IF(F1138="Present",9,IF(F1138="Half Day",4,0))</f>
        <v>9</v>
      </c>
      <c r="J1138" s="2"/>
      <c r="K1138" s="2"/>
    </row>
    <row r="1139" customFormat="false" ht="15" hidden="false" customHeight="false" outlineLevel="0" collapsed="false">
      <c r="A1139" s="2" t="s">
        <v>118</v>
      </c>
      <c r="B1139" s="2" t="s">
        <v>119</v>
      </c>
      <c r="C1139" s="2" t="s">
        <v>45</v>
      </c>
      <c r="D1139" s="3" t="n">
        <v>46256</v>
      </c>
      <c r="E1139" s="2" t="str">
        <f aca="false">TEXT(D1139,"dddd")</f>
        <v>Saturday</v>
      </c>
      <c r="F1139" s="2" t="s">
        <v>457</v>
      </c>
      <c r="G1139" s="2" t="s">
        <v>458</v>
      </c>
      <c r="H1139" s="2" t="s">
        <v>459</v>
      </c>
      <c r="I1139" s="2" t="n">
        <f aca="false">IF(F1139="Present",9,IF(F1139="Half Day",4,0))</f>
        <v>9</v>
      </c>
      <c r="J1139" s="2"/>
      <c r="K1139" s="2"/>
    </row>
    <row r="1140" customFormat="false" ht="15" hidden="false" customHeight="false" outlineLevel="0" collapsed="false">
      <c r="A1140" s="2" t="s">
        <v>118</v>
      </c>
      <c r="B1140" s="2" t="s">
        <v>119</v>
      </c>
      <c r="C1140" s="2" t="s">
        <v>45</v>
      </c>
      <c r="D1140" s="3" t="n">
        <v>46257</v>
      </c>
      <c r="E1140" s="2" t="str">
        <f aca="false">TEXT(D1140,"dddd")</f>
        <v>Sunday</v>
      </c>
      <c r="F1140" s="2" t="s">
        <v>460</v>
      </c>
      <c r="G1140" s="2"/>
      <c r="H1140" s="2"/>
      <c r="I1140" s="2" t="n">
        <f aca="false">IF(F1140="Present",9,IF(F1140="Half Day",4,0))</f>
        <v>0</v>
      </c>
      <c r="J1140" s="2"/>
      <c r="K1140" s="2" t="s">
        <v>460</v>
      </c>
    </row>
    <row r="1141" customFormat="false" ht="15" hidden="false" customHeight="false" outlineLevel="0" collapsed="false">
      <c r="A1141" s="2" t="s">
        <v>118</v>
      </c>
      <c r="B1141" s="2" t="s">
        <v>119</v>
      </c>
      <c r="C1141" s="2" t="s">
        <v>45</v>
      </c>
      <c r="D1141" s="3" t="n">
        <v>46258</v>
      </c>
      <c r="E1141" s="2" t="str">
        <f aca="false">TEXT(D1141,"dddd")</f>
        <v>Monday</v>
      </c>
      <c r="F1141" s="2" t="s">
        <v>457</v>
      </c>
      <c r="G1141" s="2" t="s">
        <v>458</v>
      </c>
      <c r="H1141" s="2" t="s">
        <v>459</v>
      </c>
      <c r="I1141" s="2" t="n">
        <f aca="false">IF(F1141="Present",9,IF(F1141="Half Day",4,0))</f>
        <v>9</v>
      </c>
      <c r="J1141" s="2"/>
      <c r="K1141" s="2"/>
    </row>
    <row r="1142" customFormat="false" ht="15" hidden="false" customHeight="false" outlineLevel="0" collapsed="false">
      <c r="A1142" s="2" t="s">
        <v>118</v>
      </c>
      <c r="B1142" s="2" t="s">
        <v>119</v>
      </c>
      <c r="C1142" s="2" t="s">
        <v>45</v>
      </c>
      <c r="D1142" s="3" t="n">
        <v>46259</v>
      </c>
      <c r="E1142" s="2" t="str">
        <f aca="false">TEXT(D1142,"dddd")</f>
        <v>Tuesday</v>
      </c>
      <c r="F1142" s="2" t="s">
        <v>461</v>
      </c>
      <c r="G1142" s="2"/>
      <c r="H1142" s="2"/>
      <c r="I1142" s="2" t="n">
        <f aca="false">IF(F1142="Present",9,IF(F1142="Half Day",4,0))</f>
        <v>0</v>
      </c>
      <c r="J1142" s="2"/>
      <c r="K1142" s="2" t="s">
        <v>462</v>
      </c>
    </row>
    <row r="1143" customFormat="false" ht="15" hidden="false" customHeight="false" outlineLevel="0" collapsed="false">
      <c r="A1143" s="2" t="s">
        <v>118</v>
      </c>
      <c r="B1143" s="2" t="s">
        <v>119</v>
      </c>
      <c r="C1143" s="2" t="s">
        <v>45</v>
      </c>
      <c r="D1143" s="3" t="n">
        <v>46260</v>
      </c>
      <c r="E1143" s="2" t="str">
        <f aca="false">TEXT(D1143,"dddd")</f>
        <v>Wednesday</v>
      </c>
      <c r="F1143" s="2" t="s">
        <v>457</v>
      </c>
      <c r="G1143" s="2" t="s">
        <v>458</v>
      </c>
      <c r="H1143" s="2" t="s">
        <v>459</v>
      </c>
      <c r="I1143" s="2" t="n">
        <f aca="false">IF(F1143="Present",9,IF(F1143="Half Day",4,0))</f>
        <v>9</v>
      </c>
      <c r="J1143" s="2"/>
      <c r="K1143" s="2"/>
    </row>
    <row r="1144" customFormat="false" ht="15" hidden="false" customHeight="false" outlineLevel="0" collapsed="false">
      <c r="A1144" s="2" t="s">
        <v>118</v>
      </c>
      <c r="B1144" s="2" t="s">
        <v>119</v>
      </c>
      <c r="C1144" s="2" t="s">
        <v>45</v>
      </c>
      <c r="D1144" s="3" t="n">
        <v>46261</v>
      </c>
      <c r="E1144" s="2" t="str">
        <f aca="false">TEXT(D1144,"dddd")</f>
        <v>Thursday</v>
      </c>
      <c r="F1144" s="2" t="s">
        <v>457</v>
      </c>
      <c r="G1144" s="2" t="s">
        <v>458</v>
      </c>
      <c r="H1144" s="2" t="s">
        <v>459</v>
      </c>
      <c r="I1144" s="2" t="n">
        <f aca="false">IF(F1144="Present",9,IF(F1144="Half Day",4,0))</f>
        <v>9</v>
      </c>
      <c r="J1144" s="2"/>
      <c r="K1144" s="2"/>
    </row>
    <row r="1145" customFormat="false" ht="15" hidden="false" customHeight="false" outlineLevel="0" collapsed="false">
      <c r="A1145" s="2" t="s">
        <v>118</v>
      </c>
      <c r="B1145" s="2" t="s">
        <v>119</v>
      </c>
      <c r="C1145" s="2" t="s">
        <v>45</v>
      </c>
      <c r="D1145" s="3" t="n">
        <v>46262</v>
      </c>
      <c r="E1145" s="2" t="str">
        <f aca="false">TEXT(D1145,"dddd")</f>
        <v>Friday</v>
      </c>
      <c r="F1145" s="2" t="s">
        <v>457</v>
      </c>
      <c r="G1145" s="2" t="s">
        <v>458</v>
      </c>
      <c r="H1145" s="2" t="s">
        <v>459</v>
      </c>
      <c r="I1145" s="2" t="n">
        <f aca="false">IF(F1145="Present",9,IF(F1145="Half Day",4,0))</f>
        <v>9</v>
      </c>
      <c r="J1145" s="2"/>
      <c r="K1145" s="2"/>
    </row>
    <row r="1146" customFormat="false" ht="15" hidden="false" customHeight="false" outlineLevel="0" collapsed="false">
      <c r="A1146" s="2" t="s">
        <v>118</v>
      </c>
      <c r="B1146" s="2" t="s">
        <v>119</v>
      </c>
      <c r="C1146" s="2" t="s">
        <v>45</v>
      </c>
      <c r="D1146" s="3" t="n">
        <v>46263</v>
      </c>
      <c r="E1146" s="2" t="str">
        <f aca="false">TEXT(D1146,"dddd")</f>
        <v>Saturday</v>
      </c>
      <c r="F1146" s="2" t="s">
        <v>457</v>
      </c>
      <c r="G1146" s="2" t="s">
        <v>458</v>
      </c>
      <c r="H1146" s="2" t="s">
        <v>459</v>
      </c>
      <c r="I1146" s="2" t="n">
        <f aca="false">IF(F1146="Present",9,IF(F1146="Half Day",4,0))</f>
        <v>9</v>
      </c>
      <c r="J1146" s="2"/>
      <c r="K1146" s="2"/>
    </row>
    <row r="1147" customFormat="false" ht="15" hidden="false" customHeight="false" outlineLevel="0" collapsed="false">
      <c r="A1147" s="2" t="s">
        <v>118</v>
      </c>
      <c r="B1147" s="2" t="s">
        <v>119</v>
      </c>
      <c r="C1147" s="2" t="s">
        <v>45</v>
      </c>
      <c r="D1147" s="3" t="n">
        <v>46264</v>
      </c>
      <c r="E1147" s="2" t="str">
        <f aca="false">TEXT(D1147,"dddd")</f>
        <v>Sunday</v>
      </c>
      <c r="F1147" s="2" t="s">
        <v>460</v>
      </c>
      <c r="G1147" s="2"/>
      <c r="H1147" s="2"/>
      <c r="I1147" s="2" t="n">
        <f aca="false">IF(F1147="Present",9,IF(F1147="Half Day",4,0))</f>
        <v>0</v>
      </c>
      <c r="J1147" s="2"/>
      <c r="K1147" s="2" t="s">
        <v>460</v>
      </c>
    </row>
    <row r="1148" customFormat="false" ht="15" hidden="false" customHeight="false" outlineLevel="0" collapsed="false">
      <c r="A1148" s="2" t="s">
        <v>118</v>
      </c>
      <c r="B1148" s="2" t="s">
        <v>119</v>
      </c>
      <c r="C1148" s="2" t="s">
        <v>45</v>
      </c>
      <c r="D1148" s="3" t="n">
        <v>46265</v>
      </c>
      <c r="E1148" s="2" t="str">
        <f aca="false">TEXT(D1148,"dddd")</f>
        <v>Monday</v>
      </c>
      <c r="F1148" s="2" t="s">
        <v>457</v>
      </c>
      <c r="G1148" s="2" t="s">
        <v>458</v>
      </c>
      <c r="H1148" s="2" t="s">
        <v>459</v>
      </c>
      <c r="I1148" s="2" t="n">
        <f aca="false">IF(F1148="Present",9,IF(F1148="Half Day",4,0))</f>
        <v>9</v>
      </c>
      <c r="J1148" s="2"/>
      <c r="K1148" s="2"/>
    </row>
    <row r="1149" customFormat="false" ht="15" hidden="false" customHeight="false" outlineLevel="0" collapsed="false">
      <c r="A1149" s="2" t="s">
        <v>120</v>
      </c>
      <c r="B1149" s="2" t="s">
        <v>121</v>
      </c>
      <c r="C1149" s="2" t="s">
        <v>49</v>
      </c>
      <c r="D1149" s="3" t="n">
        <v>46235</v>
      </c>
      <c r="E1149" s="2" t="str">
        <f aca="false">TEXT(D1149,"dddd")</f>
        <v>Saturday</v>
      </c>
      <c r="F1149" s="2" t="s">
        <v>457</v>
      </c>
      <c r="G1149" s="2" t="s">
        <v>458</v>
      </c>
      <c r="H1149" s="2" t="s">
        <v>459</v>
      </c>
      <c r="I1149" s="2" t="n">
        <f aca="false">IF(F1149="Present",9,IF(F1149="Half Day",4,0))</f>
        <v>9</v>
      </c>
      <c r="J1149" s="2"/>
      <c r="K1149" s="2"/>
    </row>
    <row r="1150" customFormat="false" ht="15" hidden="false" customHeight="false" outlineLevel="0" collapsed="false">
      <c r="A1150" s="2" t="s">
        <v>120</v>
      </c>
      <c r="B1150" s="2" t="s">
        <v>121</v>
      </c>
      <c r="C1150" s="2" t="s">
        <v>49</v>
      </c>
      <c r="D1150" s="3" t="n">
        <v>46236</v>
      </c>
      <c r="E1150" s="2" t="str">
        <f aca="false">TEXT(D1150,"dddd")</f>
        <v>Sunday</v>
      </c>
      <c r="F1150" s="2" t="s">
        <v>460</v>
      </c>
      <c r="G1150" s="2"/>
      <c r="H1150" s="2"/>
      <c r="I1150" s="2" t="n">
        <f aca="false">IF(F1150="Present",9,IF(F1150="Half Day",4,0))</f>
        <v>0</v>
      </c>
      <c r="J1150" s="2"/>
      <c r="K1150" s="2" t="s">
        <v>460</v>
      </c>
    </row>
    <row r="1151" customFormat="false" ht="15" hidden="false" customHeight="false" outlineLevel="0" collapsed="false">
      <c r="A1151" s="2" t="s">
        <v>120</v>
      </c>
      <c r="B1151" s="2" t="s">
        <v>121</v>
      </c>
      <c r="C1151" s="2" t="s">
        <v>49</v>
      </c>
      <c r="D1151" s="3" t="n">
        <v>46237</v>
      </c>
      <c r="E1151" s="2" t="str">
        <f aca="false">TEXT(D1151,"dddd")</f>
        <v>Monday</v>
      </c>
      <c r="F1151" s="2" t="s">
        <v>457</v>
      </c>
      <c r="G1151" s="2" t="s">
        <v>458</v>
      </c>
      <c r="H1151" s="2" t="s">
        <v>459</v>
      </c>
      <c r="I1151" s="2" t="n">
        <f aca="false">IF(F1151="Present",9,IF(F1151="Half Day",4,0))</f>
        <v>9</v>
      </c>
      <c r="J1151" s="2"/>
      <c r="K1151" s="2"/>
    </row>
    <row r="1152" customFormat="false" ht="15" hidden="false" customHeight="false" outlineLevel="0" collapsed="false">
      <c r="A1152" s="2" t="s">
        <v>120</v>
      </c>
      <c r="B1152" s="2" t="s">
        <v>121</v>
      </c>
      <c r="C1152" s="2" t="s">
        <v>49</v>
      </c>
      <c r="D1152" s="3" t="n">
        <v>46238</v>
      </c>
      <c r="E1152" s="2" t="str">
        <f aca="false">TEXT(D1152,"dddd")</f>
        <v>Tuesday</v>
      </c>
      <c r="F1152" s="2" t="s">
        <v>457</v>
      </c>
      <c r="G1152" s="2" t="s">
        <v>458</v>
      </c>
      <c r="H1152" s="2" t="s">
        <v>459</v>
      </c>
      <c r="I1152" s="2" t="n">
        <f aca="false">IF(F1152="Present",9,IF(F1152="Half Day",4,0))</f>
        <v>9</v>
      </c>
      <c r="J1152" s="2"/>
      <c r="K1152" s="2"/>
    </row>
    <row r="1153" customFormat="false" ht="15" hidden="false" customHeight="false" outlineLevel="0" collapsed="false">
      <c r="A1153" s="2" t="s">
        <v>120</v>
      </c>
      <c r="B1153" s="2" t="s">
        <v>121</v>
      </c>
      <c r="C1153" s="2" t="s">
        <v>49</v>
      </c>
      <c r="D1153" s="3" t="n">
        <v>46239</v>
      </c>
      <c r="E1153" s="2" t="str">
        <f aca="false">TEXT(D1153,"dddd")</f>
        <v>Wednesday</v>
      </c>
      <c r="F1153" s="2" t="s">
        <v>457</v>
      </c>
      <c r="G1153" s="2" t="s">
        <v>458</v>
      </c>
      <c r="H1153" s="2" t="s">
        <v>459</v>
      </c>
      <c r="I1153" s="2" t="n">
        <f aca="false">IF(F1153="Present",9,IF(F1153="Half Day",4,0))</f>
        <v>9</v>
      </c>
      <c r="J1153" s="2"/>
      <c r="K1153" s="2"/>
    </row>
    <row r="1154" customFormat="false" ht="15" hidden="false" customHeight="false" outlineLevel="0" collapsed="false">
      <c r="A1154" s="2" t="s">
        <v>120</v>
      </c>
      <c r="B1154" s="2" t="s">
        <v>121</v>
      </c>
      <c r="C1154" s="2" t="s">
        <v>49</v>
      </c>
      <c r="D1154" s="3" t="n">
        <v>46240</v>
      </c>
      <c r="E1154" s="2" t="str">
        <f aca="false">TEXT(D1154,"dddd")</f>
        <v>Thursday</v>
      </c>
      <c r="F1154" s="2" t="s">
        <v>457</v>
      </c>
      <c r="G1154" s="2" t="s">
        <v>458</v>
      </c>
      <c r="H1154" s="2" t="s">
        <v>459</v>
      </c>
      <c r="I1154" s="2" t="n">
        <f aca="false">IF(F1154="Present",9,IF(F1154="Half Day",4,0))</f>
        <v>9</v>
      </c>
      <c r="J1154" s="2"/>
      <c r="K1154" s="2"/>
    </row>
    <row r="1155" customFormat="false" ht="15" hidden="false" customHeight="false" outlineLevel="0" collapsed="false">
      <c r="A1155" s="2" t="s">
        <v>120</v>
      </c>
      <c r="B1155" s="2" t="s">
        <v>121</v>
      </c>
      <c r="C1155" s="2" t="s">
        <v>49</v>
      </c>
      <c r="D1155" s="3" t="n">
        <v>46241</v>
      </c>
      <c r="E1155" s="2" t="str">
        <f aca="false">TEXT(D1155,"dddd")</f>
        <v>Friday</v>
      </c>
      <c r="F1155" s="2" t="s">
        <v>457</v>
      </c>
      <c r="G1155" s="2" t="s">
        <v>458</v>
      </c>
      <c r="H1155" s="2" t="s">
        <v>459</v>
      </c>
      <c r="I1155" s="2" t="n">
        <f aca="false">IF(F1155="Present",9,IF(F1155="Half Day",4,0))</f>
        <v>9</v>
      </c>
      <c r="J1155" s="2"/>
      <c r="K1155" s="2"/>
    </row>
    <row r="1156" customFormat="false" ht="15" hidden="false" customHeight="false" outlineLevel="0" collapsed="false">
      <c r="A1156" s="2" t="s">
        <v>120</v>
      </c>
      <c r="B1156" s="2" t="s">
        <v>121</v>
      </c>
      <c r="C1156" s="2" t="s">
        <v>49</v>
      </c>
      <c r="D1156" s="3" t="n">
        <v>46242</v>
      </c>
      <c r="E1156" s="2" t="str">
        <f aca="false">TEXT(D1156,"dddd")</f>
        <v>Saturday</v>
      </c>
      <c r="F1156" s="2" t="s">
        <v>457</v>
      </c>
      <c r="G1156" s="2" t="s">
        <v>458</v>
      </c>
      <c r="H1156" s="2" t="s">
        <v>459</v>
      </c>
      <c r="I1156" s="2" t="n">
        <f aca="false">IF(F1156="Present",9,IF(F1156="Half Day",4,0))</f>
        <v>9</v>
      </c>
      <c r="J1156" s="2"/>
      <c r="K1156" s="2"/>
    </row>
    <row r="1157" customFormat="false" ht="15" hidden="false" customHeight="false" outlineLevel="0" collapsed="false">
      <c r="A1157" s="2" t="s">
        <v>120</v>
      </c>
      <c r="B1157" s="2" t="s">
        <v>121</v>
      </c>
      <c r="C1157" s="2" t="s">
        <v>49</v>
      </c>
      <c r="D1157" s="3" t="n">
        <v>46243</v>
      </c>
      <c r="E1157" s="2" t="str">
        <f aca="false">TEXT(D1157,"dddd")</f>
        <v>Sunday</v>
      </c>
      <c r="F1157" s="2" t="s">
        <v>460</v>
      </c>
      <c r="G1157" s="2"/>
      <c r="H1157" s="2"/>
      <c r="I1157" s="2" t="n">
        <f aca="false">IF(F1157="Present",9,IF(F1157="Half Day",4,0))</f>
        <v>0</v>
      </c>
      <c r="J1157" s="2"/>
      <c r="K1157" s="2" t="s">
        <v>460</v>
      </c>
    </row>
    <row r="1158" customFormat="false" ht="15" hidden="false" customHeight="false" outlineLevel="0" collapsed="false">
      <c r="A1158" s="2" t="s">
        <v>120</v>
      </c>
      <c r="B1158" s="2" t="s">
        <v>121</v>
      </c>
      <c r="C1158" s="2" t="s">
        <v>49</v>
      </c>
      <c r="D1158" s="3" t="n">
        <v>46244</v>
      </c>
      <c r="E1158" s="2" t="str">
        <f aca="false">TEXT(D1158,"dddd")</f>
        <v>Monday</v>
      </c>
      <c r="F1158" s="2" t="s">
        <v>457</v>
      </c>
      <c r="G1158" s="2" t="s">
        <v>458</v>
      </c>
      <c r="H1158" s="2" t="s">
        <v>459</v>
      </c>
      <c r="I1158" s="2" t="n">
        <f aca="false">IF(F1158="Present",9,IF(F1158="Half Day",4,0))</f>
        <v>9</v>
      </c>
      <c r="J1158" s="2"/>
      <c r="K1158" s="2"/>
    </row>
    <row r="1159" customFormat="false" ht="15" hidden="false" customHeight="false" outlineLevel="0" collapsed="false">
      <c r="A1159" s="2" t="s">
        <v>120</v>
      </c>
      <c r="B1159" s="2" t="s">
        <v>121</v>
      </c>
      <c r="C1159" s="2" t="s">
        <v>49</v>
      </c>
      <c r="D1159" s="3" t="n">
        <v>46245</v>
      </c>
      <c r="E1159" s="2" t="str">
        <f aca="false">TEXT(D1159,"dddd")</f>
        <v>Tuesday</v>
      </c>
      <c r="F1159" s="2" t="s">
        <v>457</v>
      </c>
      <c r="G1159" s="2" t="s">
        <v>458</v>
      </c>
      <c r="H1159" s="2" t="s">
        <v>459</v>
      </c>
      <c r="I1159" s="2" t="n">
        <f aca="false">IF(F1159="Present",9,IF(F1159="Half Day",4,0))</f>
        <v>9</v>
      </c>
      <c r="J1159" s="2"/>
      <c r="K1159" s="2"/>
    </row>
    <row r="1160" customFormat="false" ht="15" hidden="false" customHeight="false" outlineLevel="0" collapsed="false">
      <c r="A1160" s="2" t="s">
        <v>120</v>
      </c>
      <c r="B1160" s="2" t="s">
        <v>121</v>
      </c>
      <c r="C1160" s="2" t="s">
        <v>49</v>
      </c>
      <c r="D1160" s="3" t="n">
        <v>46246</v>
      </c>
      <c r="E1160" s="2" t="str">
        <f aca="false">TEXT(D1160,"dddd")</f>
        <v>Wednesday</v>
      </c>
      <c r="F1160" s="2" t="s">
        <v>457</v>
      </c>
      <c r="G1160" s="2" t="s">
        <v>458</v>
      </c>
      <c r="H1160" s="2" t="s">
        <v>459</v>
      </c>
      <c r="I1160" s="2" t="n">
        <f aca="false">IF(F1160="Present",9,IF(F1160="Half Day",4,0))</f>
        <v>9</v>
      </c>
      <c r="J1160" s="2"/>
      <c r="K1160" s="2"/>
    </row>
    <row r="1161" customFormat="false" ht="15" hidden="false" customHeight="false" outlineLevel="0" collapsed="false">
      <c r="A1161" s="2" t="s">
        <v>120</v>
      </c>
      <c r="B1161" s="2" t="s">
        <v>121</v>
      </c>
      <c r="C1161" s="2" t="s">
        <v>49</v>
      </c>
      <c r="D1161" s="3" t="n">
        <v>46247</v>
      </c>
      <c r="E1161" s="2" t="str">
        <f aca="false">TEXT(D1161,"dddd")</f>
        <v>Thursday</v>
      </c>
      <c r="F1161" s="2" t="s">
        <v>457</v>
      </c>
      <c r="G1161" s="2" t="s">
        <v>458</v>
      </c>
      <c r="H1161" s="2" t="s">
        <v>459</v>
      </c>
      <c r="I1161" s="2" t="n">
        <f aca="false">IF(F1161="Present",9,IF(F1161="Half Day",4,0))</f>
        <v>9</v>
      </c>
      <c r="J1161" s="2"/>
      <c r="K1161" s="2"/>
    </row>
    <row r="1162" customFormat="false" ht="15" hidden="false" customHeight="false" outlineLevel="0" collapsed="false">
      <c r="A1162" s="2" t="s">
        <v>120</v>
      </c>
      <c r="B1162" s="2" t="s">
        <v>121</v>
      </c>
      <c r="C1162" s="2" t="s">
        <v>49</v>
      </c>
      <c r="D1162" s="3" t="n">
        <v>46248</v>
      </c>
      <c r="E1162" s="2" t="str">
        <f aca="false">TEXT(D1162,"dddd")</f>
        <v>Friday</v>
      </c>
      <c r="F1162" s="2" t="s">
        <v>466</v>
      </c>
      <c r="G1162" s="2" t="s">
        <v>458</v>
      </c>
      <c r="H1162" s="2" t="s">
        <v>467</v>
      </c>
      <c r="I1162" s="2" t="n">
        <f aca="false">IF(F1162="Present",9,IF(F1162="Half Day",4,0))</f>
        <v>4</v>
      </c>
      <c r="J1162" s="2"/>
      <c r="K1162" s="2" t="s">
        <v>466</v>
      </c>
    </row>
    <row r="1163" customFormat="false" ht="15" hidden="false" customHeight="false" outlineLevel="0" collapsed="false">
      <c r="A1163" s="2" t="s">
        <v>120</v>
      </c>
      <c r="B1163" s="2" t="s">
        <v>121</v>
      </c>
      <c r="C1163" s="2" t="s">
        <v>49</v>
      </c>
      <c r="D1163" s="3" t="n">
        <v>46249</v>
      </c>
      <c r="E1163" s="2" t="str">
        <f aca="false">TEXT(D1163,"dddd")</f>
        <v>Saturday</v>
      </c>
      <c r="F1163" s="2" t="s">
        <v>457</v>
      </c>
      <c r="G1163" s="2" t="s">
        <v>458</v>
      </c>
      <c r="H1163" s="2" t="s">
        <v>459</v>
      </c>
      <c r="I1163" s="2" t="n">
        <f aca="false">IF(F1163="Present",9,IF(F1163="Half Day",4,0))</f>
        <v>9</v>
      </c>
      <c r="J1163" s="2"/>
      <c r="K1163" s="2"/>
    </row>
    <row r="1164" customFormat="false" ht="15" hidden="false" customHeight="false" outlineLevel="0" collapsed="false">
      <c r="A1164" s="2" t="s">
        <v>120</v>
      </c>
      <c r="B1164" s="2" t="s">
        <v>121</v>
      </c>
      <c r="C1164" s="2" t="s">
        <v>49</v>
      </c>
      <c r="D1164" s="3" t="n">
        <v>46250</v>
      </c>
      <c r="E1164" s="2" t="str">
        <f aca="false">TEXT(D1164,"dddd")</f>
        <v>Sunday</v>
      </c>
      <c r="F1164" s="2" t="s">
        <v>460</v>
      </c>
      <c r="G1164" s="2"/>
      <c r="H1164" s="2"/>
      <c r="I1164" s="2" t="n">
        <f aca="false">IF(F1164="Present",9,IF(F1164="Half Day",4,0))</f>
        <v>0</v>
      </c>
      <c r="J1164" s="2"/>
      <c r="K1164" s="2" t="s">
        <v>460</v>
      </c>
    </row>
    <row r="1165" customFormat="false" ht="15" hidden="false" customHeight="false" outlineLevel="0" collapsed="false">
      <c r="A1165" s="2" t="s">
        <v>120</v>
      </c>
      <c r="B1165" s="2" t="s">
        <v>121</v>
      </c>
      <c r="C1165" s="2" t="s">
        <v>49</v>
      </c>
      <c r="D1165" s="3" t="n">
        <v>46251</v>
      </c>
      <c r="E1165" s="2" t="str">
        <f aca="false">TEXT(D1165,"dddd")</f>
        <v>Monday</v>
      </c>
      <c r="F1165" s="2" t="s">
        <v>457</v>
      </c>
      <c r="G1165" s="2" t="s">
        <v>458</v>
      </c>
      <c r="H1165" s="2" t="s">
        <v>459</v>
      </c>
      <c r="I1165" s="2" t="n">
        <f aca="false">IF(F1165="Present",9,IF(F1165="Half Day",4,0))</f>
        <v>9</v>
      </c>
      <c r="J1165" s="2"/>
      <c r="K1165" s="2"/>
    </row>
    <row r="1166" customFormat="false" ht="15" hidden="false" customHeight="false" outlineLevel="0" collapsed="false">
      <c r="A1166" s="2" t="s">
        <v>120</v>
      </c>
      <c r="B1166" s="2" t="s">
        <v>121</v>
      </c>
      <c r="C1166" s="2" t="s">
        <v>49</v>
      </c>
      <c r="D1166" s="3" t="n">
        <v>46252</v>
      </c>
      <c r="E1166" s="2" t="str">
        <f aca="false">TEXT(D1166,"dddd")</f>
        <v>Tuesday</v>
      </c>
      <c r="F1166" s="2" t="s">
        <v>457</v>
      </c>
      <c r="G1166" s="2" t="s">
        <v>458</v>
      </c>
      <c r="H1166" s="2" t="s">
        <v>459</v>
      </c>
      <c r="I1166" s="2" t="n">
        <f aca="false">IF(F1166="Present",9,IF(F1166="Half Day",4,0))</f>
        <v>9</v>
      </c>
      <c r="J1166" s="2"/>
      <c r="K1166" s="2"/>
    </row>
    <row r="1167" customFormat="false" ht="15" hidden="false" customHeight="false" outlineLevel="0" collapsed="false">
      <c r="A1167" s="2" t="s">
        <v>120</v>
      </c>
      <c r="B1167" s="2" t="s">
        <v>121</v>
      </c>
      <c r="C1167" s="2" t="s">
        <v>49</v>
      </c>
      <c r="D1167" s="3" t="n">
        <v>46253</v>
      </c>
      <c r="E1167" s="2" t="str">
        <f aca="false">TEXT(D1167,"dddd")</f>
        <v>Wednesday</v>
      </c>
      <c r="F1167" s="2" t="s">
        <v>457</v>
      </c>
      <c r="G1167" s="2" t="s">
        <v>458</v>
      </c>
      <c r="H1167" s="2" t="s">
        <v>459</v>
      </c>
      <c r="I1167" s="2" t="n">
        <f aca="false">IF(F1167="Present",9,IF(F1167="Half Day",4,0))</f>
        <v>9</v>
      </c>
      <c r="J1167" s="2"/>
      <c r="K1167" s="2"/>
    </row>
    <row r="1168" customFormat="false" ht="15" hidden="false" customHeight="false" outlineLevel="0" collapsed="false">
      <c r="A1168" s="2" t="s">
        <v>120</v>
      </c>
      <c r="B1168" s="2" t="s">
        <v>121</v>
      </c>
      <c r="C1168" s="2" t="s">
        <v>49</v>
      </c>
      <c r="D1168" s="3" t="n">
        <v>46254</v>
      </c>
      <c r="E1168" s="2" t="str">
        <f aca="false">TEXT(D1168,"dddd")</f>
        <v>Thursday</v>
      </c>
      <c r="F1168" s="2" t="s">
        <v>466</v>
      </c>
      <c r="G1168" s="2" t="s">
        <v>458</v>
      </c>
      <c r="H1168" s="2" t="s">
        <v>467</v>
      </c>
      <c r="I1168" s="2" t="n">
        <f aca="false">IF(F1168="Present",9,IF(F1168="Half Day",4,0))</f>
        <v>4</v>
      </c>
      <c r="J1168" s="2"/>
      <c r="K1168" s="2" t="s">
        <v>466</v>
      </c>
    </row>
    <row r="1169" customFormat="false" ht="15" hidden="false" customHeight="false" outlineLevel="0" collapsed="false">
      <c r="A1169" s="2" t="s">
        <v>120</v>
      </c>
      <c r="B1169" s="2" t="s">
        <v>121</v>
      </c>
      <c r="C1169" s="2" t="s">
        <v>49</v>
      </c>
      <c r="D1169" s="3" t="n">
        <v>46255</v>
      </c>
      <c r="E1169" s="2" t="str">
        <f aca="false">TEXT(D1169,"dddd")</f>
        <v>Friday</v>
      </c>
      <c r="F1169" s="2" t="s">
        <v>457</v>
      </c>
      <c r="G1169" s="2" t="s">
        <v>458</v>
      </c>
      <c r="H1169" s="2" t="s">
        <v>459</v>
      </c>
      <c r="I1169" s="2" t="n">
        <f aca="false">IF(F1169="Present",9,IF(F1169="Half Day",4,0))</f>
        <v>9</v>
      </c>
      <c r="J1169" s="2"/>
      <c r="K1169" s="2"/>
    </row>
    <row r="1170" customFormat="false" ht="15" hidden="false" customHeight="false" outlineLevel="0" collapsed="false">
      <c r="A1170" s="2" t="s">
        <v>120</v>
      </c>
      <c r="B1170" s="2" t="s">
        <v>121</v>
      </c>
      <c r="C1170" s="2" t="s">
        <v>49</v>
      </c>
      <c r="D1170" s="3" t="n">
        <v>46256</v>
      </c>
      <c r="E1170" s="2" t="str">
        <f aca="false">TEXT(D1170,"dddd")</f>
        <v>Saturday</v>
      </c>
      <c r="F1170" s="2" t="s">
        <v>457</v>
      </c>
      <c r="G1170" s="2" t="s">
        <v>458</v>
      </c>
      <c r="H1170" s="2" t="s">
        <v>459</v>
      </c>
      <c r="I1170" s="2" t="n">
        <f aca="false">IF(F1170="Present",9,IF(F1170="Half Day",4,0))</f>
        <v>9</v>
      </c>
      <c r="J1170" s="2"/>
      <c r="K1170" s="2"/>
    </row>
    <row r="1171" customFormat="false" ht="15" hidden="false" customHeight="false" outlineLevel="0" collapsed="false">
      <c r="A1171" s="2" t="s">
        <v>120</v>
      </c>
      <c r="B1171" s="2" t="s">
        <v>121</v>
      </c>
      <c r="C1171" s="2" t="s">
        <v>49</v>
      </c>
      <c r="D1171" s="3" t="n">
        <v>46257</v>
      </c>
      <c r="E1171" s="2" t="str">
        <f aca="false">TEXT(D1171,"dddd")</f>
        <v>Sunday</v>
      </c>
      <c r="F1171" s="2" t="s">
        <v>460</v>
      </c>
      <c r="G1171" s="2"/>
      <c r="H1171" s="2"/>
      <c r="I1171" s="2" t="n">
        <f aca="false">IF(F1171="Present",9,IF(F1171="Half Day",4,0))</f>
        <v>0</v>
      </c>
      <c r="J1171" s="2"/>
      <c r="K1171" s="2" t="s">
        <v>460</v>
      </c>
    </row>
    <row r="1172" customFormat="false" ht="15" hidden="false" customHeight="false" outlineLevel="0" collapsed="false">
      <c r="A1172" s="2" t="s">
        <v>120</v>
      </c>
      <c r="B1172" s="2" t="s">
        <v>121</v>
      </c>
      <c r="C1172" s="2" t="s">
        <v>49</v>
      </c>
      <c r="D1172" s="3" t="n">
        <v>46258</v>
      </c>
      <c r="E1172" s="2" t="str">
        <f aca="false">TEXT(D1172,"dddd")</f>
        <v>Monday</v>
      </c>
      <c r="F1172" s="2" t="s">
        <v>457</v>
      </c>
      <c r="G1172" s="2" t="s">
        <v>458</v>
      </c>
      <c r="H1172" s="2" t="s">
        <v>459</v>
      </c>
      <c r="I1172" s="2" t="n">
        <f aca="false">IF(F1172="Present",9,IF(F1172="Half Day",4,0))</f>
        <v>9</v>
      </c>
      <c r="J1172" s="2"/>
      <c r="K1172" s="2"/>
    </row>
    <row r="1173" customFormat="false" ht="15" hidden="false" customHeight="false" outlineLevel="0" collapsed="false">
      <c r="A1173" s="2" t="s">
        <v>120</v>
      </c>
      <c r="B1173" s="2" t="s">
        <v>121</v>
      </c>
      <c r="C1173" s="2" t="s">
        <v>49</v>
      </c>
      <c r="D1173" s="3" t="n">
        <v>46259</v>
      </c>
      <c r="E1173" s="2" t="str">
        <f aca="false">TEXT(D1173,"dddd")</f>
        <v>Tuesday</v>
      </c>
      <c r="F1173" s="2" t="s">
        <v>457</v>
      </c>
      <c r="G1173" s="2" t="s">
        <v>458</v>
      </c>
      <c r="H1173" s="2" t="s">
        <v>459</v>
      </c>
      <c r="I1173" s="2" t="n">
        <f aca="false">IF(F1173="Present",9,IF(F1173="Half Day",4,0))</f>
        <v>9</v>
      </c>
      <c r="J1173" s="2"/>
      <c r="K1173" s="2"/>
    </row>
    <row r="1174" customFormat="false" ht="15" hidden="false" customHeight="false" outlineLevel="0" collapsed="false">
      <c r="A1174" s="2" t="s">
        <v>120</v>
      </c>
      <c r="B1174" s="2" t="s">
        <v>121</v>
      </c>
      <c r="C1174" s="2" t="s">
        <v>49</v>
      </c>
      <c r="D1174" s="3" t="n">
        <v>46260</v>
      </c>
      <c r="E1174" s="2" t="str">
        <f aca="false">TEXT(D1174,"dddd")</f>
        <v>Wednesday</v>
      </c>
      <c r="F1174" s="2" t="s">
        <v>457</v>
      </c>
      <c r="G1174" s="2" t="s">
        <v>458</v>
      </c>
      <c r="H1174" s="2" t="s">
        <v>459</v>
      </c>
      <c r="I1174" s="2" t="n">
        <f aca="false">IF(F1174="Present",9,IF(F1174="Half Day",4,0))</f>
        <v>9</v>
      </c>
      <c r="J1174" s="2"/>
      <c r="K1174" s="2"/>
    </row>
    <row r="1175" customFormat="false" ht="15" hidden="false" customHeight="false" outlineLevel="0" collapsed="false">
      <c r="A1175" s="2" t="s">
        <v>120</v>
      </c>
      <c r="B1175" s="2" t="s">
        <v>121</v>
      </c>
      <c r="C1175" s="2" t="s">
        <v>49</v>
      </c>
      <c r="D1175" s="3" t="n">
        <v>46261</v>
      </c>
      <c r="E1175" s="2" t="str">
        <f aca="false">TEXT(D1175,"dddd")</f>
        <v>Thursday</v>
      </c>
      <c r="F1175" s="2" t="s">
        <v>457</v>
      </c>
      <c r="G1175" s="2" t="s">
        <v>458</v>
      </c>
      <c r="H1175" s="2" t="s">
        <v>459</v>
      </c>
      <c r="I1175" s="2" t="n">
        <f aca="false">IF(F1175="Present",9,IF(F1175="Half Day",4,0))</f>
        <v>9</v>
      </c>
      <c r="J1175" s="2"/>
      <c r="K1175" s="2"/>
    </row>
    <row r="1176" customFormat="false" ht="15" hidden="false" customHeight="false" outlineLevel="0" collapsed="false">
      <c r="A1176" s="2" t="s">
        <v>120</v>
      </c>
      <c r="B1176" s="2" t="s">
        <v>121</v>
      </c>
      <c r="C1176" s="2" t="s">
        <v>49</v>
      </c>
      <c r="D1176" s="3" t="n">
        <v>46262</v>
      </c>
      <c r="E1176" s="2" t="str">
        <f aca="false">TEXT(D1176,"dddd")</f>
        <v>Friday</v>
      </c>
      <c r="F1176" s="2" t="s">
        <v>457</v>
      </c>
      <c r="G1176" s="2" t="s">
        <v>458</v>
      </c>
      <c r="H1176" s="2" t="s">
        <v>459</v>
      </c>
      <c r="I1176" s="2" t="n">
        <f aca="false">IF(F1176="Present",9,IF(F1176="Half Day",4,0))</f>
        <v>9</v>
      </c>
      <c r="J1176" s="2"/>
      <c r="K1176" s="2"/>
    </row>
    <row r="1177" customFormat="false" ht="15" hidden="false" customHeight="false" outlineLevel="0" collapsed="false">
      <c r="A1177" s="2" t="s">
        <v>120</v>
      </c>
      <c r="B1177" s="2" t="s">
        <v>121</v>
      </c>
      <c r="C1177" s="2" t="s">
        <v>49</v>
      </c>
      <c r="D1177" s="3" t="n">
        <v>46263</v>
      </c>
      <c r="E1177" s="2" t="str">
        <f aca="false">TEXT(D1177,"dddd")</f>
        <v>Saturday</v>
      </c>
      <c r="F1177" s="2" t="s">
        <v>457</v>
      </c>
      <c r="G1177" s="2" t="s">
        <v>458</v>
      </c>
      <c r="H1177" s="2" t="s">
        <v>459</v>
      </c>
      <c r="I1177" s="2" t="n">
        <f aca="false">IF(F1177="Present",9,IF(F1177="Half Day",4,0))</f>
        <v>9</v>
      </c>
      <c r="J1177" s="2"/>
      <c r="K1177" s="2"/>
    </row>
    <row r="1178" customFormat="false" ht="15" hidden="false" customHeight="false" outlineLevel="0" collapsed="false">
      <c r="A1178" s="2" t="s">
        <v>120</v>
      </c>
      <c r="B1178" s="2" t="s">
        <v>121</v>
      </c>
      <c r="C1178" s="2" t="s">
        <v>49</v>
      </c>
      <c r="D1178" s="3" t="n">
        <v>46264</v>
      </c>
      <c r="E1178" s="2" t="str">
        <f aca="false">TEXT(D1178,"dddd")</f>
        <v>Sunday</v>
      </c>
      <c r="F1178" s="2" t="s">
        <v>460</v>
      </c>
      <c r="G1178" s="2"/>
      <c r="H1178" s="2"/>
      <c r="I1178" s="2" t="n">
        <f aca="false">IF(F1178="Present",9,IF(F1178="Half Day",4,0))</f>
        <v>0</v>
      </c>
      <c r="J1178" s="2"/>
      <c r="K1178" s="2" t="s">
        <v>460</v>
      </c>
    </row>
    <row r="1179" customFormat="false" ht="15" hidden="false" customHeight="false" outlineLevel="0" collapsed="false">
      <c r="A1179" s="2" t="s">
        <v>120</v>
      </c>
      <c r="B1179" s="2" t="s">
        <v>121</v>
      </c>
      <c r="C1179" s="2" t="s">
        <v>49</v>
      </c>
      <c r="D1179" s="3" t="n">
        <v>46265</v>
      </c>
      <c r="E1179" s="2" t="str">
        <f aca="false">TEXT(D1179,"dddd")</f>
        <v>Monday</v>
      </c>
      <c r="F1179" s="2" t="s">
        <v>457</v>
      </c>
      <c r="G1179" s="2" t="s">
        <v>458</v>
      </c>
      <c r="H1179" s="2" t="s">
        <v>459</v>
      </c>
      <c r="I1179" s="2" t="n">
        <f aca="false">IF(F1179="Present",9,IF(F1179="Half Day",4,0))</f>
        <v>9</v>
      </c>
      <c r="J1179" s="2"/>
      <c r="K1179" s="2"/>
    </row>
    <row r="1180" customFormat="false" ht="15" hidden="false" customHeight="false" outlineLevel="0" collapsed="false">
      <c r="A1180" s="2" t="s">
        <v>122</v>
      </c>
      <c r="B1180" s="2" t="s">
        <v>123</v>
      </c>
      <c r="C1180" s="2" t="s">
        <v>53</v>
      </c>
      <c r="D1180" s="3" t="n">
        <v>46235</v>
      </c>
      <c r="E1180" s="2" t="str">
        <f aca="false">TEXT(D1180,"dddd")</f>
        <v>Saturday</v>
      </c>
      <c r="F1180" s="2" t="s">
        <v>457</v>
      </c>
      <c r="G1180" s="2" t="s">
        <v>458</v>
      </c>
      <c r="H1180" s="2" t="s">
        <v>459</v>
      </c>
      <c r="I1180" s="2" t="n">
        <f aca="false">IF(F1180="Present",9,IF(F1180="Half Day",4,0))</f>
        <v>9</v>
      </c>
      <c r="J1180" s="2"/>
      <c r="K1180" s="2"/>
    </row>
    <row r="1181" customFormat="false" ht="15" hidden="false" customHeight="false" outlineLevel="0" collapsed="false">
      <c r="A1181" s="2" t="s">
        <v>122</v>
      </c>
      <c r="B1181" s="2" t="s">
        <v>123</v>
      </c>
      <c r="C1181" s="2" t="s">
        <v>53</v>
      </c>
      <c r="D1181" s="3" t="n">
        <v>46236</v>
      </c>
      <c r="E1181" s="2" t="str">
        <f aca="false">TEXT(D1181,"dddd")</f>
        <v>Sunday</v>
      </c>
      <c r="F1181" s="2" t="s">
        <v>460</v>
      </c>
      <c r="G1181" s="2"/>
      <c r="H1181" s="2"/>
      <c r="I1181" s="2" t="n">
        <f aca="false">IF(F1181="Present",9,IF(F1181="Half Day",4,0))</f>
        <v>0</v>
      </c>
      <c r="J1181" s="2"/>
      <c r="K1181" s="2" t="s">
        <v>460</v>
      </c>
    </row>
    <row r="1182" customFormat="false" ht="15" hidden="false" customHeight="false" outlineLevel="0" collapsed="false">
      <c r="A1182" s="2" t="s">
        <v>122</v>
      </c>
      <c r="B1182" s="2" t="s">
        <v>123</v>
      </c>
      <c r="C1182" s="2" t="s">
        <v>53</v>
      </c>
      <c r="D1182" s="3" t="n">
        <v>46237</v>
      </c>
      <c r="E1182" s="2" t="str">
        <f aca="false">TEXT(D1182,"dddd")</f>
        <v>Monday</v>
      </c>
      <c r="F1182" s="2" t="s">
        <v>457</v>
      </c>
      <c r="G1182" s="2" t="s">
        <v>458</v>
      </c>
      <c r="H1182" s="2" t="s">
        <v>459</v>
      </c>
      <c r="I1182" s="2" t="n">
        <f aca="false">IF(F1182="Present",9,IF(F1182="Half Day",4,0))</f>
        <v>9</v>
      </c>
      <c r="J1182" s="2"/>
      <c r="K1182" s="2"/>
    </row>
    <row r="1183" customFormat="false" ht="15" hidden="false" customHeight="false" outlineLevel="0" collapsed="false">
      <c r="A1183" s="2" t="s">
        <v>122</v>
      </c>
      <c r="B1183" s="2" t="s">
        <v>123</v>
      </c>
      <c r="C1183" s="2" t="s">
        <v>53</v>
      </c>
      <c r="D1183" s="3" t="n">
        <v>46238</v>
      </c>
      <c r="E1183" s="2" t="str">
        <f aca="false">TEXT(D1183,"dddd")</f>
        <v>Tuesday</v>
      </c>
      <c r="F1183" s="2" t="s">
        <v>457</v>
      </c>
      <c r="G1183" s="2" t="s">
        <v>458</v>
      </c>
      <c r="H1183" s="2" t="s">
        <v>459</v>
      </c>
      <c r="I1183" s="2" t="n">
        <f aca="false">IF(F1183="Present",9,IF(F1183="Half Day",4,0))</f>
        <v>9</v>
      </c>
      <c r="J1183" s="2"/>
      <c r="K1183" s="2"/>
    </row>
    <row r="1184" customFormat="false" ht="15" hidden="false" customHeight="false" outlineLevel="0" collapsed="false">
      <c r="A1184" s="2" t="s">
        <v>122</v>
      </c>
      <c r="B1184" s="2" t="s">
        <v>123</v>
      </c>
      <c r="C1184" s="2" t="s">
        <v>53</v>
      </c>
      <c r="D1184" s="3" t="n">
        <v>46239</v>
      </c>
      <c r="E1184" s="2" t="str">
        <f aca="false">TEXT(D1184,"dddd")</f>
        <v>Wednesday</v>
      </c>
      <c r="F1184" s="2" t="s">
        <v>457</v>
      </c>
      <c r="G1184" s="2" t="s">
        <v>458</v>
      </c>
      <c r="H1184" s="2" t="s">
        <v>459</v>
      </c>
      <c r="I1184" s="2" t="n">
        <f aca="false">IF(F1184="Present",9,IF(F1184="Half Day",4,0))</f>
        <v>9</v>
      </c>
      <c r="J1184" s="2"/>
      <c r="K1184" s="2"/>
    </row>
    <row r="1185" customFormat="false" ht="15" hidden="false" customHeight="false" outlineLevel="0" collapsed="false">
      <c r="A1185" s="2" t="s">
        <v>122</v>
      </c>
      <c r="B1185" s="2" t="s">
        <v>123</v>
      </c>
      <c r="C1185" s="2" t="s">
        <v>53</v>
      </c>
      <c r="D1185" s="3" t="n">
        <v>46240</v>
      </c>
      <c r="E1185" s="2" t="str">
        <f aca="false">TEXT(D1185,"dddd")</f>
        <v>Thursday</v>
      </c>
      <c r="F1185" s="2" t="s">
        <v>457</v>
      </c>
      <c r="G1185" s="2" t="s">
        <v>458</v>
      </c>
      <c r="H1185" s="2" t="s">
        <v>459</v>
      </c>
      <c r="I1185" s="2" t="n">
        <f aca="false">IF(F1185="Present",9,IF(F1185="Half Day",4,0))</f>
        <v>9</v>
      </c>
      <c r="J1185" s="2"/>
      <c r="K1185" s="2"/>
    </row>
    <row r="1186" customFormat="false" ht="15" hidden="false" customHeight="false" outlineLevel="0" collapsed="false">
      <c r="A1186" s="2" t="s">
        <v>122</v>
      </c>
      <c r="B1186" s="2" t="s">
        <v>123</v>
      </c>
      <c r="C1186" s="2" t="s">
        <v>53</v>
      </c>
      <c r="D1186" s="3" t="n">
        <v>46241</v>
      </c>
      <c r="E1186" s="2" t="str">
        <f aca="false">TEXT(D1186,"dddd")</f>
        <v>Friday</v>
      </c>
      <c r="F1186" s="2" t="s">
        <v>457</v>
      </c>
      <c r="G1186" s="2" t="s">
        <v>458</v>
      </c>
      <c r="H1186" s="2" t="s">
        <v>459</v>
      </c>
      <c r="I1186" s="2" t="n">
        <f aca="false">IF(F1186="Present",9,IF(F1186="Half Day",4,0))</f>
        <v>9</v>
      </c>
      <c r="J1186" s="2"/>
      <c r="K1186" s="2"/>
    </row>
    <row r="1187" customFormat="false" ht="15" hidden="false" customHeight="false" outlineLevel="0" collapsed="false">
      <c r="A1187" s="2" t="s">
        <v>122</v>
      </c>
      <c r="B1187" s="2" t="s">
        <v>123</v>
      </c>
      <c r="C1187" s="2" t="s">
        <v>53</v>
      </c>
      <c r="D1187" s="3" t="n">
        <v>46242</v>
      </c>
      <c r="E1187" s="2" t="str">
        <f aca="false">TEXT(D1187,"dddd")</f>
        <v>Saturday</v>
      </c>
      <c r="F1187" s="2" t="s">
        <v>457</v>
      </c>
      <c r="G1187" s="2" t="s">
        <v>458</v>
      </c>
      <c r="H1187" s="2" t="s">
        <v>459</v>
      </c>
      <c r="I1187" s="2" t="n">
        <f aca="false">IF(F1187="Present",9,IF(F1187="Half Day",4,0))</f>
        <v>9</v>
      </c>
      <c r="J1187" s="2"/>
      <c r="K1187" s="2"/>
    </row>
    <row r="1188" customFormat="false" ht="15" hidden="false" customHeight="false" outlineLevel="0" collapsed="false">
      <c r="A1188" s="2" t="s">
        <v>122</v>
      </c>
      <c r="B1188" s="2" t="s">
        <v>123</v>
      </c>
      <c r="C1188" s="2" t="s">
        <v>53</v>
      </c>
      <c r="D1188" s="3" t="n">
        <v>46243</v>
      </c>
      <c r="E1188" s="2" t="str">
        <f aca="false">TEXT(D1188,"dddd")</f>
        <v>Sunday</v>
      </c>
      <c r="F1188" s="2" t="s">
        <v>460</v>
      </c>
      <c r="G1188" s="2"/>
      <c r="H1188" s="2"/>
      <c r="I1188" s="2" t="n">
        <f aca="false">IF(F1188="Present",9,IF(F1188="Half Day",4,0))</f>
        <v>0</v>
      </c>
      <c r="J1188" s="2"/>
      <c r="K1188" s="2" t="s">
        <v>460</v>
      </c>
    </row>
    <row r="1189" customFormat="false" ht="15" hidden="false" customHeight="false" outlineLevel="0" collapsed="false">
      <c r="A1189" s="2" t="s">
        <v>122</v>
      </c>
      <c r="B1189" s="2" t="s">
        <v>123</v>
      </c>
      <c r="C1189" s="2" t="s">
        <v>53</v>
      </c>
      <c r="D1189" s="3" t="n">
        <v>46244</v>
      </c>
      <c r="E1189" s="2" t="str">
        <f aca="false">TEXT(D1189,"dddd")</f>
        <v>Monday</v>
      </c>
      <c r="F1189" s="2" t="s">
        <v>461</v>
      </c>
      <c r="G1189" s="2"/>
      <c r="H1189" s="2"/>
      <c r="I1189" s="2" t="n">
        <f aca="false">IF(F1189="Present",9,IF(F1189="Half Day",4,0))</f>
        <v>0</v>
      </c>
      <c r="J1189" s="2"/>
      <c r="K1189" s="2" t="s">
        <v>462</v>
      </c>
    </row>
    <row r="1190" customFormat="false" ht="15" hidden="false" customHeight="false" outlineLevel="0" collapsed="false">
      <c r="A1190" s="2" t="s">
        <v>122</v>
      </c>
      <c r="B1190" s="2" t="s">
        <v>123</v>
      </c>
      <c r="C1190" s="2" t="s">
        <v>53</v>
      </c>
      <c r="D1190" s="3" t="n">
        <v>46245</v>
      </c>
      <c r="E1190" s="2" t="str">
        <f aca="false">TEXT(D1190,"dddd")</f>
        <v>Tuesday</v>
      </c>
      <c r="F1190" s="2" t="s">
        <v>461</v>
      </c>
      <c r="G1190" s="2"/>
      <c r="H1190" s="2"/>
      <c r="I1190" s="2" t="n">
        <f aca="false">IF(F1190="Present",9,IF(F1190="Half Day",4,0))</f>
        <v>0</v>
      </c>
      <c r="J1190" s="2"/>
      <c r="K1190" s="2" t="s">
        <v>462</v>
      </c>
    </row>
    <row r="1191" customFormat="false" ht="15" hidden="false" customHeight="false" outlineLevel="0" collapsed="false">
      <c r="A1191" s="2" t="s">
        <v>122</v>
      </c>
      <c r="B1191" s="2" t="s">
        <v>123</v>
      </c>
      <c r="C1191" s="2" t="s">
        <v>53</v>
      </c>
      <c r="D1191" s="3" t="n">
        <v>46246</v>
      </c>
      <c r="E1191" s="2" t="str">
        <f aca="false">TEXT(D1191,"dddd")</f>
        <v>Wednesday</v>
      </c>
      <c r="F1191" s="2" t="s">
        <v>457</v>
      </c>
      <c r="G1191" s="2" t="s">
        <v>458</v>
      </c>
      <c r="H1191" s="2" t="s">
        <v>459</v>
      </c>
      <c r="I1191" s="2" t="n">
        <f aca="false">IF(F1191="Present",9,IF(F1191="Half Day",4,0))</f>
        <v>9</v>
      </c>
      <c r="J1191" s="2"/>
      <c r="K1191" s="2"/>
    </row>
    <row r="1192" customFormat="false" ht="15" hidden="false" customHeight="false" outlineLevel="0" collapsed="false">
      <c r="A1192" s="2" t="s">
        <v>122</v>
      </c>
      <c r="B1192" s="2" t="s">
        <v>123</v>
      </c>
      <c r="C1192" s="2" t="s">
        <v>53</v>
      </c>
      <c r="D1192" s="3" t="n">
        <v>46247</v>
      </c>
      <c r="E1192" s="2" t="str">
        <f aca="false">TEXT(D1192,"dddd")</f>
        <v>Thursday</v>
      </c>
      <c r="F1192" s="2" t="s">
        <v>457</v>
      </c>
      <c r="G1192" s="2" t="s">
        <v>458</v>
      </c>
      <c r="H1192" s="2" t="s">
        <v>459</v>
      </c>
      <c r="I1192" s="2" t="n">
        <f aca="false">IF(F1192="Present",9,IF(F1192="Half Day",4,0))</f>
        <v>9</v>
      </c>
      <c r="J1192" s="2"/>
      <c r="K1192" s="2"/>
    </row>
    <row r="1193" customFormat="false" ht="15" hidden="false" customHeight="false" outlineLevel="0" collapsed="false">
      <c r="A1193" s="2" t="s">
        <v>122</v>
      </c>
      <c r="B1193" s="2" t="s">
        <v>123</v>
      </c>
      <c r="C1193" s="2" t="s">
        <v>53</v>
      </c>
      <c r="D1193" s="3" t="n">
        <v>46248</v>
      </c>
      <c r="E1193" s="2" t="str">
        <f aca="false">TEXT(D1193,"dddd")</f>
        <v>Friday</v>
      </c>
      <c r="F1193" s="2" t="s">
        <v>457</v>
      </c>
      <c r="G1193" s="2" t="s">
        <v>458</v>
      </c>
      <c r="H1193" s="2" t="s">
        <v>459</v>
      </c>
      <c r="I1193" s="2" t="n">
        <f aca="false">IF(F1193="Present",9,IF(F1193="Half Day",4,0))</f>
        <v>9</v>
      </c>
      <c r="J1193" s="2"/>
      <c r="K1193" s="2"/>
    </row>
    <row r="1194" customFormat="false" ht="15" hidden="false" customHeight="false" outlineLevel="0" collapsed="false">
      <c r="A1194" s="2" t="s">
        <v>122</v>
      </c>
      <c r="B1194" s="2" t="s">
        <v>123</v>
      </c>
      <c r="C1194" s="2" t="s">
        <v>53</v>
      </c>
      <c r="D1194" s="3" t="n">
        <v>46249</v>
      </c>
      <c r="E1194" s="2" t="str">
        <f aca="false">TEXT(D1194,"dddd")</f>
        <v>Saturday</v>
      </c>
      <c r="F1194" s="2" t="s">
        <v>457</v>
      </c>
      <c r="G1194" s="2" t="s">
        <v>458</v>
      </c>
      <c r="H1194" s="2" t="s">
        <v>459</v>
      </c>
      <c r="I1194" s="2" t="n">
        <f aca="false">IF(F1194="Present",9,IF(F1194="Half Day",4,0))</f>
        <v>9</v>
      </c>
      <c r="J1194" s="2"/>
      <c r="K1194" s="2"/>
    </row>
    <row r="1195" customFormat="false" ht="15" hidden="false" customHeight="false" outlineLevel="0" collapsed="false">
      <c r="A1195" s="2" t="s">
        <v>122</v>
      </c>
      <c r="B1195" s="2" t="s">
        <v>123</v>
      </c>
      <c r="C1195" s="2" t="s">
        <v>53</v>
      </c>
      <c r="D1195" s="3" t="n">
        <v>46250</v>
      </c>
      <c r="E1195" s="2" t="str">
        <f aca="false">TEXT(D1195,"dddd")</f>
        <v>Sunday</v>
      </c>
      <c r="F1195" s="2" t="s">
        <v>460</v>
      </c>
      <c r="G1195" s="2"/>
      <c r="H1195" s="2"/>
      <c r="I1195" s="2" t="n">
        <f aca="false">IF(F1195="Present",9,IF(F1195="Half Day",4,0))</f>
        <v>0</v>
      </c>
      <c r="J1195" s="2"/>
      <c r="K1195" s="2" t="s">
        <v>460</v>
      </c>
    </row>
    <row r="1196" customFormat="false" ht="15" hidden="false" customHeight="false" outlineLevel="0" collapsed="false">
      <c r="A1196" s="2" t="s">
        <v>122</v>
      </c>
      <c r="B1196" s="2" t="s">
        <v>123</v>
      </c>
      <c r="C1196" s="2" t="s">
        <v>53</v>
      </c>
      <c r="D1196" s="3" t="n">
        <v>46251</v>
      </c>
      <c r="E1196" s="2" t="str">
        <f aca="false">TEXT(D1196,"dddd")</f>
        <v>Monday</v>
      </c>
      <c r="F1196" s="2" t="s">
        <v>461</v>
      </c>
      <c r="G1196" s="2"/>
      <c r="H1196" s="2"/>
      <c r="I1196" s="2" t="n">
        <f aca="false">IF(F1196="Present",9,IF(F1196="Half Day",4,0))</f>
        <v>0</v>
      </c>
      <c r="J1196" s="2"/>
      <c r="K1196" s="2" t="s">
        <v>462</v>
      </c>
    </row>
    <row r="1197" customFormat="false" ht="15" hidden="false" customHeight="false" outlineLevel="0" collapsed="false">
      <c r="A1197" s="2" t="s">
        <v>122</v>
      </c>
      <c r="B1197" s="2" t="s">
        <v>123</v>
      </c>
      <c r="C1197" s="2" t="s">
        <v>53</v>
      </c>
      <c r="D1197" s="3" t="n">
        <v>46252</v>
      </c>
      <c r="E1197" s="2" t="str">
        <f aca="false">TEXT(D1197,"dddd")</f>
        <v>Tuesday</v>
      </c>
      <c r="F1197" s="2" t="s">
        <v>457</v>
      </c>
      <c r="G1197" s="2" t="s">
        <v>458</v>
      </c>
      <c r="H1197" s="2" t="s">
        <v>459</v>
      </c>
      <c r="I1197" s="2" t="n">
        <f aca="false">IF(F1197="Present",9,IF(F1197="Half Day",4,0))</f>
        <v>9</v>
      </c>
      <c r="J1197" s="2"/>
      <c r="K1197" s="2"/>
    </row>
    <row r="1198" customFormat="false" ht="15" hidden="false" customHeight="false" outlineLevel="0" collapsed="false">
      <c r="A1198" s="2" t="s">
        <v>122</v>
      </c>
      <c r="B1198" s="2" t="s">
        <v>123</v>
      </c>
      <c r="C1198" s="2" t="s">
        <v>53</v>
      </c>
      <c r="D1198" s="3" t="n">
        <v>46253</v>
      </c>
      <c r="E1198" s="2" t="str">
        <f aca="false">TEXT(D1198,"dddd")</f>
        <v>Wednesday</v>
      </c>
      <c r="F1198" s="2" t="s">
        <v>457</v>
      </c>
      <c r="G1198" s="2" t="s">
        <v>458</v>
      </c>
      <c r="H1198" s="2" t="s">
        <v>459</v>
      </c>
      <c r="I1198" s="2" t="n">
        <f aca="false">IF(F1198="Present",9,IF(F1198="Half Day",4,0))</f>
        <v>9</v>
      </c>
      <c r="J1198" s="2"/>
      <c r="K1198" s="2"/>
    </row>
    <row r="1199" customFormat="false" ht="15" hidden="false" customHeight="false" outlineLevel="0" collapsed="false">
      <c r="A1199" s="2" t="s">
        <v>122</v>
      </c>
      <c r="B1199" s="2" t="s">
        <v>123</v>
      </c>
      <c r="C1199" s="2" t="s">
        <v>53</v>
      </c>
      <c r="D1199" s="3" t="n">
        <v>46254</v>
      </c>
      <c r="E1199" s="2" t="str">
        <f aca="false">TEXT(D1199,"dddd")</f>
        <v>Thursday</v>
      </c>
      <c r="F1199" s="2" t="s">
        <v>461</v>
      </c>
      <c r="G1199" s="2"/>
      <c r="H1199" s="2"/>
      <c r="I1199" s="2" t="n">
        <f aca="false">IF(F1199="Present",9,IF(F1199="Half Day",4,0))</f>
        <v>0</v>
      </c>
      <c r="J1199" s="2"/>
      <c r="K1199" s="2" t="s">
        <v>462</v>
      </c>
    </row>
    <row r="1200" customFormat="false" ht="15" hidden="false" customHeight="false" outlineLevel="0" collapsed="false">
      <c r="A1200" s="2" t="s">
        <v>122</v>
      </c>
      <c r="B1200" s="2" t="s">
        <v>123</v>
      </c>
      <c r="C1200" s="2" t="s">
        <v>53</v>
      </c>
      <c r="D1200" s="3" t="n">
        <v>46255</v>
      </c>
      <c r="E1200" s="2" t="str">
        <f aca="false">TEXT(D1200,"dddd")</f>
        <v>Friday</v>
      </c>
      <c r="F1200" s="2" t="s">
        <v>457</v>
      </c>
      <c r="G1200" s="2" t="s">
        <v>458</v>
      </c>
      <c r="H1200" s="2" t="s">
        <v>459</v>
      </c>
      <c r="I1200" s="2" t="n">
        <f aca="false">IF(F1200="Present",9,IF(F1200="Half Day",4,0))</f>
        <v>9</v>
      </c>
      <c r="J1200" s="2"/>
      <c r="K1200" s="2"/>
    </row>
    <row r="1201" customFormat="false" ht="15" hidden="false" customHeight="false" outlineLevel="0" collapsed="false">
      <c r="A1201" s="2" t="s">
        <v>122</v>
      </c>
      <c r="B1201" s="2" t="s">
        <v>123</v>
      </c>
      <c r="C1201" s="2" t="s">
        <v>53</v>
      </c>
      <c r="D1201" s="3" t="n">
        <v>46256</v>
      </c>
      <c r="E1201" s="2" t="str">
        <f aca="false">TEXT(D1201,"dddd")</f>
        <v>Saturday</v>
      </c>
      <c r="F1201" s="2" t="s">
        <v>457</v>
      </c>
      <c r="G1201" s="2" t="s">
        <v>458</v>
      </c>
      <c r="H1201" s="2" t="s">
        <v>459</v>
      </c>
      <c r="I1201" s="2" t="n">
        <f aca="false">IF(F1201="Present",9,IF(F1201="Half Day",4,0))</f>
        <v>9</v>
      </c>
      <c r="J1201" s="2"/>
      <c r="K1201" s="2"/>
    </row>
    <row r="1202" customFormat="false" ht="15" hidden="false" customHeight="false" outlineLevel="0" collapsed="false">
      <c r="A1202" s="2" t="s">
        <v>122</v>
      </c>
      <c r="B1202" s="2" t="s">
        <v>123</v>
      </c>
      <c r="C1202" s="2" t="s">
        <v>53</v>
      </c>
      <c r="D1202" s="3" t="n">
        <v>46257</v>
      </c>
      <c r="E1202" s="2" t="str">
        <f aca="false">TEXT(D1202,"dddd")</f>
        <v>Sunday</v>
      </c>
      <c r="F1202" s="2" t="s">
        <v>460</v>
      </c>
      <c r="G1202" s="2"/>
      <c r="H1202" s="2"/>
      <c r="I1202" s="2" t="n">
        <f aca="false">IF(F1202="Present",9,IF(F1202="Half Day",4,0))</f>
        <v>0</v>
      </c>
      <c r="J1202" s="2"/>
      <c r="K1202" s="2" t="s">
        <v>460</v>
      </c>
    </row>
    <row r="1203" customFormat="false" ht="15" hidden="false" customHeight="false" outlineLevel="0" collapsed="false">
      <c r="A1203" s="2" t="s">
        <v>122</v>
      </c>
      <c r="B1203" s="2" t="s">
        <v>123</v>
      </c>
      <c r="C1203" s="2" t="s">
        <v>53</v>
      </c>
      <c r="D1203" s="3" t="n">
        <v>46258</v>
      </c>
      <c r="E1203" s="2" t="str">
        <f aca="false">TEXT(D1203,"dddd")</f>
        <v>Monday</v>
      </c>
      <c r="F1203" s="2" t="s">
        <v>461</v>
      </c>
      <c r="G1203" s="2"/>
      <c r="H1203" s="2"/>
      <c r="I1203" s="2" t="n">
        <f aca="false">IF(F1203="Present",9,IF(F1203="Half Day",4,0))</f>
        <v>0</v>
      </c>
      <c r="J1203" s="2"/>
      <c r="K1203" s="2" t="s">
        <v>462</v>
      </c>
    </row>
    <row r="1204" customFormat="false" ht="15" hidden="false" customHeight="false" outlineLevel="0" collapsed="false">
      <c r="A1204" s="2" t="s">
        <v>122</v>
      </c>
      <c r="B1204" s="2" t="s">
        <v>123</v>
      </c>
      <c r="C1204" s="2" t="s">
        <v>53</v>
      </c>
      <c r="D1204" s="3" t="n">
        <v>46259</v>
      </c>
      <c r="E1204" s="2" t="str">
        <f aca="false">TEXT(D1204,"dddd")</f>
        <v>Tuesday</v>
      </c>
      <c r="F1204" s="2" t="s">
        <v>461</v>
      </c>
      <c r="G1204" s="2"/>
      <c r="H1204" s="2"/>
      <c r="I1204" s="2" t="n">
        <f aca="false">IF(F1204="Present",9,IF(F1204="Half Day",4,0))</f>
        <v>0</v>
      </c>
      <c r="J1204" s="2"/>
      <c r="K1204" s="2" t="s">
        <v>462</v>
      </c>
    </row>
    <row r="1205" customFormat="false" ht="15" hidden="false" customHeight="false" outlineLevel="0" collapsed="false">
      <c r="A1205" s="2" t="s">
        <v>122</v>
      </c>
      <c r="B1205" s="2" t="s">
        <v>123</v>
      </c>
      <c r="C1205" s="2" t="s">
        <v>53</v>
      </c>
      <c r="D1205" s="3" t="n">
        <v>46260</v>
      </c>
      <c r="E1205" s="2" t="str">
        <f aca="false">TEXT(D1205,"dddd")</f>
        <v>Wednesday</v>
      </c>
      <c r="F1205" s="2" t="s">
        <v>457</v>
      </c>
      <c r="G1205" s="2" t="s">
        <v>458</v>
      </c>
      <c r="H1205" s="2" t="s">
        <v>459</v>
      </c>
      <c r="I1205" s="2" t="n">
        <f aca="false">IF(F1205="Present",9,IF(F1205="Half Day",4,0))</f>
        <v>9</v>
      </c>
      <c r="J1205" s="2"/>
      <c r="K1205" s="2"/>
    </row>
    <row r="1206" customFormat="false" ht="15" hidden="false" customHeight="false" outlineLevel="0" collapsed="false">
      <c r="A1206" s="2" t="s">
        <v>122</v>
      </c>
      <c r="B1206" s="2" t="s">
        <v>123</v>
      </c>
      <c r="C1206" s="2" t="s">
        <v>53</v>
      </c>
      <c r="D1206" s="3" t="n">
        <v>46261</v>
      </c>
      <c r="E1206" s="2" t="str">
        <f aca="false">TEXT(D1206,"dddd")</f>
        <v>Thursday</v>
      </c>
      <c r="F1206" s="2" t="s">
        <v>457</v>
      </c>
      <c r="G1206" s="2" t="s">
        <v>458</v>
      </c>
      <c r="H1206" s="2" t="s">
        <v>459</v>
      </c>
      <c r="I1206" s="2" t="n">
        <f aca="false">IF(F1206="Present",9,IF(F1206="Half Day",4,0))</f>
        <v>9</v>
      </c>
      <c r="J1206" s="2"/>
      <c r="K1206" s="2"/>
    </row>
    <row r="1207" customFormat="false" ht="15" hidden="false" customHeight="false" outlineLevel="0" collapsed="false">
      <c r="A1207" s="2" t="s">
        <v>122</v>
      </c>
      <c r="B1207" s="2" t="s">
        <v>123</v>
      </c>
      <c r="C1207" s="2" t="s">
        <v>53</v>
      </c>
      <c r="D1207" s="3" t="n">
        <v>46262</v>
      </c>
      <c r="E1207" s="2" t="str">
        <f aca="false">TEXT(D1207,"dddd")</f>
        <v>Friday</v>
      </c>
      <c r="F1207" s="2" t="s">
        <v>457</v>
      </c>
      <c r="G1207" s="2" t="s">
        <v>458</v>
      </c>
      <c r="H1207" s="2" t="s">
        <v>459</v>
      </c>
      <c r="I1207" s="2" t="n">
        <f aca="false">IF(F1207="Present",9,IF(F1207="Half Day",4,0))</f>
        <v>9</v>
      </c>
      <c r="J1207" s="2"/>
      <c r="K1207" s="2"/>
    </row>
    <row r="1208" customFormat="false" ht="15" hidden="false" customHeight="false" outlineLevel="0" collapsed="false">
      <c r="A1208" s="2" t="s">
        <v>122</v>
      </c>
      <c r="B1208" s="2" t="s">
        <v>123</v>
      </c>
      <c r="C1208" s="2" t="s">
        <v>53</v>
      </c>
      <c r="D1208" s="3" t="n">
        <v>46263</v>
      </c>
      <c r="E1208" s="2" t="str">
        <f aca="false">TEXT(D1208,"dddd")</f>
        <v>Saturday</v>
      </c>
      <c r="F1208" s="2" t="s">
        <v>463</v>
      </c>
      <c r="G1208" s="2"/>
      <c r="H1208" s="2"/>
      <c r="I1208" s="2" t="n">
        <f aca="false">IF(F1208="Present",9,IF(F1208="Half Day",4,0))</f>
        <v>0</v>
      </c>
      <c r="J1208" s="2" t="s">
        <v>474</v>
      </c>
      <c r="K1208" s="2" t="s">
        <v>475</v>
      </c>
    </row>
    <row r="1209" customFormat="false" ht="15" hidden="false" customHeight="false" outlineLevel="0" collapsed="false">
      <c r="A1209" s="2" t="s">
        <v>122</v>
      </c>
      <c r="B1209" s="2" t="s">
        <v>123</v>
      </c>
      <c r="C1209" s="2" t="s">
        <v>53</v>
      </c>
      <c r="D1209" s="3" t="n">
        <v>46264</v>
      </c>
      <c r="E1209" s="2" t="str">
        <f aca="false">TEXT(D1209,"dddd")</f>
        <v>Sunday</v>
      </c>
      <c r="F1209" s="2" t="s">
        <v>460</v>
      </c>
      <c r="G1209" s="2"/>
      <c r="H1209" s="2"/>
      <c r="I1209" s="2" t="n">
        <f aca="false">IF(F1209="Present",9,IF(F1209="Half Day",4,0))</f>
        <v>0</v>
      </c>
      <c r="J1209" s="2"/>
      <c r="K1209" s="2" t="s">
        <v>460</v>
      </c>
    </row>
    <row r="1210" customFormat="false" ht="15" hidden="false" customHeight="false" outlineLevel="0" collapsed="false">
      <c r="A1210" s="2" t="s">
        <v>122</v>
      </c>
      <c r="B1210" s="2" t="s">
        <v>123</v>
      </c>
      <c r="C1210" s="2" t="s">
        <v>53</v>
      </c>
      <c r="D1210" s="3" t="n">
        <v>46265</v>
      </c>
      <c r="E1210" s="2" t="str">
        <f aca="false">TEXT(D1210,"dddd")</f>
        <v>Monday</v>
      </c>
      <c r="F1210" s="2" t="s">
        <v>461</v>
      </c>
      <c r="G1210" s="2"/>
      <c r="H1210" s="2"/>
      <c r="I1210" s="2" t="n">
        <f aca="false">IF(F1210="Present",9,IF(F1210="Half Day",4,0))</f>
        <v>0</v>
      </c>
      <c r="J1210" s="2"/>
      <c r="K1210" s="2" t="s">
        <v>462</v>
      </c>
    </row>
    <row r="1211" customFormat="false" ht="15" hidden="false" customHeight="false" outlineLevel="0" collapsed="false">
      <c r="A1211" s="2" t="s">
        <v>124</v>
      </c>
      <c r="B1211" s="2" t="s">
        <v>125</v>
      </c>
      <c r="C1211" s="2" t="s">
        <v>57</v>
      </c>
      <c r="D1211" s="3" t="n">
        <v>46235</v>
      </c>
      <c r="E1211" s="2" t="str">
        <f aca="false">TEXT(D1211,"dddd")</f>
        <v>Saturday</v>
      </c>
      <c r="F1211" s="2" t="s">
        <v>457</v>
      </c>
      <c r="G1211" s="2" t="s">
        <v>458</v>
      </c>
      <c r="H1211" s="2" t="s">
        <v>459</v>
      </c>
      <c r="I1211" s="2" t="n">
        <f aca="false">IF(F1211="Present",9,IF(F1211="Half Day",4,0))</f>
        <v>9</v>
      </c>
      <c r="J1211" s="2"/>
      <c r="K1211" s="2"/>
    </row>
    <row r="1212" customFormat="false" ht="15" hidden="false" customHeight="false" outlineLevel="0" collapsed="false">
      <c r="A1212" s="2" t="s">
        <v>124</v>
      </c>
      <c r="B1212" s="2" t="s">
        <v>125</v>
      </c>
      <c r="C1212" s="2" t="s">
        <v>57</v>
      </c>
      <c r="D1212" s="3" t="n">
        <v>46236</v>
      </c>
      <c r="E1212" s="2" t="str">
        <f aca="false">TEXT(D1212,"dddd")</f>
        <v>Sunday</v>
      </c>
      <c r="F1212" s="2" t="s">
        <v>460</v>
      </c>
      <c r="G1212" s="2"/>
      <c r="H1212" s="2"/>
      <c r="I1212" s="2" t="n">
        <f aca="false">IF(F1212="Present",9,IF(F1212="Half Day",4,0))</f>
        <v>0</v>
      </c>
      <c r="J1212" s="2"/>
      <c r="K1212" s="2" t="s">
        <v>460</v>
      </c>
    </row>
    <row r="1213" customFormat="false" ht="15" hidden="false" customHeight="false" outlineLevel="0" collapsed="false">
      <c r="A1213" s="2" t="s">
        <v>124</v>
      </c>
      <c r="B1213" s="2" t="s">
        <v>125</v>
      </c>
      <c r="C1213" s="2" t="s">
        <v>57</v>
      </c>
      <c r="D1213" s="3" t="n">
        <v>46237</v>
      </c>
      <c r="E1213" s="2" t="str">
        <f aca="false">TEXT(D1213,"dddd")</f>
        <v>Monday</v>
      </c>
      <c r="F1213" s="2" t="s">
        <v>457</v>
      </c>
      <c r="G1213" s="2" t="s">
        <v>458</v>
      </c>
      <c r="H1213" s="2" t="s">
        <v>459</v>
      </c>
      <c r="I1213" s="2" t="n">
        <f aca="false">IF(F1213="Present",9,IF(F1213="Half Day",4,0))</f>
        <v>9</v>
      </c>
      <c r="J1213" s="2"/>
      <c r="K1213" s="2"/>
    </row>
    <row r="1214" customFormat="false" ht="15" hidden="false" customHeight="false" outlineLevel="0" collapsed="false">
      <c r="A1214" s="2" t="s">
        <v>124</v>
      </c>
      <c r="B1214" s="2" t="s">
        <v>125</v>
      </c>
      <c r="C1214" s="2" t="s">
        <v>57</v>
      </c>
      <c r="D1214" s="3" t="n">
        <v>46238</v>
      </c>
      <c r="E1214" s="2" t="str">
        <f aca="false">TEXT(D1214,"dddd")</f>
        <v>Tuesday</v>
      </c>
      <c r="F1214" s="2" t="s">
        <v>457</v>
      </c>
      <c r="G1214" s="2" t="s">
        <v>458</v>
      </c>
      <c r="H1214" s="2" t="s">
        <v>459</v>
      </c>
      <c r="I1214" s="2" t="n">
        <f aca="false">IF(F1214="Present",9,IF(F1214="Half Day",4,0))</f>
        <v>9</v>
      </c>
      <c r="J1214" s="2"/>
      <c r="K1214" s="2"/>
    </row>
    <row r="1215" customFormat="false" ht="15" hidden="false" customHeight="false" outlineLevel="0" collapsed="false">
      <c r="A1215" s="2" t="s">
        <v>124</v>
      </c>
      <c r="B1215" s="2" t="s">
        <v>125</v>
      </c>
      <c r="C1215" s="2" t="s">
        <v>57</v>
      </c>
      <c r="D1215" s="3" t="n">
        <v>46239</v>
      </c>
      <c r="E1215" s="2" t="str">
        <f aca="false">TEXT(D1215,"dddd")</f>
        <v>Wednesday</v>
      </c>
      <c r="F1215" s="2" t="s">
        <v>466</v>
      </c>
      <c r="G1215" s="2" t="s">
        <v>458</v>
      </c>
      <c r="H1215" s="2" t="s">
        <v>467</v>
      </c>
      <c r="I1215" s="2" t="n">
        <f aca="false">IF(F1215="Present",9,IF(F1215="Half Day",4,0))</f>
        <v>4</v>
      </c>
      <c r="J1215" s="2"/>
      <c r="K1215" s="2" t="s">
        <v>466</v>
      </c>
    </row>
    <row r="1216" customFormat="false" ht="15" hidden="false" customHeight="false" outlineLevel="0" collapsed="false">
      <c r="A1216" s="2" t="s">
        <v>124</v>
      </c>
      <c r="B1216" s="2" t="s">
        <v>125</v>
      </c>
      <c r="C1216" s="2" t="s">
        <v>57</v>
      </c>
      <c r="D1216" s="3" t="n">
        <v>46240</v>
      </c>
      <c r="E1216" s="2" t="str">
        <f aca="false">TEXT(D1216,"dddd")</f>
        <v>Thursday</v>
      </c>
      <c r="F1216" s="2" t="s">
        <v>466</v>
      </c>
      <c r="G1216" s="2" t="s">
        <v>458</v>
      </c>
      <c r="H1216" s="2" t="s">
        <v>467</v>
      </c>
      <c r="I1216" s="2" t="n">
        <f aca="false">IF(F1216="Present",9,IF(F1216="Half Day",4,0))</f>
        <v>4</v>
      </c>
      <c r="J1216" s="2"/>
      <c r="K1216" s="2" t="s">
        <v>466</v>
      </c>
    </row>
    <row r="1217" customFormat="false" ht="15" hidden="false" customHeight="false" outlineLevel="0" collapsed="false">
      <c r="A1217" s="2" t="s">
        <v>124</v>
      </c>
      <c r="B1217" s="2" t="s">
        <v>125</v>
      </c>
      <c r="C1217" s="2" t="s">
        <v>57</v>
      </c>
      <c r="D1217" s="3" t="n">
        <v>46241</v>
      </c>
      <c r="E1217" s="2" t="str">
        <f aca="false">TEXT(D1217,"dddd")</f>
        <v>Friday</v>
      </c>
      <c r="F1217" s="2" t="s">
        <v>457</v>
      </c>
      <c r="G1217" s="2" t="s">
        <v>458</v>
      </c>
      <c r="H1217" s="2" t="s">
        <v>459</v>
      </c>
      <c r="I1217" s="2" t="n">
        <f aca="false">IF(F1217="Present",9,IF(F1217="Half Day",4,0))</f>
        <v>9</v>
      </c>
      <c r="J1217" s="2"/>
      <c r="K1217" s="2"/>
    </row>
    <row r="1218" customFormat="false" ht="15" hidden="false" customHeight="false" outlineLevel="0" collapsed="false">
      <c r="A1218" s="2" t="s">
        <v>124</v>
      </c>
      <c r="B1218" s="2" t="s">
        <v>125</v>
      </c>
      <c r="C1218" s="2" t="s">
        <v>57</v>
      </c>
      <c r="D1218" s="3" t="n">
        <v>46242</v>
      </c>
      <c r="E1218" s="2" t="str">
        <f aca="false">TEXT(D1218,"dddd")</f>
        <v>Saturday</v>
      </c>
      <c r="F1218" s="2" t="s">
        <v>457</v>
      </c>
      <c r="G1218" s="2" t="s">
        <v>458</v>
      </c>
      <c r="H1218" s="2" t="s">
        <v>459</v>
      </c>
      <c r="I1218" s="2" t="n">
        <f aca="false">IF(F1218="Present",9,IF(F1218="Half Day",4,0))</f>
        <v>9</v>
      </c>
      <c r="J1218" s="2"/>
      <c r="K1218" s="2"/>
    </row>
    <row r="1219" customFormat="false" ht="15" hidden="false" customHeight="false" outlineLevel="0" collapsed="false">
      <c r="A1219" s="2" t="s">
        <v>124</v>
      </c>
      <c r="B1219" s="2" t="s">
        <v>125</v>
      </c>
      <c r="C1219" s="2" t="s">
        <v>57</v>
      </c>
      <c r="D1219" s="3" t="n">
        <v>46243</v>
      </c>
      <c r="E1219" s="2" t="str">
        <f aca="false">TEXT(D1219,"dddd")</f>
        <v>Sunday</v>
      </c>
      <c r="F1219" s="2" t="s">
        <v>460</v>
      </c>
      <c r="G1219" s="2"/>
      <c r="H1219" s="2"/>
      <c r="I1219" s="2" t="n">
        <f aca="false">IF(F1219="Present",9,IF(F1219="Half Day",4,0))</f>
        <v>0</v>
      </c>
      <c r="J1219" s="2"/>
      <c r="K1219" s="2" t="s">
        <v>460</v>
      </c>
    </row>
    <row r="1220" customFormat="false" ht="15" hidden="false" customHeight="false" outlineLevel="0" collapsed="false">
      <c r="A1220" s="2" t="s">
        <v>124</v>
      </c>
      <c r="B1220" s="2" t="s">
        <v>125</v>
      </c>
      <c r="C1220" s="2" t="s">
        <v>57</v>
      </c>
      <c r="D1220" s="3" t="n">
        <v>46244</v>
      </c>
      <c r="E1220" s="2" t="str">
        <f aca="false">TEXT(D1220,"dddd")</f>
        <v>Monday</v>
      </c>
      <c r="F1220" s="2" t="s">
        <v>463</v>
      </c>
      <c r="G1220" s="2"/>
      <c r="H1220" s="2"/>
      <c r="I1220" s="2" t="n">
        <f aca="false">IF(F1220="Present",9,IF(F1220="Half Day",4,0))</f>
        <v>0</v>
      </c>
      <c r="J1220" s="2" t="s">
        <v>474</v>
      </c>
      <c r="K1220" s="2" t="s">
        <v>475</v>
      </c>
    </row>
    <row r="1221" customFormat="false" ht="15" hidden="false" customHeight="false" outlineLevel="0" collapsed="false">
      <c r="A1221" s="2" t="s">
        <v>124</v>
      </c>
      <c r="B1221" s="2" t="s">
        <v>125</v>
      </c>
      <c r="C1221" s="2" t="s">
        <v>57</v>
      </c>
      <c r="D1221" s="3" t="n">
        <v>46245</v>
      </c>
      <c r="E1221" s="2" t="str">
        <f aca="false">TEXT(D1221,"dddd")</f>
        <v>Tuesday</v>
      </c>
      <c r="F1221" s="2" t="s">
        <v>463</v>
      </c>
      <c r="G1221" s="2"/>
      <c r="H1221" s="2"/>
      <c r="I1221" s="2" t="n">
        <f aca="false">IF(F1221="Present",9,IF(F1221="Half Day",4,0))</f>
        <v>0</v>
      </c>
      <c r="J1221" s="2" t="s">
        <v>474</v>
      </c>
      <c r="K1221" s="2" t="s">
        <v>475</v>
      </c>
    </row>
    <row r="1222" customFormat="false" ht="15" hidden="false" customHeight="false" outlineLevel="0" collapsed="false">
      <c r="A1222" s="2" t="s">
        <v>124</v>
      </c>
      <c r="B1222" s="2" t="s">
        <v>125</v>
      </c>
      <c r="C1222" s="2" t="s">
        <v>57</v>
      </c>
      <c r="D1222" s="3" t="n">
        <v>46246</v>
      </c>
      <c r="E1222" s="2" t="str">
        <f aca="false">TEXT(D1222,"dddd")</f>
        <v>Wednesday</v>
      </c>
      <c r="F1222" s="2" t="s">
        <v>457</v>
      </c>
      <c r="G1222" s="2" t="s">
        <v>458</v>
      </c>
      <c r="H1222" s="2" t="s">
        <v>459</v>
      </c>
      <c r="I1222" s="2" t="n">
        <f aca="false">IF(F1222="Present",9,IF(F1222="Half Day",4,0))</f>
        <v>9</v>
      </c>
      <c r="J1222" s="2"/>
      <c r="K1222" s="2"/>
    </row>
    <row r="1223" customFormat="false" ht="15" hidden="false" customHeight="false" outlineLevel="0" collapsed="false">
      <c r="A1223" s="2" t="s">
        <v>124</v>
      </c>
      <c r="B1223" s="2" t="s">
        <v>125</v>
      </c>
      <c r="C1223" s="2" t="s">
        <v>57</v>
      </c>
      <c r="D1223" s="3" t="n">
        <v>46247</v>
      </c>
      <c r="E1223" s="2" t="str">
        <f aca="false">TEXT(D1223,"dddd")</f>
        <v>Thursday</v>
      </c>
      <c r="F1223" s="2" t="s">
        <v>461</v>
      </c>
      <c r="G1223" s="2"/>
      <c r="H1223" s="2"/>
      <c r="I1223" s="2" t="n">
        <f aca="false">IF(F1223="Present",9,IF(F1223="Half Day",4,0))</f>
        <v>0</v>
      </c>
      <c r="J1223" s="2"/>
      <c r="K1223" s="2" t="s">
        <v>462</v>
      </c>
    </row>
    <row r="1224" customFormat="false" ht="15" hidden="false" customHeight="false" outlineLevel="0" collapsed="false">
      <c r="A1224" s="2" t="s">
        <v>124</v>
      </c>
      <c r="B1224" s="2" t="s">
        <v>125</v>
      </c>
      <c r="C1224" s="2" t="s">
        <v>57</v>
      </c>
      <c r="D1224" s="3" t="n">
        <v>46248</v>
      </c>
      <c r="E1224" s="2" t="str">
        <f aca="false">TEXT(D1224,"dddd")</f>
        <v>Friday</v>
      </c>
      <c r="F1224" s="2" t="s">
        <v>457</v>
      </c>
      <c r="G1224" s="2" t="s">
        <v>458</v>
      </c>
      <c r="H1224" s="2" t="s">
        <v>459</v>
      </c>
      <c r="I1224" s="2" t="n">
        <f aca="false">IF(F1224="Present",9,IF(F1224="Half Day",4,0))</f>
        <v>9</v>
      </c>
      <c r="J1224" s="2"/>
      <c r="K1224" s="2"/>
    </row>
    <row r="1225" customFormat="false" ht="15" hidden="false" customHeight="false" outlineLevel="0" collapsed="false">
      <c r="A1225" s="2" t="s">
        <v>124</v>
      </c>
      <c r="B1225" s="2" t="s">
        <v>125</v>
      </c>
      <c r="C1225" s="2" t="s">
        <v>57</v>
      </c>
      <c r="D1225" s="3" t="n">
        <v>46249</v>
      </c>
      <c r="E1225" s="2" t="str">
        <f aca="false">TEXT(D1225,"dddd")</f>
        <v>Saturday</v>
      </c>
      <c r="F1225" s="2" t="s">
        <v>457</v>
      </c>
      <c r="G1225" s="2" t="s">
        <v>458</v>
      </c>
      <c r="H1225" s="2" t="s">
        <v>459</v>
      </c>
      <c r="I1225" s="2" t="n">
        <f aca="false">IF(F1225="Present",9,IF(F1225="Half Day",4,0))</f>
        <v>9</v>
      </c>
      <c r="J1225" s="2"/>
      <c r="K1225" s="2"/>
    </row>
    <row r="1226" customFormat="false" ht="15" hidden="false" customHeight="false" outlineLevel="0" collapsed="false">
      <c r="A1226" s="2" t="s">
        <v>124</v>
      </c>
      <c r="B1226" s="2" t="s">
        <v>125</v>
      </c>
      <c r="C1226" s="2" t="s">
        <v>57</v>
      </c>
      <c r="D1226" s="3" t="n">
        <v>46250</v>
      </c>
      <c r="E1226" s="2" t="str">
        <f aca="false">TEXT(D1226,"dddd")</f>
        <v>Sunday</v>
      </c>
      <c r="F1226" s="2" t="s">
        <v>460</v>
      </c>
      <c r="G1226" s="2"/>
      <c r="H1226" s="2"/>
      <c r="I1226" s="2" t="n">
        <f aca="false">IF(F1226="Present",9,IF(F1226="Half Day",4,0))</f>
        <v>0</v>
      </c>
      <c r="J1226" s="2"/>
      <c r="K1226" s="2" t="s">
        <v>460</v>
      </c>
    </row>
    <row r="1227" customFormat="false" ht="15" hidden="false" customHeight="false" outlineLevel="0" collapsed="false">
      <c r="A1227" s="2" t="s">
        <v>124</v>
      </c>
      <c r="B1227" s="2" t="s">
        <v>125</v>
      </c>
      <c r="C1227" s="2" t="s">
        <v>57</v>
      </c>
      <c r="D1227" s="3" t="n">
        <v>46251</v>
      </c>
      <c r="E1227" s="2" t="str">
        <f aca="false">TEXT(D1227,"dddd")</f>
        <v>Monday</v>
      </c>
      <c r="F1227" s="2" t="s">
        <v>457</v>
      </c>
      <c r="G1227" s="2" t="s">
        <v>458</v>
      </c>
      <c r="H1227" s="2" t="s">
        <v>459</v>
      </c>
      <c r="I1227" s="2" t="n">
        <f aca="false">IF(F1227="Present",9,IF(F1227="Half Day",4,0))</f>
        <v>9</v>
      </c>
      <c r="J1227" s="2"/>
      <c r="K1227" s="2"/>
    </row>
    <row r="1228" customFormat="false" ht="15" hidden="false" customHeight="false" outlineLevel="0" collapsed="false">
      <c r="A1228" s="2" t="s">
        <v>124</v>
      </c>
      <c r="B1228" s="2" t="s">
        <v>125</v>
      </c>
      <c r="C1228" s="2" t="s">
        <v>57</v>
      </c>
      <c r="D1228" s="3" t="n">
        <v>46252</v>
      </c>
      <c r="E1228" s="2" t="str">
        <f aca="false">TEXT(D1228,"dddd")</f>
        <v>Tuesday</v>
      </c>
      <c r="F1228" s="2" t="s">
        <v>457</v>
      </c>
      <c r="G1228" s="2" t="s">
        <v>458</v>
      </c>
      <c r="H1228" s="2" t="s">
        <v>459</v>
      </c>
      <c r="I1228" s="2" t="n">
        <f aca="false">IF(F1228="Present",9,IF(F1228="Half Day",4,0))</f>
        <v>9</v>
      </c>
      <c r="J1228" s="2"/>
      <c r="K1228" s="2"/>
    </row>
    <row r="1229" customFormat="false" ht="15" hidden="false" customHeight="false" outlineLevel="0" collapsed="false">
      <c r="A1229" s="2" t="s">
        <v>124</v>
      </c>
      <c r="B1229" s="2" t="s">
        <v>125</v>
      </c>
      <c r="C1229" s="2" t="s">
        <v>57</v>
      </c>
      <c r="D1229" s="3" t="n">
        <v>46253</v>
      </c>
      <c r="E1229" s="2" t="str">
        <f aca="false">TEXT(D1229,"dddd")</f>
        <v>Wednesday</v>
      </c>
      <c r="F1229" s="2" t="s">
        <v>457</v>
      </c>
      <c r="G1229" s="2" t="s">
        <v>458</v>
      </c>
      <c r="H1229" s="2" t="s">
        <v>459</v>
      </c>
      <c r="I1229" s="2" t="n">
        <f aca="false">IF(F1229="Present",9,IF(F1229="Half Day",4,0))</f>
        <v>9</v>
      </c>
      <c r="J1229" s="2"/>
      <c r="K1229" s="2"/>
    </row>
    <row r="1230" customFormat="false" ht="15" hidden="false" customHeight="false" outlineLevel="0" collapsed="false">
      <c r="A1230" s="2" t="s">
        <v>124</v>
      </c>
      <c r="B1230" s="2" t="s">
        <v>125</v>
      </c>
      <c r="C1230" s="2" t="s">
        <v>57</v>
      </c>
      <c r="D1230" s="3" t="n">
        <v>46254</v>
      </c>
      <c r="E1230" s="2" t="str">
        <f aca="false">TEXT(D1230,"dddd")</f>
        <v>Thursday</v>
      </c>
      <c r="F1230" s="2" t="s">
        <v>457</v>
      </c>
      <c r="G1230" s="2" t="s">
        <v>458</v>
      </c>
      <c r="H1230" s="2" t="s">
        <v>459</v>
      </c>
      <c r="I1230" s="2" t="n">
        <f aca="false">IF(F1230="Present",9,IF(F1230="Half Day",4,0))</f>
        <v>9</v>
      </c>
      <c r="J1230" s="2"/>
      <c r="K1230" s="2"/>
    </row>
    <row r="1231" customFormat="false" ht="15" hidden="false" customHeight="false" outlineLevel="0" collapsed="false">
      <c r="A1231" s="2" t="s">
        <v>124</v>
      </c>
      <c r="B1231" s="2" t="s">
        <v>125</v>
      </c>
      <c r="C1231" s="2" t="s">
        <v>57</v>
      </c>
      <c r="D1231" s="3" t="n">
        <v>46255</v>
      </c>
      <c r="E1231" s="2" t="str">
        <f aca="false">TEXT(D1231,"dddd")</f>
        <v>Friday</v>
      </c>
      <c r="F1231" s="2" t="s">
        <v>457</v>
      </c>
      <c r="G1231" s="2" t="s">
        <v>458</v>
      </c>
      <c r="H1231" s="2" t="s">
        <v>459</v>
      </c>
      <c r="I1231" s="2" t="n">
        <f aca="false">IF(F1231="Present",9,IF(F1231="Half Day",4,0))</f>
        <v>9</v>
      </c>
      <c r="J1231" s="2"/>
      <c r="K1231" s="2"/>
    </row>
    <row r="1232" customFormat="false" ht="15" hidden="false" customHeight="false" outlineLevel="0" collapsed="false">
      <c r="A1232" s="2" t="s">
        <v>124</v>
      </c>
      <c r="B1232" s="2" t="s">
        <v>125</v>
      </c>
      <c r="C1232" s="2" t="s">
        <v>57</v>
      </c>
      <c r="D1232" s="3" t="n">
        <v>46256</v>
      </c>
      <c r="E1232" s="2" t="str">
        <f aca="false">TEXT(D1232,"dddd")</f>
        <v>Saturday</v>
      </c>
      <c r="F1232" s="2" t="s">
        <v>457</v>
      </c>
      <c r="G1232" s="2" t="s">
        <v>458</v>
      </c>
      <c r="H1232" s="2" t="s">
        <v>459</v>
      </c>
      <c r="I1232" s="2" t="n">
        <f aca="false">IF(F1232="Present",9,IF(F1232="Half Day",4,0))</f>
        <v>9</v>
      </c>
      <c r="J1232" s="2"/>
      <c r="K1232" s="2"/>
    </row>
    <row r="1233" customFormat="false" ht="15" hidden="false" customHeight="false" outlineLevel="0" collapsed="false">
      <c r="A1233" s="2" t="s">
        <v>124</v>
      </c>
      <c r="B1233" s="2" t="s">
        <v>125</v>
      </c>
      <c r="C1233" s="2" t="s">
        <v>57</v>
      </c>
      <c r="D1233" s="3" t="n">
        <v>46257</v>
      </c>
      <c r="E1233" s="2" t="str">
        <f aca="false">TEXT(D1233,"dddd")</f>
        <v>Sunday</v>
      </c>
      <c r="F1233" s="2" t="s">
        <v>460</v>
      </c>
      <c r="G1233" s="2"/>
      <c r="H1233" s="2"/>
      <c r="I1233" s="2" t="n">
        <f aca="false">IF(F1233="Present",9,IF(F1233="Half Day",4,0))</f>
        <v>0</v>
      </c>
      <c r="J1233" s="2"/>
      <c r="K1233" s="2" t="s">
        <v>460</v>
      </c>
    </row>
    <row r="1234" customFormat="false" ht="15" hidden="false" customHeight="false" outlineLevel="0" collapsed="false">
      <c r="A1234" s="2" t="s">
        <v>124</v>
      </c>
      <c r="B1234" s="2" t="s">
        <v>125</v>
      </c>
      <c r="C1234" s="2" t="s">
        <v>57</v>
      </c>
      <c r="D1234" s="3" t="n">
        <v>46258</v>
      </c>
      <c r="E1234" s="2" t="str">
        <f aca="false">TEXT(D1234,"dddd")</f>
        <v>Monday</v>
      </c>
      <c r="F1234" s="2" t="s">
        <v>457</v>
      </c>
      <c r="G1234" s="2" t="s">
        <v>458</v>
      </c>
      <c r="H1234" s="2" t="s">
        <v>459</v>
      </c>
      <c r="I1234" s="2" t="n">
        <f aca="false">IF(F1234="Present",9,IF(F1234="Half Day",4,0))</f>
        <v>9</v>
      </c>
      <c r="J1234" s="2"/>
      <c r="K1234" s="2"/>
    </row>
    <row r="1235" customFormat="false" ht="15" hidden="false" customHeight="false" outlineLevel="0" collapsed="false">
      <c r="A1235" s="2" t="s">
        <v>124</v>
      </c>
      <c r="B1235" s="2" t="s">
        <v>125</v>
      </c>
      <c r="C1235" s="2" t="s">
        <v>57</v>
      </c>
      <c r="D1235" s="3" t="n">
        <v>46259</v>
      </c>
      <c r="E1235" s="2" t="str">
        <f aca="false">TEXT(D1235,"dddd")</f>
        <v>Tuesday</v>
      </c>
      <c r="F1235" s="2" t="s">
        <v>457</v>
      </c>
      <c r="G1235" s="2" t="s">
        <v>458</v>
      </c>
      <c r="H1235" s="2" t="s">
        <v>459</v>
      </c>
      <c r="I1235" s="2" t="n">
        <f aca="false">IF(F1235="Present",9,IF(F1235="Half Day",4,0))</f>
        <v>9</v>
      </c>
      <c r="J1235" s="2"/>
      <c r="K1235" s="2"/>
    </row>
    <row r="1236" customFormat="false" ht="15" hidden="false" customHeight="false" outlineLevel="0" collapsed="false">
      <c r="A1236" s="2" t="s">
        <v>124</v>
      </c>
      <c r="B1236" s="2" t="s">
        <v>125</v>
      </c>
      <c r="C1236" s="2" t="s">
        <v>57</v>
      </c>
      <c r="D1236" s="3" t="n">
        <v>46260</v>
      </c>
      <c r="E1236" s="2" t="str">
        <f aca="false">TEXT(D1236,"dddd")</f>
        <v>Wednesday</v>
      </c>
      <c r="F1236" s="2" t="s">
        <v>457</v>
      </c>
      <c r="G1236" s="2" t="s">
        <v>458</v>
      </c>
      <c r="H1236" s="2" t="s">
        <v>459</v>
      </c>
      <c r="I1236" s="2" t="n">
        <f aca="false">IF(F1236="Present",9,IF(F1236="Half Day",4,0))</f>
        <v>9</v>
      </c>
      <c r="J1236" s="2"/>
      <c r="K1236" s="2"/>
    </row>
    <row r="1237" customFormat="false" ht="15" hidden="false" customHeight="false" outlineLevel="0" collapsed="false">
      <c r="A1237" s="2" t="s">
        <v>124</v>
      </c>
      <c r="B1237" s="2" t="s">
        <v>125</v>
      </c>
      <c r="C1237" s="2" t="s">
        <v>57</v>
      </c>
      <c r="D1237" s="3" t="n">
        <v>46261</v>
      </c>
      <c r="E1237" s="2" t="str">
        <f aca="false">TEXT(D1237,"dddd")</f>
        <v>Thursday</v>
      </c>
      <c r="F1237" s="2" t="s">
        <v>457</v>
      </c>
      <c r="G1237" s="2" t="s">
        <v>458</v>
      </c>
      <c r="H1237" s="2" t="s">
        <v>459</v>
      </c>
      <c r="I1237" s="2" t="n">
        <f aca="false">IF(F1237="Present",9,IF(F1237="Half Day",4,0))</f>
        <v>9</v>
      </c>
      <c r="J1237" s="2"/>
      <c r="K1237" s="2"/>
    </row>
    <row r="1238" customFormat="false" ht="15" hidden="false" customHeight="false" outlineLevel="0" collapsed="false">
      <c r="A1238" s="2" t="s">
        <v>124</v>
      </c>
      <c r="B1238" s="2" t="s">
        <v>125</v>
      </c>
      <c r="C1238" s="2" t="s">
        <v>57</v>
      </c>
      <c r="D1238" s="3" t="n">
        <v>46262</v>
      </c>
      <c r="E1238" s="2" t="str">
        <f aca="false">TEXT(D1238,"dddd")</f>
        <v>Friday</v>
      </c>
      <c r="F1238" s="2" t="s">
        <v>457</v>
      </c>
      <c r="G1238" s="2" t="s">
        <v>458</v>
      </c>
      <c r="H1238" s="2" t="s">
        <v>459</v>
      </c>
      <c r="I1238" s="2" t="n">
        <f aca="false">IF(F1238="Present",9,IF(F1238="Half Day",4,0))</f>
        <v>9</v>
      </c>
      <c r="J1238" s="2"/>
      <c r="K1238" s="2"/>
    </row>
    <row r="1239" customFormat="false" ht="15" hidden="false" customHeight="false" outlineLevel="0" collapsed="false">
      <c r="A1239" s="2" t="s">
        <v>124</v>
      </c>
      <c r="B1239" s="2" t="s">
        <v>125</v>
      </c>
      <c r="C1239" s="2" t="s">
        <v>57</v>
      </c>
      <c r="D1239" s="3" t="n">
        <v>46263</v>
      </c>
      <c r="E1239" s="2" t="str">
        <f aca="false">TEXT(D1239,"dddd")</f>
        <v>Saturday</v>
      </c>
      <c r="F1239" s="2" t="s">
        <v>457</v>
      </c>
      <c r="G1239" s="2" t="s">
        <v>458</v>
      </c>
      <c r="H1239" s="2" t="s">
        <v>459</v>
      </c>
      <c r="I1239" s="2" t="n">
        <f aca="false">IF(F1239="Present",9,IF(F1239="Half Day",4,0))</f>
        <v>9</v>
      </c>
      <c r="J1239" s="2"/>
      <c r="K1239" s="2"/>
    </row>
    <row r="1240" customFormat="false" ht="15" hidden="false" customHeight="false" outlineLevel="0" collapsed="false">
      <c r="A1240" s="2" t="s">
        <v>124</v>
      </c>
      <c r="B1240" s="2" t="s">
        <v>125</v>
      </c>
      <c r="C1240" s="2" t="s">
        <v>57</v>
      </c>
      <c r="D1240" s="3" t="n">
        <v>46264</v>
      </c>
      <c r="E1240" s="2" t="str">
        <f aca="false">TEXT(D1240,"dddd")</f>
        <v>Sunday</v>
      </c>
      <c r="F1240" s="2" t="s">
        <v>460</v>
      </c>
      <c r="G1240" s="2"/>
      <c r="H1240" s="2"/>
      <c r="I1240" s="2" t="n">
        <f aca="false">IF(F1240="Present",9,IF(F1240="Half Day",4,0))</f>
        <v>0</v>
      </c>
      <c r="J1240" s="2"/>
      <c r="K1240" s="2" t="s">
        <v>460</v>
      </c>
    </row>
    <row r="1241" customFormat="false" ht="15" hidden="false" customHeight="false" outlineLevel="0" collapsed="false">
      <c r="A1241" s="2" t="s">
        <v>124</v>
      </c>
      <c r="B1241" s="2" t="s">
        <v>125</v>
      </c>
      <c r="C1241" s="2" t="s">
        <v>57</v>
      </c>
      <c r="D1241" s="3" t="n">
        <v>46265</v>
      </c>
      <c r="E1241" s="2" t="str">
        <f aca="false">TEXT(D1241,"dddd")</f>
        <v>Monday</v>
      </c>
      <c r="F1241" s="2" t="s">
        <v>461</v>
      </c>
      <c r="G1241" s="2"/>
      <c r="H1241" s="2"/>
      <c r="I1241" s="2" t="n">
        <f aca="false">IF(F1241="Present",9,IF(F1241="Half Day",4,0))</f>
        <v>0</v>
      </c>
      <c r="J1241" s="2"/>
      <c r="K1241" s="2" t="s">
        <v>462</v>
      </c>
    </row>
    <row r="1242" customFormat="false" ht="15" hidden="false" customHeight="false" outlineLevel="0" collapsed="false">
      <c r="A1242" s="2" t="s">
        <v>126</v>
      </c>
      <c r="B1242" s="2" t="s">
        <v>127</v>
      </c>
      <c r="C1242" s="2" t="s">
        <v>17</v>
      </c>
      <c r="D1242" s="3" t="n">
        <v>46235</v>
      </c>
      <c r="E1242" s="2" t="str">
        <f aca="false">TEXT(D1242,"dddd")</f>
        <v>Saturday</v>
      </c>
      <c r="F1242" s="2" t="s">
        <v>457</v>
      </c>
      <c r="G1242" s="2" t="s">
        <v>458</v>
      </c>
      <c r="H1242" s="2" t="s">
        <v>459</v>
      </c>
      <c r="I1242" s="2" t="n">
        <f aca="false">IF(F1242="Present",9,IF(F1242="Half Day",4,0))</f>
        <v>9</v>
      </c>
      <c r="J1242" s="2"/>
      <c r="K1242" s="2"/>
    </row>
    <row r="1243" customFormat="false" ht="15" hidden="false" customHeight="false" outlineLevel="0" collapsed="false">
      <c r="A1243" s="2" t="s">
        <v>126</v>
      </c>
      <c r="B1243" s="2" t="s">
        <v>127</v>
      </c>
      <c r="C1243" s="2" t="s">
        <v>17</v>
      </c>
      <c r="D1243" s="3" t="n">
        <v>46236</v>
      </c>
      <c r="E1243" s="2" t="str">
        <f aca="false">TEXT(D1243,"dddd")</f>
        <v>Sunday</v>
      </c>
      <c r="F1243" s="2" t="s">
        <v>460</v>
      </c>
      <c r="G1243" s="2"/>
      <c r="H1243" s="2"/>
      <c r="I1243" s="2" t="n">
        <f aca="false">IF(F1243="Present",9,IF(F1243="Half Day",4,0))</f>
        <v>0</v>
      </c>
      <c r="J1243" s="2"/>
      <c r="K1243" s="2" t="s">
        <v>460</v>
      </c>
    </row>
    <row r="1244" customFormat="false" ht="15" hidden="false" customHeight="false" outlineLevel="0" collapsed="false">
      <c r="A1244" s="2" t="s">
        <v>126</v>
      </c>
      <c r="B1244" s="2" t="s">
        <v>127</v>
      </c>
      <c r="C1244" s="2" t="s">
        <v>17</v>
      </c>
      <c r="D1244" s="3" t="n">
        <v>46237</v>
      </c>
      <c r="E1244" s="2" t="str">
        <f aca="false">TEXT(D1244,"dddd")</f>
        <v>Monday</v>
      </c>
      <c r="F1244" s="2" t="s">
        <v>457</v>
      </c>
      <c r="G1244" s="2" t="s">
        <v>458</v>
      </c>
      <c r="H1244" s="2" t="s">
        <v>459</v>
      </c>
      <c r="I1244" s="2" t="n">
        <f aca="false">IF(F1244="Present",9,IF(F1244="Half Day",4,0))</f>
        <v>9</v>
      </c>
      <c r="J1244" s="2"/>
      <c r="K1244" s="2"/>
    </row>
    <row r="1245" customFormat="false" ht="15" hidden="false" customHeight="false" outlineLevel="0" collapsed="false">
      <c r="A1245" s="2" t="s">
        <v>126</v>
      </c>
      <c r="B1245" s="2" t="s">
        <v>127</v>
      </c>
      <c r="C1245" s="2" t="s">
        <v>17</v>
      </c>
      <c r="D1245" s="3" t="n">
        <v>46238</v>
      </c>
      <c r="E1245" s="2" t="str">
        <f aca="false">TEXT(D1245,"dddd")</f>
        <v>Tuesday</v>
      </c>
      <c r="F1245" s="2" t="s">
        <v>457</v>
      </c>
      <c r="G1245" s="2" t="s">
        <v>458</v>
      </c>
      <c r="H1245" s="2" t="s">
        <v>459</v>
      </c>
      <c r="I1245" s="2" t="n">
        <f aca="false">IF(F1245="Present",9,IF(F1245="Half Day",4,0))</f>
        <v>9</v>
      </c>
      <c r="J1245" s="2"/>
      <c r="K1245" s="2"/>
    </row>
    <row r="1246" customFormat="false" ht="15" hidden="false" customHeight="false" outlineLevel="0" collapsed="false">
      <c r="A1246" s="2" t="s">
        <v>126</v>
      </c>
      <c r="B1246" s="2" t="s">
        <v>127</v>
      </c>
      <c r="C1246" s="2" t="s">
        <v>17</v>
      </c>
      <c r="D1246" s="3" t="n">
        <v>46239</v>
      </c>
      <c r="E1246" s="2" t="str">
        <f aca="false">TEXT(D1246,"dddd")</f>
        <v>Wednesday</v>
      </c>
      <c r="F1246" s="2" t="s">
        <v>461</v>
      </c>
      <c r="G1246" s="2"/>
      <c r="H1246" s="2"/>
      <c r="I1246" s="2" t="n">
        <f aca="false">IF(F1246="Present",9,IF(F1246="Half Day",4,0))</f>
        <v>0</v>
      </c>
      <c r="J1246" s="2"/>
      <c r="K1246" s="2" t="s">
        <v>462</v>
      </c>
    </row>
    <row r="1247" customFormat="false" ht="15" hidden="false" customHeight="false" outlineLevel="0" collapsed="false">
      <c r="A1247" s="2" t="s">
        <v>126</v>
      </c>
      <c r="B1247" s="2" t="s">
        <v>127</v>
      </c>
      <c r="C1247" s="2" t="s">
        <v>17</v>
      </c>
      <c r="D1247" s="3" t="n">
        <v>46240</v>
      </c>
      <c r="E1247" s="2" t="str">
        <f aca="false">TEXT(D1247,"dddd")</f>
        <v>Thursday</v>
      </c>
      <c r="F1247" s="2" t="s">
        <v>463</v>
      </c>
      <c r="G1247" s="2"/>
      <c r="H1247" s="2"/>
      <c r="I1247" s="2" t="n">
        <f aca="false">IF(F1247="Present",9,IF(F1247="Half Day",4,0))</f>
        <v>0</v>
      </c>
      <c r="J1247" s="2" t="s">
        <v>468</v>
      </c>
      <c r="K1247" s="2" t="s">
        <v>469</v>
      </c>
    </row>
    <row r="1248" customFormat="false" ht="15" hidden="false" customHeight="false" outlineLevel="0" collapsed="false">
      <c r="A1248" s="2" t="s">
        <v>126</v>
      </c>
      <c r="B1248" s="2" t="s">
        <v>127</v>
      </c>
      <c r="C1248" s="2" t="s">
        <v>17</v>
      </c>
      <c r="D1248" s="3" t="n">
        <v>46241</v>
      </c>
      <c r="E1248" s="2" t="str">
        <f aca="false">TEXT(D1248,"dddd")</f>
        <v>Friday</v>
      </c>
      <c r="F1248" s="2" t="s">
        <v>461</v>
      </c>
      <c r="G1248" s="2"/>
      <c r="H1248" s="2"/>
      <c r="I1248" s="2" t="n">
        <f aca="false">IF(F1248="Present",9,IF(F1248="Half Day",4,0))</f>
        <v>0</v>
      </c>
      <c r="J1248" s="2"/>
      <c r="K1248" s="2" t="s">
        <v>462</v>
      </c>
    </row>
    <row r="1249" customFormat="false" ht="15" hidden="false" customHeight="false" outlineLevel="0" collapsed="false">
      <c r="A1249" s="2" t="s">
        <v>126</v>
      </c>
      <c r="B1249" s="2" t="s">
        <v>127</v>
      </c>
      <c r="C1249" s="2" t="s">
        <v>17</v>
      </c>
      <c r="D1249" s="3" t="n">
        <v>46242</v>
      </c>
      <c r="E1249" s="2" t="str">
        <f aca="false">TEXT(D1249,"dddd")</f>
        <v>Saturday</v>
      </c>
      <c r="F1249" s="2" t="s">
        <v>461</v>
      </c>
      <c r="G1249" s="2"/>
      <c r="H1249" s="2"/>
      <c r="I1249" s="2" t="n">
        <f aca="false">IF(F1249="Present",9,IF(F1249="Half Day",4,0))</f>
        <v>0</v>
      </c>
      <c r="J1249" s="2"/>
      <c r="K1249" s="2" t="s">
        <v>462</v>
      </c>
    </row>
    <row r="1250" customFormat="false" ht="15" hidden="false" customHeight="false" outlineLevel="0" collapsed="false">
      <c r="A1250" s="2" t="s">
        <v>126</v>
      </c>
      <c r="B1250" s="2" t="s">
        <v>127</v>
      </c>
      <c r="C1250" s="2" t="s">
        <v>17</v>
      </c>
      <c r="D1250" s="3" t="n">
        <v>46243</v>
      </c>
      <c r="E1250" s="2" t="str">
        <f aca="false">TEXT(D1250,"dddd")</f>
        <v>Sunday</v>
      </c>
      <c r="F1250" s="2" t="s">
        <v>460</v>
      </c>
      <c r="G1250" s="2"/>
      <c r="H1250" s="2"/>
      <c r="I1250" s="2" t="n">
        <f aca="false">IF(F1250="Present",9,IF(F1250="Half Day",4,0))</f>
        <v>0</v>
      </c>
      <c r="J1250" s="2"/>
      <c r="K1250" s="2" t="s">
        <v>460</v>
      </c>
    </row>
    <row r="1251" customFormat="false" ht="15" hidden="false" customHeight="false" outlineLevel="0" collapsed="false">
      <c r="A1251" s="2" t="s">
        <v>126</v>
      </c>
      <c r="B1251" s="2" t="s">
        <v>127</v>
      </c>
      <c r="C1251" s="2" t="s">
        <v>17</v>
      </c>
      <c r="D1251" s="3" t="n">
        <v>46244</v>
      </c>
      <c r="E1251" s="2" t="str">
        <f aca="false">TEXT(D1251,"dddd")</f>
        <v>Monday</v>
      </c>
      <c r="F1251" s="2" t="s">
        <v>457</v>
      </c>
      <c r="G1251" s="2" t="s">
        <v>458</v>
      </c>
      <c r="H1251" s="2" t="s">
        <v>459</v>
      </c>
      <c r="I1251" s="2" t="n">
        <f aca="false">IF(F1251="Present",9,IF(F1251="Half Day",4,0))</f>
        <v>9</v>
      </c>
      <c r="J1251" s="2"/>
      <c r="K1251" s="2"/>
    </row>
    <row r="1252" customFormat="false" ht="15" hidden="false" customHeight="false" outlineLevel="0" collapsed="false">
      <c r="A1252" s="2" t="s">
        <v>126</v>
      </c>
      <c r="B1252" s="2" t="s">
        <v>127</v>
      </c>
      <c r="C1252" s="2" t="s">
        <v>17</v>
      </c>
      <c r="D1252" s="3" t="n">
        <v>46245</v>
      </c>
      <c r="E1252" s="2" t="str">
        <f aca="false">TEXT(D1252,"dddd")</f>
        <v>Tuesday</v>
      </c>
      <c r="F1252" s="2" t="s">
        <v>457</v>
      </c>
      <c r="G1252" s="2" t="s">
        <v>458</v>
      </c>
      <c r="H1252" s="2" t="s">
        <v>459</v>
      </c>
      <c r="I1252" s="2" t="n">
        <f aca="false">IF(F1252="Present",9,IF(F1252="Half Day",4,0))</f>
        <v>9</v>
      </c>
      <c r="J1252" s="2"/>
      <c r="K1252" s="2"/>
    </row>
    <row r="1253" customFormat="false" ht="15" hidden="false" customHeight="false" outlineLevel="0" collapsed="false">
      <c r="A1253" s="2" t="s">
        <v>126</v>
      </c>
      <c r="B1253" s="2" t="s">
        <v>127</v>
      </c>
      <c r="C1253" s="2" t="s">
        <v>17</v>
      </c>
      <c r="D1253" s="3" t="n">
        <v>46246</v>
      </c>
      <c r="E1253" s="2" t="str">
        <f aca="false">TEXT(D1253,"dddd")</f>
        <v>Wednesday</v>
      </c>
      <c r="F1253" s="2" t="s">
        <v>466</v>
      </c>
      <c r="G1253" s="2" t="s">
        <v>458</v>
      </c>
      <c r="H1253" s="2" t="s">
        <v>467</v>
      </c>
      <c r="I1253" s="2" t="n">
        <f aca="false">IF(F1253="Present",9,IF(F1253="Half Day",4,0))</f>
        <v>4</v>
      </c>
      <c r="J1253" s="2"/>
      <c r="K1253" s="2" t="s">
        <v>466</v>
      </c>
    </row>
    <row r="1254" customFormat="false" ht="15" hidden="false" customHeight="false" outlineLevel="0" collapsed="false">
      <c r="A1254" s="2" t="s">
        <v>126</v>
      </c>
      <c r="B1254" s="2" t="s">
        <v>127</v>
      </c>
      <c r="C1254" s="2" t="s">
        <v>17</v>
      </c>
      <c r="D1254" s="3" t="n">
        <v>46247</v>
      </c>
      <c r="E1254" s="2" t="str">
        <f aca="false">TEXT(D1254,"dddd")</f>
        <v>Thursday</v>
      </c>
      <c r="F1254" s="2" t="s">
        <v>461</v>
      </c>
      <c r="G1254" s="2"/>
      <c r="H1254" s="2"/>
      <c r="I1254" s="2" t="n">
        <f aca="false">IF(F1254="Present",9,IF(F1254="Half Day",4,0))</f>
        <v>0</v>
      </c>
      <c r="J1254" s="2"/>
      <c r="K1254" s="2" t="s">
        <v>462</v>
      </c>
    </row>
    <row r="1255" customFormat="false" ht="15" hidden="false" customHeight="false" outlineLevel="0" collapsed="false">
      <c r="A1255" s="2" t="s">
        <v>126</v>
      </c>
      <c r="B1255" s="2" t="s">
        <v>127</v>
      </c>
      <c r="C1255" s="2" t="s">
        <v>17</v>
      </c>
      <c r="D1255" s="3" t="n">
        <v>46248</v>
      </c>
      <c r="E1255" s="2" t="str">
        <f aca="false">TEXT(D1255,"dddd")</f>
        <v>Friday</v>
      </c>
      <c r="F1255" s="2" t="s">
        <v>457</v>
      </c>
      <c r="G1255" s="2" t="s">
        <v>458</v>
      </c>
      <c r="H1255" s="2" t="s">
        <v>459</v>
      </c>
      <c r="I1255" s="2" t="n">
        <f aca="false">IF(F1255="Present",9,IF(F1255="Half Day",4,0))</f>
        <v>9</v>
      </c>
      <c r="J1255" s="2"/>
      <c r="K1255" s="2"/>
    </row>
    <row r="1256" customFormat="false" ht="15" hidden="false" customHeight="false" outlineLevel="0" collapsed="false">
      <c r="A1256" s="2" t="s">
        <v>126</v>
      </c>
      <c r="B1256" s="2" t="s">
        <v>127</v>
      </c>
      <c r="C1256" s="2" t="s">
        <v>17</v>
      </c>
      <c r="D1256" s="3" t="n">
        <v>46249</v>
      </c>
      <c r="E1256" s="2" t="str">
        <f aca="false">TEXT(D1256,"dddd")</f>
        <v>Saturday</v>
      </c>
      <c r="F1256" s="2" t="s">
        <v>463</v>
      </c>
      <c r="G1256" s="2"/>
      <c r="H1256" s="2"/>
      <c r="I1256" s="2" t="n">
        <f aca="false">IF(F1256="Present",9,IF(F1256="Half Day",4,0))</f>
        <v>0</v>
      </c>
      <c r="J1256" s="2" t="s">
        <v>472</v>
      </c>
      <c r="K1256" s="2" t="s">
        <v>473</v>
      </c>
    </row>
    <row r="1257" customFormat="false" ht="15" hidden="false" customHeight="false" outlineLevel="0" collapsed="false">
      <c r="A1257" s="2" t="s">
        <v>126</v>
      </c>
      <c r="B1257" s="2" t="s">
        <v>127</v>
      </c>
      <c r="C1257" s="2" t="s">
        <v>17</v>
      </c>
      <c r="D1257" s="3" t="n">
        <v>46250</v>
      </c>
      <c r="E1257" s="2" t="str">
        <f aca="false">TEXT(D1257,"dddd")</f>
        <v>Sunday</v>
      </c>
      <c r="F1257" s="2" t="s">
        <v>460</v>
      </c>
      <c r="G1257" s="2"/>
      <c r="H1257" s="2"/>
      <c r="I1257" s="2" t="n">
        <f aca="false">IF(F1257="Present",9,IF(F1257="Half Day",4,0))</f>
        <v>0</v>
      </c>
      <c r="J1257" s="2"/>
      <c r="K1257" s="2" t="s">
        <v>460</v>
      </c>
    </row>
    <row r="1258" customFormat="false" ht="15" hidden="false" customHeight="false" outlineLevel="0" collapsed="false">
      <c r="A1258" s="2" t="s">
        <v>126</v>
      </c>
      <c r="B1258" s="2" t="s">
        <v>127</v>
      </c>
      <c r="C1258" s="2" t="s">
        <v>17</v>
      </c>
      <c r="D1258" s="3" t="n">
        <v>46251</v>
      </c>
      <c r="E1258" s="2" t="str">
        <f aca="false">TEXT(D1258,"dddd")</f>
        <v>Monday</v>
      </c>
      <c r="F1258" s="2" t="s">
        <v>457</v>
      </c>
      <c r="G1258" s="2" t="s">
        <v>458</v>
      </c>
      <c r="H1258" s="2" t="s">
        <v>459</v>
      </c>
      <c r="I1258" s="2" t="n">
        <f aca="false">IF(F1258="Present",9,IF(F1258="Half Day",4,0))</f>
        <v>9</v>
      </c>
      <c r="J1258" s="2"/>
      <c r="K1258" s="2"/>
    </row>
    <row r="1259" customFormat="false" ht="15" hidden="false" customHeight="false" outlineLevel="0" collapsed="false">
      <c r="A1259" s="2" t="s">
        <v>126</v>
      </c>
      <c r="B1259" s="2" t="s">
        <v>127</v>
      </c>
      <c r="C1259" s="2" t="s">
        <v>17</v>
      </c>
      <c r="D1259" s="3" t="n">
        <v>46252</v>
      </c>
      <c r="E1259" s="2" t="str">
        <f aca="false">TEXT(D1259,"dddd")</f>
        <v>Tuesday</v>
      </c>
      <c r="F1259" s="2" t="s">
        <v>457</v>
      </c>
      <c r="G1259" s="2" t="s">
        <v>458</v>
      </c>
      <c r="H1259" s="2" t="s">
        <v>459</v>
      </c>
      <c r="I1259" s="2" t="n">
        <f aca="false">IF(F1259="Present",9,IF(F1259="Half Day",4,0))</f>
        <v>9</v>
      </c>
      <c r="J1259" s="2"/>
      <c r="K1259" s="2"/>
    </row>
    <row r="1260" customFormat="false" ht="15" hidden="false" customHeight="false" outlineLevel="0" collapsed="false">
      <c r="A1260" s="2" t="s">
        <v>126</v>
      </c>
      <c r="B1260" s="2" t="s">
        <v>127</v>
      </c>
      <c r="C1260" s="2" t="s">
        <v>17</v>
      </c>
      <c r="D1260" s="3" t="n">
        <v>46253</v>
      </c>
      <c r="E1260" s="2" t="str">
        <f aca="false">TEXT(D1260,"dddd")</f>
        <v>Wednesday</v>
      </c>
      <c r="F1260" s="2" t="s">
        <v>466</v>
      </c>
      <c r="G1260" s="2" t="s">
        <v>458</v>
      </c>
      <c r="H1260" s="2" t="s">
        <v>467</v>
      </c>
      <c r="I1260" s="2" t="n">
        <f aca="false">IF(F1260="Present",9,IF(F1260="Half Day",4,0))</f>
        <v>4</v>
      </c>
      <c r="J1260" s="2"/>
      <c r="K1260" s="2" t="s">
        <v>466</v>
      </c>
    </row>
    <row r="1261" customFormat="false" ht="15" hidden="false" customHeight="false" outlineLevel="0" collapsed="false">
      <c r="A1261" s="2" t="s">
        <v>126</v>
      </c>
      <c r="B1261" s="2" t="s">
        <v>127</v>
      </c>
      <c r="C1261" s="2" t="s">
        <v>17</v>
      </c>
      <c r="D1261" s="3" t="n">
        <v>46254</v>
      </c>
      <c r="E1261" s="2" t="str">
        <f aca="false">TEXT(D1261,"dddd")</f>
        <v>Thursday</v>
      </c>
      <c r="F1261" s="2" t="s">
        <v>457</v>
      </c>
      <c r="G1261" s="2" t="s">
        <v>458</v>
      </c>
      <c r="H1261" s="2" t="s">
        <v>459</v>
      </c>
      <c r="I1261" s="2" t="n">
        <f aca="false">IF(F1261="Present",9,IF(F1261="Half Day",4,0))</f>
        <v>9</v>
      </c>
      <c r="J1261" s="2"/>
      <c r="K1261" s="2"/>
    </row>
    <row r="1262" customFormat="false" ht="15" hidden="false" customHeight="false" outlineLevel="0" collapsed="false">
      <c r="A1262" s="2" t="s">
        <v>126</v>
      </c>
      <c r="B1262" s="2" t="s">
        <v>127</v>
      </c>
      <c r="C1262" s="2" t="s">
        <v>17</v>
      </c>
      <c r="D1262" s="3" t="n">
        <v>46255</v>
      </c>
      <c r="E1262" s="2" t="str">
        <f aca="false">TEXT(D1262,"dddd")</f>
        <v>Friday</v>
      </c>
      <c r="F1262" s="2" t="s">
        <v>457</v>
      </c>
      <c r="G1262" s="2" t="s">
        <v>458</v>
      </c>
      <c r="H1262" s="2" t="s">
        <v>459</v>
      </c>
      <c r="I1262" s="2" t="n">
        <f aca="false">IF(F1262="Present",9,IF(F1262="Half Day",4,0))</f>
        <v>9</v>
      </c>
      <c r="J1262" s="2"/>
      <c r="K1262" s="2"/>
    </row>
    <row r="1263" customFormat="false" ht="15" hidden="false" customHeight="false" outlineLevel="0" collapsed="false">
      <c r="A1263" s="2" t="s">
        <v>126</v>
      </c>
      <c r="B1263" s="2" t="s">
        <v>127</v>
      </c>
      <c r="C1263" s="2" t="s">
        <v>17</v>
      </c>
      <c r="D1263" s="3" t="n">
        <v>46256</v>
      </c>
      <c r="E1263" s="2" t="str">
        <f aca="false">TEXT(D1263,"dddd")</f>
        <v>Saturday</v>
      </c>
      <c r="F1263" s="2" t="s">
        <v>461</v>
      </c>
      <c r="G1263" s="2"/>
      <c r="H1263" s="2"/>
      <c r="I1263" s="2" t="n">
        <f aca="false">IF(F1263="Present",9,IF(F1263="Half Day",4,0))</f>
        <v>0</v>
      </c>
      <c r="J1263" s="2"/>
      <c r="K1263" s="2" t="s">
        <v>462</v>
      </c>
    </row>
    <row r="1264" customFormat="false" ht="15" hidden="false" customHeight="false" outlineLevel="0" collapsed="false">
      <c r="A1264" s="2" t="s">
        <v>126</v>
      </c>
      <c r="B1264" s="2" t="s">
        <v>127</v>
      </c>
      <c r="C1264" s="2" t="s">
        <v>17</v>
      </c>
      <c r="D1264" s="3" t="n">
        <v>46257</v>
      </c>
      <c r="E1264" s="2" t="str">
        <f aca="false">TEXT(D1264,"dddd")</f>
        <v>Sunday</v>
      </c>
      <c r="F1264" s="2" t="s">
        <v>460</v>
      </c>
      <c r="G1264" s="2"/>
      <c r="H1264" s="2"/>
      <c r="I1264" s="2" t="n">
        <f aca="false">IF(F1264="Present",9,IF(F1264="Half Day",4,0))</f>
        <v>0</v>
      </c>
      <c r="J1264" s="2"/>
      <c r="K1264" s="2" t="s">
        <v>460</v>
      </c>
    </row>
    <row r="1265" customFormat="false" ht="15" hidden="false" customHeight="false" outlineLevel="0" collapsed="false">
      <c r="A1265" s="2" t="s">
        <v>126</v>
      </c>
      <c r="B1265" s="2" t="s">
        <v>127</v>
      </c>
      <c r="C1265" s="2" t="s">
        <v>17</v>
      </c>
      <c r="D1265" s="3" t="n">
        <v>46258</v>
      </c>
      <c r="E1265" s="2" t="str">
        <f aca="false">TEXT(D1265,"dddd")</f>
        <v>Monday</v>
      </c>
      <c r="F1265" s="2" t="s">
        <v>461</v>
      </c>
      <c r="G1265" s="2"/>
      <c r="H1265" s="2"/>
      <c r="I1265" s="2" t="n">
        <f aca="false">IF(F1265="Present",9,IF(F1265="Half Day",4,0))</f>
        <v>0</v>
      </c>
      <c r="J1265" s="2"/>
      <c r="K1265" s="2" t="s">
        <v>462</v>
      </c>
    </row>
    <row r="1266" customFormat="false" ht="15" hidden="false" customHeight="false" outlineLevel="0" collapsed="false">
      <c r="A1266" s="2" t="s">
        <v>126</v>
      </c>
      <c r="B1266" s="2" t="s">
        <v>127</v>
      </c>
      <c r="C1266" s="2" t="s">
        <v>17</v>
      </c>
      <c r="D1266" s="3" t="n">
        <v>46259</v>
      </c>
      <c r="E1266" s="2" t="str">
        <f aca="false">TEXT(D1266,"dddd")</f>
        <v>Tuesday</v>
      </c>
      <c r="F1266" s="2" t="s">
        <v>457</v>
      </c>
      <c r="G1266" s="2" t="s">
        <v>458</v>
      </c>
      <c r="H1266" s="2" t="s">
        <v>459</v>
      </c>
      <c r="I1266" s="2" t="n">
        <f aca="false">IF(F1266="Present",9,IF(F1266="Half Day",4,0))</f>
        <v>9</v>
      </c>
      <c r="J1266" s="2"/>
      <c r="K1266" s="2"/>
    </row>
    <row r="1267" customFormat="false" ht="15" hidden="false" customHeight="false" outlineLevel="0" collapsed="false">
      <c r="A1267" s="2" t="s">
        <v>126</v>
      </c>
      <c r="B1267" s="2" t="s">
        <v>127</v>
      </c>
      <c r="C1267" s="2" t="s">
        <v>17</v>
      </c>
      <c r="D1267" s="3" t="n">
        <v>46260</v>
      </c>
      <c r="E1267" s="2" t="str">
        <f aca="false">TEXT(D1267,"dddd")</f>
        <v>Wednesday</v>
      </c>
      <c r="F1267" s="2" t="s">
        <v>461</v>
      </c>
      <c r="G1267" s="2"/>
      <c r="H1267" s="2"/>
      <c r="I1267" s="2" t="n">
        <f aca="false">IF(F1267="Present",9,IF(F1267="Half Day",4,0))</f>
        <v>0</v>
      </c>
      <c r="J1267" s="2"/>
      <c r="K1267" s="2" t="s">
        <v>462</v>
      </c>
    </row>
    <row r="1268" customFormat="false" ht="15" hidden="false" customHeight="false" outlineLevel="0" collapsed="false">
      <c r="A1268" s="2" t="s">
        <v>126</v>
      </c>
      <c r="B1268" s="2" t="s">
        <v>127</v>
      </c>
      <c r="C1268" s="2" t="s">
        <v>17</v>
      </c>
      <c r="D1268" s="3" t="n">
        <v>46261</v>
      </c>
      <c r="E1268" s="2" t="str">
        <f aca="false">TEXT(D1268,"dddd")</f>
        <v>Thursday</v>
      </c>
      <c r="F1268" s="2" t="s">
        <v>457</v>
      </c>
      <c r="G1268" s="2" t="s">
        <v>458</v>
      </c>
      <c r="H1268" s="2" t="s">
        <v>459</v>
      </c>
      <c r="I1268" s="2" t="n">
        <f aca="false">IF(F1268="Present",9,IF(F1268="Half Day",4,0))</f>
        <v>9</v>
      </c>
      <c r="J1268" s="2"/>
      <c r="K1268" s="2"/>
    </row>
    <row r="1269" customFormat="false" ht="15" hidden="false" customHeight="false" outlineLevel="0" collapsed="false">
      <c r="A1269" s="2" t="s">
        <v>126</v>
      </c>
      <c r="B1269" s="2" t="s">
        <v>127</v>
      </c>
      <c r="C1269" s="2" t="s">
        <v>17</v>
      </c>
      <c r="D1269" s="3" t="n">
        <v>46262</v>
      </c>
      <c r="E1269" s="2" t="str">
        <f aca="false">TEXT(D1269,"dddd")</f>
        <v>Friday</v>
      </c>
      <c r="F1269" s="2" t="s">
        <v>457</v>
      </c>
      <c r="G1269" s="2" t="s">
        <v>458</v>
      </c>
      <c r="H1269" s="2" t="s">
        <v>459</v>
      </c>
      <c r="I1269" s="2" t="n">
        <f aca="false">IF(F1269="Present",9,IF(F1269="Half Day",4,0))</f>
        <v>9</v>
      </c>
      <c r="J1269" s="2"/>
      <c r="K1269" s="2"/>
    </row>
    <row r="1270" customFormat="false" ht="15" hidden="false" customHeight="false" outlineLevel="0" collapsed="false">
      <c r="A1270" s="2" t="s">
        <v>126</v>
      </c>
      <c r="B1270" s="2" t="s">
        <v>127</v>
      </c>
      <c r="C1270" s="2" t="s">
        <v>17</v>
      </c>
      <c r="D1270" s="3" t="n">
        <v>46263</v>
      </c>
      <c r="E1270" s="2" t="str">
        <f aca="false">TEXT(D1270,"dddd")</f>
        <v>Saturday</v>
      </c>
      <c r="F1270" s="2" t="s">
        <v>457</v>
      </c>
      <c r="G1270" s="2" t="s">
        <v>458</v>
      </c>
      <c r="H1270" s="2" t="s">
        <v>459</v>
      </c>
      <c r="I1270" s="2" t="n">
        <f aca="false">IF(F1270="Present",9,IF(F1270="Half Day",4,0))</f>
        <v>9</v>
      </c>
      <c r="J1270" s="2"/>
      <c r="K1270" s="2"/>
    </row>
    <row r="1271" customFormat="false" ht="15" hidden="false" customHeight="false" outlineLevel="0" collapsed="false">
      <c r="A1271" s="2" t="s">
        <v>126</v>
      </c>
      <c r="B1271" s="2" t="s">
        <v>127</v>
      </c>
      <c r="C1271" s="2" t="s">
        <v>17</v>
      </c>
      <c r="D1271" s="3" t="n">
        <v>46264</v>
      </c>
      <c r="E1271" s="2" t="str">
        <f aca="false">TEXT(D1271,"dddd")</f>
        <v>Sunday</v>
      </c>
      <c r="F1271" s="2" t="s">
        <v>460</v>
      </c>
      <c r="G1271" s="2"/>
      <c r="H1271" s="2"/>
      <c r="I1271" s="2" t="n">
        <f aca="false">IF(F1271="Present",9,IF(F1271="Half Day",4,0))</f>
        <v>0</v>
      </c>
      <c r="J1271" s="2"/>
      <c r="K1271" s="2" t="s">
        <v>460</v>
      </c>
    </row>
    <row r="1272" customFormat="false" ht="15" hidden="false" customHeight="false" outlineLevel="0" collapsed="false">
      <c r="A1272" s="2" t="s">
        <v>126</v>
      </c>
      <c r="B1272" s="2" t="s">
        <v>127</v>
      </c>
      <c r="C1272" s="2" t="s">
        <v>17</v>
      </c>
      <c r="D1272" s="3" t="n">
        <v>46265</v>
      </c>
      <c r="E1272" s="2" t="str">
        <f aca="false">TEXT(D1272,"dddd")</f>
        <v>Monday</v>
      </c>
      <c r="F1272" s="2" t="s">
        <v>461</v>
      </c>
      <c r="G1272" s="2"/>
      <c r="H1272" s="2"/>
      <c r="I1272" s="2" t="n">
        <f aca="false">IF(F1272="Present",9,IF(F1272="Half Day",4,0))</f>
        <v>0</v>
      </c>
      <c r="J1272" s="2"/>
      <c r="K1272" s="2" t="s">
        <v>462</v>
      </c>
    </row>
    <row r="1273" customFormat="false" ht="15" hidden="false" customHeight="false" outlineLevel="0" collapsed="false">
      <c r="A1273" s="2" t="s">
        <v>128</v>
      </c>
      <c r="B1273" s="2" t="s">
        <v>129</v>
      </c>
      <c r="C1273" s="2" t="s">
        <v>24</v>
      </c>
      <c r="D1273" s="3" t="n">
        <v>46235</v>
      </c>
      <c r="E1273" s="2" t="str">
        <f aca="false">TEXT(D1273,"dddd")</f>
        <v>Saturday</v>
      </c>
      <c r="F1273" s="2" t="s">
        <v>461</v>
      </c>
      <c r="G1273" s="2"/>
      <c r="H1273" s="2"/>
      <c r="I1273" s="2" t="n">
        <f aca="false">IF(F1273="Present",9,IF(F1273="Half Day",4,0))</f>
        <v>0</v>
      </c>
      <c r="J1273" s="2"/>
      <c r="K1273" s="2" t="s">
        <v>462</v>
      </c>
    </row>
    <row r="1274" customFormat="false" ht="15" hidden="false" customHeight="false" outlineLevel="0" collapsed="false">
      <c r="A1274" s="2" t="s">
        <v>128</v>
      </c>
      <c r="B1274" s="2" t="s">
        <v>129</v>
      </c>
      <c r="C1274" s="2" t="s">
        <v>24</v>
      </c>
      <c r="D1274" s="3" t="n">
        <v>46236</v>
      </c>
      <c r="E1274" s="2" t="str">
        <f aca="false">TEXT(D1274,"dddd")</f>
        <v>Sunday</v>
      </c>
      <c r="F1274" s="2" t="s">
        <v>460</v>
      </c>
      <c r="G1274" s="2"/>
      <c r="H1274" s="2"/>
      <c r="I1274" s="2" t="n">
        <f aca="false">IF(F1274="Present",9,IF(F1274="Half Day",4,0))</f>
        <v>0</v>
      </c>
      <c r="J1274" s="2"/>
      <c r="K1274" s="2" t="s">
        <v>460</v>
      </c>
    </row>
    <row r="1275" customFormat="false" ht="15" hidden="false" customHeight="false" outlineLevel="0" collapsed="false">
      <c r="A1275" s="2" t="s">
        <v>128</v>
      </c>
      <c r="B1275" s="2" t="s">
        <v>129</v>
      </c>
      <c r="C1275" s="2" t="s">
        <v>24</v>
      </c>
      <c r="D1275" s="3" t="n">
        <v>46237</v>
      </c>
      <c r="E1275" s="2" t="str">
        <f aca="false">TEXT(D1275,"dddd")</f>
        <v>Monday</v>
      </c>
      <c r="F1275" s="2" t="s">
        <v>457</v>
      </c>
      <c r="G1275" s="2" t="s">
        <v>458</v>
      </c>
      <c r="H1275" s="2" t="s">
        <v>459</v>
      </c>
      <c r="I1275" s="2" t="n">
        <f aca="false">IF(F1275="Present",9,IF(F1275="Half Day",4,0))</f>
        <v>9</v>
      </c>
      <c r="J1275" s="2"/>
      <c r="K1275" s="2"/>
    </row>
    <row r="1276" customFormat="false" ht="15" hidden="false" customHeight="false" outlineLevel="0" collapsed="false">
      <c r="A1276" s="2" t="s">
        <v>128</v>
      </c>
      <c r="B1276" s="2" t="s">
        <v>129</v>
      </c>
      <c r="C1276" s="2" t="s">
        <v>24</v>
      </c>
      <c r="D1276" s="3" t="n">
        <v>46238</v>
      </c>
      <c r="E1276" s="2" t="str">
        <f aca="false">TEXT(D1276,"dddd")</f>
        <v>Tuesday</v>
      </c>
      <c r="F1276" s="2" t="s">
        <v>457</v>
      </c>
      <c r="G1276" s="2" t="s">
        <v>458</v>
      </c>
      <c r="H1276" s="2" t="s">
        <v>459</v>
      </c>
      <c r="I1276" s="2" t="n">
        <f aca="false">IF(F1276="Present",9,IF(F1276="Half Day",4,0))</f>
        <v>9</v>
      </c>
      <c r="J1276" s="2"/>
      <c r="K1276" s="2"/>
    </row>
    <row r="1277" customFormat="false" ht="15" hidden="false" customHeight="false" outlineLevel="0" collapsed="false">
      <c r="A1277" s="2" t="s">
        <v>128</v>
      </c>
      <c r="B1277" s="2" t="s">
        <v>129</v>
      </c>
      <c r="C1277" s="2" t="s">
        <v>24</v>
      </c>
      <c r="D1277" s="3" t="n">
        <v>46239</v>
      </c>
      <c r="E1277" s="2" t="str">
        <f aca="false">TEXT(D1277,"dddd")</f>
        <v>Wednesday</v>
      </c>
      <c r="F1277" s="2" t="s">
        <v>457</v>
      </c>
      <c r="G1277" s="2" t="s">
        <v>458</v>
      </c>
      <c r="H1277" s="2" t="s">
        <v>459</v>
      </c>
      <c r="I1277" s="2" t="n">
        <f aca="false">IF(F1277="Present",9,IF(F1277="Half Day",4,0))</f>
        <v>9</v>
      </c>
      <c r="J1277" s="2"/>
      <c r="K1277" s="2"/>
    </row>
    <row r="1278" customFormat="false" ht="15" hidden="false" customHeight="false" outlineLevel="0" collapsed="false">
      <c r="A1278" s="2" t="s">
        <v>128</v>
      </c>
      <c r="B1278" s="2" t="s">
        <v>129</v>
      </c>
      <c r="C1278" s="2" t="s">
        <v>24</v>
      </c>
      <c r="D1278" s="3" t="n">
        <v>46240</v>
      </c>
      <c r="E1278" s="2" t="str">
        <f aca="false">TEXT(D1278,"dddd")</f>
        <v>Thursday</v>
      </c>
      <c r="F1278" s="2" t="s">
        <v>457</v>
      </c>
      <c r="G1278" s="2" t="s">
        <v>458</v>
      </c>
      <c r="H1278" s="2" t="s">
        <v>459</v>
      </c>
      <c r="I1278" s="2" t="n">
        <f aca="false">IF(F1278="Present",9,IF(F1278="Half Day",4,0))</f>
        <v>9</v>
      </c>
      <c r="J1278" s="2"/>
      <c r="K1278" s="2"/>
    </row>
    <row r="1279" customFormat="false" ht="15" hidden="false" customHeight="false" outlineLevel="0" collapsed="false">
      <c r="A1279" s="2" t="s">
        <v>128</v>
      </c>
      <c r="B1279" s="2" t="s">
        <v>129</v>
      </c>
      <c r="C1279" s="2" t="s">
        <v>24</v>
      </c>
      <c r="D1279" s="3" t="n">
        <v>46241</v>
      </c>
      <c r="E1279" s="2" t="str">
        <f aca="false">TEXT(D1279,"dddd")</f>
        <v>Friday</v>
      </c>
      <c r="F1279" s="2" t="s">
        <v>457</v>
      </c>
      <c r="G1279" s="2" t="s">
        <v>458</v>
      </c>
      <c r="H1279" s="2" t="s">
        <v>459</v>
      </c>
      <c r="I1279" s="2" t="n">
        <f aca="false">IF(F1279="Present",9,IF(F1279="Half Day",4,0))</f>
        <v>9</v>
      </c>
      <c r="J1279" s="2"/>
      <c r="K1279" s="2"/>
    </row>
    <row r="1280" customFormat="false" ht="15" hidden="false" customHeight="false" outlineLevel="0" collapsed="false">
      <c r="A1280" s="2" t="s">
        <v>128</v>
      </c>
      <c r="B1280" s="2" t="s">
        <v>129</v>
      </c>
      <c r="C1280" s="2" t="s">
        <v>24</v>
      </c>
      <c r="D1280" s="3" t="n">
        <v>46242</v>
      </c>
      <c r="E1280" s="2" t="str">
        <f aca="false">TEXT(D1280,"dddd")</f>
        <v>Saturday</v>
      </c>
      <c r="F1280" s="2" t="s">
        <v>457</v>
      </c>
      <c r="G1280" s="2" t="s">
        <v>458</v>
      </c>
      <c r="H1280" s="2" t="s">
        <v>459</v>
      </c>
      <c r="I1280" s="2" t="n">
        <f aca="false">IF(F1280="Present",9,IF(F1280="Half Day",4,0))</f>
        <v>9</v>
      </c>
      <c r="J1280" s="2"/>
      <c r="K1280" s="2"/>
    </row>
    <row r="1281" customFormat="false" ht="15" hidden="false" customHeight="false" outlineLevel="0" collapsed="false">
      <c r="A1281" s="2" t="s">
        <v>128</v>
      </c>
      <c r="B1281" s="2" t="s">
        <v>129</v>
      </c>
      <c r="C1281" s="2" t="s">
        <v>24</v>
      </c>
      <c r="D1281" s="3" t="n">
        <v>46243</v>
      </c>
      <c r="E1281" s="2" t="str">
        <f aca="false">TEXT(D1281,"dddd")</f>
        <v>Sunday</v>
      </c>
      <c r="F1281" s="2" t="s">
        <v>460</v>
      </c>
      <c r="G1281" s="2"/>
      <c r="H1281" s="2"/>
      <c r="I1281" s="2" t="n">
        <f aca="false">IF(F1281="Present",9,IF(F1281="Half Day",4,0))</f>
        <v>0</v>
      </c>
      <c r="J1281" s="2"/>
      <c r="K1281" s="2" t="s">
        <v>460</v>
      </c>
    </row>
    <row r="1282" customFormat="false" ht="15" hidden="false" customHeight="false" outlineLevel="0" collapsed="false">
      <c r="A1282" s="2" t="s">
        <v>128</v>
      </c>
      <c r="B1282" s="2" t="s">
        <v>129</v>
      </c>
      <c r="C1282" s="2" t="s">
        <v>24</v>
      </c>
      <c r="D1282" s="3" t="n">
        <v>46244</v>
      </c>
      <c r="E1282" s="2" t="str">
        <f aca="false">TEXT(D1282,"dddd")</f>
        <v>Monday</v>
      </c>
      <c r="F1282" s="2" t="s">
        <v>457</v>
      </c>
      <c r="G1282" s="2" t="s">
        <v>458</v>
      </c>
      <c r="H1282" s="2" t="s">
        <v>459</v>
      </c>
      <c r="I1282" s="2" t="n">
        <f aca="false">IF(F1282="Present",9,IF(F1282="Half Day",4,0))</f>
        <v>9</v>
      </c>
      <c r="J1282" s="2"/>
      <c r="K1282" s="2"/>
    </row>
    <row r="1283" customFormat="false" ht="15" hidden="false" customHeight="false" outlineLevel="0" collapsed="false">
      <c r="A1283" s="2" t="s">
        <v>128</v>
      </c>
      <c r="B1283" s="2" t="s">
        <v>129</v>
      </c>
      <c r="C1283" s="2" t="s">
        <v>24</v>
      </c>
      <c r="D1283" s="3" t="n">
        <v>46245</v>
      </c>
      <c r="E1283" s="2" t="str">
        <f aca="false">TEXT(D1283,"dddd")</f>
        <v>Tuesday</v>
      </c>
      <c r="F1283" s="2" t="s">
        <v>461</v>
      </c>
      <c r="G1283" s="2"/>
      <c r="H1283" s="2"/>
      <c r="I1283" s="2" t="n">
        <f aca="false">IF(F1283="Present",9,IF(F1283="Half Day",4,0))</f>
        <v>0</v>
      </c>
      <c r="J1283" s="2"/>
      <c r="K1283" s="2" t="s">
        <v>462</v>
      </c>
    </row>
    <row r="1284" customFormat="false" ht="15" hidden="false" customHeight="false" outlineLevel="0" collapsed="false">
      <c r="A1284" s="2" t="s">
        <v>128</v>
      </c>
      <c r="B1284" s="2" t="s">
        <v>129</v>
      </c>
      <c r="C1284" s="2" t="s">
        <v>24</v>
      </c>
      <c r="D1284" s="3" t="n">
        <v>46246</v>
      </c>
      <c r="E1284" s="2" t="str">
        <f aca="false">TEXT(D1284,"dddd")</f>
        <v>Wednesday</v>
      </c>
      <c r="F1284" s="2" t="s">
        <v>457</v>
      </c>
      <c r="G1284" s="2" t="s">
        <v>458</v>
      </c>
      <c r="H1284" s="2" t="s">
        <v>459</v>
      </c>
      <c r="I1284" s="2" t="n">
        <f aca="false">IF(F1284="Present",9,IF(F1284="Half Day",4,0))</f>
        <v>9</v>
      </c>
      <c r="J1284" s="2"/>
      <c r="K1284" s="2"/>
    </row>
    <row r="1285" customFormat="false" ht="15" hidden="false" customHeight="false" outlineLevel="0" collapsed="false">
      <c r="A1285" s="2" t="s">
        <v>128</v>
      </c>
      <c r="B1285" s="2" t="s">
        <v>129</v>
      </c>
      <c r="C1285" s="2" t="s">
        <v>24</v>
      </c>
      <c r="D1285" s="3" t="n">
        <v>46247</v>
      </c>
      <c r="E1285" s="2" t="str">
        <f aca="false">TEXT(D1285,"dddd")</f>
        <v>Thursday</v>
      </c>
      <c r="F1285" s="2" t="s">
        <v>457</v>
      </c>
      <c r="G1285" s="2" t="s">
        <v>458</v>
      </c>
      <c r="H1285" s="2" t="s">
        <v>459</v>
      </c>
      <c r="I1285" s="2" t="n">
        <f aca="false">IF(F1285="Present",9,IF(F1285="Half Day",4,0))</f>
        <v>9</v>
      </c>
      <c r="J1285" s="2"/>
      <c r="K1285" s="2"/>
    </row>
    <row r="1286" customFormat="false" ht="15" hidden="false" customHeight="false" outlineLevel="0" collapsed="false">
      <c r="A1286" s="2" t="s">
        <v>128</v>
      </c>
      <c r="B1286" s="2" t="s">
        <v>129</v>
      </c>
      <c r="C1286" s="2" t="s">
        <v>24</v>
      </c>
      <c r="D1286" s="3" t="n">
        <v>46248</v>
      </c>
      <c r="E1286" s="2" t="str">
        <f aca="false">TEXT(D1286,"dddd")</f>
        <v>Friday</v>
      </c>
      <c r="F1286" s="2" t="s">
        <v>457</v>
      </c>
      <c r="G1286" s="2" t="s">
        <v>458</v>
      </c>
      <c r="H1286" s="2" t="s">
        <v>459</v>
      </c>
      <c r="I1286" s="2" t="n">
        <f aca="false">IF(F1286="Present",9,IF(F1286="Half Day",4,0))</f>
        <v>9</v>
      </c>
      <c r="J1286" s="2"/>
      <c r="K1286" s="2"/>
    </row>
    <row r="1287" customFormat="false" ht="15" hidden="false" customHeight="false" outlineLevel="0" collapsed="false">
      <c r="A1287" s="2" t="s">
        <v>128</v>
      </c>
      <c r="B1287" s="2" t="s">
        <v>129</v>
      </c>
      <c r="C1287" s="2" t="s">
        <v>24</v>
      </c>
      <c r="D1287" s="3" t="n">
        <v>46249</v>
      </c>
      <c r="E1287" s="2" t="str">
        <f aca="false">TEXT(D1287,"dddd")</f>
        <v>Saturday</v>
      </c>
      <c r="F1287" s="2" t="s">
        <v>457</v>
      </c>
      <c r="G1287" s="2" t="s">
        <v>458</v>
      </c>
      <c r="H1287" s="2" t="s">
        <v>459</v>
      </c>
      <c r="I1287" s="2" t="n">
        <f aca="false">IF(F1287="Present",9,IF(F1287="Half Day",4,0))</f>
        <v>9</v>
      </c>
      <c r="J1287" s="2"/>
      <c r="K1287" s="2"/>
    </row>
    <row r="1288" customFormat="false" ht="15" hidden="false" customHeight="false" outlineLevel="0" collapsed="false">
      <c r="A1288" s="2" t="s">
        <v>128</v>
      </c>
      <c r="B1288" s="2" t="s">
        <v>129</v>
      </c>
      <c r="C1288" s="2" t="s">
        <v>24</v>
      </c>
      <c r="D1288" s="3" t="n">
        <v>46250</v>
      </c>
      <c r="E1288" s="2" t="str">
        <f aca="false">TEXT(D1288,"dddd")</f>
        <v>Sunday</v>
      </c>
      <c r="F1288" s="2" t="s">
        <v>460</v>
      </c>
      <c r="G1288" s="2"/>
      <c r="H1288" s="2"/>
      <c r="I1288" s="2" t="n">
        <f aca="false">IF(F1288="Present",9,IF(F1288="Half Day",4,0))</f>
        <v>0</v>
      </c>
      <c r="J1288" s="2"/>
      <c r="K1288" s="2" t="s">
        <v>460</v>
      </c>
    </row>
    <row r="1289" customFormat="false" ht="15" hidden="false" customHeight="false" outlineLevel="0" collapsed="false">
      <c r="A1289" s="2" t="s">
        <v>128</v>
      </c>
      <c r="B1289" s="2" t="s">
        <v>129</v>
      </c>
      <c r="C1289" s="2" t="s">
        <v>24</v>
      </c>
      <c r="D1289" s="3" t="n">
        <v>46251</v>
      </c>
      <c r="E1289" s="2" t="str">
        <f aca="false">TEXT(D1289,"dddd")</f>
        <v>Monday</v>
      </c>
      <c r="F1289" s="2" t="s">
        <v>457</v>
      </c>
      <c r="G1289" s="2" t="s">
        <v>458</v>
      </c>
      <c r="H1289" s="2" t="s">
        <v>459</v>
      </c>
      <c r="I1289" s="2" t="n">
        <f aca="false">IF(F1289="Present",9,IF(F1289="Half Day",4,0))</f>
        <v>9</v>
      </c>
      <c r="J1289" s="2"/>
      <c r="K1289" s="2"/>
    </row>
    <row r="1290" customFormat="false" ht="15" hidden="false" customHeight="false" outlineLevel="0" collapsed="false">
      <c r="A1290" s="2" t="s">
        <v>128</v>
      </c>
      <c r="B1290" s="2" t="s">
        <v>129</v>
      </c>
      <c r="C1290" s="2" t="s">
        <v>24</v>
      </c>
      <c r="D1290" s="3" t="n">
        <v>46252</v>
      </c>
      <c r="E1290" s="2" t="str">
        <f aca="false">TEXT(D1290,"dddd")</f>
        <v>Tuesday</v>
      </c>
      <c r="F1290" s="2" t="s">
        <v>457</v>
      </c>
      <c r="G1290" s="2" t="s">
        <v>458</v>
      </c>
      <c r="H1290" s="2" t="s">
        <v>459</v>
      </c>
      <c r="I1290" s="2" t="n">
        <f aca="false">IF(F1290="Present",9,IF(F1290="Half Day",4,0))</f>
        <v>9</v>
      </c>
      <c r="J1290" s="2"/>
      <c r="K1290" s="2"/>
    </row>
    <row r="1291" customFormat="false" ht="15" hidden="false" customHeight="false" outlineLevel="0" collapsed="false">
      <c r="A1291" s="2" t="s">
        <v>128</v>
      </c>
      <c r="B1291" s="2" t="s">
        <v>129</v>
      </c>
      <c r="C1291" s="2" t="s">
        <v>24</v>
      </c>
      <c r="D1291" s="3" t="n">
        <v>46253</v>
      </c>
      <c r="E1291" s="2" t="str">
        <f aca="false">TEXT(D1291,"dddd")</f>
        <v>Wednesday</v>
      </c>
      <c r="F1291" s="2" t="s">
        <v>457</v>
      </c>
      <c r="G1291" s="2" t="s">
        <v>458</v>
      </c>
      <c r="H1291" s="2" t="s">
        <v>459</v>
      </c>
      <c r="I1291" s="2" t="n">
        <f aca="false">IF(F1291="Present",9,IF(F1291="Half Day",4,0))</f>
        <v>9</v>
      </c>
      <c r="J1291" s="2"/>
      <c r="K1291" s="2"/>
    </row>
    <row r="1292" customFormat="false" ht="15" hidden="false" customHeight="false" outlineLevel="0" collapsed="false">
      <c r="A1292" s="2" t="s">
        <v>128</v>
      </c>
      <c r="B1292" s="2" t="s">
        <v>129</v>
      </c>
      <c r="C1292" s="2" t="s">
        <v>24</v>
      </c>
      <c r="D1292" s="3" t="n">
        <v>46254</v>
      </c>
      <c r="E1292" s="2" t="str">
        <f aca="false">TEXT(D1292,"dddd")</f>
        <v>Thursday</v>
      </c>
      <c r="F1292" s="2" t="s">
        <v>461</v>
      </c>
      <c r="G1292" s="2"/>
      <c r="H1292" s="2"/>
      <c r="I1292" s="2" t="n">
        <f aca="false">IF(F1292="Present",9,IF(F1292="Half Day",4,0))</f>
        <v>0</v>
      </c>
      <c r="J1292" s="2"/>
      <c r="K1292" s="2" t="s">
        <v>462</v>
      </c>
    </row>
    <row r="1293" customFormat="false" ht="15" hidden="false" customHeight="false" outlineLevel="0" collapsed="false">
      <c r="A1293" s="2" t="s">
        <v>128</v>
      </c>
      <c r="B1293" s="2" t="s">
        <v>129</v>
      </c>
      <c r="C1293" s="2" t="s">
        <v>24</v>
      </c>
      <c r="D1293" s="3" t="n">
        <v>46255</v>
      </c>
      <c r="E1293" s="2" t="str">
        <f aca="false">TEXT(D1293,"dddd")</f>
        <v>Friday</v>
      </c>
      <c r="F1293" s="2" t="s">
        <v>457</v>
      </c>
      <c r="G1293" s="2" t="s">
        <v>458</v>
      </c>
      <c r="H1293" s="2" t="s">
        <v>459</v>
      </c>
      <c r="I1293" s="2" t="n">
        <f aca="false">IF(F1293="Present",9,IF(F1293="Half Day",4,0))</f>
        <v>9</v>
      </c>
      <c r="J1293" s="2"/>
      <c r="K1293" s="2"/>
    </row>
    <row r="1294" customFormat="false" ht="15" hidden="false" customHeight="false" outlineLevel="0" collapsed="false">
      <c r="A1294" s="2" t="s">
        <v>128</v>
      </c>
      <c r="B1294" s="2" t="s">
        <v>129</v>
      </c>
      <c r="C1294" s="2" t="s">
        <v>24</v>
      </c>
      <c r="D1294" s="3" t="n">
        <v>46256</v>
      </c>
      <c r="E1294" s="2" t="str">
        <f aca="false">TEXT(D1294,"dddd")</f>
        <v>Saturday</v>
      </c>
      <c r="F1294" s="2" t="s">
        <v>457</v>
      </c>
      <c r="G1294" s="2" t="s">
        <v>458</v>
      </c>
      <c r="H1294" s="2" t="s">
        <v>459</v>
      </c>
      <c r="I1294" s="2" t="n">
        <f aca="false">IF(F1294="Present",9,IF(F1294="Half Day",4,0))</f>
        <v>9</v>
      </c>
      <c r="J1294" s="2"/>
      <c r="K1294" s="2"/>
    </row>
    <row r="1295" customFormat="false" ht="15" hidden="false" customHeight="false" outlineLevel="0" collapsed="false">
      <c r="A1295" s="2" t="s">
        <v>128</v>
      </c>
      <c r="B1295" s="2" t="s">
        <v>129</v>
      </c>
      <c r="C1295" s="2" t="s">
        <v>24</v>
      </c>
      <c r="D1295" s="3" t="n">
        <v>46257</v>
      </c>
      <c r="E1295" s="2" t="str">
        <f aca="false">TEXT(D1295,"dddd")</f>
        <v>Sunday</v>
      </c>
      <c r="F1295" s="2" t="s">
        <v>460</v>
      </c>
      <c r="G1295" s="2"/>
      <c r="H1295" s="2"/>
      <c r="I1295" s="2" t="n">
        <f aca="false">IF(F1295="Present",9,IF(F1295="Half Day",4,0))</f>
        <v>0</v>
      </c>
      <c r="J1295" s="2"/>
      <c r="K1295" s="2" t="s">
        <v>460</v>
      </c>
    </row>
    <row r="1296" customFormat="false" ht="15" hidden="false" customHeight="false" outlineLevel="0" collapsed="false">
      <c r="A1296" s="2" t="s">
        <v>128</v>
      </c>
      <c r="B1296" s="2" t="s">
        <v>129</v>
      </c>
      <c r="C1296" s="2" t="s">
        <v>24</v>
      </c>
      <c r="D1296" s="3" t="n">
        <v>46258</v>
      </c>
      <c r="E1296" s="2" t="str">
        <f aca="false">TEXT(D1296,"dddd")</f>
        <v>Monday</v>
      </c>
      <c r="F1296" s="2" t="s">
        <v>457</v>
      </c>
      <c r="G1296" s="2" t="s">
        <v>458</v>
      </c>
      <c r="H1296" s="2" t="s">
        <v>459</v>
      </c>
      <c r="I1296" s="2" t="n">
        <f aca="false">IF(F1296="Present",9,IF(F1296="Half Day",4,0))</f>
        <v>9</v>
      </c>
      <c r="J1296" s="2"/>
      <c r="K1296" s="2"/>
    </row>
    <row r="1297" customFormat="false" ht="15" hidden="false" customHeight="false" outlineLevel="0" collapsed="false">
      <c r="A1297" s="2" t="s">
        <v>128</v>
      </c>
      <c r="B1297" s="2" t="s">
        <v>129</v>
      </c>
      <c r="C1297" s="2" t="s">
        <v>24</v>
      </c>
      <c r="D1297" s="3" t="n">
        <v>46259</v>
      </c>
      <c r="E1297" s="2" t="str">
        <f aca="false">TEXT(D1297,"dddd")</f>
        <v>Tuesday</v>
      </c>
      <c r="F1297" s="2" t="s">
        <v>457</v>
      </c>
      <c r="G1297" s="2" t="s">
        <v>458</v>
      </c>
      <c r="H1297" s="2" t="s">
        <v>459</v>
      </c>
      <c r="I1297" s="2" t="n">
        <f aca="false">IF(F1297="Present",9,IF(F1297="Half Day",4,0))</f>
        <v>9</v>
      </c>
      <c r="J1297" s="2"/>
      <c r="K1297" s="2"/>
    </row>
    <row r="1298" customFormat="false" ht="15" hidden="false" customHeight="false" outlineLevel="0" collapsed="false">
      <c r="A1298" s="2" t="s">
        <v>128</v>
      </c>
      <c r="B1298" s="2" t="s">
        <v>129</v>
      </c>
      <c r="C1298" s="2" t="s">
        <v>24</v>
      </c>
      <c r="D1298" s="3" t="n">
        <v>46260</v>
      </c>
      <c r="E1298" s="2" t="str">
        <f aca="false">TEXT(D1298,"dddd")</f>
        <v>Wednesday</v>
      </c>
      <c r="F1298" s="2" t="s">
        <v>457</v>
      </c>
      <c r="G1298" s="2" t="s">
        <v>458</v>
      </c>
      <c r="H1298" s="2" t="s">
        <v>459</v>
      </c>
      <c r="I1298" s="2" t="n">
        <f aca="false">IF(F1298="Present",9,IF(F1298="Half Day",4,0))</f>
        <v>9</v>
      </c>
      <c r="J1298" s="2"/>
      <c r="K1298" s="2"/>
    </row>
    <row r="1299" customFormat="false" ht="15" hidden="false" customHeight="false" outlineLevel="0" collapsed="false">
      <c r="A1299" s="2" t="s">
        <v>128</v>
      </c>
      <c r="B1299" s="2" t="s">
        <v>129</v>
      </c>
      <c r="C1299" s="2" t="s">
        <v>24</v>
      </c>
      <c r="D1299" s="3" t="n">
        <v>46261</v>
      </c>
      <c r="E1299" s="2" t="str">
        <f aca="false">TEXT(D1299,"dddd")</f>
        <v>Thursday</v>
      </c>
      <c r="F1299" s="2" t="s">
        <v>457</v>
      </c>
      <c r="G1299" s="2" t="s">
        <v>458</v>
      </c>
      <c r="H1299" s="2" t="s">
        <v>459</v>
      </c>
      <c r="I1299" s="2" t="n">
        <f aca="false">IF(F1299="Present",9,IF(F1299="Half Day",4,0))</f>
        <v>9</v>
      </c>
      <c r="J1299" s="2"/>
      <c r="K1299" s="2"/>
    </row>
    <row r="1300" customFormat="false" ht="15" hidden="false" customHeight="false" outlineLevel="0" collapsed="false">
      <c r="A1300" s="2" t="s">
        <v>128</v>
      </c>
      <c r="B1300" s="2" t="s">
        <v>129</v>
      </c>
      <c r="C1300" s="2" t="s">
        <v>24</v>
      </c>
      <c r="D1300" s="3" t="n">
        <v>46262</v>
      </c>
      <c r="E1300" s="2" t="str">
        <f aca="false">TEXT(D1300,"dddd")</f>
        <v>Friday</v>
      </c>
      <c r="F1300" s="2" t="s">
        <v>457</v>
      </c>
      <c r="G1300" s="2" t="s">
        <v>458</v>
      </c>
      <c r="H1300" s="2" t="s">
        <v>459</v>
      </c>
      <c r="I1300" s="2" t="n">
        <f aca="false">IF(F1300="Present",9,IF(F1300="Half Day",4,0))</f>
        <v>9</v>
      </c>
      <c r="J1300" s="2"/>
      <c r="K1300" s="2"/>
    </row>
    <row r="1301" customFormat="false" ht="15" hidden="false" customHeight="false" outlineLevel="0" collapsed="false">
      <c r="A1301" s="2" t="s">
        <v>128</v>
      </c>
      <c r="B1301" s="2" t="s">
        <v>129</v>
      </c>
      <c r="C1301" s="2" t="s">
        <v>24</v>
      </c>
      <c r="D1301" s="3" t="n">
        <v>46263</v>
      </c>
      <c r="E1301" s="2" t="str">
        <f aca="false">TEXT(D1301,"dddd")</f>
        <v>Saturday</v>
      </c>
      <c r="F1301" s="2" t="s">
        <v>457</v>
      </c>
      <c r="G1301" s="2" t="s">
        <v>458</v>
      </c>
      <c r="H1301" s="2" t="s">
        <v>459</v>
      </c>
      <c r="I1301" s="2" t="n">
        <f aca="false">IF(F1301="Present",9,IF(F1301="Half Day",4,0))</f>
        <v>9</v>
      </c>
      <c r="J1301" s="2"/>
      <c r="K1301" s="2"/>
    </row>
    <row r="1302" customFormat="false" ht="15" hidden="false" customHeight="false" outlineLevel="0" collapsed="false">
      <c r="A1302" s="2" t="s">
        <v>128</v>
      </c>
      <c r="B1302" s="2" t="s">
        <v>129</v>
      </c>
      <c r="C1302" s="2" t="s">
        <v>24</v>
      </c>
      <c r="D1302" s="3" t="n">
        <v>46264</v>
      </c>
      <c r="E1302" s="2" t="str">
        <f aca="false">TEXT(D1302,"dddd")</f>
        <v>Sunday</v>
      </c>
      <c r="F1302" s="2" t="s">
        <v>460</v>
      </c>
      <c r="G1302" s="2"/>
      <c r="H1302" s="2"/>
      <c r="I1302" s="2" t="n">
        <f aca="false">IF(F1302="Present",9,IF(F1302="Half Day",4,0))</f>
        <v>0</v>
      </c>
      <c r="J1302" s="2"/>
      <c r="K1302" s="2" t="s">
        <v>460</v>
      </c>
    </row>
    <row r="1303" customFormat="false" ht="15" hidden="false" customHeight="false" outlineLevel="0" collapsed="false">
      <c r="A1303" s="2" t="s">
        <v>128</v>
      </c>
      <c r="B1303" s="2" t="s">
        <v>129</v>
      </c>
      <c r="C1303" s="2" t="s">
        <v>24</v>
      </c>
      <c r="D1303" s="3" t="n">
        <v>46265</v>
      </c>
      <c r="E1303" s="2" t="str">
        <f aca="false">TEXT(D1303,"dddd")</f>
        <v>Monday</v>
      </c>
      <c r="F1303" s="2" t="s">
        <v>457</v>
      </c>
      <c r="G1303" s="2" t="s">
        <v>458</v>
      </c>
      <c r="H1303" s="2" t="s">
        <v>459</v>
      </c>
      <c r="I1303" s="2" t="n">
        <f aca="false">IF(F1303="Present",9,IF(F1303="Half Day",4,0))</f>
        <v>9</v>
      </c>
      <c r="J1303" s="2"/>
      <c r="K1303" s="2"/>
    </row>
    <row r="1304" customFormat="false" ht="15" hidden="false" customHeight="false" outlineLevel="0" collapsed="false">
      <c r="A1304" s="2" t="s">
        <v>130</v>
      </c>
      <c r="B1304" s="2" t="s">
        <v>131</v>
      </c>
      <c r="C1304" s="2" t="s">
        <v>28</v>
      </c>
      <c r="D1304" s="3" t="n">
        <v>46235</v>
      </c>
      <c r="E1304" s="2" t="str">
        <f aca="false">TEXT(D1304,"dddd")</f>
        <v>Saturday</v>
      </c>
      <c r="F1304" s="2" t="s">
        <v>457</v>
      </c>
      <c r="G1304" s="2" t="s">
        <v>458</v>
      </c>
      <c r="H1304" s="2" t="s">
        <v>459</v>
      </c>
      <c r="I1304" s="2" t="n">
        <f aca="false">IF(F1304="Present",9,IF(F1304="Half Day",4,0))</f>
        <v>9</v>
      </c>
      <c r="J1304" s="2"/>
      <c r="K1304" s="2"/>
    </row>
    <row r="1305" customFormat="false" ht="15" hidden="false" customHeight="false" outlineLevel="0" collapsed="false">
      <c r="A1305" s="2" t="s">
        <v>130</v>
      </c>
      <c r="B1305" s="2" t="s">
        <v>131</v>
      </c>
      <c r="C1305" s="2" t="s">
        <v>28</v>
      </c>
      <c r="D1305" s="3" t="n">
        <v>46236</v>
      </c>
      <c r="E1305" s="2" t="str">
        <f aca="false">TEXT(D1305,"dddd")</f>
        <v>Sunday</v>
      </c>
      <c r="F1305" s="2" t="s">
        <v>460</v>
      </c>
      <c r="G1305" s="2"/>
      <c r="H1305" s="2"/>
      <c r="I1305" s="2" t="n">
        <f aca="false">IF(F1305="Present",9,IF(F1305="Half Day",4,0))</f>
        <v>0</v>
      </c>
      <c r="J1305" s="2"/>
      <c r="K1305" s="2" t="s">
        <v>460</v>
      </c>
    </row>
    <row r="1306" customFormat="false" ht="15" hidden="false" customHeight="false" outlineLevel="0" collapsed="false">
      <c r="A1306" s="2" t="s">
        <v>130</v>
      </c>
      <c r="B1306" s="2" t="s">
        <v>131</v>
      </c>
      <c r="C1306" s="2" t="s">
        <v>28</v>
      </c>
      <c r="D1306" s="3" t="n">
        <v>46237</v>
      </c>
      <c r="E1306" s="2" t="str">
        <f aca="false">TEXT(D1306,"dddd")</f>
        <v>Monday</v>
      </c>
      <c r="F1306" s="2" t="s">
        <v>457</v>
      </c>
      <c r="G1306" s="2" t="s">
        <v>458</v>
      </c>
      <c r="H1306" s="2" t="s">
        <v>459</v>
      </c>
      <c r="I1306" s="2" t="n">
        <f aca="false">IF(F1306="Present",9,IF(F1306="Half Day",4,0))</f>
        <v>9</v>
      </c>
      <c r="J1306" s="2"/>
      <c r="K1306" s="2"/>
    </row>
    <row r="1307" customFormat="false" ht="15" hidden="false" customHeight="false" outlineLevel="0" collapsed="false">
      <c r="A1307" s="2" t="s">
        <v>130</v>
      </c>
      <c r="B1307" s="2" t="s">
        <v>131</v>
      </c>
      <c r="C1307" s="2" t="s">
        <v>28</v>
      </c>
      <c r="D1307" s="3" t="n">
        <v>46238</v>
      </c>
      <c r="E1307" s="2" t="str">
        <f aca="false">TEXT(D1307,"dddd")</f>
        <v>Tuesday</v>
      </c>
      <c r="F1307" s="2" t="s">
        <v>457</v>
      </c>
      <c r="G1307" s="2" t="s">
        <v>458</v>
      </c>
      <c r="H1307" s="2" t="s">
        <v>459</v>
      </c>
      <c r="I1307" s="2" t="n">
        <f aca="false">IF(F1307="Present",9,IF(F1307="Half Day",4,0))</f>
        <v>9</v>
      </c>
      <c r="J1307" s="2"/>
      <c r="K1307" s="2"/>
    </row>
    <row r="1308" customFormat="false" ht="15" hidden="false" customHeight="false" outlineLevel="0" collapsed="false">
      <c r="A1308" s="2" t="s">
        <v>130</v>
      </c>
      <c r="B1308" s="2" t="s">
        <v>131</v>
      </c>
      <c r="C1308" s="2" t="s">
        <v>28</v>
      </c>
      <c r="D1308" s="3" t="n">
        <v>46239</v>
      </c>
      <c r="E1308" s="2" t="str">
        <f aca="false">TEXT(D1308,"dddd")</f>
        <v>Wednesday</v>
      </c>
      <c r="F1308" s="2" t="s">
        <v>457</v>
      </c>
      <c r="G1308" s="2" t="s">
        <v>458</v>
      </c>
      <c r="H1308" s="2" t="s">
        <v>459</v>
      </c>
      <c r="I1308" s="2" t="n">
        <f aca="false">IF(F1308="Present",9,IF(F1308="Half Day",4,0))</f>
        <v>9</v>
      </c>
      <c r="J1308" s="2"/>
      <c r="K1308" s="2"/>
    </row>
    <row r="1309" customFormat="false" ht="15" hidden="false" customHeight="false" outlineLevel="0" collapsed="false">
      <c r="A1309" s="2" t="s">
        <v>130</v>
      </c>
      <c r="B1309" s="2" t="s">
        <v>131</v>
      </c>
      <c r="C1309" s="2" t="s">
        <v>28</v>
      </c>
      <c r="D1309" s="3" t="n">
        <v>46240</v>
      </c>
      <c r="E1309" s="2" t="str">
        <f aca="false">TEXT(D1309,"dddd")</f>
        <v>Thursday</v>
      </c>
      <c r="F1309" s="2" t="s">
        <v>457</v>
      </c>
      <c r="G1309" s="2" t="s">
        <v>458</v>
      </c>
      <c r="H1309" s="2" t="s">
        <v>459</v>
      </c>
      <c r="I1309" s="2" t="n">
        <f aca="false">IF(F1309="Present",9,IF(F1309="Half Day",4,0))</f>
        <v>9</v>
      </c>
      <c r="J1309" s="2"/>
      <c r="K1309" s="2"/>
    </row>
    <row r="1310" customFormat="false" ht="15" hidden="false" customHeight="false" outlineLevel="0" collapsed="false">
      <c r="A1310" s="2" t="s">
        <v>130</v>
      </c>
      <c r="B1310" s="2" t="s">
        <v>131</v>
      </c>
      <c r="C1310" s="2" t="s">
        <v>28</v>
      </c>
      <c r="D1310" s="3" t="n">
        <v>46241</v>
      </c>
      <c r="E1310" s="2" t="str">
        <f aca="false">TEXT(D1310,"dddd")</f>
        <v>Friday</v>
      </c>
      <c r="F1310" s="2" t="s">
        <v>457</v>
      </c>
      <c r="G1310" s="2" t="s">
        <v>458</v>
      </c>
      <c r="H1310" s="2" t="s">
        <v>459</v>
      </c>
      <c r="I1310" s="2" t="n">
        <f aca="false">IF(F1310="Present",9,IF(F1310="Half Day",4,0))</f>
        <v>9</v>
      </c>
      <c r="J1310" s="2"/>
      <c r="K1310" s="2"/>
    </row>
    <row r="1311" customFormat="false" ht="15" hidden="false" customHeight="false" outlineLevel="0" collapsed="false">
      <c r="A1311" s="2" t="s">
        <v>130</v>
      </c>
      <c r="B1311" s="2" t="s">
        <v>131</v>
      </c>
      <c r="C1311" s="2" t="s">
        <v>28</v>
      </c>
      <c r="D1311" s="3" t="n">
        <v>46242</v>
      </c>
      <c r="E1311" s="2" t="str">
        <f aca="false">TEXT(D1311,"dddd")</f>
        <v>Saturday</v>
      </c>
      <c r="F1311" s="2" t="s">
        <v>457</v>
      </c>
      <c r="G1311" s="2" t="s">
        <v>458</v>
      </c>
      <c r="H1311" s="2" t="s">
        <v>459</v>
      </c>
      <c r="I1311" s="2" t="n">
        <f aca="false">IF(F1311="Present",9,IF(F1311="Half Day",4,0))</f>
        <v>9</v>
      </c>
      <c r="J1311" s="2"/>
      <c r="K1311" s="2"/>
    </row>
    <row r="1312" customFormat="false" ht="15" hidden="false" customHeight="false" outlineLevel="0" collapsed="false">
      <c r="A1312" s="2" t="s">
        <v>130</v>
      </c>
      <c r="B1312" s="2" t="s">
        <v>131</v>
      </c>
      <c r="C1312" s="2" t="s">
        <v>28</v>
      </c>
      <c r="D1312" s="3" t="n">
        <v>46243</v>
      </c>
      <c r="E1312" s="2" t="str">
        <f aca="false">TEXT(D1312,"dddd")</f>
        <v>Sunday</v>
      </c>
      <c r="F1312" s="2" t="s">
        <v>460</v>
      </c>
      <c r="G1312" s="2"/>
      <c r="H1312" s="2"/>
      <c r="I1312" s="2" t="n">
        <f aca="false">IF(F1312="Present",9,IF(F1312="Half Day",4,0))</f>
        <v>0</v>
      </c>
      <c r="J1312" s="2"/>
      <c r="K1312" s="2" t="s">
        <v>460</v>
      </c>
    </row>
    <row r="1313" customFormat="false" ht="15" hidden="false" customHeight="false" outlineLevel="0" collapsed="false">
      <c r="A1313" s="2" t="s">
        <v>130</v>
      </c>
      <c r="B1313" s="2" t="s">
        <v>131</v>
      </c>
      <c r="C1313" s="2" t="s">
        <v>28</v>
      </c>
      <c r="D1313" s="3" t="n">
        <v>46244</v>
      </c>
      <c r="E1313" s="2" t="str">
        <f aca="false">TEXT(D1313,"dddd")</f>
        <v>Monday</v>
      </c>
      <c r="F1313" s="2" t="s">
        <v>457</v>
      </c>
      <c r="G1313" s="2" t="s">
        <v>458</v>
      </c>
      <c r="H1313" s="2" t="s">
        <v>459</v>
      </c>
      <c r="I1313" s="2" t="n">
        <f aca="false">IF(F1313="Present",9,IF(F1313="Half Day",4,0))</f>
        <v>9</v>
      </c>
      <c r="J1313" s="2"/>
      <c r="K1313" s="2"/>
    </row>
    <row r="1314" customFormat="false" ht="15" hidden="false" customHeight="false" outlineLevel="0" collapsed="false">
      <c r="A1314" s="2" t="s">
        <v>130</v>
      </c>
      <c r="B1314" s="2" t="s">
        <v>131</v>
      </c>
      <c r="C1314" s="2" t="s">
        <v>28</v>
      </c>
      <c r="D1314" s="3" t="n">
        <v>46245</v>
      </c>
      <c r="E1314" s="2" t="str">
        <f aca="false">TEXT(D1314,"dddd")</f>
        <v>Tuesday</v>
      </c>
      <c r="F1314" s="2" t="s">
        <v>457</v>
      </c>
      <c r="G1314" s="2" t="s">
        <v>458</v>
      </c>
      <c r="H1314" s="2" t="s">
        <v>459</v>
      </c>
      <c r="I1314" s="2" t="n">
        <f aca="false">IF(F1314="Present",9,IF(F1314="Half Day",4,0))</f>
        <v>9</v>
      </c>
      <c r="J1314" s="2"/>
      <c r="K1314" s="2"/>
    </row>
    <row r="1315" customFormat="false" ht="15" hidden="false" customHeight="false" outlineLevel="0" collapsed="false">
      <c r="A1315" s="2" t="s">
        <v>130</v>
      </c>
      <c r="B1315" s="2" t="s">
        <v>131</v>
      </c>
      <c r="C1315" s="2" t="s">
        <v>28</v>
      </c>
      <c r="D1315" s="3" t="n">
        <v>46246</v>
      </c>
      <c r="E1315" s="2" t="str">
        <f aca="false">TEXT(D1315,"dddd")</f>
        <v>Wednesday</v>
      </c>
      <c r="F1315" s="2" t="s">
        <v>457</v>
      </c>
      <c r="G1315" s="2" t="s">
        <v>458</v>
      </c>
      <c r="H1315" s="2" t="s">
        <v>459</v>
      </c>
      <c r="I1315" s="2" t="n">
        <f aca="false">IF(F1315="Present",9,IF(F1315="Half Day",4,0))</f>
        <v>9</v>
      </c>
      <c r="J1315" s="2"/>
      <c r="K1315" s="2"/>
    </row>
    <row r="1316" customFormat="false" ht="15" hidden="false" customHeight="false" outlineLevel="0" collapsed="false">
      <c r="A1316" s="2" t="s">
        <v>130</v>
      </c>
      <c r="B1316" s="2" t="s">
        <v>131</v>
      </c>
      <c r="C1316" s="2" t="s">
        <v>28</v>
      </c>
      <c r="D1316" s="3" t="n">
        <v>46247</v>
      </c>
      <c r="E1316" s="2" t="str">
        <f aca="false">TEXT(D1316,"dddd")</f>
        <v>Thursday</v>
      </c>
      <c r="F1316" s="2" t="s">
        <v>457</v>
      </c>
      <c r="G1316" s="2" t="s">
        <v>458</v>
      </c>
      <c r="H1316" s="2" t="s">
        <v>459</v>
      </c>
      <c r="I1316" s="2" t="n">
        <f aca="false">IF(F1316="Present",9,IF(F1316="Half Day",4,0))</f>
        <v>9</v>
      </c>
      <c r="J1316" s="2"/>
      <c r="K1316" s="2"/>
    </row>
    <row r="1317" customFormat="false" ht="15" hidden="false" customHeight="false" outlineLevel="0" collapsed="false">
      <c r="A1317" s="2" t="s">
        <v>130</v>
      </c>
      <c r="B1317" s="2" t="s">
        <v>131</v>
      </c>
      <c r="C1317" s="2" t="s">
        <v>28</v>
      </c>
      <c r="D1317" s="3" t="n">
        <v>46248</v>
      </c>
      <c r="E1317" s="2" t="str">
        <f aca="false">TEXT(D1317,"dddd")</f>
        <v>Friday</v>
      </c>
      <c r="F1317" s="2" t="s">
        <v>466</v>
      </c>
      <c r="G1317" s="2" t="s">
        <v>458</v>
      </c>
      <c r="H1317" s="2" t="s">
        <v>467</v>
      </c>
      <c r="I1317" s="2" t="n">
        <f aca="false">IF(F1317="Present",9,IF(F1317="Half Day",4,0))</f>
        <v>4</v>
      </c>
      <c r="J1317" s="2"/>
      <c r="K1317" s="2" t="s">
        <v>466</v>
      </c>
    </row>
    <row r="1318" customFormat="false" ht="15" hidden="false" customHeight="false" outlineLevel="0" collapsed="false">
      <c r="A1318" s="2" t="s">
        <v>130</v>
      </c>
      <c r="B1318" s="2" t="s">
        <v>131</v>
      </c>
      <c r="C1318" s="2" t="s">
        <v>28</v>
      </c>
      <c r="D1318" s="3" t="n">
        <v>46249</v>
      </c>
      <c r="E1318" s="2" t="str">
        <f aca="false">TEXT(D1318,"dddd")</f>
        <v>Saturday</v>
      </c>
      <c r="F1318" s="2" t="s">
        <v>457</v>
      </c>
      <c r="G1318" s="2" t="s">
        <v>458</v>
      </c>
      <c r="H1318" s="2" t="s">
        <v>459</v>
      </c>
      <c r="I1318" s="2" t="n">
        <f aca="false">IF(F1318="Present",9,IF(F1318="Half Day",4,0))</f>
        <v>9</v>
      </c>
      <c r="J1318" s="2"/>
      <c r="K1318" s="2"/>
    </row>
    <row r="1319" customFormat="false" ht="15" hidden="false" customHeight="false" outlineLevel="0" collapsed="false">
      <c r="A1319" s="2" t="s">
        <v>130</v>
      </c>
      <c r="B1319" s="2" t="s">
        <v>131</v>
      </c>
      <c r="C1319" s="2" t="s">
        <v>28</v>
      </c>
      <c r="D1319" s="3" t="n">
        <v>46250</v>
      </c>
      <c r="E1319" s="2" t="str">
        <f aca="false">TEXT(D1319,"dddd")</f>
        <v>Sunday</v>
      </c>
      <c r="F1319" s="2" t="s">
        <v>460</v>
      </c>
      <c r="G1319" s="2"/>
      <c r="H1319" s="2"/>
      <c r="I1319" s="2" t="n">
        <f aca="false">IF(F1319="Present",9,IF(F1319="Half Day",4,0))</f>
        <v>0</v>
      </c>
      <c r="J1319" s="2"/>
      <c r="K1319" s="2" t="s">
        <v>460</v>
      </c>
    </row>
    <row r="1320" customFormat="false" ht="15" hidden="false" customHeight="false" outlineLevel="0" collapsed="false">
      <c r="A1320" s="2" t="s">
        <v>130</v>
      </c>
      <c r="B1320" s="2" t="s">
        <v>131</v>
      </c>
      <c r="C1320" s="2" t="s">
        <v>28</v>
      </c>
      <c r="D1320" s="3" t="n">
        <v>46251</v>
      </c>
      <c r="E1320" s="2" t="str">
        <f aca="false">TEXT(D1320,"dddd")</f>
        <v>Monday</v>
      </c>
      <c r="F1320" s="2" t="s">
        <v>457</v>
      </c>
      <c r="G1320" s="2" t="s">
        <v>458</v>
      </c>
      <c r="H1320" s="2" t="s">
        <v>459</v>
      </c>
      <c r="I1320" s="2" t="n">
        <f aca="false">IF(F1320="Present",9,IF(F1320="Half Day",4,0))</f>
        <v>9</v>
      </c>
      <c r="J1320" s="2"/>
      <c r="K1320" s="2"/>
    </row>
    <row r="1321" customFormat="false" ht="15" hidden="false" customHeight="false" outlineLevel="0" collapsed="false">
      <c r="A1321" s="2" t="s">
        <v>130</v>
      </c>
      <c r="B1321" s="2" t="s">
        <v>131</v>
      </c>
      <c r="C1321" s="2" t="s">
        <v>28</v>
      </c>
      <c r="D1321" s="3" t="n">
        <v>46252</v>
      </c>
      <c r="E1321" s="2" t="str">
        <f aca="false">TEXT(D1321,"dddd")</f>
        <v>Tuesday</v>
      </c>
      <c r="F1321" s="2" t="s">
        <v>457</v>
      </c>
      <c r="G1321" s="2" t="s">
        <v>458</v>
      </c>
      <c r="H1321" s="2" t="s">
        <v>459</v>
      </c>
      <c r="I1321" s="2" t="n">
        <f aca="false">IF(F1321="Present",9,IF(F1321="Half Day",4,0))</f>
        <v>9</v>
      </c>
      <c r="J1321" s="2"/>
      <c r="K1321" s="2"/>
    </row>
    <row r="1322" customFormat="false" ht="15" hidden="false" customHeight="false" outlineLevel="0" collapsed="false">
      <c r="A1322" s="2" t="s">
        <v>130</v>
      </c>
      <c r="B1322" s="2" t="s">
        <v>131</v>
      </c>
      <c r="C1322" s="2" t="s">
        <v>28</v>
      </c>
      <c r="D1322" s="3" t="n">
        <v>46253</v>
      </c>
      <c r="E1322" s="2" t="str">
        <f aca="false">TEXT(D1322,"dddd")</f>
        <v>Wednesday</v>
      </c>
      <c r="F1322" s="2" t="s">
        <v>457</v>
      </c>
      <c r="G1322" s="2" t="s">
        <v>458</v>
      </c>
      <c r="H1322" s="2" t="s">
        <v>459</v>
      </c>
      <c r="I1322" s="2" t="n">
        <f aca="false">IF(F1322="Present",9,IF(F1322="Half Day",4,0))</f>
        <v>9</v>
      </c>
      <c r="J1322" s="2"/>
      <c r="K1322" s="2"/>
    </row>
    <row r="1323" customFormat="false" ht="15" hidden="false" customHeight="false" outlineLevel="0" collapsed="false">
      <c r="A1323" s="2" t="s">
        <v>130</v>
      </c>
      <c r="B1323" s="2" t="s">
        <v>131</v>
      </c>
      <c r="C1323" s="2" t="s">
        <v>28</v>
      </c>
      <c r="D1323" s="3" t="n">
        <v>46254</v>
      </c>
      <c r="E1323" s="2" t="str">
        <f aca="false">TEXT(D1323,"dddd")</f>
        <v>Thursday</v>
      </c>
      <c r="F1323" s="2" t="s">
        <v>457</v>
      </c>
      <c r="G1323" s="2" t="s">
        <v>458</v>
      </c>
      <c r="H1323" s="2" t="s">
        <v>459</v>
      </c>
      <c r="I1323" s="2" t="n">
        <f aca="false">IF(F1323="Present",9,IF(F1323="Half Day",4,0))</f>
        <v>9</v>
      </c>
      <c r="J1323" s="2"/>
      <c r="K1323" s="2"/>
    </row>
    <row r="1324" customFormat="false" ht="15" hidden="false" customHeight="false" outlineLevel="0" collapsed="false">
      <c r="A1324" s="2" t="s">
        <v>130</v>
      </c>
      <c r="B1324" s="2" t="s">
        <v>131</v>
      </c>
      <c r="C1324" s="2" t="s">
        <v>28</v>
      </c>
      <c r="D1324" s="3" t="n">
        <v>46255</v>
      </c>
      <c r="E1324" s="2" t="str">
        <f aca="false">TEXT(D1324,"dddd")</f>
        <v>Friday</v>
      </c>
      <c r="F1324" s="2" t="s">
        <v>457</v>
      </c>
      <c r="G1324" s="2" t="s">
        <v>458</v>
      </c>
      <c r="H1324" s="2" t="s">
        <v>459</v>
      </c>
      <c r="I1324" s="2" t="n">
        <f aca="false">IF(F1324="Present",9,IF(F1324="Half Day",4,0))</f>
        <v>9</v>
      </c>
      <c r="J1324" s="2"/>
      <c r="K1324" s="2"/>
    </row>
    <row r="1325" customFormat="false" ht="15" hidden="false" customHeight="false" outlineLevel="0" collapsed="false">
      <c r="A1325" s="2" t="s">
        <v>130</v>
      </c>
      <c r="B1325" s="2" t="s">
        <v>131</v>
      </c>
      <c r="C1325" s="2" t="s">
        <v>28</v>
      </c>
      <c r="D1325" s="3" t="n">
        <v>46256</v>
      </c>
      <c r="E1325" s="2" t="str">
        <f aca="false">TEXT(D1325,"dddd")</f>
        <v>Saturday</v>
      </c>
      <c r="F1325" s="2" t="s">
        <v>457</v>
      </c>
      <c r="G1325" s="2" t="s">
        <v>458</v>
      </c>
      <c r="H1325" s="2" t="s">
        <v>459</v>
      </c>
      <c r="I1325" s="2" t="n">
        <f aca="false">IF(F1325="Present",9,IF(F1325="Half Day",4,0))</f>
        <v>9</v>
      </c>
      <c r="J1325" s="2"/>
      <c r="K1325" s="2"/>
    </row>
    <row r="1326" customFormat="false" ht="15" hidden="false" customHeight="false" outlineLevel="0" collapsed="false">
      <c r="A1326" s="2" t="s">
        <v>130</v>
      </c>
      <c r="B1326" s="2" t="s">
        <v>131</v>
      </c>
      <c r="C1326" s="2" t="s">
        <v>28</v>
      </c>
      <c r="D1326" s="3" t="n">
        <v>46257</v>
      </c>
      <c r="E1326" s="2" t="str">
        <f aca="false">TEXT(D1326,"dddd")</f>
        <v>Sunday</v>
      </c>
      <c r="F1326" s="2" t="s">
        <v>460</v>
      </c>
      <c r="G1326" s="2"/>
      <c r="H1326" s="2"/>
      <c r="I1326" s="2" t="n">
        <f aca="false">IF(F1326="Present",9,IF(F1326="Half Day",4,0))</f>
        <v>0</v>
      </c>
      <c r="J1326" s="2"/>
      <c r="K1326" s="2" t="s">
        <v>460</v>
      </c>
    </row>
    <row r="1327" customFormat="false" ht="15" hidden="false" customHeight="false" outlineLevel="0" collapsed="false">
      <c r="A1327" s="2" t="s">
        <v>130</v>
      </c>
      <c r="B1327" s="2" t="s">
        <v>131</v>
      </c>
      <c r="C1327" s="2" t="s">
        <v>28</v>
      </c>
      <c r="D1327" s="3" t="n">
        <v>46258</v>
      </c>
      <c r="E1327" s="2" t="str">
        <f aca="false">TEXT(D1327,"dddd")</f>
        <v>Monday</v>
      </c>
      <c r="F1327" s="2" t="s">
        <v>457</v>
      </c>
      <c r="G1327" s="2" t="s">
        <v>458</v>
      </c>
      <c r="H1327" s="2" t="s">
        <v>459</v>
      </c>
      <c r="I1327" s="2" t="n">
        <f aca="false">IF(F1327="Present",9,IF(F1327="Half Day",4,0))</f>
        <v>9</v>
      </c>
      <c r="J1327" s="2"/>
      <c r="K1327" s="2"/>
    </row>
    <row r="1328" customFormat="false" ht="15" hidden="false" customHeight="false" outlineLevel="0" collapsed="false">
      <c r="A1328" s="2" t="s">
        <v>130</v>
      </c>
      <c r="B1328" s="2" t="s">
        <v>131</v>
      </c>
      <c r="C1328" s="2" t="s">
        <v>28</v>
      </c>
      <c r="D1328" s="3" t="n">
        <v>46259</v>
      </c>
      <c r="E1328" s="2" t="str">
        <f aca="false">TEXT(D1328,"dddd")</f>
        <v>Tuesday</v>
      </c>
      <c r="F1328" s="2" t="s">
        <v>457</v>
      </c>
      <c r="G1328" s="2" t="s">
        <v>458</v>
      </c>
      <c r="H1328" s="2" t="s">
        <v>459</v>
      </c>
      <c r="I1328" s="2" t="n">
        <f aca="false">IF(F1328="Present",9,IF(F1328="Half Day",4,0))</f>
        <v>9</v>
      </c>
      <c r="J1328" s="2"/>
      <c r="K1328" s="2"/>
    </row>
    <row r="1329" customFormat="false" ht="15" hidden="false" customHeight="false" outlineLevel="0" collapsed="false">
      <c r="A1329" s="2" t="s">
        <v>130</v>
      </c>
      <c r="B1329" s="2" t="s">
        <v>131</v>
      </c>
      <c r="C1329" s="2" t="s">
        <v>28</v>
      </c>
      <c r="D1329" s="3" t="n">
        <v>46260</v>
      </c>
      <c r="E1329" s="2" t="str">
        <f aca="false">TEXT(D1329,"dddd")</f>
        <v>Wednesday</v>
      </c>
      <c r="F1329" s="2" t="s">
        <v>466</v>
      </c>
      <c r="G1329" s="2" t="s">
        <v>458</v>
      </c>
      <c r="H1329" s="2" t="s">
        <v>467</v>
      </c>
      <c r="I1329" s="2" t="n">
        <f aca="false">IF(F1329="Present",9,IF(F1329="Half Day",4,0))</f>
        <v>4</v>
      </c>
      <c r="J1329" s="2"/>
      <c r="K1329" s="2" t="s">
        <v>466</v>
      </c>
    </row>
    <row r="1330" customFormat="false" ht="15" hidden="false" customHeight="false" outlineLevel="0" collapsed="false">
      <c r="A1330" s="2" t="s">
        <v>130</v>
      </c>
      <c r="B1330" s="2" t="s">
        <v>131</v>
      </c>
      <c r="C1330" s="2" t="s">
        <v>28</v>
      </c>
      <c r="D1330" s="3" t="n">
        <v>46261</v>
      </c>
      <c r="E1330" s="2" t="str">
        <f aca="false">TEXT(D1330,"dddd")</f>
        <v>Thursday</v>
      </c>
      <c r="F1330" s="2" t="s">
        <v>457</v>
      </c>
      <c r="G1330" s="2" t="s">
        <v>458</v>
      </c>
      <c r="H1330" s="2" t="s">
        <v>459</v>
      </c>
      <c r="I1330" s="2" t="n">
        <f aca="false">IF(F1330="Present",9,IF(F1330="Half Day",4,0))</f>
        <v>9</v>
      </c>
      <c r="J1330" s="2"/>
      <c r="K1330" s="2"/>
    </row>
    <row r="1331" customFormat="false" ht="15" hidden="false" customHeight="false" outlineLevel="0" collapsed="false">
      <c r="A1331" s="2" t="s">
        <v>130</v>
      </c>
      <c r="B1331" s="2" t="s">
        <v>131</v>
      </c>
      <c r="C1331" s="2" t="s">
        <v>28</v>
      </c>
      <c r="D1331" s="3" t="n">
        <v>46262</v>
      </c>
      <c r="E1331" s="2" t="str">
        <f aca="false">TEXT(D1331,"dddd")</f>
        <v>Friday</v>
      </c>
      <c r="F1331" s="2" t="s">
        <v>457</v>
      </c>
      <c r="G1331" s="2" t="s">
        <v>458</v>
      </c>
      <c r="H1331" s="2" t="s">
        <v>459</v>
      </c>
      <c r="I1331" s="2" t="n">
        <f aca="false">IF(F1331="Present",9,IF(F1331="Half Day",4,0))</f>
        <v>9</v>
      </c>
      <c r="J1331" s="2"/>
      <c r="K1331" s="2"/>
    </row>
    <row r="1332" customFormat="false" ht="15" hidden="false" customHeight="false" outlineLevel="0" collapsed="false">
      <c r="A1332" s="2" t="s">
        <v>130</v>
      </c>
      <c r="B1332" s="2" t="s">
        <v>131</v>
      </c>
      <c r="C1332" s="2" t="s">
        <v>28</v>
      </c>
      <c r="D1332" s="3" t="n">
        <v>46263</v>
      </c>
      <c r="E1332" s="2" t="str">
        <f aca="false">TEXT(D1332,"dddd")</f>
        <v>Saturday</v>
      </c>
      <c r="F1332" s="2" t="s">
        <v>457</v>
      </c>
      <c r="G1332" s="2" t="s">
        <v>458</v>
      </c>
      <c r="H1332" s="2" t="s">
        <v>459</v>
      </c>
      <c r="I1332" s="2" t="n">
        <f aca="false">IF(F1332="Present",9,IF(F1332="Half Day",4,0))</f>
        <v>9</v>
      </c>
      <c r="J1332" s="2"/>
      <c r="K1332" s="2"/>
    </row>
    <row r="1333" customFormat="false" ht="15" hidden="false" customHeight="false" outlineLevel="0" collapsed="false">
      <c r="A1333" s="2" t="s">
        <v>130</v>
      </c>
      <c r="B1333" s="2" t="s">
        <v>131</v>
      </c>
      <c r="C1333" s="2" t="s">
        <v>28</v>
      </c>
      <c r="D1333" s="3" t="n">
        <v>46264</v>
      </c>
      <c r="E1333" s="2" t="str">
        <f aca="false">TEXT(D1333,"dddd")</f>
        <v>Sunday</v>
      </c>
      <c r="F1333" s="2" t="s">
        <v>460</v>
      </c>
      <c r="G1333" s="2"/>
      <c r="H1333" s="2"/>
      <c r="I1333" s="2" t="n">
        <f aca="false">IF(F1333="Present",9,IF(F1333="Half Day",4,0))</f>
        <v>0</v>
      </c>
      <c r="J1333" s="2"/>
      <c r="K1333" s="2" t="s">
        <v>460</v>
      </c>
    </row>
    <row r="1334" customFormat="false" ht="15" hidden="false" customHeight="false" outlineLevel="0" collapsed="false">
      <c r="A1334" s="2" t="s">
        <v>130</v>
      </c>
      <c r="B1334" s="2" t="s">
        <v>131</v>
      </c>
      <c r="C1334" s="2" t="s">
        <v>28</v>
      </c>
      <c r="D1334" s="3" t="n">
        <v>46265</v>
      </c>
      <c r="E1334" s="2" t="str">
        <f aca="false">TEXT(D1334,"dddd")</f>
        <v>Monday</v>
      </c>
      <c r="F1334" s="2" t="s">
        <v>457</v>
      </c>
      <c r="G1334" s="2" t="s">
        <v>458</v>
      </c>
      <c r="H1334" s="2" t="s">
        <v>459</v>
      </c>
      <c r="I1334" s="2" t="n">
        <f aca="false">IF(F1334="Present",9,IF(F1334="Half Day",4,0))</f>
        <v>9</v>
      </c>
      <c r="J1334" s="2"/>
      <c r="K1334" s="2"/>
    </row>
    <row r="1335" customFormat="false" ht="15" hidden="false" customHeight="false" outlineLevel="0" collapsed="false">
      <c r="A1335" s="2" t="s">
        <v>132</v>
      </c>
      <c r="B1335" s="2" t="s">
        <v>133</v>
      </c>
      <c r="C1335" s="2" t="s">
        <v>32</v>
      </c>
      <c r="D1335" s="3" t="n">
        <v>46235</v>
      </c>
      <c r="E1335" s="2" t="str">
        <f aca="false">TEXT(D1335,"dddd")</f>
        <v>Saturday</v>
      </c>
      <c r="F1335" s="2" t="s">
        <v>457</v>
      </c>
      <c r="G1335" s="2" t="s">
        <v>458</v>
      </c>
      <c r="H1335" s="2" t="s">
        <v>459</v>
      </c>
      <c r="I1335" s="2" t="n">
        <f aca="false">IF(F1335="Present",9,IF(F1335="Half Day",4,0))</f>
        <v>9</v>
      </c>
      <c r="J1335" s="2"/>
      <c r="K1335" s="2"/>
    </row>
    <row r="1336" customFormat="false" ht="15" hidden="false" customHeight="false" outlineLevel="0" collapsed="false">
      <c r="A1336" s="2" t="s">
        <v>132</v>
      </c>
      <c r="B1336" s="2" t="s">
        <v>133</v>
      </c>
      <c r="C1336" s="2" t="s">
        <v>32</v>
      </c>
      <c r="D1336" s="3" t="n">
        <v>46236</v>
      </c>
      <c r="E1336" s="2" t="str">
        <f aca="false">TEXT(D1336,"dddd")</f>
        <v>Sunday</v>
      </c>
      <c r="F1336" s="2" t="s">
        <v>460</v>
      </c>
      <c r="G1336" s="2"/>
      <c r="H1336" s="2"/>
      <c r="I1336" s="2" t="n">
        <f aca="false">IF(F1336="Present",9,IF(F1336="Half Day",4,0))</f>
        <v>0</v>
      </c>
      <c r="J1336" s="2"/>
      <c r="K1336" s="2" t="s">
        <v>460</v>
      </c>
    </row>
    <row r="1337" customFormat="false" ht="15" hidden="false" customHeight="false" outlineLevel="0" collapsed="false">
      <c r="A1337" s="2" t="s">
        <v>132</v>
      </c>
      <c r="B1337" s="2" t="s">
        <v>133</v>
      </c>
      <c r="C1337" s="2" t="s">
        <v>32</v>
      </c>
      <c r="D1337" s="3" t="n">
        <v>46237</v>
      </c>
      <c r="E1337" s="2" t="str">
        <f aca="false">TEXT(D1337,"dddd")</f>
        <v>Monday</v>
      </c>
      <c r="F1337" s="2" t="s">
        <v>457</v>
      </c>
      <c r="G1337" s="2" t="s">
        <v>458</v>
      </c>
      <c r="H1337" s="2" t="s">
        <v>459</v>
      </c>
      <c r="I1337" s="2" t="n">
        <f aca="false">IF(F1337="Present",9,IF(F1337="Half Day",4,0))</f>
        <v>9</v>
      </c>
      <c r="J1337" s="2"/>
      <c r="K1337" s="2"/>
    </row>
    <row r="1338" customFormat="false" ht="15" hidden="false" customHeight="false" outlineLevel="0" collapsed="false">
      <c r="A1338" s="2" t="s">
        <v>132</v>
      </c>
      <c r="B1338" s="2" t="s">
        <v>133</v>
      </c>
      <c r="C1338" s="2" t="s">
        <v>32</v>
      </c>
      <c r="D1338" s="3" t="n">
        <v>46238</v>
      </c>
      <c r="E1338" s="2" t="str">
        <f aca="false">TEXT(D1338,"dddd")</f>
        <v>Tuesday</v>
      </c>
      <c r="F1338" s="2" t="s">
        <v>457</v>
      </c>
      <c r="G1338" s="2" t="s">
        <v>458</v>
      </c>
      <c r="H1338" s="2" t="s">
        <v>459</v>
      </c>
      <c r="I1338" s="2" t="n">
        <f aca="false">IF(F1338="Present",9,IF(F1338="Half Day",4,0))</f>
        <v>9</v>
      </c>
      <c r="J1338" s="2"/>
      <c r="K1338" s="2"/>
    </row>
    <row r="1339" customFormat="false" ht="15" hidden="false" customHeight="false" outlineLevel="0" collapsed="false">
      <c r="A1339" s="2" t="s">
        <v>132</v>
      </c>
      <c r="B1339" s="2" t="s">
        <v>133</v>
      </c>
      <c r="C1339" s="2" t="s">
        <v>32</v>
      </c>
      <c r="D1339" s="3" t="n">
        <v>46239</v>
      </c>
      <c r="E1339" s="2" t="str">
        <f aca="false">TEXT(D1339,"dddd")</f>
        <v>Wednesday</v>
      </c>
      <c r="F1339" s="2" t="s">
        <v>457</v>
      </c>
      <c r="G1339" s="2" t="s">
        <v>458</v>
      </c>
      <c r="H1339" s="2" t="s">
        <v>459</v>
      </c>
      <c r="I1339" s="2" t="n">
        <f aca="false">IF(F1339="Present",9,IF(F1339="Half Day",4,0))</f>
        <v>9</v>
      </c>
      <c r="J1339" s="2"/>
      <c r="K1339" s="2"/>
    </row>
    <row r="1340" customFormat="false" ht="15" hidden="false" customHeight="false" outlineLevel="0" collapsed="false">
      <c r="A1340" s="2" t="s">
        <v>132</v>
      </c>
      <c r="B1340" s="2" t="s">
        <v>133</v>
      </c>
      <c r="C1340" s="2" t="s">
        <v>32</v>
      </c>
      <c r="D1340" s="3" t="n">
        <v>46240</v>
      </c>
      <c r="E1340" s="2" t="str">
        <f aca="false">TEXT(D1340,"dddd")</f>
        <v>Thursday</v>
      </c>
      <c r="F1340" s="2" t="s">
        <v>457</v>
      </c>
      <c r="G1340" s="2" t="s">
        <v>458</v>
      </c>
      <c r="H1340" s="2" t="s">
        <v>459</v>
      </c>
      <c r="I1340" s="2" t="n">
        <f aca="false">IF(F1340="Present",9,IF(F1340="Half Day",4,0))</f>
        <v>9</v>
      </c>
      <c r="J1340" s="2"/>
      <c r="K1340" s="2"/>
    </row>
    <row r="1341" customFormat="false" ht="15" hidden="false" customHeight="false" outlineLevel="0" collapsed="false">
      <c r="A1341" s="2" t="s">
        <v>132</v>
      </c>
      <c r="B1341" s="2" t="s">
        <v>133</v>
      </c>
      <c r="C1341" s="2" t="s">
        <v>32</v>
      </c>
      <c r="D1341" s="3" t="n">
        <v>46241</v>
      </c>
      <c r="E1341" s="2" t="str">
        <f aca="false">TEXT(D1341,"dddd")</f>
        <v>Friday</v>
      </c>
      <c r="F1341" s="2" t="s">
        <v>457</v>
      </c>
      <c r="G1341" s="2" t="s">
        <v>458</v>
      </c>
      <c r="H1341" s="2" t="s">
        <v>459</v>
      </c>
      <c r="I1341" s="2" t="n">
        <f aca="false">IF(F1341="Present",9,IF(F1341="Half Day",4,0))</f>
        <v>9</v>
      </c>
      <c r="J1341" s="2"/>
      <c r="K1341" s="2"/>
    </row>
    <row r="1342" customFormat="false" ht="15" hidden="false" customHeight="false" outlineLevel="0" collapsed="false">
      <c r="A1342" s="2" t="s">
        <v>132</v>
      </c>
      <c r="B1342" s="2" t="s">
        <v>133</v>
      </c>
      <c r="C1342" s="2" t="s">
        <v>32</v>
      </c>
      <c r="D1342" s="3" t="n">
        <v>46242</v>
      </c>
      <c r="E1342" s="2" t="str">
        <f aca="false">TEXT(D1342,"dddd")</f>
        <v>Saturday</v>
      </c>
      <c r="F1342" s="2" t="s">
        <v>457</v>
      </c>
      <c r="G1342" s="2" t="s">
        <v>458</v>
      </c>
      <c r="H1342" s="2" t="s">
        <v>459</v>
      </c>
      <c r="I1342" s="2" t="n">
        <f aca="false">IF(F1342="Present",9,IF(F1342="Half Day",4,0))</f>
        <v>9</v>
      </c>
      <c r="J1342" s="2"/>
      <c r="K1342" s="2"/>
    </row>
    <row r="1343" customFormat="false" ht="15" hidden="false" customHeight="false" outlineLevel="0" collapsed="false">
      <c r="A1343" s="2" t="s">
        <v>132</v>
      </c>
      <c r="B1343" s="2" t="s">
        <v>133</v>
      </c>
      <c r="C1343" s="2" t="s">
        <v>32</v>
      </c>
      <c r="D1343" s="3" t="n">
        <v>46243</v>
      </c>
      <c r="E1343" s="2" t="str">
        <f aca="false">TEXT(D1343,"dddd")</f>
        <v>Sunday</v>
      </c>
      <c r="F1343" s="2" t="s">
        <v>460</v>
      </c>
      <c r="G1343" s="2"/>
      <c r="H1343" s="2"/>
      <c r="I1343" s="2" t="n">
        <f aca="false">IF(F1343="Present",9,IF(F1343="Half Day",4,0))</f>
        <v>0</v>
      </c>
      <c r="J1343" s="2"/>
      <c r="K1343" s="2" t="s">
        <v>460</v>
      </c>
    </row>
    <row r="1344" customFormat="false" ht="15" hidden="false" customHeight="false" outlineLevel="0" collapsed="false">
      <c r="A1344" s="2" t="s">
        <v>132</v>
      </c>
      <c r="B1344" s="2" t="s">
        <v>133</v>
      </c>
      <c r="C1344" s="2" t="s">
        <v>32</v>
      </c>
      <c r="D1344" s="3" t="n">
        <v>46244</v>
      </c>
      <c r="E1344" s="2" t="str">
        <f aca="false">TEXT(D1344,"dddd")</f>
        <v>Monday</v>
      </c>
      <c r="F1344" s="2" t="s">
        <v>466</v>
      </c>
      <c r="G1344" s="2" t="s">
        <v>458</v>
      </c>
      <c r="H1344" s="2" t="s">
        <v>467</v>
      </c>
      <c r="I1344" s="2" t="n">
        <f aca="false">IF(F1344="Present",9,IF(F1344="Half Day",4,0))</f>
        <v>4</v>
      </c>
      <c r="J1344" s="2"/>
      <c r="K1344" s="2" t="s">
        <v>466</v>
      </c>
    </row>
    <row r="1345" customFormat="false" ht="15" hidden="false" customHeight="false" outlineLevel="0" collapsed="false">
      <c r="A1345" s="2" t="s">
        <v>132</v>
      </c>
      <c r="B1345" s="2" t="s">
        <v>133</v>
      </c>
      <c r="C1345" s="2" t="s">
        <v>32</v>
      </c>
      <c r="D1345" s="3" t="n">
        <v>46245</v>
      </c>
      <c r="E1345" s="2" t="str">
        <f aca="false">TEXT(D1345,"dddd")</f>
        <v>Tuesday</v>
      </c>
      <c r="F1345" s="2" t="s">
        <v>457</v>
      </c>
      <c r="G1345" s="2" t="s">
        <v>458</v>
      </c>
      <c r="H1345" s="2" t="s">
        <v>459</v>
      </c>
      <c r="I1345" s="2" t="n">
        <f aca="false">IF(F1345="Present",9,IF(F1345="Half Day",4,0))</f>
        <v>9</v>
      </c>
      <c r="J1345" s="2"/>
      <c r="K1345" s="2"/>
    </row>
    <row r="1346" customFormat="false" ht="15" hidden="false" customHeight="false" outlineLevel="0" collapsed="false">
      <c r="A1346" s="2" t="s">
        <v>132</v>
      </c>
      <c r="B1346" s="2" t="s">
        <v>133</v>
      </c>
      <c r="C1346" s="2" t="s">
        <v>32</v>
      </c>
      <c r="D1346" s="3" t="n">
        <v>46246</v>
      </c>
      <c r="E1346" s="2" t="str">
        <f aca="false">TEXT(D1346,"dddd")</f>
        <v>Wednesday</v>
      </c>
      <c r="F1346" s="2" t="s">
        <v>457</v>
      </c>
      <c r="G1346" s="2" t="s">
        <v>458</v>
      </c>
      <c r="H1346" s="2" t="s">
        <v>459</v>
      </c>
      <c r="I1346" s="2" t="n">
        <f aca="false">IF(F1346="Present",9,IF(F1346="Half Day",4,0))</f>
        <v>9</v>
      </c>
      <c r="J1346" s="2"/>
      <c r="K1346" s="2"/>
    </row>
    <row r="1347" customFormat="false" ht="15" hidden="false" customHeight="false" outlineLevel="0" collapsed="false">
      <c r="A1347" s="2" t="s">
        <v>132</v>
      </c>
      <c r="B1347" s="2" t="s">
        <v>133</v>
      </c>
      <c r="C1347" s="2" t="s">
        <v>32</v>
      </c>
      <c r="D1347" s="3" t="n">
        <v>46247</v>
      </c>
      <c r="E1347" s="2" t="str">
        <f aca="false">TEXT(D1347,"dddd")</f>
        <v>Thursday</v>
      </c>
      <c r="F1347" s="2" t="s">
        <v>457</v>
      </c>
      <c r="G1347" s="2" t="s">
        <v>458</v>
      </c>
      <c r="H1347" s="2" t="s">
        <v>459</v>
      </c>
      <c r="I1347" s="2" t="n">
        <f aca="false">IF(F1347="Present",9,IF(F1347="Half Day",4,0))</f>
        <v>9</v>
      </c>
      <c r="J1347" s="2"/>
      <c r="K1347" s="2"/>
    </row>
    <row r="1348" customFormat="false" ht="15" hidden="false" customHeight="false" outlineLevel="0" collapsed="false">
      <c r="A1348" s="2" t="s">
        <v>132</v>
      </c>
      <c r="B1348" s="2" t="s">
        <v>133</v>
      </c>
      <c r="C1348" s="2" t="s">
        <v>32</v>
      </c>
      <c r="D1348" s="3" t="n">
        <v>46248</v>
      </c>
      <c r="E1348" s="2" t="str">
        <f aca="false">TEXT(D1348,"dddd")</f>
        <v>Friday</v>
      </c>
      <c r="F1348" s="2" t="s">
        <v>457</v>
      </c>
      <c r="G1348" s="2" t="s">
        <v>458</v>
      </c>
      <c r="H1348" s="2" t="s">
        <v>459</v>
      </c>
      <c r="I1348" s="2" t="n">
        <f aca="false">IF(F1348="Present",9,IF(F1348="Half Day",4,0))</f>
        <v>9</v>
      </c>
      <c r="J1348" s="2"/>
      <c r="K1348" s="2"/>
    </row>
    <row r="1349" customFormat="false" ht="15" hidden="false" customHeight="false" outlineLevel="0" collapsed="false">
      <c r="A1349" s="2" t="s">
        <v>132</v>
      </c>
      <c r="B1349" s="2" t="s">
        <v>133</v>
      </c>
      <c r="C1349" s="2" t="s">
        <v>32</v>
      </c>
      <c r="D1349" s="3" t="n">
        <v>46249</v>
      </c>
      <c r="E1349" s="2" t="str">
        <f aca="false">TEXT(D1349,"dddd")</f>
        <v>Saturday</v>
      </c>
      <c r="F1349" s="2" t="s">
        <v>457</v>
      </c>
      <c r="G1349" s="2" t="s">
        <v>458</v>
      </c>
      <c r="H1349" s="2" t="s">
        <v>459</v>
      </c>
      <c r="I1349" s="2" t="n">
        <f aca="false">IF(F1349="Present",9,IF(F1349="Half Day",4,0))</f>
        <v>9</v>
      </c>
      <c r="J1349" s="2"/>
      <c r="K1349" s="2"/>
    </row>
    <row r="1350" customFormat="false" ht="15" hidden="false" customHeight="false" outlineLevel="0" collapsed="false">
      <c r="A1350" s="2" t="s">
        <v>132</v>
      </c>
      <c r="B1350" s="2" t="s">
        <v>133</v>
      </c>
      <c r="C1350" s="2" t="s">
        <v>32</v>
      </c>
      <c r="D1350" s="3" t="n">
        <v>46250</v>
      </c>
      <c r="E1350" s="2" t="str">
        <f aca="false">TEXT(D1350,"dddd")</f>
        <v>Sunday</v>
      </c>
      <c r="F1350" s="2" t="s">
        <v>460</v>
      </c>
      <c r="G1350" s="2"/>
      <c r="H1350" s="2"/>
      <c r="I1350" s="2" t="n">
        <f aca="false">IF(F1350="Present",9,IF(F1350="Half Day",4,0))</f>
        <v>0</v>
      </c>
      <c r="J1350" s="2"/>
      <c r="K1350" s="2" t="s">
        <v>460</v>
      </c>
    </row>
    <row r="1351" customFormat="false" ht="15" hidden="false" customHeight="false" outlineLevel="0" collapsed="false">
      <c r="A1351" s="2" t="s">
        <v>132</v>
      </c>
      <c r="B1351" s="2" t="s">
        <v>133</v>
      </c>
      <c r="C1351" s="2" t="s">
        <v>32</v>
      </c>
      <c r="D1351" s="3" t="n">
        <v>46251</v>
      </c>
      <c r="E1351" s="2" t="str">
        <f aca="false">TEXT(D1351,"dddd")</f>
        <v>Monday</v>
      </c>
      <c r="F1351" s="2" t="s">
        <v>457</v>
      </c>
      <c r="G1351" s="2" t="s">
        <v>458</v>
      </c>
      <c r="H1351" s="2" t="s">
        <v>459</v>
      </c>
      <c r="I1351" s="2" t="n">
        <f aca="false">IF(F1351="Present",9,IF(F1351="Half Day",4,0))</f>
        <v>9</v>
      </c>
      <c r="J1351" s="2"/>
      <c r="K1351" s="2"/>
    </row>
    <row r="1352" customFormat="false" ht="15" hidden="false" customHeight="false" outlineLevel="0" collapsed="false">
      <c r="A1352" s="2" t="s">
        <v>132</v>
      </c>
      <c r="B1352" s="2" t="s">
        <v>133</v>
      </c>
      <c r="C1352" s="2" t="s">
        <v>32</v>
      </c>
      <c r="D1352" s="3" t="n">
        <v>46252</v>
      </c>
      <c r="E1352" s="2" t="str">
        <f aca="false">TEXT(D1352,"dddd")</f>
        <v>Tuesday</v>
      </c>
      <c r="F1352" s="2" t="s">
        <v>457</v>
      </c>
      <c r="G1352" s="2" t="s">
        <v>458</v>
      </c>
      <c r="H1352" s="2" t="s">
        <v>459</v>
      </c>
      <c r="I1352" s="2" t="n">
        <f aca="false">IF(F1352="Present",9,IF(F1352="Half Day",4,0))</f>
        <v>9</v>
      </c>
      <c r="J1352" s="2"/>
      <c r="K1352" s="2"/>
    </row>
    <row r="1353" customFormat="false" ht="15" hidden="false" customHeight="false" outlineLevel="0" collapsed="false">
      <c r="A1353" s="2" t="s">
        <v>132</v>
      </c>
      <c r="B1353" s="2" t="s">
        <v>133</v>
      </c>
      <c r="C1353" s="2" t="s">
        <v>32</v>
      </c>
      <c r="D1353" s="3" t="n">
        <v>46253</v>
      </c>
      <c r="E1353" s="2" t="str">
        <f aca="false">TEXT(D1353,"dddd")</f>
        <v>Wednesday</v>
      </c>
      <c r="F1353" s="2" t="s">
        <v>457</v>
      </c>
      <c r="G1353" s="2" t="s">
        <v>458</v>
      </c>
      <c r="H1353" s="2" t="s">
        <v>459</v>
      </c>
      <c r="I1353" s="2" t="n">
        <f aca="false">IF(F1353="Present",9,IF(F1353="Half Day",4,0))</f>
        <v>9</v>
      </c>
      <c r="J1353" s="2"/>
      <c r="K1353" s="2"/>
    </row>
    <row r="1354" customFormat="false" ht="15" hidden="false" customHeight="false" outlineLevel="0" collapsed="false">
      <c r="A1354" s="2" t="s">
        <v>132</v>
      </c>
      <c r="B1354" s="2" t="s">
        <v>133</v>
      </c>
      <c r="C1354" s="2" t="s">
        <v>32</v>
      </c>
      <c r="D1354" s="3" t="n">
        <v>46254</v>
      </c>
      <c r="E1354" s="2" t="str">
        <f aca="false">TEXT(D1354,"dddd")</f>
        <v>Thursday</v>
      </c>
      <c r="F1354" s="2" t="s">
        <v>457</v>
      </c>
      <c r="G1354" s="2" t="s">
        <v>458</v>
      </c>
      <c r="H1354" s="2" t="s">
        <v>459</v>
      </c>
      <c r="I1354" s="2" t="n">
        <f aca="false">IF(F1354="Present",9,IF(F1354="Half Day",4,0))</f>
        <v>9</v>
      </c>
      <c r="J1354" s="2"/>
      <c r="K1354" s="2"/>
    </row>
    <row r="1355" customFormat="false" ht="15" hidden="false" customHeight="false" outlineLevel="0" collapsed="false">
      <c r="A1355" s="2" t="s">
        <v>132</v>
      </c>
      <c r="B1355" s="2" t="s">
        <v>133</v>
      </c>
      <c r="C1355" s="2" t="s">
        <v>32</v>
      </c>
      <c r="D1355" s="3" t="n">
        <v>46255</v>
      </c>
      <c r="E1355" s="2" t="str">
        <f aca="false">TEXT(D1355,"dddd")</f>
        <v>Friday</v>
      </c>
      <c r="F1355" s="2" t="s">
        <v>457</v>
      </c>
      <c r="G1355" s="2" t="s">
        <v>458</v>
      </c>
      <c r="H1355" s="2" t="s">
        <v>459</v>
      </c>
      <c r="I1355" s="2" t="n">
        <f aca="false">IF(F1355="Present",9,IF(F1355="Half Day",4,0))</f>
        <v>9</v>
      </c>
      <c r="J1355" s="2"/>
      <c r="K1355" s="2"/>
    </row>
    <row r="1356" customFormat="false" ht="15" hidden="false" customHeight="false" outlineLevel="0" collapsed="false">
      <c r="A1356" s="2" t="s">
        <v>132</v>
      </c>
      <c r="B1356" s="2" t="s">
        <v>133</v>
      </c>
      <c r="C1356" s="2" t="s">
        <v>32</v>
      </c>
      <c r="D1356" s="3" t="n">
        <v>46256</v>
      </c>
      <c r="E1356" s="2" t="str">
        <f aca="false">TEXT(D1356,"dddd")</f>
        <v>Saturday</v>
      </c>
      <c r="F1356" s="2" t="s">
        <v>457</v>
      </c>
      <c r="G1356" s="2" t="s">
        <v>458</v>
      </c>
      <c r="H1356" s="2" t="s">
        <v>459</v>
      </c>
      <c r="I1356" s="2" t="n">
        <f aca="false">IF(F1356="Present",9,IF(F1356="Half Day",4,0))</f>
        <v>9</v>
      </c>
      <c r="J1356" s="2"/>
      <c r="K1356" s="2"/>
    </row>
    <row r="1357" customFormat="false" ht="15" hidden="false" customHeight="false" outlineLevel="0" collapsed="false">
      <c r="A1357" s="2" t="s">
        <v>132</v>
      </c>
      <c r="B1357" s="2" t="s">
        <v>133</v>
      </c>
      <c r="C1357" s="2" t="s">
        <v>32</v>
      </c>
      <c r="D1357" s="3" t="n">
        <v>46257</v>
      </c>
      <c r="E1357" s="2" t="str">
        <f aca="false">TEXT(D1357,"dddd")</f>
        <v>Sunday</v>
      </c>
      <c r="F1357" s="2" t="s">
        <v>460</v>
      </c>
      <c r="G1357" s="2"/>
      <c r="H1357" s="2"/>
      <c r="I1357" s="2" t="n">
        <f aca="false">IF(F1357="Present",9,IF(F1357="Half Day",4,0))</f>
        <v>0</v>
      </c>
      <c r="J1357" s="2"/>
      <c r="K1357" s="2" t="s">
        <v>460</v>
      </c>
    </row>
    <row r="1358" customFormat="false" ht="15" hidden="false" customHeight="false" outlineLevel="0" collapsed="false">
      <c r="A1358" s="2" t="s">
        <v>132</v>
      </c>
      <c r="B1358" s="2" t="s">
        <v>133</v>
      </c>
      <c r="C1358" s="2" t="s">
        <v>32</v>
      </c>
      <c r="D1358" s="3" t="n">
        <v>46258</v>
      </c>
      <c r="E1358" s="2" t="str">
        <f aca="false">TEXT(D1358,"dddd")</f>
        <v>Monday</v>
      </c>
      <c r="F1358" s="2" t="s">
        <v>457</v>
      </c>
      <c r="G1358" s="2" t="s">
        <v>458</v>
      </c>
      <c r="H1358" s="2" t="s">
        <v>459</v>
      </c>
      <c r="I1358" s="2" t="n">
        <f aca="false">IF(F1358="Present",9,IF(F1358="Half Day",4,0))</f>
        <v>9</v>
      </c>
      <c r="J1358" s="2"/>
      <c r="K1358" s="2"/>
    </row>
    <row r="1359" customFormat="false" ht="15" hidden="false" customHeight="false" outlineLevel="0" collapsed="false">
      <c r="A1359" s="2" t="s">
        <v>132</v>
      </c>
      <c r="B1359" s="2" t="s">
        <v>133</v>
      </c>
      <c r="C1359" s="2" t="s">
        <v>32</v>
      </c>
      <c r="D1359" s="3" t="n">
        <v>46259</v>
      </c>
      <c r="E1359" s="2" t="str">
        <f aca="false">TEXT(D1359,"dddd")</f>
        <v>Tuesday</v>
      </c>
      <c r="F1359" s="2" t="s">
        <v>457</v>
      </c>
      <c r="G1359" s="2" t="s">
        <v>458</v>
      </c>
      <c r="H1359" s="2" t="s">
        <v>459</v>
      </c>
      <c r="I1359" s="2" t="n">
        <f aca="false">IF(F1359="Present",9,IF(F1359="Half Day",4,0))</f>
        <v>9</v>
      </c>
      <c r="J1359" s="2"/>
      <c r="K1359" s="2"/>
    </row>
    <row r="1360" customFormat="false" ht="15" hidden="false" customHeight="false" outlineLevel="0" collapsed="false">
      <c r="A1360" s="2" t="s">
        <v>132</v>
      </c>
      <c r="B1360" s="2" t="s">
        <v>133</v>
      </c>
      <c r="C1360" s="2" t="s">
        <v>32</v>
      </c>
      <c r="D1360" s="3" t="n">
        <v>46260</v>
      </c>
      <c r="E1360" s="2" t="str">
        <f aca="false">TEXT(D1360,"dddd")</f>
        <v>Wednesday</v>
      </c>
      <c r="F1360" s="2" t="s">
        <v>457</v>
      </c>
      <c r="G1360" s="2" t="s">
        <v>458</v>
      </c>
      <c r="H1360" s="2" t="s">
        <v>459</v>
      </c>
      <c r="I1360" s="2" t="n">
        <f aca="false">IF(F1360="Present",9,IF(F1360="Half Day",4,0))</f>
        <v>9</v>
      </c>
      <c r="J1360" s="2"/>
      <c r="K1360" s="2"/>
    </row>
    <row r="1361" customFormat="false" ht="15" hidden="false" customHeight="false" outlineLevel="0" collapsed="false">
      <c r="A1361" s="2" t="s">
        <v>132</v>
      </c>
      <c r="B1361" s="2" t="s">
        <v>133</v>
      </c>
      <c r="C1361" s="2" t="s">
        <v>32</v>
      </c>
      <c r="D1361" s="3" t="n">
        <v>46261</v>
      </c>
      <c r="E1361" s="2" t="str">
        <f aca="false">TEXT(D1361,"dddd")</f>
        <v>Thursday</v>
      </c>
      <c r="F1361" s="2" t="s">
        <v>457</v>
      </c>
      <c r="G1361" s="2" t="s">
        <v>458</v>
      </c>
      <c r="H1361" s="2" t="s">
        <v>459</v>
      </c>
      <c r="I1361" s="2" t="n">
        <f aca="false">IF(F1361="Present",9,IF(F1361="Half Day",4,0))</f>
        <v>9</v>
      </c>
      <c r="J1361" s="2"/>
      <c r="K1361" s="2"/>
    </row>
    <row r="1362" customFormat="false" ht="15" hidden="false" customHeight="false" outlineLevel="0" collapsed="false">
      <c r="A1362" s="2" t="s">
        <v>132</v>
      </c>
      <c r="B1362" s="2" t="s">
        <v>133</v>
      </c>
      <c r="C1362" s="2" t="s">
        <v>32</v>
      </c>
      <c r="D1362" s="3" t="n">
        <v>46262</v>
      </c>
      <c r="E1362" s="2" t="str">
        <f aca="false">TEXT(D1362,"dddd")</f>
        <v>Friday</v>
      </c>
      <c r="F1362" s="2" t="s">
        <v>457</v>
      </c>
      <c r="G1362" s="2" t="s">
        <v>458</v>
      </c>
      <c r="H1362" s="2" t="s">
        <v>459</v>
      </c>
      <c r="I1362" s="2" t="n">
        <f aca="false">IF(F1362="Present",9,IF(F1362="Half Day",4,0))</f>
        <v>9</v>
      </c>
      <c r="J1362" s="2"/>
      <c r="K1362" s="2"/>
    </row>
    <row r="1363" customFormat="false" ht="15" hidden="false" customHeight="false" outlineLevel="0" collapsed="false">
      <c r="A1363" s="2" t="s">
        <v>132</v>
      </c>
      <c r="B1363" s="2" t="s">
        <v>133</v>
      </c>
      <c r="C1363" s="2" t="s">
        <v>32</v>
      </c>
      <c r="D1363" s="3" t="n">
        <v>46263</v>
      </c>
      <c r="E1363" s="2" t="str">
        <f aca="false">TEXT(D1363,"dddd")</f>
        <v>Saturday</v>
      </c>
      <c r="F1363" s="2" t="s">
        <v>457</v>
      </c>
      <c r="G1363" s="2" t="s">
        <v>458</v>
      </c>
      <c r="H1363" s="2" t="s">
        <v>459</v>
      </c>
      <c r="I1363" s="2" t="n">
        <f aca="false">IF(F1363="Present",9,IF(F1363="Half Day",4,0))</f>
        <v>9</v>
      </c>
      <c r="J1363" s="2"/>
      <c r="K1363" s="2"/>
    </row>
    <row r="1364" customFormat="false" ht="15" hidden="false" customHeight="false" outlineLevel="0" collapsed="false">
      <c r="A1364" s="2" t="s">
        <v>132</v>
      </c>
      <c r="B1364" s="2" t="s">
        <v>133</v>
      </c>
      <c r="C1364" s="2" t="s">
        <v>32</v>
      </c>
      <c r="D1364" s="3" t="n">
        <v>46264</v>
      </c>
      <c r="E1364" s="2" t="str">
        <f aca="false">TEXT(D1364,"dddd")</f>
        <v>Sunday</v>
      </c>
      <c r="F1364" s="2" t="s">
        <v>460</v>
      </c>
      <c r="G1364" s="2"/>
      <c r="H1364" s="2"/>
      <c r="I1364" s="2" t="n">
        <f aca="false">IF(F1364="Present",9,IF(F1364="Half Day",4,0))</f>
        <v>0</v>
      </c>
      <c r="J1364" s="2"/>
      <c r="K1364" s="2" t="s">
        <v>460</v>
      </c>
    </row>
    <row r="1365" customFormat="false" ht="15" hidden="false" customHeight="false" outlineLevel="0" collapsed="false">
      <c r="A1365" s="2" t="s">
        <v>132</v>
      </c>
      <c r="B1365" s="2" t="s">
        <v>133</v>
      </c>
      <c r="C1365" s="2" t="s">
        <v>32</v>
      </c>
      <c r="D1365" s="3" t="n">
        <v>46265</v>
      </c>
      <c r="E1365" s="2" t="str">
        <f aca="false">TEXT(D1365,"dddd")</f>
        <v>Monday</v>
      </c>
      <c r="F1365" s="2" t="s">
        <v>457</v>
      </c>
      <c r="G1365" s="2" t="s">
        <v>458</v>
      </c>
      <c r="H1365" s="2" t="s">
        <v>459</v>
      </c>
      <c r="I1365" s="2" t="n">
        <f aca="false">IF(F1365="Present",9,IF(F1365="Half Day",4,0))</f>
        <v>9</v>
      </c>
      <c r="J1365" s="2"/>
      <c r="K1365" s="2"/>
    </row>
    <row r="1366" customFormat="false" ht="15" hidden="false" customHeight="false" outlineLevel="0" collapsed="false">
      <c r="A1366" s="2" t="s">
        <v>134</v>
      </c>
      <c r="B1366" s="2" t="s">
        <v>135</v>
      </c>
      <c r="C1366" s="2" t="s">
        <v>36</v>
      </c>
      <c r="D1366" s="3" t="n">
        <v>46235</v>
      </c>
      <c r="E1366" s="2" t="str">
        <f aca="false">TEXT(D1366,"dddd")</f>
        <v>Saturday</v>
      </c>
      <c r="F1366" s="2" t="s">
        <v>463</v>
      </c>
      <c r="G1366" s="2"/>
      <c r="H1366" s="2"/>
      <c r="I1366" s="2" t="n">
        <f aca="false">IF(F1366="Present",9,IF(F1366="Half Day",4,0))</f>
        <v>0</v>
      </c>
      <c r="J1366" s="2" t="s">
        <v>472</v>
      </c>
      <c r="K1366" s="2" t="s">
        <v>473</v>
      </c>
    </row>
    <row r="1367" customFormat="false" ht="15" hidden="false" customHeight="false" outlineLevel="0" collapsed="false">
      <c r="A1367" s="2" t="s">
        <v>134</v>
      </c>
      <c r="B1367" s="2" t="s">
        <v>135</v>
      </c>
      <c r="C1367" s="2" t="s">
        <v>36</v>
      </c>
      <c r="D1367" s="3" t="n">
        <v>46236</v>
      </c>
      <c r="E1367" s="2" t="str">
        <f aca="false">TEXT(D1367,"dddd")</f>
        <v>Sunday</v>
      </c>
      <c r="F1367" s="2" t="s">
        <v>460</v>
      </c>
      <c r="G1367" s="2"/>
      <c r="H1367" s="2"/>
      <c r="I1367" s="2" t="n">
        <f aca="false">IF(F1367="Present",9,IF(F1367="Half Day",4,0))</f>
        <v>0</v>
      </c>
      <c r="J1367" s="2"/>
      <c r="K1367" s="2" t="s">
        <v>460</v>
      </c>
    </row>
    <row r="1368" customFormat="false" ht="15" hidden="false" customHeight="false" outlineLevel="0" collapsed="false">
      <c r="A1368" s="2" t="s">
        <v>134</v>
      </c>
      <c r="B1368" s="2" t="s">
        <v>135</v>
      </c>
      <c r="C1368" s="2" t="s">
        <v>36</v>
      </c>
      <c r="D1368" s="3" t="n">
        <v>46237</v>
      </c>
      <c r="E1368" s="2" t="str">
        <f aca="false">TEXT(D1368,"dddd")</f>
        <v>Monday</v>
      </c>
      <c r="F1368" s="2" t="s">
        <v>457</v>
      </c>
      <c r="G1368" s="2" t="s">
        <v>458</v>
      </c>
      <c r="H1368" s="2" t="s">
        <v>459</v>
      </c>
      <c r="I1368" s="2" t="n">
        <f aca="false">IF(F1368="Present",9,IF(F1368="Half Day",4,0))</f>
        <v>9</v>
      </c>
      <c r="J1368" s="2"/>
      <c r="K1368" s="2"/>
    </row>
    <row r="1369" customFormat="false" ht="15" hidden="false" customHeight="false" outlineLevel="0" collapsed="false">
      <c r="A1369" s="2" t="s">
        <v>134</v>
      </c>
      <c r="B1369" s="2" t="s">
        <v>135</v>
      </c>
      <c r="C1369" s="2" t="s">
        <v>36</v>
      </c>
      <c r="D1369" s="3" t="n">
        <v>46238</v>
      </c>
      <c r="E1369" s="2" t="str">
        <f aca="false">TEXT(D1369,"dddd")</f>
        <v>Tuesday</v>
      </c>
      <c r="F1369" s="2" t="s">
        <v>457</v>
      </c>
      <c r="G1369" s="2" t="s">
        <v>458</v>
      </c>
      <c r="H1369" s="2" t="s">
        <v>459</v>
      </c>
      <c r="I1369" s="2" t="n">
        <f aca="false">IF(F1369="Present",9,IF(F1369="Half Day",4,0))</f>
        <v>9</v>
      </c>
      <c r="J1369" s="2"/>
      <c r="K1369" s="2"/>
    </row>
    <row r="1370" customFormat="false" ht="15" hidden="false" customHeight="false" outlineLevel="0" collapsed="false">
      <c r="A1370" s="2" t="s">
        <v>134</v>
      </c>
      <c r="B1370" s="2" t="s">
        <v>135</v>
      </c>
      <c r="C1370" s="2" t="s">
        <v>36</v>
      </c>
      <c r="D1370" s="3" t="n">
        <v>46239</v>
      </c>
      <c r="E1370" s="2" t="str">
        <f aca="false">TEXT(D1370,"dddd")</f>
        <v>Wednesday</v>
      </c>
      <c r="F1370" s="2" t="s">
        <v>457</v>
      </c>
      <c r="G1370" s="2" t="s">
        <v>458</v>
      </c>
      <c r="H1370" s="2" t="s">
        <v>459</v>
      </c>
      <c r="I1370" s="2" t="n">
        <f aca="false">IF(F1370="Present",9,IF(F1370="Half Day",4,0))</f>
        <v>9</v>
      </c>
      <c r="J1370" s="2"/>
      <c r="K1370" s="2"/>
    </row>
    <row r="1371" customFormat="false" ht="15" hidden="false" customHeight="false" outlineLevel="0" collapsed="false">
      <c r="A1371" s="2" t="s">
        <v>134</v>
      </c>
      <c r="B1371" s="2" t="s">
        <v>135</v>
      </c>
      <c r="C1371" s="2" t="s">
        <v>36</v>
      </c>
      <c r="D1371" s="3" t="n">
        <v>46240</v>
      </c>
      <c r="E1371" s="2" t="str">
        <f aca="false">TEXT(D1371,"dddd")</f>
        <v>Thursday</v>
      </c>
      <c r="F1371" s="2" t="s">
        <v>461</v>
      </c>
      <c r="G1371" s="2"/>
      <c r="H1371" s="2"/>
      <c r="I1371" s="2" t="n">
        <f aca="false">IF(F1371="Present",9,IF(F1371="Half Day",4,0))</f>
        <v>0</v>
      </c>
      <c r="J1371" s="2"/>
      <c r="K1371" s="2" t="s">
        <v>462</v>
      </c>
    </row>
    <row r="1372" customFormat="false" ht="15" hidden="false" customHeight="false" outlineLevel="0" collapsed="false">
      <c r="A1372" s="2" t="s">
        <v>134</v>
      </c>
      <c r="B1372" s="2" t="s">
        <v>135</v>
      </c>
      <c r="C1372" s="2" t="s">
        <v>36</v>
      </c>
      <c r="D1372" s="3" t="n">
        <v>46241</v>
      </c>
      <c r="E1372" s="2" t="str">
        <f aca="false">TEXT(D1372,"dddd")</f>
        <v>Friday</v>
      </c>
      <c r="F1372" s="2" t="s">
        <v>461</v>
      </c>
      <c r="G1372" s="2"/>
      <c r="H1372" s="2"/>
      <c r="I1372" s="2" t="n">
        <f aca="false">IF(F1372="Present",9,IF(F1372="Half Day",4,0))</f>
        <v>0</v>
      </c>
      <c r="J1372" s="2"/>
      <c r="K1372" s="2" t="s">
        <v>462</v>
      </c>
    </row>
    <row r="1373" customFormat="false" ht="15" hidden="false" customHeight="false" outlineLevel="0" collapsed="false">
      <c r="A1373" s="2" t="s">
        <v>134</v>
      </c>
      <c r="B1373" s="2" t="s">
        <v>135</v>
      </c>
      <c r="C1373" s="2" t="s">
        <v>36</v>
      </c>
      <c r="D1373" s="3" t="n">
        <v>46242</v>
      </c>
      <c r="E1373" s="2" t="str">
        <f aca="false">TEXT(D1373,"dddd")</f>
        <v>Saturday</v>
      </c>
      <c r="F1373" s="2" t="s">
        <v>457</v>
      </c>
      <c r="G1373" s="2" t="s">
        <v>458</v>
      </c>
      <c r="H1373" s="2" t="s">
        <v>459</v>
      </c>
      <c r="I1373" s="2" t="n">
        <f aca="false">IF(F1373="Present",9,IF(F1373="Half Day",4,0))</f>
        <v>9</v>
      </c>
      <c r="J1373" s="2"/>
      <c r="K1373" s="2"/>
    </row>
    <row r="1374" customFormat="false" ht="15" hidden="false" customHeight="false" outlineLevel="0" collapsed="false">
      <c r="A1374" s="2" t="s">
        <v>134</v>
      </c>
      <c r="B1374" s="2" t="s">
        <v>135</v>
      </c>
      <c r="C1374" s="2" t="s">
        <v>36</v>
      </c>
      <c r="D1374" s="3" t="n">
        <v>46243</v>
      </c>
      <c r="E1374" s="2" t="str">
        <f aca="false">TEXT(D1374,"dddd")</f>
        <v>Sunday</v>
      </c>
      <c r="F1374" s="2" t="s">
        <v>460</v>
      </c>
      <c r="G1374" s="2"/>
      <c r="H1374" s="2"/>
      <c r="I1374" s="2" t="n">
        <f aca="false">IF(F1374="Present",9,IF(F1374="Half Day",4,0))</f>
        <v>0</v>
      </c>
      <c r="J1374" s="2"/>
      <c r="K1374" s="2" t="s">
        <v>460</v>
      </c>
    </row>
    <row r="1375" customFormat="false" ht="15" hidden="false" customHeight="false" outlineLevel="0" collapsed="false">
      <c r="A1375" s="2" t="s">
        <v>134</v>
      </c>
      <c r="B1375" s="2" t="s">
        <v>135</v>
      </c>
      <c r="C1375" s="2" t="s">
        <v>36</v>
      </c>
      <c r="D1375" s="3" t="n">
        <v>46244</v>
      </c>
      <c r="E1375" s="2" t="str">
        <f aca="false">TEXT(D1375,"dddd")</f>
        <v>Monday</v>
      </c>
      <c r="F1375" s="2" t="s">
        <v>457</v>
      </c>
      <c r="G1375" s="2" t="s">
        <v>458</v>
      </c>
      <c r="H1375" s="2" t="s">
        <v>459</v>
      </c>
      <c r="I1375" s="2" t="n">
        <f aca="false">IF(F1375="Present",9,IF(F1375="Half Day",4,0))</f>
        <v>9</v>
      </c>
      <c r="J1375" s="2"/>
      <c r="K1375" s="2"/>
    </row>
    <row r="1376" customFormat="false" ht="15" hidden="false" customHeight="false" outlineLevel="0" collapsed="false">
      <c r="A1376" s="2" t="s">
        <v>134</v>
      </c>
      <c r="B1376" s="2" t="s">
        <v>135</v>
      </c>
      <c r="C1376" s="2" t="s">
        <v>36</v>
      </c>
      <c r="D1376" s="3" t="n">
        <v>46245</v>
      </c>
      <c r="E1376" s="2" t="str">
        <f aca="false">TEXT(D1376,"dddd")</f>
        <v>Tuesday</v>
      </c>
      <c r="F1376" s="2" t="s">
        <v>457</v>
      </c>
      <c r="G1376" s="2" t="s">
        <v>458</v>
      </c>
      <c r="H1376" s="2" t="s">
        <v>459</v>
      </c>
      <c r="I1376" s="2" t="n">
        <f aca="false">IF(F1376="Present",9,IF(F1376="Half Day",4,0))</f>
        <v>9</v>
      </c>
      <c r="J1376" s="2"/>
      <c r="K1376" s="2"/>
    </row>
    <row r="1377" customFormat="false" ht="15" hidden="false" customHeight="false" outlineLevel="0" collapsed="false">
      <c r="A1377" s="2" t="s">
        <v>134</v>
      </c>
      <c r="B1377" s="2" t="s">
        <v>135</v>
      </c>
      <c r="C1377" s="2" t="s">
        <v>36</v>
      </c>
      <c r="D1377" s="3" t="n">
        <v>46246</v>
      </c>
      <c r="E1377" s="2" t="str">
        <f aca="false">TEXT(D1377,"dddd")</f>
        <v>Wednesday</v>
      </c>
      <c r="F1377" s="2" t="s">
        <v>457</v>
      </c>
      <c r="G1377" s="2" t="s">
        <v>458</v>
      </c>
      <c r="H1377" s="2" t="s">
        <v>459</v>
      </c>
      <c r="I1377" s="2" t="n">
        <f aca="false">IF(F1377="Present",9,IF(F1377="Half Day",4,0))</f>
        <v>9</v>
      </c>
      <c r="J1377" s="2"/>
      <c r="K1377" s="2"/>
    </row>
    <row r="1378" customFormat="false" ht="15" hidden="false" customHeight="false" outlineLevel="0" collapsed="false">
      <c r="A1378" s="2" t="s">
        <v>134</v>
      </c>
      <c r="B1378" s="2" t="s">
        <v>135</v>
      </c>
      <c r="C1378" s="2" t="s">
        <v>36</v>
      </c>
      <c r="D1378" s="3" t="n">
        <v>46247</v>
      </c>
      <c r="E1378" s="2" t="str">
        <f aca="false">TEXT(D1378,"dddd")</f>
        <v>Thursday</v>
      </c>
      <c r="F1378" s="2" t="s">
        <v>457</v>
      </c>
      <c r="G1378" s="2" t="s">
        <v>458</v>
      </c>
      <c r="H1378" s="2" t="s">
        <v>459</v>
      </c>
      <c r="I1378" s="2" t="n">
        <f aca="false">IF(F1378="Present",9,IF(F1378="Half Day",4,0))</f>
        <v>9</v>
      </c>
      <c r="J1378" s="2"/>
      <c r="K1378" s="2"/>
    </row>
    <row r="1379" customFormat="false" ht="15" hidden="false" customHeight="false" outlineLevel="0" collapsed="false">
      <c r="A1379" s="2" t="s">
        <v>134</v>
      </c>
      <c r="B1379" s="2" t="s">
        <v>135</v>
      </c>
      <c r="C1379" s="2" t="s">
        <v>36</v>
      </c>
      <c r="D1379" s="3" t="n">
        <v>46248</v>
      </c>
      <c r="E1379" s="2" t="str">
        <f aca="false">TEXT(D1379,"dddd")</f>
        <v>Friday</v>
      </c>
      <c r="F1379" s="2" t="s">
        <v>457</v>
      </c>
      <c r="G1379" s="2" t="s">
        <v>458</v>
      </c>
      <c r="H1379" s="2" t="s">
        <v>459</v>
      </c>
      <c r="I1379" s="2" t="n">
        <f aca="false">IF(F1379="Present",9,IF(F1379="Half Day",4,0))</f>
        <v>9</v>
      </c>
      <c r="J1379" s="2"/>
      <c r="K1379" s="2"/>
    </row>
    <row r="1380" customFormat="false" ht="15" hidden="false" customHeight="false" outlineLevel="0" collapsed="false">
      <c r="A1380" s="2" t="s">
        <v>134</v>
      </c>
      <c r="B1380" s="2" t="s">
        <v>135</v>
      </c>
      <c r="C1380" s="2" t="s">
        <v>36</v>
      </c>
      <c r="D1380" s="3" t="n">
        <v>46249</v>
      </c>
      <c r="E1380" s="2" t="str">
        <f aca="false">TEXT(D1380,"dddd")</f>
        <v>Saturday</v>
      </c>
      <c r="F1380" s="2" t="s">
        <v>457</v>
      </c>
      <c r="G1380" s="2" t="s">
        <v>458</v>
      </c>
      <c r="H1380" s="2" t="s">
        <v>459</v>
      </c>
      <c r="I1380" s="2" t="n">
        <f aca="false">IF(F1380="Present",9,IF(F1380="Half Day",4,0))</f>
        <v>9</v>
      </c>
      <c r="J1380" s="2"/>
      <c r="K1380" s="2"/>
    </row>
    <row r="1381" customFormat="false" ht="15" hidden="false" customHeight="false" outlineLevel="0" collapsed="false">
      <c r="A1381" s="2" t="s">
        <v>134</v>
      </c>
      <c r="B1381" s="2" t="s">
        <v>135</v>
      </c>
      <c r="C1381" s="2" t="s">
        <v>36</v>
      </c>
      <c r="D1381" s="3" t="n">
        <v>46250</v>
      </c>
      <c r="E1381" s="2" t="str">
        <f aca="false">TEXT(D1381,"dddd")</f>
        <v>Sunday</v>
      </c>
      <c r="F1381" s="2" t="s">
        <v>460</v>
      </c>
      <c r="G1381" s="2"/>
      <c r="H1381" s="2"/>
      <c r="I1381" s="2" t="n">
        <f aca="false">IF(F1381="Present",9,IF(F1381="Half Day",4,0))</f>
        <v>0</v>
      </c>
      <c r="J1381" s="2"/>
      <c r="K1381" s="2" t="s">
        <v>460</v>
      </c>
    </row>
    <row r="1382" customFormat="false" ht="15" hidden="false" customHeight="false" outlineLevel="0" collapsed="false">
      <c r="A1382" s="2" t="s">
        <v>134</v>
      </c>
      <c r="B1382" s="2" t="s">
        <v>135</v>
      </c>
      <c r="C1382" s="2" t="s">
        <v>36</v>
      </c>
      <c r="D1382" s="3" t="n">
        <v>46251</v>
      </c>
      <c r="E1382" s="2" t="str">
        <f aca="false">TEXT(D1382,"dddd")</f>
        <v>Monday</v>
      </c>
      <c r="F1382" s="2" t="s">
        <v>457</v>
      </c>
      <c r="G1382" s="2" t="s">
        <v>458</v>
      </c>
      <c r="H1382" s="2" t="s">
        <v>459</v>
      </c>
      <c r="I1382" s="2" t="n">
        <f aca="false">IF(F1382="Present",9,IF(F1382="Half Day",4,0))</f>
        <v>9</v>
      </c>
      <c r="J1382" s="2"/>
      <c r="K1382" s="2"/>
    </row>
    <row r="1383" customFormat="false" ht="15" hidden="false" customHeight="false" outlineLevel="0" collapsed="false">
      <c r="A1383" s="2" t="s">
        <v>134</v>
      </c>
      <c r="B1383" s="2" t="s">
        <v>135</v>
      </c>
      <c r="C1383" s="2" t="s">
        <v>36</v>
      </c>
      <c r="D1383" s="3" t="n">
        <v>46252</v>
      </c>
      <c r="E1383" s="2" t="str">
        <f aca="false">TEXT(D1383,"dddd")</f>
        <v>Tuesday</v>
      </c>
      <c r="F1383" s="2" t="s">
        <v>457</v>
      </c>
      <c r="G1383" s="2" t="s">
        <v>458</v>
      </c>
      <c r="H1383" s="2" t="s">
        <v>459</v>
      </c>
      <c r="I1383" s="2" t="n">
        <f aca="false">IF(F1383="Present",9,IF(F1383="Half Day",4,0))</f>
        <v>9</v>
      </c>
      <c r="J1383" s="2"/>
      <c r="K1383" s="2"/>
    </row>
    <row r="1384" customFormat="false" ht="15" hidden="false" customHeight="false" outlineLevel="0" collapsed="false">
      <c r="A1384" s="2" t="s">
        <v>134</v>
      </c>
      <c r="B1384" s="2" t="s">
        <v>135</v>
      </c>
      <c r="C1384" s="2" t="s">
        <v>36</v>
      </c>
      <c r="D1384" s="3" t="n">
        <v>46253</v>
      </c>
      <c r="E1384" s="2" t="str">
        <f aca="false">TEXT(D1384,"dddd")</f>
        <v>Wednesday</v>
      </c>
      <c r="F1384" s="2" t="s">
        <v>457</v>
      </c>
      <c r="G1384" s="2" t="s">
        <v>458</v>
      </c>
      <c r="H1384" s="2" t="s">
        <v>459</v>
      </c>
      <c r="I1384" s="2" t="n">
        <f aca="false">IF(F1384="Present",9,IF(F1384="Half Day",4,0))</f>
        <v>9</v>
      </c>
      <c r="J1384" s="2"/>
      <c r="K1384" s="2"/>
    </row>
    <row r="1385" customFormat="false" ht="15" hidden="false" customHeight="false" outlineLevel="0" collapsed="false">
      <c r="A1385" s="2" t="s">
        <v>134</v>
      </c>
      <c r="B1385" s="2" t="s">
        <v>135</v>
      </c>
      <c r="C1385" s="2" t="s">
        <v>36</v>
      </c>
      <c r="D1385" s="3" t="n">
        <v>46254</v>
      </c>
      <c r="E1385" s="2" t="str">
        <f aca="false">TEXT(D1385,"dddd")</f>
        <v>Thursday</v>
      </c>
      <c r="F1385" s="2" t="s">
        <v>457</v>
      </c>
      <c r="G1385" s="2" t="s">
        <v>458</v>
      </c>
      <c r="H1385" s="2" t="s">
        <v>459</v>
      </c>
      <c r="I1385" s="2" t="n">
        <f aca="false">IF(F1385="Present",9,IF(F1385="Half Day",4,0))</f>
        <v>9</v>
      </c>
      <c r="J1385" s="2"/>
      <c r="K1385" s="2"/>
    </row>
    <row r="1386" customFormat="false" ht="15" hidden="false" customHeight="false" outlineLevel="0" collapsed="false">
      <c r="A1386" s="2" t="s">
        <v>134</v>
      </c>
      <c r="B1386" s="2" t="s">
        <v>135</v>
      </c>
      <c r="C1386" s="2" t="s">
        <v>36</v>
      </c>
      <c r="D1386" s="3" t="n">
        <v>46255</v>
      </c>
      <c r="E1386" s="2" t="str">
        <f aca="false">TEXT(D1386,"dddd")</f>
        <v>Friday</v>
      </c>
      <c r="F1386" s="2" t="s">
        <v>457</v>
      </c>
      <c r="G1386" s="2" t="s">
        <v>458</v>
      </c>
      <c r="H1386" s="2" t="s">
        <v>459</v>
      </c>
      <c r="I1386" s="2" t="n">
        <f aca="false">IF(F1386="Present",9,IF(F1386="Half Day",4,0))</f>
        <v>9</v>
      </c>
      <c r="J1386" s="2"/>
      <c r="K1386" s="2"/>
    </row>
    <row r="1387" customFormat="false" ht="15" hidden="false" customHeight="false" outlineLevel="0" collapsed="false">
      <c r="A1387" s="2" t="s">
        <v>134</v>
      </c>
      <c r="B1387" s="2" t="s">
        <v>135</v>
      </c>
      <c r="C1387" s="2" t="s">
        <v>36</v>
      </c>
      <c r="D1387" s="3" t="n">
        <v>46256</v>
      </c>
      <c r="E1387" s="2" t="str">
        <f aca="false">TEXT(D1387,"dddd")</f>
        <v>Saturday</v>
      </c>
      <c r="F1387" s="2" t="s">
        <v>457</v>
      </c>
      <c r="G1387" s="2" t="s">
        <v>458</v>
      </c>
      <c r="H1387" s="2" t="s">
        <v>459</v>
      </c>
      <c r="I1387" s="2" t="n">
        <f aca="false">IF(F1387="Present",9,IF(F1387="Half Day",4,0))</f>
        <v>9</v>
      </c>
      <c r="J1387" s="2"/>
      <c r="K1387" s="2"/>
    </row>
    <row r="1388" customFormat="false" ht="15" hidden="false" customHeight="false" outlineLevel="0" collapsed="false">
      <c r="A1388" s="2" t="s">
        <v>134</v>
      </c>
      <c r="B1388" s="2" t="s">
        <v>135</v>
      </c>
      <c r="C1388" s="2" t="s">
        <v>36</v>
      </c>
      <c r="D1388" s="3" t="n">
        <v>46257</v>
      </c>
      <c r="E1388" s="2" t="str">
        <f aca="false">TEXT(D1388,"dddd")</f>
        <v>Sunday</v>
      </c>
      <c r="F1388" s="2" t="s">
        <v>460</v>
      </c>
      <c r="G1388" s="2"/>
      <c r="H1388" s="2"/>
      <c r="I1388" s="2" t="n">
        <f aca="false">IF(F1388="Present",9,IF(F1388="Half Day",4,0))</f>
        <v>0</v>
      </c>
      <c r="J1388" s="2"/>
      <c r="K1388" s="2" t="s">
        <v>460</v>
      </c>
    </row>
    <row r="1389" customFormat="false" ht="15" hidden="false" customHeight="false" outlineLevel="0" collapsed="false">
      <c r="A1389" s="2" t="s">
        <v>134</v>
      </c>
      <c r="B1389" s="2" t="s">
        <v>135</v>
      </c>
      <c r="C1389" s="2" t="s">
        <v>36</v>
      </c>
      <c r="D1389" s="3" t="n">
        <v>46258</v>
      </c>
      <c r="E1389" s="2" t="str">
        <f aca="false">TEXT(D1389,"dddd")</f>
        <v>Monday</v>
      </c>
      <c r="F1389" s="2" t="s">
        <v>457</v>
      </c>
      <c r="G1389" s="2" t="s">
        <v>458</v>
      </c>
      <c r="H1389" s="2" t="s">
        <v>459</v>
      </c>
      <c r="I1389" s="2" t="n">
        <f aca="false">IF(F1389="Present",9,IF(F1389="Half Day",4,0))</f>
        <v>9</v>
      </c>
      <c r="J1389" s="2"/>
      <c r="K1389" s="2"/>
    </row>
    <row r="1390" customFormat="false" ht="15" hidden="false" customHeight="false" outlineLevel="0" collapsed="false">
      <c r="A1390" s="2" t="s">
        <v>134</v>
      </c>
      <c r="B1390" s="2" t="s">
        <v>135</v>
      </c>
      <c r="C1390" s="2" t="s">
        <v>36</v>
      </c>
      <c r="D1390" s="3" t="n">
        <v>46259</v>
      </c>
      <c r="E1390" s="2" t="str">
        <f aca="false">TEXT(D1390,"dddd")</f>
        <v>Tuesday</v>
      </c>
      <c r="F1390" s="2" t="s">
        <v>457</v>
      </c>
      <c r="G1390" s="2" t="s">
        <v>458</v>
      </c>
      <c r="H1390" s="2" t="s">
        <v>459</v>
      </c>
      <c r="I1390" s="2" t="n">
        <f aca="false">IF(F1390="Present",9,IF(F1390="Half Day",4,0))</f>
        <v>9</v>
      </c>
      <c r="J1390" s="2"/>
      <c r="K1390" s="2"/>
    </row>
    <row r="1391" customFormat="false" ht="15" hidden="false" customHeight="false" outlineLevel="0" collapsed="false">
      <c r="A1391" s="2" t="s">
        <v>134</v>
      </c>
      <c r="B1391" s="2" t="s">
        <v>135</v>
      </c>
      <c r="C1391" s="2" t="s">
        <v>36</v>
      </c>
      <c r="D1391" s="3" t="n">
        <v>46260</v>
      </c>
      <c r="E1391" s="2" t="str">
        <f aca="false">TEXT(D1391,"dddd")</f>
        <v>Wednesday</v>
      </c>
      <c r="F1391" s="2" t="s">
        <v>457</v>
      </c>
      <c r="G1391" s="2" t="s">
        <v>458</v>
      </c>
      <c r="H1391" s="2" t="s">
        <v>459</v>
      </c>
      <c r="I1391" s="2" t="n">
        <f aca="false">IF(F1391="Present",9,IF(F1391="Half Day",4,0))</f>
        <v>9</v>
      </c>
      <c r="J1391" s="2"/>
      <c r="K1391" s="2"/>
    </row>
    <row r="1392" customFormat="false" ht="15" hidden="false" customHeight="false" outlineLevel="0" collapsed="false">
      <c r="A1392" s="2" t="s">
        <v>134</v>
      </c>
      <c r="B1392" s="2" t="s">
        <v>135</v>
      </c>
      <c r="C1392" s="2" t="s">
        <v>36</v>
      </c>
      <c r="D1392" s="3" t="n">
        <v>46261</v>
      </c>
      <c r="E1392" s="2" t="str">
        <f aca="false">TEXT(D1392,"dddd")</f>
        <v>Thursday</v>
      </c>
      <c r="F1392" s="2" t="s">
        <v>463</v>
      </c>
      <c r="G1392" s="2"/>
      <c r="H1392" s="2"/>
      <c r="I1392" s="2" t="n">
        <f aca="false">IF(F1392="Present",9,IF(F1392="Half Day",4,0))</f>
        <v>0</v>
      </c>
      <c r="J1392" s="2" t="s">
        <v>468</v>
      </c>
      <c r="K1392" s="2" t="s">
        <v>469</v>
      </c>
    </row>
    <row r="1393" customFormat="false" ht="15" hidden="false" customHeight="false" outlineLevel="0" collapsed="false">
      <c r="A1393" s="2" t="s">
        <v>134</v>
      </c>
      <c r="B1393" s="2" t="s">
        <v>135</v>
      </c>
      <c r="C1393" s="2" t="s">
        <v>36</v>
      </c>
      <c r="D1393" s="3" t="n">
        <v>46262</v>
      </c>
      <c r="E1393" s="2" t="str">
        <f aca="false">TEXT(D1393,"dddd")</f>
        <v>Friday</v>
      </c>
      <c r="F1393" s="2" t="s">
        <v>457</v>
      </c>
      <c r="G1393" s="2" t="s">
        <v>458</v>
      </c>
      <c r="H1393" s="2" t="s">
        <v>459</v>
      </c>
      <c r="I1393" s="2" t="n">
        <f aca="false">IF(F1393="Present",9,IF(F1393="Half Day",4,0))</f>
        <v>9</v>
      </c>
      <c r="J1393" s="2"/>
      <c r="K1393" s="2"/>
    </row>
    <row r="1394" customFormat="false" ht="15" hidden="false" customHeight="false" outlineLevel="0" collapsed="false">
      <c r="A1394" s="2" t="s">
        <v>134</v>
      </c>
      <c r="B1394" s="2" t="s">
        <v>135</v>
      </c>
      <c r="C1394" s="2" t="s">
        <v>36</v>
      </c>
      <c r="D1394" s="3" t="n">
        <v>46263</v>
      </c>
      <c r="E1394" s="2" t="str">
        <f aca="false">TEXT(D1394,"dddd")</f>
        <v>Saturday</v>
      </c>
      <c r="F1394" s="2" t="s">
        <v>457</v>
      </c>
      <c r="G1394" s="2" t="s">
        <v>458</v>
      </c>
      <c r="H1394" s="2" t="s">
        <v>459</v>
      </c>
      <c r="I1394" s="2" t="n">
        <f aca="false">IF(F1394="Present",9,IF(F1394="Half Day",4,0))</f>
        <v>9</v>
      </c>
      <c r="J1394" s="2"/>
      <c r="K1394" s="2"/>
    </row>
    <row r="1395" customFormat="false" ht="15" hidden="false" customHeight="false" outlineLevel="0" collapsed="false">
      <c r="A1395" s="2" t="s">
        <v>134</v>
      </c>
      <c r="B1395" s="2" t="s">
        <v>135</v>
      </c>
      <c r="C1395" s="2" t="s">
        <v>36</v>
      </c>
      <c r="D1395" s="3" t="n">
        <v>46264</v>
      </c>
      <c r="E1395" s="2" t="str">
        <f aca="false">TEXT(D1395,"dddd")</f>
        <v>Sunday</v>
      </c>
      <c r="F1395" s="2" t="s">
        <v>460</v>
      </c>
      <c r="G1395" s="2"/>
      <c r="H1395" s="2"/>
      <c r="I1395" s="2" t="n">
        <f aca="false">IF(F1395="Present",9,IF(F1395="Half Day",4,0))</f>
        <v>0</v>
      </c>
      <c r="J1395" s="2"/>
      <c r="K1395" s="2" t="s">
        <v>460</v>
      </c>
    </row>
    <row r="1396" customFormat="false" ht="15" hidden="false" customHeight="false" outlineLevel="0" collapsed="false">
      <c r="A1396" s="2" t="s">
        <v>134</v>
      </c>
      <c r="B1396" s="2" t="s">
        <v>135</v>
      </c>
      <c r="C1396" s="2" t="s">
        <v>36</v>
      </c>
      <c r="D1396" s="3" t="n">
        <v>46265</v>
      </c>
      <c r="E1396" s="2" t="str">
        <f aca="false">TEXT(D1396,"dddd")</f>
        <v>Monday</v>
      </c>
      <c r="F1396" s="2" t="s">
        <v>457</v>
      </c>
      <c r="G1396" s="2" t="s">
        <v>458</v>
      </c>
      <c r="H1396" s="2" t="s">
        <v>459</v>
      </c>
      <c r="I1396" s="2" t="n">
        <f aca="false">IF(F1396="Present",9,IF(F1396="Half Day",4,0))</f>
        <v>9</v>
      </c>
      <c r="J1396" s="2"/>
      <c r="K1396" s="2"/>
    </row>
    <row r="1397" customFormat="false" ht="15" hidden="false" customHeight="false" outlineLevel="0" collapsed="false">
      <c r="A1397" s="2" t="s">
        <v>136</v>
      </c>
      <c r="B1397" s="2" t="s">
        <v>137</v>
      </c>
      <c r="C1397" s="2" t="s">
        <v>41</v>
      </c>
      <c r="D1397" s="3" t="n">
        <v>46235</v>
      </c>
      <c r="E1397" s="2" t="str">
        <f aca="false">TEXT(D1397,"dddd")</f>
        <v>Saturday</v>
      </c>
      <c r="F1397" s="2" t="s">
        <v>466</v>
      </c>
      <c r="G1397" s="2" t="s">
        <v>458</v>
      </c>
      <c r="H1397" s="2" t="s">
        <v>467</v>
      </c>
      <c r="I1397" s="2" t="n">
        <f aca="false">IF(F1397="Present",9,IF(F1397="Half Day",4,0))</f>
        <v>4</v>
      </c>
      <c r="J1397" s="2"/>
      <c r="K1397" s="2" t="s">
        <v>466</v>
      </c>
    </row>
    <row r="1398" customFormat="false" ht="15" hidden="false" customHeight="false" outlineLevel="0" collapsed="false">
      <c r="A1398" s="2" t="s">
        <v>136</v>
      </c>
      <c r="B1398" s="2" t="s">
        <v>137</v>
      </c>
      <c r="C1398" s="2" t="s">
        <v>41</v>
      </c>
      <c r="D1398" s="3" t="n">
        <v>46236</v>
      </c>
      <c r="E1398" s="2" t="str">
        <f aca="false">TEXT(D1398,"dddd")</f>
        <v>Sunday</v>
      </c>
      <c r="F1398" s="2" t="s">
        <v>460</v>
      </c>
      <c r="G1398" s="2"/>
      <c r="H1398" s="2"/>
      <c r="I1398" s="2" t="n">
        <f aca="false">IF(F1398="Present",9,IF(F1398="Half Day",4,0))</f>
        <v>0</v>
      </c>
      <c r="J1398" s="2"/>
      <c r="K1398" s="2" t="s">
        <v>460</v>
      </c>
    </row>
    <row r="1399" customFormat="false" ht="15" hidden="false" customHeight="false" outlineLevel="0" collapsed="false">
      <c r="A1399" s="2" t="s">
        <v>136</v>
      </c>
      <c r="B1399" s="2" t="s">
        <v>137</v>
      </c>
      <c r="C1399" s="2" t="s">
        <v>41</v>
      </c>
      <c r="D1399" s="3" t="n">
        <v>46237</v>
      </c>
      <c r="E1399" s="2" t="str">
        <f aca="false">TEXT(D1399,"dddd")</f>
        <v>Monday</v>
      </c>
      <c r="F1399" s="2" t="s">
        <v>457</v>
      </c>
      <c r="G1399" s="2" t="s">
        <v>458</v>
      </c>
      <c r="H1399" s="2" t="s">
        <v>459</v>
      </c>
      <c r="I1399" s="2" t="n">
        <f aca="false">IF(F1399="Present",9,IF(F1399="Half Day",4,0))</f>
        <v>9</v>
      </c>
      <c r="J1399" s="2"/>
      <c r="K1399" s="2"/>
    </row>
    <row r="1400" customFormat="false" ht="15" hidden="false" customHeight="false" outlineLevel="0" collapsed="false">
      <c r="A1400" s="2" t="s">
        <v>136</v>
      </c>
      <c r="B1400" s="2" t="s">
        <v>137</v>
      </c>
      <c r="C1400" s="2" t="s">
        <v>41</v>
      </c>
      <c r="D1400" s="3" t="n">
        <v>46238</v>
      </c>
      <c r="E1400" s="2" t="str">
        <f aca="false">TEXT(D1400,"dddd")</f>
        <v>Tuesday</v>
      </c>
      <c r="F1400" s="2" t="s">
        <v>457</v>
      </c>
      <c r="G1400" s="2" t="s">
        <v>458</v>
      </c>
      <c r="H1400" s="2" t="s">
        <v>459</v>
      </c>
      <c r="I1400" s="2" t="n">
        <f aca="false">IF(F1400="Present",9,IF(F1400="Half Day",4,0))</f>
        <v>9</v>
      </c>
      <c r="J1400" s="2"/>
      <c r="K1400" s="2"/>
    </row>
    <row r="1401" customFormat="false" ht="15" hidden="false" customHeight="false" outlineLevel="0" collapsed="false">
      <c r="A1401" s="2" t="s">
        <v>136</v>
      </c>
      <c r="B1401" s="2" t="s">
        <v>137</v>
      </c>
      <c r="C1401" s="2" t="s">
        <v>41</v>
      </c>
      <c r="D1401" s="3" t="n">
        <v>46239</v>
      </c>
      <c r="E1401" s="2" t="str">
        <f aca="false">TEXT(D1401,"dddd")</f>
        <v>Wednesday</v>
      </c>
      <c r="F1401" s="2" t="s">
        <v>457</v>
      </c>
      <c r="G1401" s="2" t="s">
        <v>458</v>
      </c>
      <c r="H1401" s="2" t="s">
        <v>459</v>
      </c>
      <c r="I1401" s="2" t="n">
        <f aca="false">IF(F1401="Present",9,IF(F1401="Half Day",4,0))</f>
        <v>9</v>
      </c>
      <c r="J1401" s="2"/>
      <c r="K1401" s="2"/>
    </row>
    <row r="1402" customFormat="false" ht="15" hidden="false" customHeight="false" outlineLevel="0" collapsed="false">
      <c r="A1402" s="2" t="s">
        <v>136</v>
      </c>
      <c r="B1402" s="2" t="s">
        <v>137</v>
      </c>
      <c r="C1402" s="2" t="s">
        <v>41</v>
      </c>
      <c r="D1402" s="3" t="n">
        <v>46240</v>
      </c>
      <c r="E1402" s="2" t="str">
        <f aca="false">TEXT(D1402,"dddd")</f>
        <v>Thursday</v>
      </c>
      <c r="F1402" s="2" t="s">
        <v>457</v>
      </c>
      <c r="G1402" s="2" t="s">
        <v>458</v>
      </c>
      <c r="H1402" s="2" t="s">
        <v>459</v>
      </c>
      <c r="I1402" s="2" t="n">
        <f aca="false">IF(F1402="Present",9,IF(F1402="Half Day",4,0))</f>
        <v>9</v>
      </c>
      <c r="J1402" s="2"/>
      <c r="K1402" s="2"/>
    </row>
    <row r="1403" customFormat="false" ht="15" hidden="false" customHeight="false" outlineLevel="0" collapsed="false">
      <c r="A1403" s="2" t="s">
        <v>136</v>
      </c>
      <c r="B1403" s="2" t="s">
        <v>137</v>
      </c>
      <c r="C1403" s="2" t="s">
        <v>41</v>
      </c>
      <c r="D1403" s="3" t="n">
        <v>46241</v>
      </c>
      <c r="E1403" s="2" t="str">
        <f aca="false">TEXT(D1403,"dddd")</f>
        <v>Friday</v>
      </c>
      <c r="F1403" s="2" t="s">
        <v>457</v>
      </c>
      <c r="G1403" s="2" t="s">
        <v>458</v>
      </c>
      <c r="H1403" s="2" t="s">
        <v>459</v>
      </c>
      <c r="I1403" s="2" t="n">
        <f aca="false">IF(F1403="Present",9,IF(F1403="Half Day",4,0))</f>
        <v>9</v>
      </c>
      <c r="J1403" s="2"/>
      <c r="K1403" s="2"/>
    </row>
    <row r="1404" customFormat="false" ht="15" hidden="false" customHeight="false" outlineLevel="0" collapsed="false">
      <c r="A1404" s="2" t="s">
        <v>136</v>
      </c>
      <c r="B1404" s="2" t="s">
        <v>137</v>
      </c>
      <c r="C1404" s="2" t="s">
        <v>41</v>
      </c>
      <c r="D1404" s="3" t="n">
        <v>46242</v>
      </c>
      <c r="E1404" s="2" t="str">
        <f aca="false">TEXT(D1404,"dddd")</f>
        <v>Saturday</v>
      </c>
      <c r="F1404" s="2" t="s">
        <v>457</v>
      </c>
      <c r="G1404" s="2" t="s">
        <v>458</v>
      </c>
      <c r="H1404" s="2" t="s">
        <v>459</v>
      </c>
      <c r="I1404" s="2" t="n">
        <f aca="false">IF(F1404="Present",9,IF(F1404="Half Day",4,0))</f>
        <v>9</v>
      </c>
      <c r="J1404" s="2"/>
      <c r="K1404" s="2"/>
    </row>
    <row r="1405" customFormat="false" ht="15" hidden="false" customHeight="false" outlineLevel="0" collapsed="false">
      <c r="A1405" s="2" t="s">
        <v>136</v>
      </c>
      <c r="B1405" s="2" t="s">
        <v>137</v>
      </c>
      <c r="C1405" s="2" t="s">
        <v>41</v>
      </c>
      <c r="D1405" s="3" t="n">
        <v>46243</v>
      </c>
      <c r="E1405" s="2" t="str">
        <f aca="false">TEXT(D1405,"dddd")</f>
        <v>Sunday</v>
      </c>
      <c r="F1405" s="2" t="s">
        <v>460</v>
      </c>
      <c r="G1405" s="2"/>
      <c r="H1405" s="2"/>
      <c r="I1405" s="2" t="n">
        <f aca="false">IF(F1405="Present",9,IF(F1405="Half Day",4,0))</f>
        <v>0</v>
      </c>
      <c r="J1405" s="2"/>
      <c r="K1405" s="2" t="s">
        <v>460</v>
      </c>
    </row>
    <row r="1406" customFormat="false" ht="15" hidden="false" customHeight="false" outlineLevel="0" collapsed="false">
      <c r="A1406" s="2" t="s">
        <v>136</v>
      </c>
      <c r="B1406" s="2" t="s">
        <v>137</v>
      </c>
      <c r="C1406" s="2" t="s">
        <v>41</v>
      </c>
      <c r="D1406" s="3" t="n">
        <v>46244</v>
      </c>
      <c r="E1406" s="2" t="str">
        <f aca="false">TEXT(D1406,"dddd")</f>
        <v>Monday</v>
      </c>
      <c r="F1406" s="2" t="s">
        <v>457</v>
      </c>
      <c r="G1406" s="2" t="s">
        <v>458</v>
      </c>
      <c r="H1406" s="2" t="s">
        <v>459</v>
      </c>
      <c r="I1406" s="2" t="n">
        <f aca="false">IF(F1406="Present",9,IF(F1406="Half Day",4,0))</f>
        <v>9</v>
      </c>
      <c r="J1406" s="2"/>
      <c r="K1406" s="2"/>
    </row>
    <row r="1407" customFormat="false" ht="15" hidden="false" customHeight="false" outlineLevel="0" collapsed="false">
      <c r="A1407" s="2" t="s">
        <v>136</v>
      </c>
      <c r="B1407" s="2" t="s">
        <v>137</v>
      </c>
      <c r="C1407" s="2" t="s">
        <v>41</v>
      </c>
      <c r="D1407" s="3" t="n">
        <v>46245</v>
      </c>
      <c r="E1407" s="2" t="str">
        <f aca="false">TEXT(D1407,"dddd")</f>
        <v>Tuesday</v>
      </c>
      <c r="F1407" s="2" t="s">
        <v>457</v>
      </c>
      <c r="G1407" s="2" t="s">
        <v>458</v>
      </c>
      <c r="H1407" s="2" t="s">
        <v>459</v>
      </c>
      <c r="I1407" s="2" t="n">
        <f aca="false">IF(F1407="Present",9,IF(F1407="Half Day",4,0))</f>
        <v>9</v>
      </c>
      <c r="J1407" s="2"/>
      <c r="K1407" s="2"/>
    </row>
    <row r="1408" customFormat="false" ht="15" hidden="false" customHeight="false" outlineLevel="0" collapsed="false">
      <c r="A1408" s="2" t="s">
        <v>136</v>
      </c>
      <c r="B1408" s="2" t="s">
        <v>137</v>
      </c>
      <c r="C1408" s="2" t="s">
        <v>41</v>
      </c>
      <c r="D1408" s="3" t="n">
        <v>46246</v>
      </c>
      <c r="E1408" s="2" t="str">
        <f aca="false">TEXT(D1408,"dddd")</f>
        <v>Wednesday</v>
      </c>
      <c r="F1408" s="2" t="s">
        <v>457</v>
      </c>
      <c r="G1408" s="2" t="s">
        <v>458</v>
      </c>
      <c r="H1408" s="2" t="s">
        <v>459</v>
      </c>
      <c r="I1408" s="2" t="n">
        <f aca="false">IF(F1408="Present",9,IF(F1408="Half Day",4,0))</f>
        <v>9</v>
      </c>
      <c r="J1408" s="2"/>
      <c r="K1408" s="2"/>
    </row>
    <row r="1409" customFormat="false" ht="15" hidden="false" customHeight="false" outlineLevel="0" collapsed="false">
      <c r="A1409" s="2" t="s">
        <v>136</v>
      </c>
      <c r="B1409" s="2" t="s">
        <v>137</v>
      </c>
      <c r="C1409" s="2" t="s">
        <v>41</v>
      </c>
      <c r="D1409" s="3" t="n">
        <v>46247</v>
      </c>
      <c r="E1409" s="2" t="str">
        <f aca="false">TEXT(D1409,"dddd")</f>
        <v>Thursday</v>
      </c>
      <c r="F1409" s="2" t="s">
        <v>457</v>
      </c>
      <c r="G1409" s="2" t="s">
        <v>458</v>
      </c>
      <c r="H1409" s="2" t="s">
        <v>459</v>
      </c>
      <c r="I1409" s="2" t="n">
        <f aca="false">IF(F1409="Present",9,IF(F1409="Half Day",4,0))</f>
        <v>9</v>
      </c>
      <c r="J1409" s="2"/>
      <c r="K1409" s="2"/>
    </row>
    <row r="1410" customFormat="false" ht="15" hidden="false" customHeight="false" outlineLevel="0" collapsed="false">
      <c r="A1410" s="2" t="s">
        <v>136</v>
      </c>
      <c r="B1410" s="2" t="s">
        <v>137</v>
      </c>
      <c r="C1410" s="2" t="s">
        <v>41</v>
      </c>
      <c r="D1410" s="3" t="n">
        <v>46248</v>
      </c>
      <c r="E1410" s="2" t="str">
        <f aca="false">TEXT(D1410,"dddd")</f>
        <v>Friday</v>
      </c>
      <c r="F1410" s="2" t="s">
        <v>457</v>
      </c>
      <c r="G1410" s="2" t="s">
        <v>458</v>
      </c>
      <c r="H1410" s="2" t="s">
        <v>459</v>
      </c>
      <c r="I1410" s="2" t="n">
        <f aca="false">IF(F1410="Present",9,IF(F1410="Half Day",4,0))</f>
        <v>9</v>
      </c>
      <c r="J1410" s="2"/>
      <c r="K1410" s="2"/>
    </row>
    <row r="1411" customFormat="false" ht="15" hidden="false" customHeight="false" outlineLevel="0" collapsed="false">
      <c r="A1411" s="2" t="s">
        <v>136</v>
      </c>
      <c r="B1411" s="2" t="s">
        <v>137</v>
      </c>
      <c r="C1411" s="2" t="s">
        <v>41</v>
      </c>
      <c r="D1411" s="3" t="n">
        <v>46249</v>
      </c>
      <c r="E1411" s="2" t="str">
        <f aca="false">TEXT(D1411,"dddd")</f>
        <v>Saturday</v>
      </c>
      <c r="F1411" s="2" t="s">
        <v>457</v>
      </c>
      <c r="G1411" s="2" t="s">
        <v>458</v>
      </c>
      <c r="H1411" s="2" t="s">
        <v>459</v>
      </c>
      <c r="I1411" s="2" t="n">
        <f aca="false">IF(F1411="Present",9,IF(F1411="Half Day",4,0))</f>
        <v>9</v>
      </c>
      <c r="J1411" s="2"/>
      <c r="K1411" s="2"/>
    </row>
    <row r="1412" customFormat="false" ht="15" hidden="false" customHeight="false" outlineLevel="0" collapsed="false">
      <c r="A1412" s="2" t="s">
        <v>136</v>
      </c>
      <c r="B1412" s="2" t="s">
        <v>137</v>
      </c>
      <c r="C1412" s="2" t="s">
        <v>41</v>
      </c>
      <c r="D1412" s="3" t="n">
        <v>46250</v>
      </c>
      <c r="E1412" s="2" t="str">
        <f aca="false">TEXT(D1412,"dddd")</f>
        <v>Sunday</v>
      </c>
      <c r="F1412" s="2" t="s">
        <v>460</v>
      </c>
      <c r="G1412" s="2"/>
      <c r="H1412" s="2"/>
      <c r="I1412" s="2" t="n">
        <f aca="false">IF(F1412="Present",9,IF(F1412="Half Day",4,0))</f>
        <v>0</v>
      </c>
      <c r="J1412" s="2"/>
      <c r="K1412" s="2" t="s">
        <v>460</v>
      </c>
    </row>
    <row r="1413" customFormat="false" ht="15" hidden="false" customHeight="false" outlineLevel="0" collapsed="false">
      <c r="A1413" s="2" t="s">
        <v>136</v>
      </c>
      <c r="B1413" s="2" t="s">
        <v>137</v>
      </c>
      <c r="C1413" s="2" t="s">
        <v>41</v>
      </c>
      <c r="D1413" s="3" t="n">
        <v>46251</v>
      </c>
      <c r="E1413" s="2" t="str">
        <f aca="false">TEXT(D1413,"dddd")</f>
        <v>Monday</v>
      </c>
      <c r="F1413" s="2" t="s">
        <v>466</v>
      </c>
      <c r="G1413" s="2" t="s">
        <v>458</v>
      </c>
      <c r="H1413" s="2" t="s">
        <v>467</v>
      </c>
      <c r="I1413" s="2" t="n">
        <f aca="false">IF(F1413="Present",9,IF(F1413="Half Day",4,0))</f>
        <v>4</v>
      </c>
      <c r="J1413" s="2"/>
      <c r="K1413" s="2" t="s">
        <v>466</v>
      </c>
    </row>
    <row r="1414" customFormat="false" ht="15" hidden="false" customHeight="false" outlineLevel="0" collapsed="false">
      <c r="A1414" s="2" t="s">
        <v>136</v>
      </c>
      <c r="B1414" s="2" t="s">
        <v>137</v>
      </c>
      <c r="C1414" s="2" t="s">
        <v>41</v>
      </c>
      <c r="D1414" s="3" t="n">
        <v>46252</v>
      </c>
      <c r="E1414" s="2" t="str">
        <f aca="false">TEXT(D1414,"dddd")</f>
        <v>Tuesday</v>
      </c>
      <c r="F1414" s="2" t="s">
        <v>457</v>
      </c>
      <c r="G1414" s="2" t="s">
        <v>458</v>
      </c>
      <c r="H1414" s="2" t="s">
        <v>459</v>
      </c>
      <c r="I1414" s="2" t="n">
        <f aca="false">IF(F1414="Present",9,IF(F1414="Half Day",4,0))</f>
        <v>9</v>
      </c>
      <c r="J1414" s="2"/>
      <c r="K1414" s="2"/>
    </row>
    <row r="1415" customFormat="false" ht="15" hidden="false" customHeight="false" outlineLevel="0" collapsed="false">
      <c r="A1415" s="2" t="s">
        <v>136</v>
      </c>
      <c r="B1415" s="2" t="s">
        <v>137</v>
      </c>
      <c r="C1415" s="2" t="s">
        <v>41</v>
      </c>
      <c r="D1415" s="3" t="n">
        <v>46253</v>
      </c>
      <c r="E1415" s="2" t="str">
        <f aca="false">TEXT(D1415,"dddd")</f>
        <v>Wednesday</v>
      </c>
      <c r="F1415" s="2" t="s">
        <v>457</v>
      </c>
      <c r="G1415" s="2" t="s">
        <v>458</v>
      </c>
      <c r="H1415" s="2" t="s">
        <v>459</v>
      </c>
      <c r="I1415" s="2" t="n">
        <f aca="false">IF(F1415="Present",9,IF(F1415="Half Day",4,0))</f>
        <v>9</v>
      </c>
      <c r="J1415" s="2"/>
      <c r="K1415" s="2"/>
    </row>
    <row r="1416" customFormat="false" ht="15" hidden="false" customHeight="false" outlineLevel="0" collapsed="false">
      <c r="A1416" s="2" t="s">
        <v>136</v>
      </c>
      <c r="B1416" s="2" t="s">
        <v>137</v>
      </c>
      <c r="C1416" s="2" t="s">
        <v>41</v>
      </c>
      <c r="D1416" s="3" t="n">
        <v>46254</v>
      </c>
      <c r="E1416" s="2" t="str">
        <f aca="false">TEXT(D1416,"dddd")</f>
        <v>Thursday</v>
      </c>
      <c r="F1416" s="2" t="s">
        <v>457</v>
      </c>
      <c r="G1416" s="2" t="s">
        <v>458</v>
      </c>
      <c r="H1416" s="2" t="s">
        <v>459</v>
      </c>
      <c r="I1416" s="2" t="n">
        <f aca="false">IF(F1416="Present",9,IF(F1416="Half Day",4,0))</f>
        <v>9</v>
      </c>
      <c r="J1416" s="2"/>
      <c r="K1416" s="2"/>
    </row>
    <row r="1417" customFormat="false" ht="15" hidden="false" customHeight="false" outlineLevel="0" collapsed="false">
      <c r="A1417" s="2" t="s">
        <v>136</v>
      </c>
      <c r="B1417" s="2" t="s">
        <v>137</v>
      </c>
      <c r="C1417" s="2" t="s">
        <v>41</v>
      </c>
      <c r="D1417" s="3" t="n">
        <v>46255</v>
      </c>
      <c r="E1417" s="2" t="str">
        <f aca="false">TEXT(D1417,"dddd")</f>
        <v>Friday</v>
      </c>
      <c r="F1417" s="2" t="s">
        <v>457</v>
      </c>
      <c r="G1417" s="2" t="s">
        <v>458</v>
      </c>
      <c r="H1417" s="2" t="s">
        <v>459</v>
      </c>
      <c r="I1417" s="2" t="n">
        <f aca="false">IF(F1417="Present",9,IF(F1417="Half Day",4,0))</f>
        <v>9</v>
      </c>
      <c r="J1417" s="2"/>
      <c r="K1417" s="2"/>
    </row>
    <row r="1418" customFormat="false" ht="15" hidden="false" customHeight="false" outlineLevel="0" collapsed="false">
      <c r="A1418" s="2" t="s">
        <v>136</v>
      </c>
      <c r="B1418" s="2" t="s">
        <v>137</v>
      </c>
      <c r="C1418" s="2" t="s">
        <v>41</v>
      </c>
      <c r="D1418" s="3" t="n">
        <v>46256</v>
      </c>
      <c r="E1418" s="2" t="str">
        <f aca="false">TEXT(D1418,"dddd")</f>
        <v>Saturday</v>
      </c>
      <c r="F1418" s="2" t="s">
        <v>457</v>
      </c>
      <c r="G1418" s="2" t="s">
        <v>458</v>
      </c>
      <c r="H1418" s="2" t="s">
        <v>459</v>
      </c>
      <c r="I1418" s="2" t="n">
        <f aca="false">IF(F1418="Present",9,IF(F1418="Half Day",4,0))</f>
        <v>9</v>
      </c>
      <c r="J1418" s="2"/>
      <c r="K1418" s="2"/>
    </row>
    <row r="1419" customFormat="false" ht="15" hidden="false" customHeight="false" outlineLevel="0" collapsed="false">
      <c r="A1419" s="2" t="s">
        <v>136</v>
      </c>
      <c r="B1419" s="2" t="s">
        <v>137</v>
      </c>
      <c r="C1419" s="2" t="s">
        <v>41</v>
      </c>
      <c r="D1419" s="3" t="n">
        <v>46257</v>
      </c>
      <c r="E1419" s="2" t="str">
        <f aca="false">TEXT(D1419,"dddd")</f>
        <v>Sunday</v>
      </c>
      <c r="F1419" s="2" t="s">
        <v>460</v>
      </c>
      <c r="G1419" s="2"/>
      <c r="H1419" s="2"/>
      <c r="I1419" s="2" t="n">
        <f aca="false">IF(F1419="Present",9,IF(F1419="Half Day",4,0))</f>
        <v>0</v>
      </c>
      <c r="J1419" s="2"/>
      <c r="K1419" s="2" t="s">
        <v>460</v>
      </c>
    </row>
    <row r="1420" customFormat="false" ht="15" hidden="false" customHeight="false" outlineLevel="0" collapsed="false">
      <c r="A1420" s="2" t="s">
        <v>136</v>
      </c>
      <c r="B1420" s="2" t="s">
        <v>137</v>
      </c>
      <c r="C1420" s="2" t="s">
        <v>41</v>
      </c>
      <c r="D1420" s="3" t="n">
        <v>46258</v>
      </c>
      <c r="E1420" s="2" t="str">
        <f aca="false">TEXT(D1420,"dddd")</f>
        <v>Monday</v>
      </c>
      <c r="F1420" s="2" t="s">
        <v>457</v>
      </c>
      <c r="G1420" s="2" t="s">
        <v>458</v>
      </c>
      <c r="H1420" s="2" t="s">
        <v>459</v>
      </c>
      <c r="I1420" s="2" t="n">
        <f aca="false">IF(F1420="Present",9,IF(F1420="Half Day",4,0))</f>
        <v>9</v>
      </c>
      <c r="J1420" s="2"/>
      <c r="K1420" s="2"/>
    </row>
    <row r="1421" customFormat="false" ht="15" hidden="false" customHeight="false" outlineLevel="0" collapsed="false">
      <c r="A1421" s="2" t="s">
        <v>136</v>
      </c>
      <c r="B1421" s="2" t="s">
        <v>137</v>
      </c>
      <c r="C1421" s="2" t="s">
        <v>41</v>
      </c>
      <c r="D1421" s="3" t="n">
        <v>46259</v>
      </c>
      <c r="E1421" s="2" t="str">
        <f aca="false">TEXT(D1421,"dddd")</f>
        <v>Tuesday</v>
      </c>
      <c r="F1421" s="2" t="s">
        <v>457</v>
      </c>
      <c r="G1421" s="2" t="s">
        <v>458</v>
      </c>
      <c r="H1421" s="2" t="s">
        <v>459</v>
      </c>
      <c r="I1421" s="2" t="n">
        <f aca="false">IF(F1421="Present",9,IF(F1421="Half Day",4,0))</f>
        <v>9</v>
      </c>
      <c r="J1421" s="2"/>
      <c r="K1421" s="2"/>
    </row>
    <row r="1422" customFormat="false" ht="15" hidden="false" customHeight="false" outlineLevel="0" collapsed="false">
      <c r="A1422" s="2" t="s">
        <v>136</v>
      </c>
      <c r="B1422" s="2" t="s">
        <v>137</v>
      </c>
      <c r="C1422" s="2" t="s">
        <v>41</v>
      </c>
      <c r="D1422" s="3" t="n">
        <v>46260</v>
      </c>
      <c r="E1422" s="2" t="str">
        <f aca="false">TEXT(D1422,"dddd")</f>
        <v>Wednesday</v>
      </c>
      <c r="F1422" s="2" t="s">
        <v>457</v>
      </c>
      <c r="G1422" s="2" t="s">
        <v>458</v>
      </c>
      <c r="H1422" s="2" t="s">
        <v>459</v>
      </c>
      <c r="I1422" s="2" t="n">
        <f aca="false">IF(F1422="Present",9,IF(F1422="Half Day",4,0))</f>
        <v>9</v>
      </c>
      <c r="J1422" s="2"/>
      <c r="K1422" s="2"/>
    </row>
    <row r="1423" customFormat="false" ht="15" hidden="false" customHeight="false" outlineLevel="0" collapsed="false">
      <c r="A1423" s="2" t="s">
        <v>136</v>
      </c>
      <c r="B1423" s="2" t="s">
        <v>137</v>
      </c>
      <c r="C1423" s="2" t="s">
        <v>41</v>
      </c>
      <c r="D1423" s="3" t="n">
        <v>46261</v>
      </c>
      <c r="E1423" s="2" t="str">
        <f aca="false">TEXT(D1423,"dddd")</f>
        <v>Thursday</v>
      </c>
      <c r="F1423" s="2" t="s">
        <v>457</v>
      </c>
      <c r="G1423" s="2" t="s">
        <v>458</v>
      </c>
      <c r="H1423" s="2" t="s">
        <v>459</v>
      </c>
      <c r="I1423" s="2" t="n">
        <f aca="false">IF(F1423="Present",9,IF(F1423="Half Day",4,0))</f>
        <v>9</v>
      </c>
      <c r="J1423" s="2"/>
      <c r="K1423" s="2"/>
    </row>
    <row r="1424" customFormat="false" ht="15" hidden="false" customHeight="false" outlineLevel="0" collapsed="false">
      <c r="A1424" s="2" t="s">
        <v>136</v>
      </c>
      <c r="B1424" s="2" t="s">
        <v>137</v>
      </c>
      <c r="C1424" s="2" t="s">
        <v>41</v>
      </c>
      <c r="D1424" s="3" t="n">
        <v>46262</v>
      </c>
      <c r="E1424" s="2" t="str">
        <f aca="false">TEXT(D1424,"dddd")</f>
        <v>Friday</v>
      </c>
      <c r="F1424" s="2" t="s">
        <v>457</v>
      </c>
      <c r="G1424" s="2" t="s">
        <v>458</v>
      </c>
      <c r="H1424" s="2" t="s">
        <v>459</v>
      </c>
      <c r="I1424" s="2" t="n">
        <f aca="false">IF(F1424="Present",9,IF(F1424="Half Day",4,0))</f>
        <v>9</v>
      </c>
      <c r="J1424" s="2"/>
      <c r="K1424" s="2"/>
    </row>
    <row r="1425" customFormat="false" ht="15" hidden="false" customHeight="false" outlineLevel="0" collapsed="false">
      <c r="A1425" s="2" t="s">
        <v>136</v>
      </c>
      <c r="B1425" s="2" t="s">
        <v>137</v>
      </c>
      <c r="C1425" s="2" t="s">
        <v>41</v>
      </c>
      <c r="D1425" s="3" t="n">
        <v>46263</v>
      </c>
      <c r="E1425" s="2" t="str">
        <f aca="false">TEXT(D1425,"dddd")</f>
        <v>Saturday</v>
      </c>
      <c r="F1425" s="2" t="s">
        <v>457</v>
      </c>
      <c r="G1425" s="2" t="s">
        <v>458</v>
      </c>
      <c r="H1425" s="2" t="s">
        <v>459</v>
      </c>
      <c r="I1425" s="2" t="n">
        <f aca="false">IF(F1425="Present",9,IF(F1425="Half Day",4,0))</f>
        <v>9</v>
      </c>
      <c r="J1425" s="2"/>
      <c r="K1425" s="2"/>
    </row>
    <row r="1426" customFormat="false" ht="15" hidden="false" customHeight="false" outlineLevel="0" collapsed="false">
      <c r="A1426" s="2" t="s">
        <v>136</v>
      </c>
      <c r="B1426" s="2" t="s">
        <v>137</v>
      </c>
      <c r="C1426" s="2" t="s">
        <v>41</v>
      </c>
      <c r="D1426" s="3" t="n">
        <v>46264</v>
      </c>
      <c r="E1426" s="2" t="str">
        <f aca="false">TEXT(D1426,"dddd")</f>
        <v>Sunday</v>
      </c>
      <c r="F1426" s="2" t="s">
        <v>460</v>
      </c>
      <c r="G1426" s="2"/>
      <c r="H1426" s="2"/>
      <c r="I1426" s="2" t="n">
        <f aca="false">IF(F1426="Present",9,IF(F1426="Half Day",4,0))</f>
        <v>0</v>
      </c>
      <c r="J1426" s="2"/>
      <c r="K1426" s="2" t="s">
        <v>460</v>
      </c>
    </row>
    <row r="1427" customFormat="false" ht="15" hidden="false" customHeight="false" outlineLevel="0" collapsed="false">
      <c r="A1427" s="2" t="s">
        <v>136</v>
      </c>
      <c r="B1427" s="2" t="s">
        <v>137</v>
      </c>
      <c r="C1427" s="2" t="s">
        <v>41</v>
      </c>
      <c r="D1427" s="3" t="n">
        <v>46265</v>
      </c>
      <c r="E1427" s="2" t="str">
        <f aca="false">TEXT(D1427,"dddd")</f>
        <v>Monday</v>
      </c>
      <c r="F1427" s="2" t="s">
        <v>457</v>
      </c>
      <c r="G1427" s="2" t="s">
        <v>458</v>
      </c>
      <c r="H1427" s="2" t="s">
        <v>459</v>
      </c>
      <c r="I1427" s="2" t="n">
        <f aca="false">IF(F1427="Present",9,IF(F1427="Half Day",4,0))</f>
        <v>9</v>
      </c>
      <c r="J1427" s="2"/>
      <c r="K1427" s="2"/>
    </row>
    <row r="1428" customFormat="false" ht="15" hidden="false" customHeight="false" outlineLevel="0" collapsed="false">
      <c r="A1428" s="2" t="s">
        <v>138</v>
      </c>
      <c r="B1428" s="2" t="s">
        <v>139</v>
      </c>
      <c r="C1428" s="2" t="s">
        <v>45</v>
      </c>
      <c r="D1428" s="3" t="n">
        <v>46235</v>
      </c>
      <c r="E1428" s="2" t="str">
        <f aca="false">TEXT(D1428,"dddd")</f>
        <v>Saturday</v>
      </c>
      <c r="F1428" s="2" t="s">
        <v>457</v>
      </c>
      <c r="G1428" s="2" t="s">
        <v>458</v>
      </c>
      <c r="H1428" s="2" t="s">
        <v>459</v>
      </c>
      <c r="I1428" s="2" t="n">
        <f aca="false">IF(F1428="Present",9,IF(F1428="Half Day",4,0))</f>
        <v>9</v>
      </c>
      <c r="J1428" s="2"/>
      <c r="K1428" s="2"/>
    </row>
    <row r="1429" customFormat="false" ht="15" hidden="false" customHeight="false" outlineLevel="0" collapsed="false">
      <c r="A1429" s="2" t="s">
        <v>138</v>
      </c>
      <c r="B1429" s="2" t="s">
        <v>139</v>
      </c>
      <c r="C1429" s="2" t="s">
        <v>45</v>
      </c>
      <c r="D1429" s="3" t="n">
        <v>46236</v>
      </c>
      <c r="E1429" s="2" t="str">
        <f aca="false">TEXT(D1429,"dddd")</f>
        <v>Sunday</v>
      </c>
      <c r="F1429" s="2" t="s">
        <v>460</v>
      </c>
      <c r="G1429" s="2"/>
      <c r="H1429" s="2"/>
      <c r="I1429" s="2" t="n">
        <f aca="false">IF(F1429="Present",9,IF(F1429="Half Day",4,0))</f>
        <v>0</v>
      </c>
      <c r="J1429" s="2"/>
      <c r="K1429" s="2" t="s">
        <v>460</v>
      </c>
    </row>
    <row r="1430" customFormat="false" ht="15" hidden="false" customHeight="false" outlineLevel="0" collapsed="false">
      <c r="A1430" s="2" t="s">
        <v>138</v>
      </c>
      <c r="B1430" s="2" t="s">
        <v>139</v>
      </c>
      <c r="C1430" s="2" t="s">
        <v>45</v>
      </c>
      <c r="D1430" s="3" t="n">
        <v>46237</v>
      </c>
      <c r="E1430" s="2" t="str">
        <f aca="false">TEXT(D1430,"dddd")</f>
        <v>Monday</v>
      </c>
      <c r="F1430" s="2" t="s">
        <v>457</v>
      </c>
      <c r="G1430" s="2" t="s">
        <v>458</v>
      </c>
      <c r="H1430" s="2" t="s">
        <v>459</v>
      </c>
      <c r="I1430" s="2" t="n">
        <f aca="false">IF(F1430="Present",9,IF(F1430="Half Day",4,0))</f>
        <v>9</v>
      </c>
      <c r="J1430" s="2"/>
      <c r="K1430" s="2"/>
    </row>
    <row r="1431" customFormat="false" ht="15" hidden="false" customHeight="false" outlineLevel="0" collapsed="false">
      <c r="A1431" s="2" t="s">
        <v>138</v>
      </c>
      <c r="B1431" s="2" t="s">
        <v>139</v>
      </c>
      <c r="C1431" s="2" t="s">
        <v>45</v>
      </c>
      <c r="D1431" s="3" t="n">
        <v>46238</v>
      </c>
      <c r="E1431" s="2" t="str">
        <f aca="false">TEXT(D1431,"dddd")</f>
        <v>Tuesday</v>
      </c>
      <c r="F1431" s="2" t="s">
        <v>457</v>
      </c>
      <c r="G1431" s="2" t="s">
        <v>458</v>
      </c>
      <c r="H1431" s="2" t="s">
        <v>459</v>
      </c>
      <c r="I1431" s="2" t="n">
        <f aca="false">IF(F1431="Present",9,IF(F1431="Half Day",4,0))</f>
        <v>9</v>
      </c>
      <c r="J1431" s="2"/>
      <c r="K1431" s="2"/>
    </row>
    <row r="1432" customFormat="false" ht="15" hidden="false" customHeight="false" outlineLevel="0" collapsed="false">
      <c r="A1432" s="2" t="s">
        <v>138</v>
      </c>
      <c r="B1432" s="2" t="s">
        <v>139</v>
      </c>
      <c r="C1432" s="2" t="s">
        <v>45</v>
      </c>
      <c r="D1432" s="3" t="n">
        <v>46239</v>
      </c>
      <c r="E1432" s="2" t="str">
        <f aca="false">TEXT(D1432,"dddd")</f>
        <v>Wednesday</v>
      </c>
      <c r="F1432" s="2" t="s">
        <v>457</v>
      </c>
      <c r="G1432" s="2" t="s">
        <v>458</v>
      </c>
      <c r="H1432" s="2" t="s">
        <v>459</v>
      </c>
      <c r="I1432" s="2" t="n">
        <f aca="false">IF(F1432="Present",9,IF(F1432="Half Day",4,0))</f>
        <v>9</v>
      </c>
      <c r="J1432" s="2"/>
      <c r="K1432" s="2"/>
    </row>
    <row r="1433" customFormat="false" ht="15" hidden="false" customHeight="false" outlineLevel="0" collapsed="false">
      <c r="A1433" s="2" t="s">
        <v>138</v>
      </c>
      <c r="B1433" s="2" t="s">
        <v>139</v>
      </c>
      <c r="C1433" s="2" t="s">
        <v>45</v>
      </c>
      <c r="D1433" s="3" t="n">
        <v>46240</v>
      </c>
      <c r="E1433" s="2" t="str">
        <f aca="false">TEXT(D1433,"dddd")</f>
        <v>Thursday</v>
      </c>
      <c r="F1433" s="2" t="s">
        <v>466</v>
      </c>
      <c r="G1433" s="2" t="s">
        <v>458</v>
      </c>
      <c r="H1433" s="2" t="s">
        <v>467</v>
      </c>
      <c r="I1433" s="2" t="n">
        <f aca="false">IF(F1433="Present",9,IF(F1433="Half Day",4,0))</f>
        <v>4</v>
      </c>
      <c r="J1433" s="2"/>
      <c r="K1433" s="2" t="s">
        <v>466</v>
      </c>
    </row>
    <row r="1434" customFormat="false" ht="15" hidden="false" customHeight="false" outlineLevel="0" collapsed="false">
      <c r="A1434" s="2" t="s">
        <v>138</v>
      </c>
      <c r="B1434" s="2" t="s">
        <v>139</v>
      </c>
      <c r="C1434" s="2" t="s">
        <v>45</v>
      </c>
      <c r="D1434" s="3" t="n">
        <v>46241</v>
      </c>
      <c r="E1434" s="2" t="str">
        <f aca="false">TEXT(D1434,"dddd")</f>
        <v>Friday</v>
      </c>
      <c r="F1434" s="2" t="s">
        <v>466</v>
      </c>
      <c r="G1434" s="2" t="s">
        <v>458</v>
      </c>
      <c r="H1434" s="2" t="s">
        <v>467</v>
      </c>
      <c r="I1434" s="2" t="n">
        <f aca="false">IF(F1434="Present",9,IF(F1434="Half Day",4,0))</f>
        <v>4</v>
      </c>
      <c r="J1434" s="2"/>
      <c r="K1434" s="2" t="s">
        <v>466</v>
      </c>
    </row>
    <row r="1435" customFormat="false" ht="15" hidden="false" customHeight="false" outlineLevel="0" collapsed="false">
      <c r="A1435" s="2" t="s">
        <v>138</v>
      </c>
      <c r="B1435" s="2" t="s">
        <v>139</v>
      </c>
      <c r="C1435" s="2" t="s">
        <v>45</v>
      </c>
      <c r="D1435" s="3" t="n">
        <v>46242</v>
      </c>
      <c r="E1435" s="2" t="str">
        <f aca="false">TEXT(D1435,"dddd")</f>
        <v>Saturday</v>
      </c>
      <c r="F1435" s="2" t="s">
        <v>457</v>
      </c>
      <c r="G1435" s="2" t="s">
        <v>458</v>
      </c>
      <c r="H1435" s="2" t="s">
        <v>459</v>
      </c>
      <c r="I1435" s="2" t="n">
        <f aca="false">IF(F1435="Present",9,IF(F1435="Half Day",4,0))</f>
        <v>9</v>
      </c>
      <c r="J1435" s="2"/>
      <c r="K1435" s="2"/>
    </row>
    <row r="1436" customFormat="false" ht="15" hidden="false" customHeight="false" outlineLevel="0" collapsed="false">
      <c r="A1436" s="2" t="s">
        <v>138</v>
      </c>
      <c r="B1436" s="2" t="s">
        <v>139</v>
      </c>
      <c r="C1436" s="2" t="s">
        <v>45</v>
      </c>
      <c r="D1436" s="3" t="n">
        <v>46243</v>
      </c>
      <c r="E1436" s="2" t="str">
        <f aca="false">TEXT(D1436,"dddd")</f>
        <v>Sunday</v>
      </c>
      <c r="F1436" s="2" t="s">
        <v>460</v>
      </c>
      <c r="G1436" s="2"/>
      <c r="H1436" s="2"/>
      <c r="I1436" s="2" t="n">
        <f aca="false">IF(F1436="Present",9,IF(F1436="Half Day",4,0))</f>
        <v>0</v>
      </c>
      <c r="J1436" s="2"/>
      <c r="K1436" s="2" t="s">
        <v>460</v>
      </c>
    </row>
    <row r="1437" customFormat="false" ht="15" hidden="false" customHeight="false" outlineLevel="0" collapsed="false">
      <c r="A1437" s="2" t="s">
        <v>138</v>
      </c>
      <c r="B1437" s="2" t="s">
        <v>139</v>
      </c>
      <c r="C1437" s="2" t="s">
        <v>45</v>
      </c>
      <c r="D1437" s="3" t="n">
        <v>46244</v>
      </c>
      <c r="E1437" s="2" t="str">
        <f aca="false">TEXT(D1437,"dddd")</f>
        <v>Monday</v>
      </c>
      <c r="F1437" s="2" t="s">
        <v>457</v>
      </c>
      <c r="G1437" s="2" t="s">
        <v>458</v>
      </c>
      <c r="H1437" s="2" t="s">
        <v>459</v>
      </c>
      <c r="I1437" s="2" t="n">
        <f aca="false">IF(F1437="Present",9,IF(F1437="Half Day",4,0))</f>
        <v>9</v>
      </c>
      <c r="J1437" s="2"/>
      <c r="K1437" s="2"/>
    </row>
    <row r="1438" customFormat="false" ht="15" hidden="false" customHeight="false" outlineLevel="0" collapsed="false">
      <c r="A1438" s="2" t="s">
        <v>138</v>
      </c>
      <c r="B1438" s="2" t="s">
        <v>139</v>
      </c>
      <c r="C1438" s="2" t="s">
        <v>45</v>
      </c>
      <c r="D1438" s="3" t="n">
        <v>46245</v>
      </c>
      <c r="E1438" s="2" t="str">
        <f aca="false">TEXT(D1438,"dddd")</f>
        <v>Tuesday</v>
      </c>
      <c r="F1438" s="2" t="s">
        <v>461</v>
      </c>
      <c r="G1438" s="2"/>
      <c r="H1438" s="2"/>
      <c r="I1438" s="2" t="n">
        <f aca="false">IF(F1438="Present",9,IF(F1438="Half Day",4,0))</f>
        <v>0</v>
      </c>
      <c r="J1438" s="2"/>
      <c r="K1438" s="2" t="s">
        <v>462</v>
      </c>
    </row>
    <row r="1439" customFormat="false" ht="15" hidden="false" customHeight="false" outlineLevel="0" collapsed="false">
      <c r="A1439" s="2" t="s">
        <v>138</v>
      </c>
      <c r="B1439" s="2" t="s">
        <v>139</v>
      </c>
      <c r="C1439" s="2" t="s">
        <v>45</v>
      </c>
      <c r="D1439" s="3" t="n">
        <v>46246</v>
      </c>
      <c r="E1439" s="2" t="str">
        <f aca="false">TEXT(D1439,"dddd")</f>
        <v>Wednesday</v>
      </c>
      <c r="F1439" s="2" t="s">
        <v>457</v>
      </c>
      <c r="G1439" s="2" t="s">
        <v>458</v>
      </c>
      <c r="H1439" s="2" t="s">
        <v>459</v>
      </c>
      <c r="I1439" s="2" t="n">
        <f aca="false">IF(F1439="Present",9,IF(F1439="Half Day",4,0))</f>
        <v>9</v>
      </c>
      <c r="J1439" s="2"/>
      <c r="K1439" s="2"/>
    </row>
    <row r="1440" customFormat="false" ht="15" hidden="false" customHeight="false" outlineLevel="0" collapsed="false">
      <c r="A1440" s="2" t="s">
        <v>138</v>
      </c>
      <c r="B1440" s="2" t="s">
        <v>139</v>
      </c>
      <c r="C1440" s="2" t="s">
        <v>45</v>
      </c>
      <c r="D1440" s="3" t="n">
        <v>46247</v>
      </c>
      <c r="E1440" s="2" t="str">
        <f aca="false">TEXT(D1440,"dddd")</f>
        <v>Thursday</v>
      </c>
      <c r="F1440" s="2" t="s">
        <v>457</v>
      </c>
      <c r="G1440" s="2" t="s">
        <v>458</v>
      </c>
      <c r="H1440" s="2" t="s">
        <v>459</v>
      </c>
      <c r="I1440" s="2" t="n">
        <f aca="false">IF(F1440="Present",9,IF(F1440="Half Day",4,0))</f>
        <v>9</v>
      </c>
      <c r="J1440" s="2"/>
      <c r="K1440" s="2"/>
    </row>
    <row r="1441" customFormat="false" ht="15" hidden="false" customHeight="false" outlineLevel="0" collapsed="false">
      <c r="A1441" s="2" t="s">
        <v>138</v>
      </c>
      <c r="B1441" s="2" t="s">
        <v>139</v>
      </c>
      <c r="C1441" s="2" t="s">
        <v>45</v>
      </c>
      <c r="D1441" s="3" t="n">
        <v>46248</v>
      </c>
      <c r="E1441" s="2" t="str">
        <f aca="false">TEXT(D1441,"dddd")</f>
        <v>Friday</v>
      </c>
      <c r="F1441" s="2" t="s">
        <v>457</v>
      </c>
      <c r="G1441" s="2" t="s">
        <v>458</v>
      </c>
      <c r="H1441" s="2" t="s">
        <v>459</v>
      </c>
      <c r="I1441" s="2" t="n">
        <f aca="false">IF(F1441="Present",9,IF(F1441="Half Day",4,0))</f>
        <v>9</v>
      </c>
      <c r="J1441" s="2"/>
      <c r="K1441" s="2"/>
    </row>
    <row r="1442" customFormat="false" ht="15" hidden="false" customHeight="false" outlineLevel="0" collapsed="false">
      <c r="A1442" s="2" t="s">
        <v>138</v>
      </c>
      <c r="B1442" s="2" t="s">
        <v>139</v>
      </c>
      <c r="C1442" s="2" t="s">
        <v>45</v>
      </c>
      <c r="D1442" s="3" t="n">
        <v>46249</v>
      </c>
      <c r="E1442" s="2" t="str">
        <f aca="false">TEXT(D1442,"dddd")</f>
        <v>Saturday</v>
      </c>
      <c r="F1442" s="2" t="s">
        <v>461</v>
      </c>
      <c r="G1442" s="2"/>
      <c r="H1442" s="2"/>
      <c r="I1442" s="2" t="n">
        <f aca="false">IF(F1442="Present",9,IF(F1442="Half Day",4,0))</f>
        <v>0</v>
      </c>
      <c r="J1442" s="2"/>
      <c r="K1442" s="2" t="s">
        <v>462</v>
      </c>
    </row>
    <row r="1443" customFormat="false" ht="15" hidden="false" customHeight="false" outlineLevel="0" collapsed="false">
      <c r="A1443" s="2" t="s">
        <v>138</v>
      </c>
      <c r="B1443" s="2" t="s">
        <v>139</v>
      </c>
      <c r="C1443" s="2" t="s">
        <v>45</v>
      </c>
      <c r="D1443" s="3" t="n">
        <v>46250</v>
      </c>
      <c r="E1443" s="2" t="str">
        <f aca="false">TEXT(D1443,"dddd")</f>
        <v>Sunday</v>
      </c>
      <c r="F1443" s="2" t="s">
        <v>460</v>
      </c>
      <c r="G1443" s="2"/>
      <c r="H1443" s="2"/>
      <c r="I1443" s="2" t="n">
        <f aca="false">IF(F1443="Present",9,IF(F1443="Half Day",4,0))</f>
        <v>0</v>
      </c>
      <c r="J1443" s="2"/>
      <c r="K1443" s="2" t="s">
        <v>460</v>
      </c>
    </row>
    <row r="1444" customFormat="false" ht="15" hidden="false" customHeight="false" outlineLevel="0" collapsed="false">
      <c r="A1444" s="2" t="s">
        <v>138</v>
      </c>
      <c r="B1444" s="2" t="s">
        <v>139</v>
      </c>
      <c r="C1444" s="2" t="s">
        <v>45</v>
      </c>
      <c r="D1444" s="3" t="n">
        <v>46251</v>
      </c>
      <c r="E1444" s="2" t="str">
        <f aca="false">TEXT(D1444,"dddd")</f>
        <v>Monday</v>
      </c>
      <c r="F1444" s="2" t="s">
        <v>457</v>
      </c>
      <c r="G1444" s="2" t="s">
        <v>458</v>
      </c>
      <c r="H1444" s="2" t="s">
        <v>459</v>
      </c>
      <c r="I1444" s="2" t="n">
        <f aca="false">IF(F1444="Present",9,IF(F1444="Half Day",4,0))</f>
        <v>9</v>
      </c>
      <c r="J1444" s="2"/>
      <c r="K1444" s="2"/>
    </row>
    <row r="1445" customFormat="false" ht="15" hidden="false" customHeight="false" outlineLevel="0" collapsed="false">
      <c r="A1445" s="2" t="s">
        <v>138</v>
      </c>
      <c r="B1445" s="2" t="s">
        <v>139</v>
      </c>
      <c r="C1445" s="2" t="s">
        <v>45</v>
      </c>
      <c r="D1445" s="3" t="n">
        <v>46252</v>
      </c>
      <c r="E1445" s="2" t="str">
        <f aca="false">TEXT(D1445,"dddd")</f>
        <v>Tuesday</v>
      </c>
      <c r="F1445" s="2" t="s">
        <v>457</v>
      </c>
      <c r="G1445" s="2" t="s">
        <v>458</v>
      </c>
      <c r="H1445" s="2" t="s">
        <v>459</v>
      </c>
      <c r="I1445" s="2" t="n">
        <f aca="false">IF(F1445="Present",9,IF(F1445="Half Day",4,0))</f>
        <v>9</v>
      </c>
      <c r="J1445" s="2"/>
      <c r="K1445" s="2"/>
    </row>
    <row r="1446" customFormat="false" ht="15" hidden="false" customHeight="false" outlineLevel="0" collapsed="false">
      <c r="A1446" s="2" t="s">
        <v>138</v>
      </c>
      <c r="B1446" s="2" t="s">
        <v>139</v>
      </c>
      <c r="C1446" s="2" t="s">
        <v>45</v>
      </c>
      <c r="D1446" s="3" t="n">
        <v>46253</v>
      </c>
      <c r="E1446" s="2" t="str">
        <f aca="false">TEXT(D1446,"dddd")</f>
        <v>Wednesday</v>
      </c>
      <c r="F1446" s="2" t="s">
        <v>457</v>
      </c>
      <c r="G1446" s="2" t="s">
        <v>458</v>
      </c>
      <c r="H1446" s="2" t="s">
        <v>459</v>
      </c>
      <c r="I1446" s="2" t="n">
        <f aca="false">IF(F1446="Present",9,IF(F1446="Half Day",4,0))</f>
        <v>9</v>
      </c>
      <c r="J1446" s="2"/>
      <c r="K1446" s="2"/>
    </row>
    <row r="1447" customFormat="false" ht="15" hidden="false" customHeight="false" outlineLevel="0" collapsed="false">
      <c r="A1447" s="2" t="s">
        <v>138</v>
      </c>
      <c r="B1447" s="2" t="s">
        <v>139</v>
      </c>
      <c r="C1447" s="2" t="s">
        <v>45</v>
      </c>
      <c r="D1447" s="3" t="n">
        <v>46254</v>
      </c>
      <c r="E1447" s="2" t="str">
        <f aca="false">TEXT(D1447,"dddd")</f>
        <v>Thursday</v>
      </c>
      <c r="F1447" s="2" t="s">
        <v>457</v>
      </c>
      <c r="G1447" s="2" t="s">
        <v>458</v>
      </c>
      <c r="H1447" s="2" t="s">
        <v>459</v>
      </c>
      <c r="I1447" s="2" t="n">
        <f aca="false">IF(F1447="Present",9,IF(F1447="Half Day",4,0))</f>
        <v>9</v>
      </c>
      <c r="J1447" s="2"/>
      <c r="K1447" s="2"/>
    </row>
    <row r="1448" customFormat="false" ht="15" hidden="false" customHeight="false" outlineLevel="0" collapsed="false">
      <c r="A1448" s="2" t="s">
        <v>138</v>
      </c>
      <c r="B1448" s="2" t="s">
        <v>139</v>
      </c>
      <c r="C1448" s="2" t="s">
        <v>45</v>
      </c>
      <c r="D1448" s="3" t="n">
        <v>46255</v>
      </c>
      <c r="E1448" s="2" t="str">
        <f aca="false">TEXT(D1448,"dddd")</f>
        <v>Friday</v>
      </c>
      <c r="F1448" s="2" t="s">
        <v>457</v>
      </c>
      <c r="G1448" s="2" t="s">
        <v>458</v>
      </c>
      <c r="H1448" s="2" t="s">
        <v>459</v>
      </c>
      <c r="I1448" s="2" t="n">
        <f aca="false">IF(F1448="Present",9,IF(F1448="Half Day",4,0))</f>
        <v>9</v>
      </c>
      <c r="J1448" s="2"/>
      <c r="K1448" s="2"/>
    </row>
    <row r="1449" customFormat="false" ht="15" hidden="false" customHeight="false" outlineLevel="0" collapsed="false">
      <c r="A1449" s="2" t="s">
        <v>138</v>
      </c>
      <c r="B1449" s="2" t="s">
        <v>139</v>
      </c>
      <c r="C1449" s="2" t="s">
        <v>45</v>
      </c>
      <c r="D1449" s="3" t="n">
        <v>46256</v>
      </c>
      <c r="E1449" s="2" t="str">
        <f aca="false">TEXT(D1449,"dddd")</f>
        <v>Saturday</v>
      </c>
      <c r="F1449" s="2" t="s">
        <v>457</v>
      </c>
      <c r="G1449" s="2" t="s">
        <v>458</v>
      </c>
      <c r="H1449" s="2" t="s">
        <v>459</v>
      </c>
      <c r="I1449" s="2" t="n">
        <f aca="false">IF(F1449="Present",9,IF(F1449="Half Day",4,0))</f>
        <v>9</v>
      </c>
      <c r="J1449" s="2"/>
      <c r="K1449" s="2"/>
    </row>
    <row r="1450" customFormat="false" ht="15" hidden="false" customHeight="false" outlineLevel="0" collapsed="false">
      <c r="A1450" s="2" t="s">
        <v>138</v>
      </c>
      <c r="B1450" s="2" t="s">
        <v>139</v>
      </c>
      <c r="C1450" s="2" t="s">
        <v>45</v>
      </c>
      <c r="D1450" s="3" t="n">
        <v>46257</v>
      </c>
      <c r="E1450" s="2" t="str">
        <f aca="false">TEXT(D1450,"dddd")</f>
        <v>Sunday</v>
      </c>
      <c r="F1450" s="2" t="s">
        <v>460</v>
      </c>
      <c r="G1450" s="2"/>
      <c r="H1450" s="2"/>
      <c r="I1450" s="2" t="n">
        <f aca="false">IF(F1450="Present",9,IF(F1450="Half Day",4,0))</f>
        <v>0</v>
      </c>
      <c r="J1450" s="2"/>
      <c r="K1450" s="2" t="s">
        <v>460</v>
      </c>
    </row>
    <row r="1451" customFormat="false" ht="15" hidden="false" customHeight="false" outlineLevel="0" collapsed="false">
      <c r="A1451" s="2" t="s">
        <v>138</v>
      </c>
      <c r="B1451" s="2" t="s">
        <v>139</v>
      </c>
      <c r="C1451" s="2" t="s">
        <v>45</v>
      </c>
      <c r="D1451" s="3" t="n">
        <v>46258</v>
      </c>
      <c r="E1451" s="2" t="str">
        <f aca="false">TEXT(D1451,"dddd")</f>
        <v>Monday</v>
      </c>
      <c r="F1451" s="2" t="s">
        <v>457</v>
      </c>
      <c r="G1451" s="2" t="s">
        <v>458</v>
      </c>
      <c r="H1451" s="2" t="s">
        <v>459</v>
      </c>
      <c r="I1451" s="2" t="n">
        <f aca="false">IF(F1451="Present",9,IF(F1451="Half Day",4,0))</f>
        <v>9</v>
      </c>
      <c r="J1451" s="2"/>
      <c r="K1451" s="2"/>
    </row>
    <row r="1452" customFormat="false" ht="15" hidden="false" customHeight="false" outlineLevel="0" collapsed="false">
      <c r="A1452" s="2" t="s">
        <v>138</v>
      </c>
      <c r="B1452" s="2" t="s">
        <v>139</v>
      </c>
      <c r="C1452" s="2" t="s">
        <v>45</v>
      </c>
      <c r="D1452" s="3" t="n">
        <v>46259</v>
      </c>
      <c r="E1452" s="2" t="str">
        <f aca="false">TEXT(D1452,"dddd")</f>
        <v>Tuesday</v>
      </c>
      <c r="F1452" s="2" t="s">
        <v>457</v>
      </c>
      <c r="G1452" s="2" t="s">
        <v>458</v>
      </c>
      <c r="H1452" s="2" t="s">
        <v>459</v>
      </c>
      <c r="I1452" s="2" t="n">
        <f aca="false">IF(F1452="Present",9,IF(F1452="Half Day",4,0))</f>
        <v>9</v>
      </c>
      <c r="J1452" s="2"/>
      <c r="K1452" s="2"/>
    </row>
    <row r="1453" customFormat="false" ht="15" hidden="false" customHeight="false" outlineLevel="0" collapsed="false">
      <c r="A1453" s="2" t="s">
        <v>138</v>
      </c>
      <c r="B1453" s="2" t="s">
        <v>139</v>
      </c>
      <c r="C1453" s="2" t="s">
        <v>45</v>
      </c>
      <c r="D1453" s="3" t="n">
        <v>46260</v>
      </c>
      <c r="E1453" s="2" t="str">
        <f aca="false">TEXT(D1453,"dddd")</f>
        <v>Wednesday</v>
      </c>
      <c r="F1453" s="2" t="s">
        <v>461</v>
      </c>
      <c r="G1453" s="2"/>
      <c r="H1453" s="2"/>
      <c r="I1453" s="2" t="n">
        <f aca="false">IF(F1453="Present",9,IF(F1453="Half Day",4,0))</f>
        <v>0</v>
      </c>
      <c r="J1453" s="2"/>
      <c r="K1453" s="2" t="s">
        <v>462</v>
      </c>
    </row>
    <row r="1454" customFormat="false" ht="15" hidden="false" customHeight="false" outlineLevel="0" collapsed="false">
      <c r="A1454" s="2" t="s">
        <v>138</v>
      </c>
      <c r="B1454" s="2" t="s">
        <v>139</v>
      </c>
      <c r="C1454" s="2" t="s">
        <v>45</v>
      </c>
      <c r="D1454" s="3" t="n">
        <v>46261</v>
      </c>
      <c r="E1454" s="2" t="str">
        <f aca="false">TEXT(D1454,"dddd")</f>
        <v>Thursday</v>
      </c>
      <c r="F1454" s="2" t="s">
        <v>457</v>
      </c>
      <c r="G1454" s="2" t="s">
        <v>458</v>
      </c>
      <c r="H1454" s="2" t="s">
        <v>459</v>
      </c>
      <c r="I1454" s="2" t="n">
        <f aca="false">IF(F1454="Present",9,IF(F1454="Half Day",4,0))</f>
        <v>9</v>
      </c>
      <c r="J1454" s="2"/>
      <c r="K1454" s="2"/>
    </row>
    <row r="1455" customFormat="false" ht="15" hidden="false" customHeight="false" outlineLevel="0" collapsed="false">
      <c r="A1455" s="2" t="s">
        <v>138</v>
      </c>
      <c r="B1455" s="2" t="s">
        <v>139</v>
      </c>
      <c r="C1455" s="2" t="s">
        <v>45</v>
      </c>
      <c r="D1455" s="3" t="n">
        <v>46262</v>
      </c>
      <c r="E1455" s="2" t="str">
        <f aca="false">TEXT(D1455,"dddd")</f>
        <v>Friday</v>
      </c>
      <c r="F1455" s="2" t="s">
        <v>457</v>
      </c>
      <c r="G1455" s="2" t="s">
        <v>458</v>
      </c>
      <c r="H1455" s="2" t="s">
        <v>459</v>
      </c>
      <c r="I1455" s="2" t="n">
        <f aca="false">IF(F1455="Present",9,IF(F1455="Half Day",4,0))</f>
        <v>9</v>
      </c>
      <c r="J1455" s="2"/>
      <c r="K1455" s="2"/>
    </row>
    <row r="1456" customFormat="false" ht="15" hidden="false" customHeight="false" outlineLevel="0" collapsed="false">
      <c r="A1456" s="2" t="s">
        <v>138</v>
      </c>
      <c r="B1456" s="2" t="s">
        <v>139</v>
      </c>
      <c r="C1456" s="2" t="s">
        <v>45</v>
      </c>
      <c r="D1456" s="3" t="n">
        <v>46263</v>
      </c>
      <c r="E1456" s="2" t="str">
        <f aca="false">TEXT(D1456,"dddd")</f>
        <v>Saturday</v>
      </c>
      <c r="F1456" s="2" t="s">
        <v>457</v>
      </c>
      <c r="G1456" s="2" t="s">
        <v>458</v>
      </c>
      <c r="H1456" s="2" t="s">
        <v>459</v>
      </c>
      <c r="I1456" s="2" t="n">
        <f aca="false">IF(F1456="Present",9,IF(F1456="Half Day",4,0))</f>
        <v>9</v>
      </c>
      <c r="J1456" s="2"/>
      <c r="K1456" s="2"/>
    </row>
    <row r="1457" customFormat="false" ht="15" hidden="false" customHeight="false" outlineLevel="0" collapsed="false">
      <c r="A1457" s="2" t="s">
        <v>138</v>
      </c>
      <c r="B1457" s="2" t="s">
        <v>139</v>
      </c>
      <c r="C1457" s="2" t="s">
        <v>45</v>
      </c>
      <c r="D1457" s="3" t="n">
        <v>46264</v>
      </c>
      <c r="E1457" s="2" t="str">
        <f aca="false">TEXT(D1457,"dddd")</f>
        <v>Sunday</v>
      </c>
      <c r="F1457" s="2" t="s">
        <v>460</v>
      </c>
      <c r="G1457" s="2"/>
      <c r="H1457" s="2"/>
      <c r="I1457" s="2" t="n">
        <f aca="false">IF(F1457="Present",9,IF(F1457="Half Day",4,0))</f>
        <v>0</v>
      </c>
      <c r="J1457" s="2"/>
      <c r="K1457" s="2" t="s">
        <v>460</v>
      </c>
    </row>
    <row r="1458" customFormat="false" ht="15" hidden="false" customHeight="false" outlineLevel="0" collapsed="false">
      <c r="A1458" s="2" t="s">
        <v>138</v>
      </c>
      <c r="B1458" s="2" t="s">
        <v>139</v>
      </c>
      <c r="C1458" s="2" t="s">
        <v>45</v>
      </c>
      <c r="D1458" s="3" t="n">
        <v>46265</v>
      </c>
      <c r="E1458" s="2" t="str">
        <f aca="false">TEXT(D1458,"dddd")</f>
        <v>Monday</v>
      </c>
      <c r="F1458" s="2" t="s">
        <v>461</v>
      </c>
      <c r="G1458" s="2"/>
      <c r="H1458" s="2"/>
      <c r="I1458" s="2" t="n">
        <f aca="false">IF(F1458="Present",9,IF(F1458="Half Day",4,0))</f>
        <v>0</v>
      </c>
      <c r="J1458" s="2"/>
      <c r="K1458" s="2" t="s">
        <v>462</v>
      </c>
    </row>
    <row r="1459" customFormat="false" ht="15" hidden="false" customHeight="false" outlineLevel="0" collapsed="false">
      <c r="A1459" s="2" t="s">
        <v>140</v>
      </c>
      <c r="B1459" s="2" t="s">
        <v>141</v>
      </c>
      <c r="C1459" s="2" t="s">
        <v>49</v>
      </c>
      <c r="D1459" s="3" t="n">
        <v>46235</v>
      </c>
      <c r="E1459" s="2" t="str">
        <f aca="false">TEXT(D1459,"dddd")</f>
        <v>Saturday</v>
      </c>
      <c r="F1459" s="2" t="s">
        <v>457</v>
      </c>
      <c r="G1459" s="2" t="s">
        <v>458</v>
      </c>
      <c r="H1459" s="2" t="s">
        <v>459</v>
      </c>
      <c r="I1459" s="2" t="n">
        <f aca="false">IF(F1459="Present",9,IF(F1459="Half Day",4,0))</f>
        <v>9</v>
      </c>
      <c r="J1459" s="2"/>
      <c r="K1459" s="2"/>
    </row>
    <row r="1460" customFormat="false" ht="15" hidden="false" customHeight="false" outlineLevel="0" collapsed="false">
      <c r="A1460" s="2" t="s">
        <v>140</v>
      </c>
      <c r="B1460" s="2" t="s">
        <v>141</v>
      </c>
      <c r="C1460" s="2" t="s">
        <v>49</v>
      </c>
      <c r="D1460" s="3" t="n">
        <v>46236</v>
      </c>
      <c r="E1460" s="2" t="str">
        <f aca="false">TEXT(D1460,"dddd")</f>
        <v>Sunday</v>
      </c>
      <c r="F1460" s="2" t="s">
        <v>460</v>
      </c>
      <c r="G1460" s="2"/>
      <c r="H1460" s="2"/>
      <c r="I1460" s="2" t="n">
        <f aca="false">IF(F1460="Present",9,IF(F1460="Half Day",4,0))</f>
        <v>0</v>
      </c>
      <c r="J1460" s="2"/>
      <c r="K1460" s="2" t="s">
        <v>460</v>
      </c>
    </row>
    <row r="1461" customFormat="false" ht="15" hidden="false" customHeight="false" outlineLevel="0" collapsed="false">
      <c r="A1461" s="2" t="s">
        <v>140</v>
      </c>
      <c r="B1461" s="2" t="s">
        <v>141</v>
      </c>
      <c r="C1461" s="2" t="s">
        <v>49</v>
      </c>
      <c r="D1461" s="3" t="n">
        <v>46237</v>
      </c>
      <c r="E1461" s="2" t="str">
        <f aca="false">TEXT(D1461,"dddd")</f>
        <v>Monday</v>
      </c>
      <c r="F1461" s="2" t="s">
        <v>461</v>
      </c>
      <c r="G1461" s="2"/>
      <c r="H1461" s="2"/>
      <c r="I1461" s="2" t="n">
        <f aca="false">IF(F1461="Present",9,IF(F1461="Half Day",4,0))</f>
        <v>0</v>
      </c>
      <c r="J1461" s="2"/>
      <c r="K1461" s="2" t="s">
        <v>462</v>
      </c>
    </row>
    <row r="1462" customFormat="false" ht="15" hidden="false" customHeight="false" outlineLevel="0" collapsed="false">
      <c r="A1462" s="2" t="s">
        <v>140</v>
      </c>
      <c r="B1462" s="2" t="s">
        <v>141</v>
      </c>
      <c r="C1462" s="2" t="s">
        <v>49</v>
      </c>
      <c r="D1462" s="3" t="n">
        <v>46238</v>
      </c>
      <c r="E1462" s="2" t="str">
        <f aca="false">TEXT(D1462,"dddd")</f>
        <v>Tuesday</v>
      </c>
      <c r="F1462" s="2" t="s">
        <v>457</v>
      </c>
      <c r="G1462" s="2" t="s">
        <v>458</v>
      </c>
      <c r="H1462" s="2" t="s">
        <v>459</v>
      </c>
      <c r="I1462" s="2" t="n">
        <f aca="false">IF(F1462="Present",9,IF(F1462="Half Day",4,0))</f>
        <v>9</v>
      </c>
      <c r="J1462" s="2"/>
      <c r="K1462" s="2"/>
    </row>
    <row r="1463" customFormat="false" ht="15" hidden="false" customHeight="false" outlineLevel="0" collapsed="false">
      <c r="A1463" s="2" t="s">
        <v>140</v>
      </c>
      <c r="B1463" s="2" t="s">
        <v>141</v>
      </c>
      <c r="C1463" s="2" t="s">
        <v>49</v>
      </c>
      <c r="D1463" s="3" t="n">
        <v>46239</v>
      </c>
      <c r="E1463" s="2" t="str">
        <f aca="false">TEXT(D1463,"dddd")</f>
        <v>Wednesday</v>
      </c>
      <c r="F1463" s="2" t="s">
        <v>457</v>
      </c>
      <c r="G1463" s="2" t="s">
        <v>458</v>
      </c>
      <c r="H1463" s="2" t="s">
        <v>459</v>
      </c>
      <c r="I1463" s="2" t="n">
        <f aca="false">IF(F1463="Present",9,IF(F1463="Half Day",4,0))</f>
        <v>9</v>
      </c>
      <c r="J1463" s="2"/>
      <c r="K1463" s="2"/>
    </row>
    <row r="1464" customFormat="false" ht="15" hidden="false" customHeight="false" outlineLevel="0" collapsed="false">
      <c r="A1464" s="2" t="s">
        <v>140</v>
      </c>
      <c r="B1464" s="2" t="s">
        <v>141</v>
      </c>
      <c r="C1464" s="2" t="s">
        <v>49</v>
      </c>
      <c r="D1464" s="3" t="n">
        <v>46240</v>
      </c>
      <c r="E1464" s="2" t="str">
        <f aca="false">TEXT(D1464,"dddd")</f>
        <v>Thursday</v>
      </c>
      <c r="F1464" s="2" t="s">
        <v>457</v>
      </c>
      <c r="G1464" s="2" t="s">
        <v>458</v>
      </c>
      <c r="H1464" s="2" t="s">
        <v>459</v>
      </c>
      <c r="I1464" s="2" t="n">
        <f aca="false">IF(F1464="Present",9,IF(F1464="Half Day",4,0))</f>
        <v>9</v>
      </c>
      <c r="J1464" s="2"/>
      <c r="K1464" s="2"/>
    </row>
    <row r="1465" customFormat="false" ht="15" hidden="false" customHeight="false" outlineLevel="0" collapsed="false">
      <c r="A1465" s="2" t="s">
        <v>140</v>
      </c>
      <c r="B1465" s="2" t="s">
        <v>141</v>
      </c>
      <c r="C1465" s="2" t="s">
        <v>49</v>
      </c>
      <c r="D1465" s="3" t="n">
        <v>46241</v>
      </c>
      <c r="E1465" s="2" t="str">
        <f aca="false">TEXT(D1465,"dddd")</f>
        <v>Friday</v>
      </c>
      <c r="F1465" s="2" t="s">
        <v>466</v>
      </c>
      <c r="G1465" s="2" t="s">
        <v>458</v>
      </c>
      <c r="H1465" s="2" t="s">
        <v>467</v>
      </c>
      <c r="I1465" s="2" t="n">
        <f aca="false">IF(F1465="Present",9,IF(F1465="Half Day",4,0))</f>
        <v>4</v>
      </c>
      <c r="J1465" s="2"/>
      <c r="K1465" s="2" t="s">
        <v>466</v>
      </c>
    </row>
    <row r="1466" customFormat="false" ht="15" hidden="false" customHeight="false" outlineLevel="0" collapsed="false">
      <c r="A1466" s="2" t="s">
        <v>140</v>
      </c>
      <c r="B1466" s="2" t="s">
        <v>141</v>
      </c>
      <c r="C1466" s="2" t="s">
        <v>49</v>
      </c>
      <c r="D1466" s="3" t="n">
        <v>46242</v>
      </c>
      <c r="E1466" s="2" t="str">
        <f aca="false">TEXT(D1466,"dddd")</f>
        <v>Saturday</v>
      </c>
      <c r="F1466" s="2" t="s">
        <v>457</v>
      </c>
      <c r="G1466" s="2" t="s">
        <v>458</v>
      </c>
      <c r="H1466" s="2" t="s">
        <v>459</v>
      </c>
      <c r="I1466" s="2" t="n">
        <f aca="false">IF(F1466="Present",9,IF(F1466="Half Day",4,0))</f>
        <v>9</v>
      </c>
      <c r="J1466" s="2"/>
      <c r="K1466" s="2"/>
    </row>
    <row r="1467" customFormat="false" ht="15" hidden="false" customHeight="false" outlineLevel="0" collapsed="false">
      <c r="A1467" s="2" t="s">
        <v>140</v>
      </c>
      <c r="B1467" s="2" t="s">
        <v>141</v>
      </c>
      <c r="C1467" s="2" t="s">
        <v>49</v>
      </c>
      <c r="D1467" s="3" t="n">
        <v>46243</v>
      </c>
      <c r="E1467" s="2" t="str">
        <f aca="false">TEXT(D1467,"dddd")</f>
        <v>Sunday</v>
      </c>
      <c r="F1467" s="2" t="s">
        <v>460</v>
      </c>
      <c r="G1467" s="2"/>
      <c r="H1467" s="2"/>
      <c r="I1467" s="2" t="n">
        <f aca="false">IF(F1467="Present",9,IF(F1467="Half Day",4,0))</f>
        <v>0</v>
      </c>
      <c r="J1467" s="2"/>
      <c r="K1467" s="2" t="s">
        <v>460</v>
      </c>
    </row>
    <row r="1468" customFormat="false" ht="15" hidden="false" customHeight="false" outlineLevel="0" collapsed="false">
      <c r="A1468" s="2" t="s">
        <v>140</v>
      </c>
      <c r="B1468" s="2" t="s">
        <v>141</v>
      </c>
      <c r="C1468" s="2" t="s">
        <v>49</v>
      </c>
      <c r="D1468" s="3" t="n">
        <v>46244</v>
      </c>
      <c r="E1468" s="2" t="str">
        <f aca="false">TEXT(D1468,"dddd")</f>
        <v>Monday</v>
      </c>
      <c r="F1468" s="2" t="s">
        <v>457</v>
      </c>
      <c r="G1468" s="2" t="s">
        <v>458</v>
      </c>
      <c r="H1468" s="2" t="s">
        <v>459</v>
      </c>
      <c r="I1468" s="2" t="n">
        <f aca="false">IF(F1468="Present",9,IF(F1468="Half Day",4,0))</f>
        <v>9</v>
      </c>
      <c r="J1468" s="2"/>
      <c r="K1468" s="2"/>
    </row>
    <row r="1469" customFormat="false" ht="15" hidden="false" customHeight="false" outlineLevel="0" collapsed="false">
      <c r="A1469" s="2" t="s">
        <v>140</v>
      </c>
      <c r="B1469" s="2" t="s">
        <v>141</v>
      </c>
      <c r="C1469" s="2" t="s">
        <v>49</v>
      </c>
      <c r="D1469" s="3" t="n">
        <v>46245</v>
      </c>
      <c r="E1469" s="2" t="str">
        <f aca="false">TEXT(D1469,"dddd")</f>
        <v>Tuesday</v>
      </c>
      <c r="F1469" s="2" t="s">
        <v>461</v>
      </c>
      <c r="G1469" s="2"/>
      <c r="H1469" s="2"/>
      <c r="I1469" s="2" t="n">
        <f aca="false">IF(F1469="Present",9,IF(F1469="Half Day",4,0))</f>
        <v>0</v>
      </c>
      <c r="J1469" s="2"/>
      <c r="K1469" s="2" t="s">
        <v>462</v>
      </c>
    </row>
    <row r="1470" customFormat="false" ht="15" hidden="false" customHeight="false" outlineLevel="0" collapsed="false">
      <c r="A1470" s="2" t="s">
        <v>140</v>
      </c>
      <c r="B1470" s="2" t="s">
        <v>141</v>
      </c>
      <c r="C1470" s="2" t="s">
        <v>49</v>
      </c>
      <c r="D1470" s="3" t="n">
        <v>46246</v>
      </c>
      <c r="E1470" s="2" t="str">
        <f aca="false">TEXT(D1470,"dddd")</f>
        <v>Wednesday</v>
      </c>
      <c r="F1470" s="2" t="s">
        <v>457</v>
      </c>
      <c r="G1470" s="2" t="s">
        <v>458</v>
      </c>
      <c r="H1470" s="2" t="s">
        <v>459</v>
      </c>
      <c r="I1470" s="2" t="n">
        <f aca="false">IF(F1470="Present",9,IF(F1470="Half Day",4,0))</f>
        <v>9</v>
      </c>
      <c r="J1470" s="2"/>
      <c r="K1470" s="2"/>
    </row>
    <row r="1471" customFormat="false" ht="15" hidden="false" customHeight="false" outlineLevel="0" collapsed="false">
      <c r="A1471" s="2" t="s">
        <v>140</v>
      </c>
      <c r="B1471" s="2" t="s">
        <v>141</v>
      </c>
      <c r="C1471" s="2" t="s">
        <v>49</v>
      </c>
      <c r="D1471" s="3" t="n">
        <v>46247</v>
      </c>
      <c r="E1471" s="2" t="str">
        <f aca="false">TEXT(D1471,"dddd")</f>
        <v>Thursday</v>
      </c>
      <c r="F1471" s="2" t="s">
        <v>457</v>
      </c>
      <c r="G1471" s="2" t="s">
        <v>458</v>
      </c>
      <c r="H1471" s="2" t="s">
        <v>459</v>
      </c>
      <c r="I1471" s="2" t="n">
        <f aca="false">IF(F1471="Present",9,IF(F1471="Half Day",4,0))</f>
        <v>9</v>
      </c>
      <c r="J1471" s="2"/>
      <c r="K1471" s="2"/>
    </row>
    <row r="1472" customFormat="false" ht="15" hidden="false" customHeight="false" outlineLevel="0" collapsed="false">
      <c r="A1472" s="2" t="s">
        <v>140</v>
      </c>
      <c r="B1472" s="2" t="s">
        <v>141</v>
      </c>
      <c r="C1472" s="2" t="s">
        <v>49</v>
      </c>
      <c r="D1472" s="3" t="n">
        <v>46248</v>
      </c>
      <c r="E1472" s="2" t="str">
        <f aca="false">TEXT(D1472,"dddd")</f>
        <v>Friday</v>
      </c>
      <c r="F1472" s="2" t="s">
        <v>457</v>
      </c>
      <c r="G1472" s="2" t="s">
        <v>458</v>
      </c>
      <c r="H1472" s="2" t="s">
        <v>459</v>
      </c>
      <c r="I1472" s="2" t="n">
        <f aca="false">IF(F1472="Present",9,IF(F1472="Half Day",4,0))</f>
        <v>9</v>
      </c>
      <c r="J1472" s="2"/>
      <c r="K1472" s="2"/>
    </row>
    <row r="1473" customFormat="false" ht="15" hidden="false" customHeight="false" outlineLevel="0" collapsed="false">
      <c r="A1473" s="2" t="s">
        <v>140</v>
      </c>
      <c r="B1473" s="2" t="s">
        <v>141</v>
      </c>
      <c r="C1473" s="2" t="s">
        <v>49</v>
      </c>
      <c r="D1473" s="3" t="n">
        <v>46249</v>
      </c>
      <c r="E1473" s="2" t="str">
        <f aca="false">TEXT(D1473,"dddd")</f>
        <v>Saturday</v>
      </c>
      <c r="F1473" s="2" t="s">
        <v>457</v>
      </c>
      <c r="G1473" s="2" t="s">
        <v>458</v>
      </c>
      <c r="H1473" s="2" t="s">
        <v>459</v>
      </c>
      <c r="I1473" s="2" t="n">
        <f aca="false">IF(F1473="Present",9,IF(F1473="Half Day",4,0))</f>
        <v>9</v>
      </c>
      <c r="J1473" s="2"/>
      <c r="K1473" s="2"/>
    </row>
    <row r="1474" customFormat="false" ht="15" hidden="false" customHeight="false" outlineLevel="0" collapsed="false">
      <c r="A1474" s="2" t="s">
        <v>140</v>
      </c>
      <c r="B1474" s="2" t="s">
        <v>141</v>
      </c>
      <c r="C1474" s="2" t="s">
        <v>49</v>
      </c>
      <c r="D1474" s="3" t="n">
        <v>46250</v>
      </c>
      <c r="E1474" s="2" t="str">
        <f aca="false">TEXT(D1474,"dddd")</f>
        <v>Sunday</v>
      </c>
      <c r="F1474" s="2" t="s">
        <v>460</v>
      </c>
      <c r="G1474" s="2"/>
      <c r="H1474" s="2"/>
      <c r="I1474" s="2" t="n">
        <f aca="false">IF(F1474="Present",9,IF(F1474="Half Day",4,0))</f>
        <v>0</v>
      </c>
      <c r="J1474" s="2"/>
      <c r="K1474" s="2" t="s">
        <v>460</v>
      </c>
    </row>
    <row r="1475" customFormat="false" ht="15" hidden="false" customHeight="false" outlineLevel="0" collapsed="false">
      <c r="A1475" s="2" t="s">
        <v>140</v>
      </c>
      <c r="B1475" s="2" t="s">
        <v>141</v>
      </c>
      <c r="C1475" s="2" t="s">
        <v>49</v>
      </c>
      <c r="D1475" s="3" t="n">
        <v>46251</v>
      </c>
      <c r="E1475" s="2" t="str">
        <f aca="false">TEXT(D1475,"dddd")</f>
        <v>Monday</v>
      </c>
      <c r="F1475" s="2" t="s">
        <v>457</v>
      </c>
      <c r="G1475" s="2" t="s">
        <v>458</v>
      </c>
      <c r="H1475" s="2" t="s">
        <v>459</v>
      </c>
      <c r="I1475" s="2" t="n">
        <f aca="false">IF(F1475="Present",9,IF(F1475="Half Day",4,0))</f>
        <v>9</v>
      </c>
      <c r="J1475" s="2"/>
      <c r="K1475" s="2"/>
    </row>
    <row r="1476" customFormat="false" ht="15" hidden="false" customHeight="false" outlineLevel="0" collapsed="false">
      <c r="A1476" s="2" t="s">
        <v>140</v>
      </c>
      <c r="B1476" s="2" t="s">
        <v>141</v>
      </c>
      <c r="C1476" s="2" t="s">
        <v>49</v>
      </c>
      <c r="D1476" s="3" t="n">
        <v>46252</v>
      </c>
      <c r="E1476" s="2" t="str">
        <f aca="false">TEXT(D1476,"dddd")</f>
        <v>Tuesday</v>
      </c>
      <c r="F1476" s="2" t="s">
        <v>457</v>
      </c>
      <c r="G1476" s="2" t="s">
        <v>458</v>
      </c>
      <c r="H1476" s="2" t="s">
        <v>459</v>
      </c>
      <c r="I1476" s="2" t="n">
        <f aca="false">IF(F1476="Present",9,IF(F1476="Half Day",4,0))</f>
        <v>9</v>
      </c>
      <c r="J1476" s="2"/>
      <c r="K1476" s="2"/>
    </row>
    <row r="1477" customFormat="false" ht="15" hidden="false" customHeight="false" outlineLevel="0" collapsed="false">
      <c r="A1477" s="2" t="s">
        <v>140</v>
      </c>
      <c r="B1477" s="2" t="s">
        <v>141</v>
      </c>
      <c r="C1477" s="2" t="s">
        <v>49</v>
      </c>
      <c r="D1477" s="3" t="n">
        <v>46253</v>
      </c>
      <c r="E1477" s="2" t="str">
        <f aca="false">TEXT(D1477,"dddd")</f>
        <v>Wednesday</v>
      </c>
      <c r="F1477" s="2" t="s">
        <v>461</v>
      </c>
      <c r="G1477" s="2"/>
      <c r="H1477" s="2"/>
      <c r="I1477" s="2" t="n">
        <f aca="false">IF(F1477="Present",9,IF(F1477="Half Day",4,0))</f>
        <v>0</v>
      </c>
      <c r="J1477" s="2"/>
      <c r="K1477" s="2" t="s">
        <v>462</v>
      </c>
    </row>
    <row r="1478" customFormat="false" ht="15" hidden="false" customHeight="false" outlineLevel="0" collapsed="false">
      <c r="A1478" s="2" t="s">
        <v>140</v>
      </c>
      <c r="B1478" s="2" t="s">
        <v>141</v>
      </c>
      <c r="C1478" s="2" t="s">
        <v>49</v>
      </c>
      <c r="D1478" s="3" t="n">
        <v>46254</v>
      </c>
      <c r="E1478" s="2" t="str">
        <f aca="false">TEXT(D1478,"dddd")</f>
        <v>Thursday</v>
      </c>
      <c r="F1478" s="2" t="s">
        <v>457</v>
      </c>
      <c r="G1478" s="2" t="s">
        <v>458</v>
      </c>
      <c r="H1478" s="2" t="s">
        <v>459</v>
      </c>
      <c r="I1478" s="2" t="n">
        <f aca="false">IF(F1478="Present",9,IF(F1478="Half Day",4,0))</f>
        <v>9</v>
      </c>
      <c r="J1478" s="2"/>
      <c r="K1478" s="2"/>
    </row>
    <row r="1479" customFormat="false" ht="15" hidden="false" customHeight="false" outlineLevel="0" collapsed="false">
      <c r="A1479" s="2" t="s">
        <v>140</v>
      </c>
      <c r="B1479" s="2" t="s">
        <v>141</v>
      </c>
      <c r="C1479" s="2" t="s">
        <v>49</v>
      </c>
      <c r="D1479" s="3" t="n">
        <v>46255</v>
      </c>
      <c r="E1479" s="2" t="str">
        <f aca="false">TEXT(D1479,"dddd")</f>
        <v>Friday</v>
      </c>
      <c r="F1479" s="2" t="s">
        <v>457</v>
      </c>
      <c r="G1479" s="2" t="s">
        <v>458</v>
      </c>
      <c r="H1479" s="2" t="s">
        <v>459</v>
      </c>
      <c r="I1479" s="2" t="n">
        <f aca="false">IF(F1479="Present",9,IF(F1479="Half Day",4,0))</f>
        <v>9</v>
      </c>
      <c r="J1479" s="2"/>
      <c r="K1479" s="2"/>
    </row>
    <row r="1480" customFormat="false" ht="15" hidden="false" customHeight="false" outlineLevel="0" collapsed="false">
      <c r="A1480" s="2" t="s">
        <v>140</v>
      </c>
      <c r="B1480" s="2" t="s">
        <v>141</v>
      </c>
      <c r="C1480" s="2" t="s">
        <v>49</v>
      </c>
      <c r="D1480" s="3" t="n">
        <v>46256</v>
      </c>
      <c r="E1480" s="2" t="str">
        <f aca="false">TEXT(D1480,"dddd")</f>
        <v>Saturday</v>
      </c>
      <c r="F1480" s="2" t="s">
        <v>457</v>
      </c>
      <c r="G1480" s="2" t="s">
        <v>458</v>
      </c>
      <c r="H1480" s="2" t="s">
        <v>459</v>
      </c>
      <c r="I1480" s="2" t="n">
        <f aca="false">IF(F1480="Present",9,IF(F1480="Half Day",4,0))</f>
        <v>9</v>
      </c>
      <c r="J1480" s="2"/>
      <c r="K1480" s="2"/>
    </row>
    <row r="1481" customFormat="false" ht="15" hidden="false" customHeight="false" outlineLevel="0" collapsed="false">
      <c r="A1481" s="2" t="s">
        <v>140</v>
      </c>
      <c r="B1481" s="2" t="s">
        <v>141</v>
      </c>
      <c r="C1481" s="2" t="s">
        <v>49</v>
      </c>
      <c r="D1481" s="3" t="n">
        <v>46257</v>
      </c>
      <c r="E1481" s="2" t="str">
        <f aca="false">TEXT(D1481,"dddd")</f>
        <v>Sunday</v>
      </c>
      <c r="F1481" s="2" t="s">
        <v>460</v>
      </c>
      <c r="G1481" s="2"/>
      <c r="H1481" s="2"/>
      <c r="I1481" s="2" t="n">
        <f aca="false">IF(F1481="Present",9,IF(F1481="Half Day",4,0))</f>
        <v>0</v>
      </c>
      <c r="J1481" s="2"/>
      <c r="K1481" s="2" t="s">
        <v>460</v>
      </c>
    </row>
    <row r="1482" customFormat="false" ht="15" hidden="false" customHeight="false" outlineLevel="0" collapsed="false">
      <c r="A1482" s="2" t="s">
        <v>140</v>
      </c>
      <c r="B1482" s="2" t="s">
        <v>141</v>
      </c>
      <c r="C1482" s="2" t="s">
        <v>49</v>
      </c>
      <c r="D1482" s="3" t="n">
        <v>46258</v>
      </c>
      <c r="E1482" s="2" t="str">
        <f aca="false">TEXT(D1482,"dddd")</f>
        <v>Monday</v>
      </c>
      <c r="F1482" s="2" t="s">
        <v>457</v>
      </c>
      <c r="G1482" s="2" t="s">
        <v>458</v>
      </c>
      <c r="H1482" s="2" t="s">
        <v>459</v>
      </c>
      <c r="I1482" s="2" t="n">
        <f aca="false">IF(F1482="Present",9,IF(F1482="Half Day",4,0))</f>
        <v>9</v>
      </c>
      <c r="J1482" s="2"/>
      <c r="K1482" s="2"/>
    </row>
    <row r="1483" customFormat="false" ht="15" hidden="false" customHeight="false" outlineLevel="0" collapsed="false">
      <c r="A1483" s="2" t="s">
        <v>140</v>
      </c>
      <c r="B1483" s="2" t="s">
        <v>141</v>
      </c>
      <c r="C1483" s="2" t="s">
        <v>49</v>
      </c>
      <c r="D1483" s="3" t="n">
        <v>46259</v>
      </c>
      <c r="E1483" s="2" t="str">
        <f aca="false">TEXT(D1483,"dddd")</f>
        <v>Tuesday</v>
      </c>
      <c r="F1483" s="2" t="s">
        <v>461</v>
      </c>
      <c r="G1483" s="2"/>
      <c r="H1483" s="2"/>
      <c r="I1483" s="2" t="n">
        <f aca="false">IF(F1483="Present",9,IF(F1483="Half Day",4,0))</f>
        <v>0</v>
      </c>
      <c r="J1483" s="2"/>
      <c r="K1483" s="2" t="s">
        <v>462</v>
      </c>
    </row>
    <row r="1484" customFormat="false" ht="15" hidden="false" customHeight="false" outlineLevel="0" collapsed="false">
      <c r="A1484" s="2" t="s">
        <v>140</v>
      </c>
      <c r="B1484" s="2" t="s">
        <v>141</v>
      </c>
      <c r="C1484" s="2" t="s">
        <v>49</v>
      </c>
      <c r="D1484" s="3" t="n">
        <v>46260</v>
      </c>
      <c r="E1484" s="2" t="str">
        <f aca="false">TEXT(D1484,"dddd")</f>
        <v>Wednesday</v>
      </c>
      <c r="F1484" s="2" t="s">
        <v>457</v>
      </c>
      <c r="G1484" s="2" t="s">
        <v>458</v>
      </c>
      <c r="H1484" s="2" t="s">
        <v>459</v>
      </c>
      <c r="I1484" s="2" t="n">
        <f aca="false">IF(F1484="Present",9,IF(F1484="Half Day",4,0))</f>
        <v>9</v>
      </c>
      <c r="J1484" s="2"/>
      <c r="K1484" s="2"/>
    </row>
    <row r="1485" customFormat="false" ht="15" hidden="false" customHeight="false" outlineLevel="0" collapsed="false">
      <c r="A1485" s="2" t="s">
        <v>140</v>
      </c>
      <c r="B1485" s="2" t="s">
        <v>141</v>
      </c>
      <c r="C1485" s="2" t="s">
        <v>49</v>
      </c>
      <c r="D1485" s="3" t="n">
        <v>46261</v>
      </c>
      <c r="E1485" s="2" t="str">
        <f aca="false">TEXT(D1485,"dddd")</f>
        <v>Thursday</v>
      </c>
      <c r="F1485" s="2" t="s">
        <v>457</v>
      </c>
      <c r="G1485" s="2" t="s">
        <v>458</v>
      </c>
      <c r="H1485" s="2" t="s">
        <v>459</v>
      </c>
      <c r="I1485" s="2" t="n">
        <f aca="false">IF(F1485="Present",9,IF(F1485="Half Day",4,0))</f>
        <v>9</v>
      </c>
      <c r="J1485" s="2"/>
      <c r="K1485" s="2"/>
    </row>
    <row r="1486" customFormat="false" ht="15" hidden="false" customHeight="false" outlineLevel="0" collapsed="false">
      <c r="A1486" s="2" t="s">
        <v>140</v>
      </c>
      <c r="B1486" s="2" t="s">
        <v>141</v>
      </c>
      <c r="C1486" s="2" t="s">
        <v>49</v>
      </c>
      <c r="D1486" s="3" t="n">
        <v>46262</v>
      </c>
      <c r="E1486" s="2" t="str">
        <f aca="false">TEXT(D1486,"dddd")</f>
        <v>Friday</v>
      </c>
      <c r="F1486" s="2" t="s">
        <v>466</v>
      </c>
      <c r="G1486" s="2" t="s">
        <v>458</v>
      </c>
      <c r="H1486" s="2" t="s">
        <v>467</v>
      </c>
      <c r="I1486" s="2" t="n">
        <f aca="false">IF(F1486="Present",9,IF(F1486="Half Day",4,0))</f>
        <v>4</v>
      </c>
      <c r="J1486" s="2"/>
      <c r="K1486" s="2" t="s">
        <v>466</v>
      </c>
    </row>
    <row r="1487" customFormat="false" ht="15" hidden="false" customHeight="false" outlineLevel="0" collapsed="false">
      <c r="A1487" s="2" t="s">
        <v>140</v>
      </c>
      <c r="B1487" s="2" t="s">
        <v>141</v>
      </c>
      <c r="C1487" s="2" t="s">
        <v>49</v>
      </c>
      <c r="D1487" s="3" t="n">
        <v>46263</v>
      </c>
      <c r="E1487" s="2" t="str">
        <f aca="false">TEXT(D1487,"dddd")</f>
        <v>Saturday</v>
      </c>
      <c r="F1487" s="2" t="s">
        <v>457</v>
      </c>
      <c r="G1487" s="2" t="s">
        <v>458</v>
      </c>
      <c r="H1487" s="2" t="s">
        <v>459</v>
      </c>
      <c r="I1487" s="2" t="n">
        <f aca="false">IF(F1487="Present",9,IF(F1487="Half Day",4,0))</f>
        <v>9</v>
      </c>
      <c r="J1487" s="2"/>
      <c r="K1487" s="2"/>
    </row>
    <row r="1488" customFormat="false" ht="15" hidden="false" customHeight="false" outlineLevel="0" collapsed="false">
      <c r="A1488" s="2" t="s">
        <v>140</v>
      </c>
      <c r="B1488" s="2" t="s">
        <v>141</v>
      </c>
      <c r="C1488" s="2" t="s">
        <v>49</v>
      </c>
      <c r="D1488" s="3" t="n">
        <v>46264</v>
      </c>
      <c r="E1488" s="2" t="str">
        <f aca="false">TEXT(D1488,"dddd")</f>
        <v>Sunday</v>
      </c>
      <c r="F1488" s="2" t="s">
        <v>460</v>
      </c>
      <c r="G1488" s="2"/>
      <c r="H1488" s="2"/>
      <c r="I1488" s="2" t="n">
        <f aca="false">IF(F1488="Present",9,IF(F1488="Half Day",4,0))</f>
        <v>0</v>
      </c>
      <c r="J1488" s="2"/>
      <c r="K1488" s="2" t="s">
        <v>460</v>
      </c>
    </row>
    <row r="1489" customFormat="false" ht="15" hidden="false" customHeight="false" outlineLevel="0" collapsed="false">
      <c r="A1489" s="2" t="s">
        <v>140</v>
      </c>
      <c r="B1489" s="2" t="s">
        <v>141</v>
      </c>
      <c r="C1489" s="2" t="s">
        <v>49</v>
      </c>
      <c r="D1489" s="3" t="n">
        <v>46265</v>
      </c>
      <c r="E1489" s="2" t="str">
        <f aca="false">TEXT(D1489,"dddd")</f>
        <v>Monday</v>
      </c>
      <c r="F1489" s="2" t="s">
        <v>457</v>
      </c>
      <c r="G1489" s="2" t="s">
        <v>458</v>
      </c>
      <c r="H1489" s="2" t="s">
        <v>459</v>
      </c>
      <c r="I1489" s="2" t="n">
        <f aca="false">IF(F1489="Present",9,IF(F1489="Half Day",4,0))</f>
        <v>9</v>
      </c>
      <c r="J1489" s="2"/>
      <c r="K1489" s="2"/>
    </row>
    <row r="1490" customFormat="false" ht="15" hidden="false" customHeight="false" outlineLevel="0" collapsed="false">
      <c r="A1490" s="2" t="s">
        <v>142</v>
      </c>
      <c r="B1490" s="2" t="s">
        <v>143</v>
      </c>
      <c r="C1490" s="2" t="s">
        <v>53</v>
      </c>
      <c r="D1490" s="3" t="n">
        <v>46235</v>
      </c>
      <c r="E1490" s="2" t="str">
        <f aca="false">TEXT(D1490,"dddd")</f>
        <v>Saturday</v>
      </c>
      <c r="F1490" s="2" t="s">
        <v>457</v>
      </c>
      <c r="G1490" s="2" t="s">
        <v>458</v>
      </c>
      <c r="H1490" s="2" t="s">
        <v>459</v>
      </c>
      <c r="I1490" s="2" t="n">
        <f aca="false">IF(F1490="Present",9,IF(F1490="Half Day",4,0))</f>
        <v>9</v>
      </c>
      <c r="J1490" s="2"/>
      <c r="K1490" s="2"/>
    </row>
    <row r="1491" customFormat="false" ht="15" hidden="false" customHeight="false" outlineLevel="0" collapsed="false">
      <c r="A1491" s="2" t="s">
        <v>142</v>
      </c>
      <c r="B1491" s="2" t="s">
        <v>143</v>
      </c>
      <c r="C1491" s="2" t="s">
        <v>53</v>
      </c>
      <c r="D1491" s="3" t="n">
        <v>46236</v>
      </c>
      <c r="E1491" s="2" t="str">
        <f aca="false">TEXT(D1491,"dddd")</f>
        <v>Sunday</v>
      </c>
      <c r="F1491" s="2" t="s">
        <v>460</v>
      </c>
      <c r="G1491" s="2"/>
      <c r="H1491" s="2"/>
      <c r="I1491" s="2" t="n">
        <f aca="false">IF(F1491="Present",9,IF(F1491="Half Day",4,0))</f>
        <v>0</v>
      </c>
      <c r="J1491" s="2"/>
      <c r="K1491" s="2" t="s">
        <v>460</v>
      </c>
    </row>
    <row r="1492" customFormat="false" ht="15" hidden="false" customHeight="false" outlineLevel="0" collapsed="false">
      <c r="A1492" s="2" t="s">
        <v>142</v>
      </c>
      <c r="B1492" s="2" t="s">
        <v>143</v>
      </c>
      <c r="C1492" s="2" t="s">
        <v>53</v>
      </c>
      <c r="D1492" s="3" t="n">
        <v>46237</v>
      </c>
      <c r="E1492" s="2" t="str">
        <f aca="false">TEXT(D1492,"dddd")</f>
        <v>Monday</v>
      </c>
      <c r="F1492" s="2" t="s">
        <v>457</v>
      </c>
      <c r="G1492" s="2" t="s">
        <v>458</v>
      </c>
      <c r="H1492" s="2" t="s">
        <v>459</v>
      </c>
      <c r="I1492" s="2" t="n">
        <f aca="false">IF(F1492="Present",9,IF(F1492="Half Day",4,0))</f>
        <v>9</v>
      </c>
      <c r="J1492" s="2"/>
      <c r="K1492" s="2"/>
    </row>
    <row r="1493" customFormat="false" ht="15" hidden="false" customHeight="false" outlineLevel="0" collapsed="false">
      <c r="A1493" s="2" t="s">
        <v>142</v>
      </c>
      <c r="B1493" s="2" t="s">
        <v>143</v>
      </c>
      <c r="C1493" s="2" t="s">
        <v>53</v>
      </c>
      <c r="D1493" s="3" t="n">
        <v>46238</v>
      </c>
      <c r="E1493" s="2" t="str">
        <f aca="false">TEXT(D1493,"dddd")</f>
        <v>Tuesday</v>
      </c>
      <c r="F1493" s="2" t="s">
        <v>457</v>
      </c>
      <c r="G1493" s="2" t="s">
        <v>458</v>
      </c>
      <c r="H1493" s="2" t="s">
        <v>459</v>
      </c>
      <c r="I1493" s="2" t="n">
        <f aca="false">IF(F1493="Present",9,IF(F1493="Half Day",4,0))</f>
        <v>9</v>
      </c>
      <c r="J1493" s="2"/>
      <c r="K1493" s="2"/>
    </row>
    <row r="1494" customFormat="false" ht="15" hidden="false" customHeight="false" outlineLevel="0" collapsed="false">
      <c r="A1494" s="2" t="s">
        <v>142</v>
      </c>
      <c r="B1494" s="2" t="s">
        <v>143</v>
      </c>
      <c r="C1494" s="2" t="s">
        <v>53</v>
      </c>
      <c r="D1494" s="3" t="n">
        <v>46239</v>
      </c>
      <c r="E1494" s="2" t="str">
        <f aca="false">TEXT(D1494,"dddd")</f>
        <v>Wednesday</v>
      </c>
      <c r="F1494" s="2" t="s">
        <v>457</v>
      </c>
      <c r="G1494" s="2" t="s">
        <v>458</v>
      </c>
      <c r="H1494" s="2" t="s">
        <v>459</v>
      </c>
      <c r="I1494" s="2" t="n">
        <f aca="false">IF(F1494="Present",9,IF(F1494="Half Day",4,0))</f>
        <v>9</v>
      </c>
      <c r="J1494" s="2"/>
      <c r="K1494" s="2"/>
    </row>
    <row r="1495" customFormat="false" ht="15" hidden="false" customHeight="false" outlineLevel="0" collapsed="false">
      <c r="A1495" s="2" t="s">
        <v>142</v>
      </c>
      <c r="B1495" s="2" t="s">
        <v>143</v>
      </c>
      <c r="C1495" s="2" t="s">
        <v>53</v>
      </c>
      <c r="D1495" s="3" t="n">
        <v>46240</v>
      </c>
      <c r="E1495" s="2" t="str">
        <f aca="false">TEXT(D1495,"dddd")</f>
        <v>Thursday</v>
      </c>
      <c r="F1495" s="2" t="s">
        <v>457</v>
      </c>
      <c r="G1495" s="2" t="s">
        <v>458</v>
      </c>
      <c r="H1495" s="2" t="s">
        <v>459</v>
      </c>
      <c r="I1495" s="2" t="n">
        <f aca="false">IF(F1495="Present",9,IF(F1495="Half Day",4,0))</f>
        <v>9</v>
      </c>
      <c r="J1495" s="2"/>
      <c r="K1495" s="2"/>
    </row>
    <row r="1496" customFormat="false" ht="15" hidden="false" customHeight="false" outlineLevel="0" collapsed="false">
      <c r="A1496" s="2" t="s">
        <v>142</v>
      </c>
      <c r="B1496" s="2" t="s">
        <v>143</v>
      </c>
      <c r="C1496" s="2" t="s">
        <v>53</v>
      </c>
      <c r="D1496" s="3" t="n">
        <v>46241</v>
      </c>
      <c r="E1496" s="2" t="str">
        <f aca="false">TEXT(D1496,"dddd")</f>
        <v>Friday</v>
      </c>
      <c r="F1496" s="2" t="s">
        <v>461</v>
      </c>
      <c r="G1496" s="2"/>
      <c r="H1496" s="2"/>
      <c r="I1496" s="2" t="n">
        <f aca="false">IF(F1496="Present",9,IF(F1496="Half Day",4,0))</f>
        <v>0</v>
      </c>
      <c r="J1496" s="2"/>
      <c r="K1496" s="2" t="s">
        <v>462</v>
      </c>
    </row>
    <row r="1497" customFormat="false" ht="15" hidden="false" customHeight="false" outlineLevel="0" collapsed="false">
      <c r="A1497" s="2" t="s">
        <v>142</v>
      </c>
      <c r="B1497" s="2" t="s">
        <v>143</v>
      </c>
      <c r="C1497" s="2" t="s">
        <v>53</v>
      </c>
      <c r="D1497" s="3" t="n">
        <v>46242</v>
      </c>
      <c r="E1497" s="2" t="str">
        <f aca="false">TEXT(D1497,"dddd")</f>
        <v>Saturday</v>
      </c>
      <c r="F1497" s="2" t="s">
        <v>457</v>
      </c>
      <c r="G1497" s="2" t="s">
        <v>458</v>
      </c>
      <c r="H1497" s="2" t="s">
        <v>459</v>
      </c>
      <c r="I1497" s="2" t="n">
        <f aca="false">IF(F1497="Present",9,IF(F1497="Half Day",4,0))</f>
        <v>9</v>
      </c>
      <c r="J1497" s="2"/>
      <c r="K1497" s="2"/>
    </row>
    <row r="1498" customFormat="false" ht="15" hidden="false" customHeight="false" outlineLevel="0" collapsed="false">
      <c r="A1498" s="2" t="s">
        <v>142</v>
      </c>
      <c r="B1498" s="2" t="s">
        <v>143</v>
      </c>
      <c r="C1498" s="2" t="s">
        <v>53</v>
      </c>
      <c r="D1498" s="3" t="n">
        <v>46243</v>
      </c>
      <c r="E1498" s="2" t="str">
        <f aca="false">TEXT(D1498,"dddd")</f>
        <v>Sunday</v>
      </c>
      <c r="F1498" s="2" t="s">
        <v>460</v>
      </c>
      <c r="G1498" s="2"/>
      <c r="H1498" s="2"/>
      <c r="I1498" s="2" t="n">
        <f aca="false">IF(F1498="Present",9,IF(F1498="Half Day",4,0))</f>
        <v>0</v>
      </c>
      <c r="J1498" s="2"/>
      <c r="K1498" s="2" t="s">
        <v>460</v>
      </c>
    </row>
    <row r="1499" customFormat="false" ht="15" hidden="false" customHeight="false" outlineLevel="0" collapsed="false">
      <c r="A1499" s="2" t="s">
        <v>142</v>
      </c>
      <c r="B1499" s="2" t="s">
        <v>143</v>
      </c>
      <c r="C1499" s="2" t="s">
        <v>53</v>
      </c>
      <c r="D1499" s="3" t="n">
        <v>46244</v>
      </c>
      <c r="E1499" s="2" t="str">
        <f aca="false">TEXT(D1499,"dddd")</f>
        <v>Monday</v>
      </c>
      <c r="F1499" s="2" t="s">
        <v>457</v>
      </c>
      <c r="G1499" s="2" t="s">
        <v>458</v>
      </c>
      <c r="H1499" s="2" t="s">
        <v>459</v>
      </c>
      <c r="I1499" s="2" t="n">
        <f aca="false">IF(F1499="Present",9,IF(F1499="Half Day",4,0))</f>
        <v>9</v>
      </c>
      <c r="J1499" s="2"/>
      <c r="K1499" s="2"/>
    </row>
    <row r="1500" customFormat="false" ht="15" hidden="false" customHeight="false" outlineLevel="0" collapsed="false">
      <c r="A1500" s="2" t="s">
        <v>142</v>
      </c>
      <c r="B1500" s="2" t="s">
        <v>143</v>
      </c>
      <c r="C1500" s="2" t="s">
        <v>53</v>
      </c>
      <c r="D1500" s="3" t="n">
        <v>46245</v>
      </c>
      <c r="E1500" s="2" t="str">
        <f aca="false">TEXT(D1500,"dddd")</f>
        <v>Tuesday</v>
      </c>
      <c r="F1500" s="2" t="s">
        <v>457</v>
      </c>
      <c r="G1500" s="2" t="s">
        <v>458</v>
      </c>
      <c r="H1500" s="2" t="s">
        <v>459</v>
      </c>
      <c r="I1500" s="2" t="n">
        <f aca="false">IF(F1500="Present",9,IF(F1500="Half Day",4,0))</f>
        <v>9</v>
      </c>
      <c r="J1500" s="2"/>
      <c r="K1500" s="2"/>
    </row>
    <row r="1501" customFormat="false" ht="15" hidden="false" customHeight="false" outlineLevel="0" collapsed="false">
      <c r="A1501" s="2" t="s">
        <v>142</v>
      </c>
      <c r="B1501" s="2" t="s">
        <v>143</v>
      </c>
      <c r="C1501" s="2" t="s">
        <v>53</v>
      </c>
      <c r="D1501" s="3" t="n">
        <v>46246</v>
      </c>
      <c r="E1501" s="2" t="str">
        <f aca="false">TEXT(D1501,"dddd")</f>
        <v>Wednesday</v>
      </c>
      <c r="F1501" s="2" t="s">
        <v>457</v>
      </c>
      <c r="G1501" s="2" t="s">
        <v>458</v>
      </c>
      <c r="H1501" s="2" t="s">
        <v>459</v>
      </c>
      <c r="I1501" s="2" t="n">
        <f aca="false">IF(F1501="Present",9,IF(F1501="Half Day",4,0))</f>
        <v>9</v>
      </c>
      <c r="J1501" s="2"/>
      <c r="K1501" s="2"/>
    </row>
    <row r="1502" customFormat="false" ht="15" hidden="false" customHeight="false" outlineLevel="0" collapsed="false">
      <c r="A1502" s="2" t="s">
        <v>142</v>
      </c>
      <c r="B1502" s="2" t="s">
        <v>143</v>
      </c>
      <c r="C1502" s="2" t="s">
        <v>53</v>
      </c>
      <c r="D1502" s="3" t="n">
        <v>46247</v>
      </c>
      <c r="E1502" s="2" t="str">
        <f aca="false">TEXT(D1502,"dddd")</f>
        <v>Thursday</v>
      </c>
      <c r="F1502" s="2" t="s">
        <v>457</v>
      </c>
      <c r="G1502" s="2" t="s">
        <v>458</v>
      </c>
      <c r="H1502" s="2" t="s">
        <v>459</v>
      </c>
      <c r="I1502" s="2" t="n">
        <f aca="false">IF(F1502="Present",9,IF(F1502="Half Day",4,0))</f>
        <v>9</v>
      </c>
      <c r="J1502" s="2"/>
      <c r="K1502" s="2"/>
    </row>
    <row r="1503" customFormat="false" ht="15" hidden="false" customHeight="false" outlineLevel="0" collapsed="false">
      <c r="A1503" s="2" t="s">
        <v>142</v>
      </c>
      <c r="B1503" s="2" t="s">
        <v>143</v>
      </c>
      <c r="C1503" s="2" t="s">
        <v>53</v>
      </c>
      <c r="D1503" s="3" t="n">
        <v>46248</v>
      </c>
      <c r="E1503" s="2" t="str">
        <f aca="false">TEXT(D1503,"dddd")</f>
        <v>Friday</v>
      </c>
      <c r="F1503" s="2" t="s">
        <v>457</v>
      </c>
      <c r="G1503" s="2" t="s">
        <v>458</v>
      </c>
      <c r="H1503" s="2" t="s">
        <v>459</v>
      </c>
      <c r="I1503" s="2" t="n">
        <f aca="false">IF(F1503="Present",9,IF(F1503="Half Day",4,0))</f>
        <v>9</v>
      </c>
      <c r="J1503" s="2"/>
      <c r="K1503" s="2"/>
    </row>
    <row r="1504" customFormat="false" ht="15" hidden="false" customHeight="false" outlineLevel="0" collapsed="false">
      <c r="A1504" s="2" t="s">
        <v>142</v>
      </c>
      <c r="B1504" s="2" t="s">
        <v>143</v>
      </c>
      <c r="C1504" s="2" t="s">
        <v>53</v>
      </c>
      <c r="D1504" s="3" t="n">
        <v>46249</v>
      </c>
      <c r="E1504" s="2" t="str">
        <f aca="false">TEXT(D1504,"dddd")</f>
        <v>Saturday</v>
      </c>
      <c r="F1504" s="2" t="s">
        <v>457</v>
      </c>
      <c r="G1504" s="2" t="s">
        <v>458</v>
      </c>
      <c r="H1504" s="2" t="s">
        <v>459</v>
      </c>
      <c r="I1504" s="2" t="n">
        <f aca="false">IF(F1504="Present",9,IF(F1504="Half Day",4,0))</f>
        <v>9</v>
      </c>
      <c r="J1504" s="2"/>
      <c r="K1504" s="2"/>
    </row>
    <row r="1505" customFormat="false" ht="15" hidden="false" customHeight="false" outlineLevel="0" collapsed="false">
      <c r="A1505" s="2" t="s">
        <v>142</v>
      </c>
      <c r="B1505" s="2" t="s">
        <v>143</v>
      </c>
      <c r="C1505" s="2" t="s">
        <v>53</v>
      </c>
      <c r="D1505" s="3" t="n">
        <v>46250</v>
      </c>
      <c r="E1505" s="2" t="str">
        <f aca="false">TEXT(D1505,"dddd")</f>
        <v>Sunday</v>
      </c>
      <c r="F1505" s="2" t="s">
        <v>460</v>
      </c>
      <c r="G1505" s="2"/>
      <c r="H1505" s="2"/>
      <c r="I1505" s="2" t="n">
        <f aca="false">IF(F1505="Present",9,IF(F1505="Half Day",4,0))</f>
        <v>0</v>
      </c>
      <c r="J1505" s="2"/>
      <c r="K1505" s="2" t="s">
        <v>460</v>
      </c>
    </row>
    <row r="1506" customFormat="false" ht="15" hidden="false" customHeight="false" outlineLevel="0" collapsed="false">
      <c r="A1506" s="2" t="s">
        <v>142</v>
      </c>
      <c r="B1506" s="2" t="s">
        <v>143</v>
      </c>
      <c r="C1506" s="2" t="s">
        <v>53</v>
      </c>
      <c r="D1506" s="3" t="n">
        <v>46251</v>
      </c>
      <c r="E1506" s="2" t="str">
        <f aca="false">TEXT(D1506,"dddd")</f>
        <v>Monday</v>
      </c>
      <c r="F1506" s="2" t="s">
        <v>457</v>
      </c>
      <c r="G1506" s="2" t="s">
        <v>458</v>
      </c>
      <c r="H1506" s="2" t="s">
        <v>459</v>
      </c>
      <c r="I1506" s="2" t="n">
        <f aca="false">IF(F1506="Present",9,IF(F1506="Half Day",4,0))</f>
        <v>9</v>
      </c>
      <c r="J1506" s="2"/>
      <c r="K1506" s="2"/>
    </row>
    <row r="1507" customFormat="false" ht="15" hidden="false" customHeight="false" outlineLevel="0" collapsed="false">
      <c r="A1507" s="2" t="s">
        <v>142</v>
      </c>
      <c r="B1507" s="2" t="s">
        <v>143</v>
      </c>
      <c r="C1507" s="2" t="s">
        <v>53</v>
      </c>
      <c r="D1507" s="3" t="n">
        <v>46252</v>
      </c>
      <c r="E1507" s="2" t="str">
        <f aca="false">TEXT(D1507,"dddd")</f>
        <v>Tuesday</v>
      </c>
      <c r="F1507" s="2" t="s">
        <v>457</v>
      </c>
      <c r="G1507" s="2" t="s">
        <v>458</v>
      </c>
      <c r="H1507" s="2" t="s">
        <v>459</v>
      </c>
      <c r="I1507" s="2" t="n">
        <f aca="false">IF(F1507="Present",9,IF(F1507="Half Day",4,0))</f>
        <v>9</v>
      </c>
      <c r="J1507" s="2"/>
      <c r="K1507" s="2"/>
    </row>
    <row r="1508" customFormat="false" ht="15" hidden="false" customHeight="false" outlineLevel="0" collapsed="false">
      <c r="A1508" s="2" t="s">
        <v>142</v>
      </c>
      <c r="B1508" s="2" t="s">
        <v>143</v>
      </c>
      <c r="C1508" s="2" t="s">
        <v>53</v>
      </c>
      <c r="D1508" s="3" t="n">
        <v>46253</v>
      </c>
      <c r="E1508" s="2" t="str">
        <f aca="false">TEXT(D1508,"dddd")</f>
        <v>Wednesday</v>
      </c>
      <c r="F1508" s="2" t="s">
        <v>461</v>
      </c>
      <c r="G1508" s="2"/>
      <c r="H1508" s="2"/>
      <c r="I1508" s="2" t="n">
        <f aca="false">IF(F1508="Present",9,IF(F1508="Half Day",4,0))</f>
        <v>0</v>
      </c>
      <c r="J1508" s="2"/>
      <c r="K1508" s="2" t="s">
        <v>462</v>
      </c>
    </row>
    <row r="1509" customFormat="false" ht="15" hidden="false" customHeight="false" outlineLevel="0" collapsed="false">
      <c r="A1509" s="2" t="s">
        <v>142</v>
      </c>
      <c r="B1509" s="2" t="s">
        <v>143</v>
      </c>
      <c r="C1509" s="2" t="s">
        <v>53</v>
      </c>
      <c r="D1509" s="3" t="n">
        <v>46254</v>
      </c>
      <c r="E1509" s="2" t="str">
        <f aca="false">TEXT(D1509,"dddd")</f>
        <v>Thursday</v>
      </c>
      <c r="F1509" s="2" t="s">
        <v>461</v>
      </c>
      <c r="G1509" s="2"/>
      <c r="H1509" s="2"/>
      <c r="I1509" s="2" t="n">
        <f aca="false">IF(F1509="Present",9,IF(F1509="Half Day",4,0))</f>
        <v>0</v>
      </c>
      <c r="J1509" s="2"/>
      <c r="K1509" s="2" t="s">
        <v>462</v>
      </c>
    </row>
    <row r="1510" customFormat="false" ht="15" hidden="false" customHeight="false" outlineLevel="0" collapsed="false">
      <c r="A1510" s="2" t="s">
        <v>142</v>
      </c>
      <c r="B1510" s="2" t="s">
        <v>143</v>
      </c>
      <c r="C1510" s="2" t="s">
        <v>53</v>
      </c>
      <c r="D1510" s="3" t="n">
        <v>46255</v>
      </c>
      <c r="E1510" s="2" t="str">
        <f aca="false">TEXT(D1510,"dddd")</f>
        <v>Friday</v>
      </c>
      <c r="F1510" s="2" t="s">
        <v>461</v>
      </c>
      <c r="G1510" s="2"/>
      <c r="H1510" s="2"/>
      <c r="I1510" s="2" t="n">
        <f aca="false">IF(F1510="Present",9,IF(F1510="Half Day",4,0))</f>
        <v>0</v>
      </c>
      <c r="J1510" s="2"/>
      <c r="K1510" s="2" t="s">
        <v>462</v>
      </c>
    </row>
    <row r="1511" customFormat="false" ht="15" hidden="false" customHeight="false" outlineLevel="0" collapsed="false">
      <c r="A1511" s="2" t="s">
        <v>142</v>
      </c>
      <c r="B1511" s="2" t="s">
        <v>143</v>
      </c>
      <c r="C1511" s="2" t="s">
        <v>53</v>
      </c>
      <c r="D1511" s="3" t="n">
        <v>46256</v>
      </c>
      <c r="E1511" s="2" t="str">
        <f aca="false">TEXT(D1511,"dddd")</f>
        <v>Saturday</v>
      </c>
      <c r="F1511" s="2" t="s">
        <v>457</v>
      </c>
      <c r="G1511" s="2" t="s">
        <v>458</v>
      </c>
      <c r="H1511" s="2" t="s">
        <v>459</v>
      </c>
      <c r="I1511" s="2" t="n">
        <f aca="false">IF(F1511="Present",9,IF(F1511="Half Day",4,0))</f>
        <v>9</v>
      </c>
      <c r="J1511" s="2"/>
      <c r="K1511" s="2"/>
    </row>
    <row r="1512" customFormat="false" ht="15" hidden="false" customHeight="false" outlineLevel="0" collapsed="false">
      <c r="A1512" s="2" t="s">
        <v>142</v>
      </c>
      <c r="B1512" s="2" t="s">
        <v>143</v>
      </c>
      <c r="C1512" s="2" t="s">
        <v>53</v>
      </c>
      <c r="D1512" s="3" t="n">
        <v>46257</v>
      </c>
      <c r="E1512" s="2" t="str">
        <f aca="false">TEXT(D1512,"dddd")</f>
        <v>Sunday</v>
      </c>
      <c r="F1512" s="2" t="s">
        <v>460</v>
      </c>
      <c r="G1512" s="2"/>
      <c r="H1512" s="2"/>
      <c r="I1512" s="2" t="n">
        <f aca="false">IF(F1512="Present",9,IF(F1512="Half Day",4,0))</f>
        <v>0</v>
      </c>
      <c r="J1512" s="2"/>
      <c r="K1512" s="2" t="s">
        <v>460</v>
      </c>
    </row>
    <row r="1513" customFormat="false" ht="15" hidden="false" customHeight="false" outlineLevel="0" collapsed="false">
      <c r="A1513" s="2" t="s">
        <v>142</v>
      </c>
      <c r="B1513" s="2" t="s">
        <v>143</v>
      </c>
      <c r="C1513" s="2" t="s">
        <v>53</v>
      </c>
      <c r="D1513" s="3" t="n">
        <v>46258</v>
      </c>
      <c r="E1513" s="2" t="str">
        <f aca="false">TEXT(D1513,"dddd")</f>
        <v>Monday</v>
      </c>
      <c r="F1513" s="2" t="s">
        <v>457</v>
      </c>
      <c r="G1513" s="2" t="s">
        <v>458</v>
      </c>
      <c r="H1513" s="2" t="s">
        <v>459</v>
      </c>
      <c r="I1513" s="2" t="n">
        <f aca="false">IF(F1513="Present",9,IF(F1513="Half Day",4,0))</f>
        <v>9</v>
      </c>
      <c r="J1513" s="2"/>
      <c r="K1513" s="2"/>
    </row>
    <row r="1514" customFormat="false" ht="15" hidden="false" customHeight="false" outlineLevel="0" collapsed="false">
      <c r="A1514" s="2" t="s">
        <v>142</v>
      </c>
      <c r="B1514" s="2" t="s">
        <v>143</v>
      </c>
      <c r="C1514" s="2" t="s">
        <v>53</v>
      </c>
      <c r="D1514" s="3" t="n">
        <v>46259</v>
      </c>
      <c r="E1514" s="2" t="str">
        <f aca="false">TEXT(D1514,"dddd")</f>
        <v>Tuesday</v>
      </c>
      <c r="F1514" s="2" t="s">
        <v>457</v>
      </c>
      <c r="G1514" s="2" t="s">
        <v>458</v>
      </c>
      <c r="H1514" s="2" t="s">
        <v>459</v>
      </c>
      <c r="I1514" s="2" t="n">
        <f aca="false">IF(F1514="Present",9,IF(F1514="Half Day",4,0))</f>
        <v>9</v>
      </c>
      <c r="J1514" s="2"/>
      <c r="K1514" s="2"/>
    </row>
    <row r="1515" customFormat="false" ht="15" hidden="false" customHeight="false" outlineLevel="0" collapsed="false">
      <c r="A1515" s="2" t="s">
        <v>142</v>
      </c>
      <c r="B1515" s="2" t="s">
        <v>143</v>
      </c>
      <c r="C1515" s="2" t="s">
        <v>53</v>
      </c>
      <c r="D1515" s="3" t="n">
        <v>46260</v>
      </c>
      <c r="E1515" s="2" t="str">
        <f aca="false">TEXT(D1515,"dddd")</f>
        <v>Wednesday</v>
      </c>
      <c r="F1515" s="2" t="s">
        <v>457</v>
      </c>
      <c r="G1515" s="2" t="s">
        <v>458</v>
      </c>
      <c r="H1515" s="2" t="s">
        <v>459</v>
      </c>
      <c r="I1515" s="2" t="n">
        <f aca="false">IF(F1515="Present",9,IF(F1515="Half Day",4,0))</f>
        <v>9</v>
      </c>
      <c r="J1515" s="2"/>
      <c r="K1515" s="2"/>
    </row>
    <row r="1516" customFormat="false" ht="15" hidden="false" customHeight="false" outlineLevel="0" collapsed="false">
      <c r="A1516" s="2" t="s">
        <v>142</v>
      </c>
      <c r="B1516" s="2" t="s">
        <v>143</v>
      </c>
      <c r="C1516" s="2" t="s">
        <v>53</v>
      </c>
      <c r="D1516" s="3" t="n">
        <v>46261</v>
      </c>
      <c r="E1516" s="2" t="str">
        <f aca="false">TEXT(D1516,"dddd")</f>
        <v>Thursday</v>
      </c>
      <c r="F1516" s="2" t="s">
        <v>457</v>
      </c>
      <c r="G1516" s="2" t="s">
        <v>458</v>
      </c>
      <c r="H1516" s="2" t="s">
        <v>459</v>
      </c>
      <c r="I1516" s="2" t="n">
        <f aca="false">IF(F1516="Present",9,IF(F1516="Half Day",4,0))</f>
        <v>9</v>
      </c>
      <c r="J1516" s="2"/>
      <c r="K1516" s="2"/>
    </row>
    <row r="1517" customFormat="false" ht="15" hidden="false" customHeight="false" outlineLevel="0" collapsed="false">
      <c r="A1517" s="2" t="s">
        <v>142</v>
      </c>
      <c r="B1517" s="2" t="s">
        <v>143</v>
      </c>
      <c r="C1517" s="2" t="s">
        <v>53</v>
      </c>
      <c r="D1517" s="3" t="n">
        <v>46262</v>
      </c>
      <c r="E1517" s="2" t="str">
        <f aca="false">TEXT(D1517,"dddd")</f>
        <v>Friday</v>
      </c>
      <c r="F1517" s="2" t="s">
        <v>457</v>
      </c>
      <c r="G1517" s="2" t="s">
        <v>458</v>
      </c>
      <c r="H1517" s="2" t="s">
        <v>459</v>
      </c>
      <c r="I1517" s="2" t="n">
        <f aca="false">IF(F1517="Present",9,IF(F1517="Half Day",4,0))</f>
        <v>9</v>
      </c>
      <c r="J1517" s="2"/>
      <c r="K1517" s="2"/>
    </row>
    <row r="1518" customFormat="false" ht="15" hidden="false" customHeight="false" outlineLevel="0" collapsed="false">
      <c r="A1518" s="2" t="s">
        <v>142</v>
      </c>
      <c r="B1518" s="2" t="s">
        <v>143</v>
      </c>
      <c r="C1518" s="2" t="s">
        <v>53</v>
      </c>
      <c r="D1518" s="3" t="n">
        <v>46263</v>
      </c>
      <c r="E1518" s="2" t="str">
        <f aca="false">TEXT(D1518,"dddd")</f>
        <v>Saturday</v>
      </c>
      <c r="F1518" s="2" t="s">
        <v>457</v>
      </c>
      <c r="G1518" s="2" t="s">
        <v>458</v>
      </c>
      <c r="H1518" s="2" t="s">
        <v>459</v>
      </c>
      <c r="I1518" s="2" t="n">
        <f aca="false">IF(F1518="Present",9,IF(F1518="Half Day",4,0))</f>
        <v>9</v>
      </c>
      <c r="J1518" s="2"/>
      <c r="K1518" s="2"/>
    </row>
    <row r="1519" customFormat="false" ht="15" hidden="false" customHeight="false" outlineLevel="0" collapsed="false">
      <c r="A1519" s="2" t="s">
        <v>142</v>
      </c>
      <c r="B1519" s="2" t="s">
        <v>143</v>
      </c>
      <c r="C1519" s="2" t="s">
        <v>53</v>
      </c>
      <c r="D1519" s="3" t="n">
        <v>46264</v>
      </c>
      <c r="E1519" s="2" t="str">
        <f aca="false">TEXT(D1519,"dddd")</f>
        <v>Sunday</v>
      </c>
      <c r="F1519" s="2" t="s">
        <v>460</v>
      </c>
      <c r="G1519" s="2"/>
      <c r="H1519" s="2"/>
      <c r="I1519" s="2" t="n">
        <f aca="false">IF(F1519="Present",9,IF(F1519="Half Day",4,0))</f>
        <v>0</v>
      </c>
      <c r="J1519" s="2"/>
      <c r="K1519" s="2" t="s">
        <v>460</v>
      </c>
    </row>
    <row r="1520" customFormat="false" ht="15" hidden="false" customHeight="false" outlineLevel="0" collapsed="false">
      <c r="A1520" s="2" t="s">
        <v>142</v>
      </c>
      <c r="B1520" s="2" t="s">
        <v>143</v>
      </c>
      <c r="C1520" s="2" t="s">
        <v>53</v>
      </c>
      <c r="D1520" s="3" t="n">
        <v>46265</v>
      </c>
      <c r="E1520" s="2" t="str">
        <f aca="false">TEXT(D1520,"dddd")</f>
        <v>Monday</v>
      </c>
      <c r="F1520" s="2" t="s">
        <v>457</v>
      </c>
      <c r="G1520" s="2" t="s">
        <v>458</v>
      </c>
      <c r="H1520" s="2" t="s">
        <v>459</v>
      </c>
      <c r="I1520" s="2" t="n">
        <f aca="false">IF(F1520="Present",9,IF(F1520="Half Day",4,0))</f>
        <v>9</v>
      </c>
      <c r="J1520" s="2"/>
      <c r="K1520" s="2"/>
    </row>
    <row r="1521" customFormat="false" ht="15" hidden="false" customHeight="false" outlineLevel="0" collapsed="false">
      <c r="A1521" s="2" t="s">
        <v>144</v>
      </c>
      <c r="B1521" s="2" t="s">
        <v>145</v>
      </c>
      <c r="C1521" s="2" t="s">
        <v>57</v>
      </c>
      <c r="D1521" s="3" t="n">
        <v>46235</v>
      </c>
      <c r="E1521" s="2" t="str">
        <f aca="false">TEXT(D1521,"dddd")</f>
        <v>Saturday</v>
      </c>
      <c r="F1521" s="2" t="s">
        <v>457</v>
      </c>
      <c r="G1521" s="2" t="s">
        <v>458</v>
      </c>
      <c r="H1521" s="2" t="s">
        <v>459</v>
      </c>
      <c r="I1521" s="2" t="n">
        <f aca="false">IF(F1521="Present",9,IF(F1521="Half Day",4,0))</f>
        <v>9</v>
      </c>
      <c r="J1521" s="2"/>
      <c r="K1521" s="2"/>
    </row>
    <row r="1522" customFormat="false" ht="15" hidden="false" customHeight="false" outlineLevel="0" collapsed="false">
      <c r="A1522" s="2" t="s">
        <v>144</v>
      </c>
      <c r="B1522" s="2" t="s">
        <v>145</v>
      </c>
      <c r="C1522" s="2" t="s">
        <v>57</v>
      </c>
      <c r="D1522" s="3" t="n">
        <v>46236</v>
      </c>
      <c r="E1522" s="2" t="str">
        <f aca="false">TEXT(D1522,"dddd")</f>
        <v>Sunday</v>
      </c>
      <c r="F1522" s="2" t="s">
        <v>460</v>
      </c>
      <c r="G1522" s="2"/>
      <c r="H1522" s="2"/>
      <c r="I1522" s="2" t="n">
        <f aca="false">IF(F1522="Present",9,IF(F1522="Half Day",4,0))</f>
        <v>0</v>
      </c>
      <c r="J1522" s="2"/>
      <c r="K1522" s="2" t="s">
        <v>460</v>
      </c>
    </row>
    <row r="1523" customFormat="false" ht="15" hidden="false" customHeight="false" outlineLevel="0" collapsed="false">
      <c r="A1523" s="2" t="s">
        <v>144</v>
      </c>
      <c r="B1523" s="2" t="s">
        <v>145</v>
      </c>
      <c r="C1523" s="2" t="s">
        <v>57</v>
      </c>
      <c r="D1523" s="3" t="n">
        <v>46237</v>
      </c>
      <c r="E1523" s="2" t="str">
        <f aca="false">TEXT(D1523,"dddd")</f>
        <v>Monday</v>
      </c>
      <c r="F1523" s="2" t="s">
        <v>457</v>
      </c>
      <c r="G1523" s="2" t="s">
        <v>458</v>
      </c>
      <c r="H1523" s="2" t="s">
        <v>459</v>
      </c>
      <c r="I1523" s="2" t="n">
        <f aca="false">IF(F1523="Present",9,IF(F1523="Half Day",4,0))</f>
        <v>9</v>
      </c>
      <c r="J1523" s="2"/>
      <c r="K1523" s="2"/>
    </row>
    <row r="1524" customFormat="false" ht="15" hidden="false" customHeight="false" outlineLevel="0" collapsed="false">
      <c r="A1524" s="2" t="s">
        <v>144</v>
      </c>
      <c r="B1524" s="2" t="s">
        <v>145</v>
      </c>
      <c r="C1524" s="2" t="s">
        <v>57</v>
      </c>
      <c r="D1524" s="3" t="n">
        <v>46238</v>
      </c>
      <c r="E1524" s="2" t="str">
        <f aca="false">TEXT(D1524,"dddd")</f>
        <v>Tuesday</v>
      </c>
      <c r="F1524" s="2" t="s">
        <v>457</v>
      </c>
      <c r="G1524" s="2" t="s">
        <v>458</v>
      </c>
      <c r="H1524" s="2" t="s">
        <v>459</v>
      </c>
      <c r="I1524" s="2" t="n">
        <f aca="false">IF(F1524="Present",9,IF(F1524="Half Day",4,0))</f>
        <v>9</v>
      </c>
      <c r="J1524" s="2"/>
      <c r="K1524" s="2"/>
    </row>
    <row r="1525" customFormat="false" ht="15" hidden="false" customHeight="false" outlineLevel="0" collapsed="false">
      <c r="A1525" s="2" t="s">
        <v>144</v>
      </c>
      <c r="B1525" s="2" t="s">
        <v>145</v>
      </c>
      <c r="C1525" s="2" t="s">
        <v>57</v>
      </c>
      <c r="D1525" s="3" t="n">
        <v>46239</v>
      </c>
      <c r="E1525" s="2" t="str">
        <f aca="false">TEXT(D1525,"dddd")</f>
        <v>Wednesday</v>
      </c>
      <c r="F1525" s="2" t="s">
        <v>457</v>
      </c>
      <c r="G1525" s="2" t="s">
        <v>458</v>
      </c>
      <c r="H1525" s="2" t="s">
        <v>459</v>
      </c>
      <c r="I1525" s="2" t="n">
        <f aca="false">IF(F1525="Present",9,IF(F1525="Half Day",4,0))</f>
        <v>9</v>
      </c>
      <c r="J1525" s="2"/>
      <c r="K1525" s="2"/>
    </row>
    <row r="1526" customFormat="false" ht="15" hidden="false" customHeight="false" outlineLevel="0" collapsed="false">
      <c r="A1526" s="2" t="s">
        <v>144</v>
      </c>
      <c r="B1526" s="2" t="s">
        <v>145</v>
      </c>
      <c r="C1526" s="2" t="s">
        <v>57</v>
      </c>
      <c r="D1526" s="3" t="n">
        <v>46240</v>
      </c>
      <c r="E1526" s="2" t="str">
        <f aca="false">TEXT(D1526,"dddd")</f>
        <v>Thursday</v>
      </c>
      <c r="F1526" s="2" t="s">
        <v>457</v>
      </c>
      <c r="G1526" s="2" t="s">
        <v>458</v>
      </c>
      <c r="H1526" s="2" t="s">
        <v>459</v>
      </c>
      <c r="I1526" s="2" t="n">
        <f aca="false">IF(F1526="Present",9,IF(F1526="Half Day",4,0))</f>
        <v>9</v>
      </c>
      <c r="J1526" s="2"/>
      <c r="K1526" s="2"/>
    </row>
    <row r="1527" customFormat="false" ht="15" hidden="false" customHeight="false" outlineLevel="0" collapsed="false">
      <c r="A1527" s="2" t="s">
        <v>144</v>
      </c>
      <c r="B1527" s="2" t="s">
        <v>145</v>
      </c>
      <c r="C1527" s="2" t="s">
        <v>57</v>
      </c>
      <c r="D1527" s="3" t="n">
        <v>46241</v>
      </c>
      <c r="E1527" s="2" t="str">
        <f aca="false">TEXT(D1527,"dddd")</f>
        <v>Friday</v>
      </c>
      <c r="F1527" s="2" t="s">
        <v>461</v>
      </c>
      <c r="G1527" s="2"/>
      <c r="H1527" s="2"/>
      <c r="I1527" s="2" t="n">
        <f aca="false">IF(F1527="Present",9,IF(F1527="Half Day",4,0))</f>
        <v>0</v>
      </c>
      <c r="J1527" s="2"/>
      <c r="K1527" s="2" t="s">
        <v>462</v>
      </c>
    </row>
    <row r="1528" customFormat="false" ht="15" hidden="false" customHeight="false" outlineLevel="0" collapsed="false">
      <c r="A1528" s="2" t="s">
        <v>144</v>
      </c>
      <c r="B1528" s="2" t="s">
        <v>145</v>
      </c>
      <c r="C1528" s="2" t="s">
        <v>57</v>
      </c>
      <c r="D1528" s="3" t="n">
        <v>46242</v>
      </c>
      <c r="E1528" s="2" t="str">
        <f aca="false">TEXT(D1528,"dddd")</f>
        <v>Saturday</v>
      </c>
      <c r="F1528" s="2" t="s">
        <v>457</v>
      </c>
      <c r="G1528" s="2" t="s">
        <v>458</v>
      </c>
      <c r="H1528" s="2" t="s">
        <v>459</v>
      </c>
      <c r="I1528" s="2" t="n">
        <f aca="false">IF(F1528="Present",9,IF(F1528="Half Day",4,0))</f>
        <v>9</v>
      </c>
      <c r="J1528" s="2"/>
      <c r="K1528" s="2"/>
    </row>
    <row r="1529" customFormat="false" ht="15" hidden="false" customHeight="false" outlineLevel="0" collapsed="false">
      <c r="A1529" s="2" t="s">
        <v>144</v>
      </c>
      <c r="B1529" s="2" t="s">
        <v>145</v>
      </c>
      <c r="C1529" s="2" t="s">
        <v>57</v>
      </c>
      <c r="D1529" s="3" t="n">
        <v>46243</v>
      </c>
      <c r="E1529" s="2" t="str">
        <f aca="false">TEXT(D1529,"dddd")</f>
        <v>Sunday</v>
      </c>
      <c r="F1529" s="2" t="s">
        <v>460</v>
      </c>
      <c r="G1529" s="2"/>
      <c r="H1529" s="2"/>
      <c r="I1529" s="2" t="n">
        <f aca="false">IF(F1529="Present",9,IF(F1529="Half Day",4,0))</f>
        <v>0</v>
      </c>
      <c r="J1529" s="2"/>
      <c r="K1529" s="2" t="s">
        <v>460</v>
      </c>
    </row>
    <row r="1530" customFormat="false" ht="15" hidden="false" customHeight="false" outlineLevel="0" collapsed="false">
      <c r="A1530" s="2" t="s">
        <v>144</v>
      </c>
      <c r="B1530" s="2" t="s">
        <v>145</v>
      </c>
      <c r="C1530" s="2" t="s">
        <v>57</v>
      </c>
      <c r="D1530" s="3" t="n">
        <v>46244</v>
      </c>
      <c r="E1530" s="2" t="str">
        <f aca="false">TEXT(D1530,"dddd")</f>
        <v>Monday</v>
      </c>
      <c r="F1530" s="2" t="s">
        <v>457</v>
      </c>
      <c r="G1530" s="2" t="s">
        <v>458</v>
      </c>
      <c r="H1530" s="2" t="s">
        <v>459</v>
      </c>
      <c r="I1530" s="2" t="n">
        <f aca="false">IF(F1530="Present",9,IF(F1530="Half Day",4,0))</f>
        <v>9</v>
      </c>
      <c r="J1530" s="2"/>
      <c r="K1530" s="2"/>
    </row>
    <row r="1531" customFormat="false" ht="15" hidden="false" customHeight="false" outlineLevel="0" collapsed="false">
      <c r="A1531" s="2" t="s">
        <v>144</v>
      </c>
      <c r="B1531" s="2" t="s">
        <v>145</v>
      </c>
      <c r="C1531" s="2" t="s">
        <v>57</v>
      </c>
      <c r="D1531" s="3" t="n">
        <v>46245</v>
      </c>
      <c r="E1531" s="2" t="str">
        <f aca="false">TEXT(D1531,"dddd")</f>
        <v>Tuesday</v>
      </c>
      <c r="F1531" s="2" t="s">
        <v>457</v>
      </c>
      <c r="G1531" s="2" t="s">
        <v>458</v>
      </c>
      <c r="H1531" s="2" t="s">
        <v>459</v>
      </c>
      <c r="I1531" s="2" t="n">
        <f aca="false">IF(F1531="Present",9,IF(F1531="Half Day",4,0))</f>
        <v>9</v>
      </c>
      <c r="J1531" s="2"/>
      <c r="K1531" s="2"/>
    </row>
    <row r="1532" customFormat="false" ht="15" hidden="false" customHeight="false" outlineLevel="0" collapsed="false">
      <c r="A1532" s="2" t="s">
        <v>144</v>
      </c>
      <c r="B1532" s="2" t="s">
        <v>145</v>
      </c>
      <c r="C1532" s="2" t="s">
        <v>57</v>
      </c>
      <c r="D1532" s="3" t="n">
        <v>46246</v>
      </c>
      <c r="E1532" s="2" t="str">
        <f aca="false">TEXT(D1532,"dddd")</f>
        <v>Wednesday</v>
      </c>
      <c r="F1532" s="2" t="s">
        <v>457</v>
      </c>
      <c r="G1532" s="2" t="s">
        <v>458</v>
      </c>
      <c r="H1532" s="2" t="s">
        <v>459</v>
      </c>
      <c r="I1532" s="2" t="n">
        <f aca="false">IF(F1532="Present",9,IF(F1532="Half Day",4,0))</f>
        <v>9</v>
      </c>
      <c r="J1532" s="2"/>
      <c r="K1532" s="2"/>
    </row>
    <row r="1533" customFormat="false" ht="15" hidden="false" customHeight="false" outlineLevel="0" collapsed="false">
      <c r="A1533" s="2" t="s">
        <v>144</v>
      </c>
      <c r="B1533" s="2" t="s">
        <v>145</v>
      </c>
      <c r="C1533" s="2" t="s">
        <v>57</v>
      </c>
      <c r="D1533" s="3" t="n">
        <v>46247</v>
      </c>
      <c r="E1533" s="2" t="str">
        <f aca="false">TEXT(D1533,"dddd")</f>
        <v>Thursday</v>
      </c>
      <c r="F1533" s="2" t="s">
        <v>457</v>
      </c>
      <c r="G1533" s="2" t="s">
        <v>458</v>
      </c>
      <c r="H1533" s="2" t="s">
        <v>459</v>
      </c>
      <c r="I1533" s="2" t="n">
        <f aca="false">IF(F1533="Present",9,IF(F1533="Half Day",4,0))</f>
        <v>9</v>
      </c>
      <c r="J1533" s="2"/>
      <c r="K1533" s="2"/>
    </row>
    <row r="1534" customFormat="false" ht="15" hidden="false" customHeight="false" outlineLevel="0" collapsed="false">
      <c r="A1534" s="2" t="s">
        <v>144</v>
      </c>
      <c r="B1534" s="2" t="s">
        <v>145</v>
      </c>
      <c r="C1534" s="2" t="s">
        <v>57</v>
      </c>
      <c r="D1534" s="3" t="n">
        <v>46248</v>
      </c>
      <c r="E1534" s="2" t="str">
        <f aca="false">TEXT(D1534,"dddd")</f>
        <v>Friday</v>
      </c>
      <c r="F1534" s="2" t="s">
        <v>457</v>
      </c>
      <c r="G1534" s="2" t="s">
        <v>458</v>
      </c>
      <c r="H1534" s="2" t="s">
        <v>459</v>
      </c>
      <c r="I1534" s="2" t="n">
        <f aca="false">IF(F1534="Present",9,IF(F1534="Half Day",4,0))</f>
        <v>9</v>
      </c>
      <c r="J1534" s="2"/>
      <c r="K1534" s="2"/>
    </row>
    <row r="1535" customFormat="false" ht="15" hidden="false" customHeight="false" outlineLevel="0" collapsed="false">
      <c r="A1535" s="2" t="s">
        <v>144</v>
      </c>
      <c r="B1535" s="2" t="s">
        <v>145</v>
      </c>
      <c r="C1535" s="2" t="s">
        <v>57</v>
      </c>
      <c r="D1535" s="3" t="n">
        <v>46249</v>
      </c>
      <c r="E1535" s="2" t="str">
        <f aca="false">TEXT(D1535,"dddd")</f>
        <v>Saturday</v>
      </c>
      <c r="F1535" s="2" t="s">
        <v>457</v>
      </c>
      <c r="G1535" s="2" t="s">
        <v>458</v>
      </c>
      <c r="H1535" s="2" t="s">
        <v>459</v>
      </c>
      <c r="I1535" s="2" t="n">
        <f aca="false">IF(F1535="Present",9,IF(F1535="Half Day",4,0))</f>
        <v>9</v>
      </c>
      <c r="J1535" s="2"/>
      <c r="K1535" s="2"/>
    </row>
    <row r="1536" customFormat="false" ht="15" hidden="false" customHeight="false" outlineLevel="0" collapsed="false">
      <c r="A1536" s="2" t="s">
        <v>144</v>
      </c>
      <c r="B1536" s="2" t="s">
        <v>145</v>
      </c>
      <c r="C1536" s="2" t="s">
        <v>57</v>
      </c>
      <c r="D1536" s="3" t="n">
        <v>46250</v>
      </c>
      <c r="E1536" s="2" t="str">
        <f aca="false">TEXT(D1536,"dddd")</f>
        <v>Sunday</v>
      </c>
      <c r="F1536" s="2" t="s">
        <v>460</v>
      </c>
      <c r="G1536" s="2"/>
      <c r="H1536" s="2"/>
      <c r="I1536" s="2" t="n">
        <f aca="false">IF(F1536="Present",9,IF(F1536="Half Day",4,0))</f>
        <v>0</v>
      </c>
      <c r="J1536" s="2"/>
      <c r="K1536" s="2" t="s">
        <v>460</v>
      </c>
    </row>
    <row r="1537" customFormat="false" ht="15" hidden="false" customHeight="false" outlineLevel="0" collapsed="false">
      <c r="A1537" s="2" t="s">
        <v>144</v>
      </c>
      <c r="B1537" s="2" t="s">
        <v>145</v>
      </c>
      <c r="C1537" s="2" t="s">
        <v>57</v>
      </c>
      <c r="D1537" s="3" t="n">
        <v>46251</v>
      </c>
      <c r="E1537" s="2" t="str">
        <f aca="false">TEXT(D1537,"dddd")</f>
        <v>Monday</v>
      </c>
      <c r="F1537" s="2" t="s">
        <v>457</v>
      </c>
      <c r="G1537" s="2" t="s">
        <v>458</v>
      </c>
      <c r="H1537" s="2" t="s">
        <v>459</v>
      </c>
      <c r="I1537" s="2" t="n">
        <f aca="false">IF(F1537="Present",9,IF(F1537="Half Day",4,0))</f>
        <v>9</v>
      </c>
      <c r="J1537" s="2"/>
      <c r="K1537" s="2"/>
    </row>
    <row r="1538" customFormat="false" ht="15" hidden="false" customHeight="false" outlineLevel="0" collapsed="false">
      <c r="A1538" s="2" t="s">
        <v>144</v>
      </c>
      <c r="B1538" s="2" t="s">
        <v>145</v>
      </c>
      <c r="C1538" s="2" t="s">
        <v>57</v>
      </c>
      <c r="D1538" s="3" t="n">
        <v>46252</v>
      </c>
      <c r="E1538" s="2" t="str">
        <f aca="false">TEXT(D1538,"dddd")</f>
        <v>Tuesday</v>
      </c>
      <c r="F1538" s="2" t="s">
        <v>457</v>
      </c>
      <c r="G1538" s="2" t="s">
        <v>458</v>
      </c>
      <c r="H1538" s="2" t="s">
        <v>459</v>
      </c>
      <c r="I1538" s="2" t="n">
        <f aca="false">IF(F1538="Present",9,IF(F1538="Half Day",4,0))</f>
        <v>9</v>
      </c>
      <c r="J1538" s="2"/>
      <c r="K1538" s="2"/>
    </row>
    <row r="1539" customFormat="false" ht="15" hidden="false" customHeight="false" outlineLevel="0" collapsed="false">
      <c r="A1539" s="2" t="s">
        <v>144</v>
      </c>
      <c r="B1539" s="2" t="s">
        <v>145</v>
      </c>
      <c r="C1539" s="2" t="s">
        <v>57</v>
      </c>
      <c r="D1539" s="3" t="n">
        <v>46253</v>
      </c>
      <c r="E1539" s="2" t="str">
        <f aca="false">TEXT(D1539,"dddd")</f>
        <v>Wednesday</v>
      </c>
      <c r="F1539" s="2" t="s">
        <v>457</v>
      </c>
      <c r="G1539" s="2" t="s">
        <v>458</v>
      </c>
      <c r="H1539" s="2" t="s">
        <v>459</v>
      </c>
      <c r="I1539" s="2" t="n">
        <f aca="false">IF(F1539="Present",9,IF(F1539="Half Day",4,0))</f>
        <v>9</v>
      </c>
      <c r="J1539" s="2"/>
      <c r="K1539" s="2"/>
    </row>
    <row r="1540" customFormat="false" ht="15" hidden="false" customHeight="false" outlineLevel="0" collapsed="false">
      <c r="A1540" s="2" t="s">
        <v>144</v>
      </c>
      <c r="B1540" s="2" t="s">
        <v>145</v>
      </c>
      <c r="C1540" s="2" t="s">
        <v>57</v>
      </c>
      <c r="D1540" s="3" t="n">
        <v>46254</v>
      </c>
      <c r="E1540" s="2" t="str">
        <f aca="false">TEXT(D1540,"dddd")</f>
        <v>Thursday</v>
      </c>
      <c r="F1540" s="2" t="s">
        <v>457</v>
      </c>
      <c r="G1540" s="2" t="s">
        <v>458</v>
      </c>
      <c r="H1540" s="2" t="s">
        <v>459</v>
      </c>
      <c r="I1540" s="2" t="n">
        <f aca="false">IF(F1540="Present",9,IF(F1540="Half Day",4,0))</f>
        <v>9</v>
      </c>
      <c r="J1540" s="2"/>
      <c r="K1540" s="2"/>
    </row>
    <row r="1541" customFormat="false" ht="15" hidden="false" customHeight="false" outlineLevel="0" collapsed="false">
      <c r="A1541" s="2" t="s">
        <v>144</v>
      </c>
      <c r="B1541" s="2" t="s">
        <v>145</v>
      </c>
      <c r="C1541" s="2" t="s">
        <v>57</v>
      </c>
      <c r="D1541" s="3" t="n">
        <v>46255</v>
      </c>
      <c r="E1541" s="2" t="str">
        <f aca="false">TEXT(D1541,"dddd")</f>
        <v>Friday</v>
      </c>
      <c r="F1541" s="2" t="s">
        <v>457</v>
      </c>
      <c r="G1541" s="2" t="s">
        <v>458</v>
      </c>
      <c r="H1541" s="2" t="s">
        <v>459</v>
      </c>
      <c r="I1541" s="2" t="n">
        <f aca="false">IF(F1541="Present",9,IF(F1541="Half Day",4,0))</f>
        <v>9</v>
      </c>
      <c r="J1541" s="2"/>
      <c r="K1541" s="2"/>
    </row>
    <row r="1542" customFormat="false" ht="15" hidden="false" customHeight="false" outlineLevel="0" collapsed="false">
      <c r="A1542" s="2" t="s">
        <v>144</v>
      </c>
      <c r="B1542" s="2" t="s">
        <v>145</v>
      </c>
      <c r="C1542" s="2" t="s">
        <v>57</v>
      </c>
      <c r="D1542" s="3" t="n">
        <v>46256</v>
      </c>
      <c r="E1542" s="2" t="str">
        <f aca="false">TEXT(D1542,"dddd")</f>
        <v>Saturday</v>
      </c>
      <c r="F1542" s="2" t="s">
        <v>461</v>
      </c>
      <c r="G1542" s="2"/>
      <c r="H1542" s="2"/>
      <c r="I1542" s="2" t="n">
        <f aca="false">IF(F1542="Present",9,IF(F1542="Half Day",4,0))</f>
        <v>0</v>
      </c>
      <c r="J1542" s="2"/>
      <c r="K1542" s="2" t="s">
        <v>462</v>
      </c>
    </row>
    <row r="1543" customFormat="false" ht="15" hidden="false" customHeight="false" outlineLevel="0" collapsed="false">
      <c r="A1543" s="2" t="s">
        <v>144</v>
      </c>
      <c r="B1543" s="2" t="s">
        <v>145</v>
      </c>
      <c r="C1543" s="2" t="s">
        <v>57</v>
      </c>
      <c r="D1543" s="3" t="n">
        <v>46257</v>
      </c>
      <c r="E1543" s="2" t="str">
        <f aca="false">TEXT(D1543,"dddd")</f>
        <v>Sunday</v>
      </c>
      <c r="F1543" s="2" t="s">
        <v>460</v>
      </c>
      <c r="G1543" s="2"/>
      <c r="H1543" s="2"/>
      <c r="I1543" s="2" t="n">
        <f aca="false">IF(F1543="Present",9,IF(F1543="Half Day",4,0))</f>
        <v>0</v>
      </c>
      <c r="J1543" s="2"/>
      <c r="K1543" s="2" t="s">
        <v>460</v>
      </c>
    </row>
    <row r="1544" customFormat="false" ht="15" hidden="false" customHeight="false" outlineLevel="0" collapsed="false">
      <c r="A1544" s="2" t="s">
        <v>144</v>
      </c>
      <c r="B1544" s="2" t="s">
        <v>145</v>
      </c>
      <c r="C1544" s="2" t="s">
        <v>57</v>
      </c>
      <c r="D1544" s="3" t="n">
        <v>46258</v>
      </c>
      <c r="E1544" s="2" t="str">
        <f aca="false">TEXT(D1544,"dddd")</f>
        <v>Monday</v>
      </c>
      <c r="F1544" s="2" t="s">
        <v>457</v>
      </c>
      <c r="G1544" s="2" t="s">
        <v>458</v>
      </c>
      <c r="H1544" s="2" t="s">
        <v>459</v>
      </c>
      <c r="I1544" s="2" t="n">
        <f aca="false">IF(F1544="Present",9,IF(F1544="Half Day",4,0))</f>
        <v>9</v>
      </c>
      <c r="J1544" s="2"/>
      <c r="K1544" s="2"/>
    </row>
    <row r="1545" customFormat="false" ht="15" hidden="false" customHeight="false" outlineLevel="0" collapsed="false">
      <c r="A1545" s="2" t="s">
        <v>144</v>
      </c>
      <c r="B1545" s="2" t="s">
        <v>145</v>
      </c>
      <c r="C1545" s="2" t="s">
        <v>57</v>
      </c>
      <c r="D1545" s="3" t="n">
        <v>46259</v>
      </c>
      <c r="E1545" s="2" t="str">
        <f aca="false">TEXT(D1545,"dddd")</f>
        <v>Tuesday</v>
      </c>
      <c r="F1545" s="2" t="s">
        <v>457</v>
      </c>
      <c r="G1545" s="2" t="s">
        <v>458</v>
      </c>
      <c r="H1545" s="2" t="s">
        <v>459</v>
      </c>
      <c r="I1545" s="2" t="n">
        <f aca="false">IF(F1545="Present",9,IF(F1545="Half Day",4,0))</f>
        <v>9</v>
      </c>
      <c r="J1545" s="2"/>
      <c r="K1545" s="2"/>
    </row>
    <row r="1546" customFormat="false" ht="15" hidden="false" customHeight="false" outlineLevel="0" collapsed="false">
      <c r="A1546" s="2" t="s">
        <v>144</v>
      </c>
      <c r="B1546" s="2" t="s">
        <v>145</v>
      </c>
      <c r="C1546" s="2" t="s">
        <v>57</v>
      </c>
      <c r="D1546" s="3" t="n">
        <v>46260</v>
      </c>
      <c r="E1546" s="2" t="str">
        <f aca="false">TEXT(D1546,"dddd")</f>
        <v>Wednesday</v>
      </c>
      <c r="F1546" s="2" t="s">
        <v>457</v>
      </c>
      <c r="G1546" s="2" t="s">
        <v>458</v>
      </c>
      <c r="H1546" s="2" t="s">
        <v>459</v>
      </c>
      <c r="I1546" s="2" t="n">
        <f aca="false">IF(F1546="Present",9,IF(F1546="Half Day",4,0))</f>
        <v>9</v>
      </c>
      <c r="J1546" s="2"/>
      <c r="K1546" s="2"/>
    </row>
    <row r="1547" customFormat="false" ht="15" hidden="false" customHeight="false" outlineLevel="0" collapsed="false">
      <c r="A1547" s="2" t="s">
        <v>144</v>
      </c>
      <c r="B1547" s="2" t="s">
        <v>145</v>
      </c>
      <c r="C1547" s="2" t="s">
        <v>57</v>
      </c>
      <c r="D1547" s="3" t="n">
        <v>46261</v>
      </c>
      <c r="E1547" s="2" t="str">
        <f aca="false">TEXT(D1547,"dddd")</f>
        <v>Thursday</v>
      </c>
      <c r="F1547" s="2" t="s">
        <v>463</v>
      </c>
      <c r="G1547" s="2"/>
      <c r="H1547" s="2"/>
      <c r="I1547" s="2" t="n">
        <f aca="false">IF(F1547="Present",9,IF(F1547="Half Day",4,0))</f>
        <v>0</v>
      </c>
      <c r="J1547" s="2" t="s">
        <v>464</v>
      </c>
      <c r="K1547" s="2" t="s">
        <v>465</v>
      </c>
    </row>
    <row r="1548" customFormat="false" ht="15" hidden="false" customHeight="false" outlineLevel="0" collapsed="false">
      <c r="A1548" s="2" t="s">
        <v>144</v>
      </c>
      <c r="B1548" s="2" t="s">
        <v>145</v>
      </c>
      <c r="C1548" s="2" t="s">
        <v>57</v>
      </c>
      <c r="D1548" s="3" t="n">
        <v>46262</v>
      </c>
      <c r="E1548" s="2" t="str">
        <f aca="false">TEXT(D1548,"dddd")</f>
        <v>Friday</v>
      </c>
      <c r="F1548" s="2" t="s">
        <v>463</v>
      </c>
      <c r="G1548" s="2"/>
      <c r="H1548" s="2"/>
      <c r="I1548" s="2" t="n">
        <f aca="false">IF(F1548="Present",9,IF(F1548="Half Day",4,0))</f>
        <v>0</v>
      </c>
      <c r="J1548" s="2" t="s">
        <v>468</v>
      </c>
      <c r="K1548" s="2" t="s">
        <v>469</v>
      </c>
    </row>
    <row r="1549" customFormat="false" ht="15" hidden="false" customHeight="false" outlineLevel="0" collapsed="false">
      <c r="A1549" s="2" t="s">
        <v>144</v>
      </c>
      <c r="B1549" s="2" t="s">
        <v>145</v>
      </c>
      <c r="C1549" s="2" t="s">
        <v>57</v>
      </c>
      <c r="D1549" s="3" t="n">
        <v>46263</v>
      </c>
      <c r="E1549" s="2" t="str">
        <f aca="false">TEXT(D1549,"dddd")</f>
        <v>Saturday</v>
      </c>
      <c r="F1549" s="2" t="s">
        <v>457</v>
      </c>
      <c r="G1549" s="2" t="s">
        <v>458</v>
      </c>
      <c r="H1549" s="2" t="s">
        <v>459</v>
      </c>
      <c r="I1549" s="2" t="n">
        <f aca="false">IF(F1549="Present",9,IF(F1549="Half Day",4,0))</f>
        <v>9</v>
      </c>
      <c r="J1549" s="2"/>
      <c r="K1549" s="2"/>
    </row>
    <row r="1550" customFormat="false" ht="15" hidden="false" customHeight="false" outlineLevel="0" collapsed="false">
      <c r="A1550" s="2" t="s">
        <v>144</v>
      </c>
      <c r="B1550" s="2" t="s">
        <v>145</v>
      </c>
      <c r="C1550" s="2" t="s">
        <v>57</v>
      </c>
      <c r="D1550" s="3" t="n">
        <v>46264</v>
      </c>
      <c r="E1550" s="2" t="str">
        <f aca="false">TEXT(D1550,"dddd")</f>
        <v>Sunday</v>
      </c>
      <c r="F1550" s="2" t="s">
        <v>460</v>
      </c>
      <c r="G1550" s="2"/>
      <c r="H1550" s="2"/>
      <c r="I1550" s="2" t="n">
        <f aca="false">IF(F1550="Present",9,IF(F1550="Half Day",4,0))</f>
        <v>0</v>
      </c>
      <c r="J1550" s="2"/>
      <c r="K1550" s="2" t="s">
        <v>460</v>
      </c>
    </row>
    <row r="1551" customFormat="false" ht="15" hidden="false" customHeight="false" outlineLevel="0" collapsed="false">
      <c r="A1551" s="2" t="s">
        <v>144</v>
      </c>
      <c r="B1551" s="2" t="s">
        <v>145</v>
      </c>
      <c r="C1551" s="2" t="s">
        <v>57</v>
      </c>
      <c r="D1551" s="3" t="n">
        <v>46265</v>
      </c>
      <c r="E1551" s="2" t="str">
        <f aca="false">TEXT(D1551,"dddd")</f>
        <v>Monday</v>
      </c>
      <c r="F1551" s="2" t="s">
        <v>457</v>
      </c>
      <c r="G1551" s="2" t="s">
        <v>458</v>
      </c>
      <c r="H1551" s="2" t="s">
        <v>459</v>
      </c>
      <c r="I1551" s="2" t="n">
        <f aca="false">IF(F1551="Present",9,IF(F1551="Half Day",4,0))</f>
        <v>9</v>
      </c>
      <c r="J1551" s="2"/>
      <c r="K1551" s="2"/>
    </row>
    <row r="1552" customFormat="false" ht="15" hidden="false" customHeight="false" outlineLevel="0" collapsed="false">
      <c r="A1552" s="2" t="s">
        <v>146</v>
      </c>
      <c r="B1552" s="2" t="s">
        <v>147</v>
      </c>
      <c r="C1552" s="2" t="s">
        <v>17</v>
      </c>
      <c r="D1552" s="3" t="n">
        <v>46235</v>
      </c>
      <c r="E1552" s="2" t="str">
        <f aca="false">TEXT(D1552,"dddd")</f>
        <v>Saturday</v>
      </c>
      <c r="F1552" s="2" t="s">
        <v>457</v>
      </c>
      <c r="G1552" s="2" t="s">
        <v>458</v>
      </c>
      <c r="H1552" s="2" t="s">
        <v>459</v>
      </c>
      <c r="I1552" s="2" t="n">
        <f aca="false">IF(F1552="Present",9,IF(F1552="Half Day",4,0))</f>
        <v>9</v>
      </c>
      <c r="J1552" s="2"/>
      <c r="K1552" s="2"/>
    </row>
    <row r="1553" customFormat="false" ht="15" hidden="false" customHeight="false" outlineLevel="0" collapsed="false">
      <c r="A1553" s="2" t="s">
        <v>146</v>
      </c>
      <c r="B1553" s="2" t="s">
        <v>147</v>
      </c>
      <c r="C1553" s="2" t="s">
        <v>17</v>
      </c>
      <c r="D1553" s="3" t="n">
        <v>46236</v>
      </c>
      <c r="E1553" s="2" t="str">
        <f aca="false">TEXT(D1553,"dddd")</f>
        <v>Sunday</v>
      </c>
      <c r="F1553" s="2" t="s">
        <v>460</v>
      </c>
      <c r="G1553" s="2"/>
      <c r="H1553" s="2"/>
      <c r="I1553" s="2" t="n">
        <f aca="false">IF(F1553="Present",9,IF(F1553="Half Day",4,0))</f>
        <v>0</v>
      </c>
      <c r="J1553" s="2"/>
      <c r="K1553" s="2" t="s">
        <v>460</v>
      </c>
    </row>
    <row r="1554" customFormat="false" ht="15" hidden="false" customHeight="false" outlineLevel="0" collapsed="false">
      <c r="A1554" s="2" t="s">
        <v>146</v>
      </c>
      <c r="B1554" s="2" t="s">
        <v>147</v>
      </c>
      <c r="C1554" s="2" t="s">
        <v>17</v>
      </c>
      <c r="D1554" s="3" t="n">
        <v>46237</v>
      </c>
      <c r="E1554" s="2" t="str">
        <f aca="false">TEXT(D1554,"dddd")</f>
        <v>Monday</v>
      </c>
      <c r="F1554" s="2" t="s">
        <v>457</v>
      </c>
      <c r="G1554" s="2" t="s">
        <v>458</v>
      </c>
      <c r="H1554" s="2" t="s">
        <v>459</v>
      </c>
      <c r="I1554" s="2" t="n">
        <f aca="false">IF(F1554="Present",9,IF(F1554="Half Day",4,0))</f>
        <v>9</v>
      </c>
      <c r="J1554" s="2"/>
      <c r="K1554" s="2"/>
    </row>
    <row r="1555" customFormat="false" ht="15" hidden="false" customHeight="false" outlineLevel="0" collapsed="false">
      <c r="A1555" s="2" t="s">
        <v>146</v>
      </c>
      <c r="B1555" s="2" t="s">
        <v>147</v>
      </c>
      <c r="C1555" s="2" t="s">
        <v>17</v>
      </c>
      <c r="D1555" s="3" t="n">
        <v>46238</v>
      </c>
      <c r="E1555" s="2" t="str">
        <f aca="false">TEXT(D1555,"dddd")</f>
        <v>Tuesday</v>
      </c>
      <c r="F1555" s="2" t="s">
        <v>457</v>
      </c>
      <c r="G1555" s="2" t="s">
        <v>458</v>
      </c>
      <c r="H1555" s="2" t="s">
        <v>459</v>
      </c>
      <c r="I1555" s="2" t="n">
        <f aca="false">IF(F1555="Present",9,IF(F1555="Half Day",4,0))</f>
        <v>9</v>
      </c>
      <c r="J1555" s="2"/>
      <c r="K1555" s="2"/>
    </row>
    <row r="1556" customFormat="false" ht="15" hidden="false" customHeight="false" outlineLevel="0" collapsed="false">
      <c r="A1556" s="2" t="s">
        <v>146</v>
      </c>
      <c r="B1556" s="2" t="s">
        <v>147</v>
      </c>
      <c r="C1556" s="2" t="s">
        <v>17</v>
      </c>
      <c r="D1556" s="3" t="n">
        <v>46239</v>
      </c>
      <c r="E1556" s="2" t="str">
        <f aca="false">TEXT(D1556,"dddd")</f>
        <v>Wednesday</v>
      </c>
      <c r="F1556" s="2" t="s">
        <v>457</v>
      </c>
      <c r="G1556" s="2" t="s">
        <v>458</v>
      </c>
      <c r="H1556" s="2" t="s">
        <v>459</v>
      </c>
      <c r="I1556" s="2" t="n">
        <f aca="false">IF(F1556="Present",9,IF(F1556="Half Day",4,0))</f>
        <v>9</v>
      </c>
      <c r="J1556" s="2"/>
      <c r="K1556" s="2"/>
    </row>
    <row r="1557" customFormat="false" ht="15" hidden="false" customHeight="false" outlineLevel="0" collapsed="false">
      <c r="A1557" s="2" t="s">
        <v>146</v>
      </c>
      <c r="B1557" s="2" t="s">
        <v>147</v>
      </c>
      <c r="C1557" s="2" t="s">
        <v>17</v>
      </c>
      <c r="D1557" s="3" t="n">
        <v>46240</v>
      </c>
      <c r="E1557" s="2" t="str">
        <f aca="false">TEXT(D1557,"dddd")</f>
        <v>Thursday</v>
      </c>
      <c r="F1557" s="2" t="s">
        <v>457</v>
      </c>
      <c r="G1557" s="2" t="s">
        <v>458</v>
      </c>
      <c r="H1557" s="2" t="s">
        <v>459</v>
      </c>
      <c r="I1557" s="2" t="n">
        <f aca="false">IF(F1557="Present",9,IF(F1557="Half Day",4,0))</f>
        <v>9</v>
      </c>
      <c r="J1557" s="2"/>
      <c r="K1557" s="2"/>
    </row>
    <row r="1558" customFormat="false" ht="15" hidden="false" customHeight="false" outlineLevel="0" collapsed="false">
      <c r="A1558" s="2" t="s">
        <v>146</v>
      </c>
      <c r="B1558" s="2" t="s">
        <v>147</v>
      </c>
      <c r="C1558" s="2" t="s">
        <v>17</v>
      </c>
      <c r="D1558" s="3" t="n">
        <v>46241</v>
      </c>
      <c r="E1558" s="2" t="str">
        <f aca="false">TEXT(D1558,"dddd")</f>
        <v>Friday</v>
      </c>
      <c r="F1558" s="2" t="s">
        <v>457</v>
      </c>
      <c r="G1558" s="2" t="s">
        <v>458</v>
      </c>
      <c r="H1558" s="2" t="s">
        <v>459</v>
      </c>
      <c r="I1558" s="2" t="n">
        <f aca="false">IF(F1558="Present",9,IF(F1558="Half Day",4,0))</f>
        <v>9</v>
      </c>
      <c r="J1558" s="2"/>
      <c r="K1558" s="2"/>
    </row>
    <row r="1559" customFormat="false" ht="15" hidden="false" customHeight="false" outlineLevel="0" collapsed="false">
      <c r="A1559" s="2" t="s">
        <v>146</v>
      </c>
      <c r="B1559" s="2" t="s">
        <v>147</v>
      </c>
      <c r="C1559" s="2" t="s">
        <v>17</v>
      </c>
      <c r="D1559" s="3" t="n">
        <v>46242</v>
      </c>
      <c r="E1559" s="2" t="str">
        <f aca="false">TEXT(D1559,"dddd")</f>
        <v>Saturday</v>
      </c>
      <c r="F1559" s="2" t="s">
        <v>457</v>
      </c>
      <c r="G1559" s="2" t="s">
        <v>458</v>
      </c>
      <c r="H1559" s="2" t="s">
        <v>459</v>
      </c>
      <c r="I1559" s="2" t="n">
        <f aca="false">IF(F1559="Present",9,IF(F1559="Half Day",4,0))</f>
        <v>9</v>
      </c>
      <c r="J1559" s="2"/>
      <c r="K1559" s="2"/>
    </row>
    <row r="1560" customFormat="false" ht="15" hidden="false" customHeight="false" outlineLevel="0" collapsed="false">
      <c r="A1560" s="2" t="s">
        <v>146</v>
      </c>
      <c r="B1560" s="2" t="s">
        <v>147</v>
      </c>
      <c r="C1560" s="2" t="s">
        <v>17</v>
      </c>
      <c r="D1560" s="3" t="n">
        <v>46243</v>
      </c>
      <c r="E1560" s="2" t="str">
        <f aca="false">TEXT(D1560,"dddd")</f>
        <v>Sunday</v>
      </c>
      <c r="F1560" s="2" t="s">
        <v>460</v>
      </c>
      <c r="G1560" s="2"/>
      <c r="H1560" s="2"/>
      <c r="I1560" s="2" t="n">
        <f aca="false">IF(F1560="Present",9,IF(F1560="Half Day",4,0))</f>
        <v>0</v>
      </c>
      <c r="J1560" s="2"/>
      <c r="K1560" s="2" t="s">
        <v>460</v>
      </c>
    </row>
    <row r="1561" customFormat="false" ht="15" hidden="false" customHeight="false" outlineLevel="0" collapsed="false">
      <c r="A1561" s="2" t="s">
        <v>146</v>
      </c>
      <c r="B1561" s="2" t="s">
        <v>147</v>
      </c>
      <c r="C1561" s="2" t="s">
        <v>17</v>
      </c>
      <c r="D1561" s="3" t="n">
        <v>46244</v>
      </c>
      <c r="E1561" s="2" t="str">
        <f aca="false">TEXT(D1561,"dddd")</f>
        <v>Monday</v>
      </c>
      <c r="F1561" s="2" t="s">
        <v>457</v>
      </c>
      <c r="G1561" s="2" t="s">
        <v>458</v>
      </c>
      <c r="H1561" s="2" t="s">
        <v>459</v>
      </c>
      <c r="I1561" s="2" t="n">
        <f aca="false">IF(F1561="Present",9,IF(F1561="Half Day",4,0))</f>
        <v>9</v>
      </c>
      <c r="J1561" s="2"/>
      <c r="K1561" s="2"/>
    </row>
    <row r="1562" customFormat="false" ht="15" hidden="false" customHeight="false" outlineLevel="0" collapsed="false">
      <c r="A1562" s="2" t="s">
        <v>146</v>
      </c>
      <c r="B1562" s="2" t="s">
        <v>147</v>
      </c>
      <c r="C1562" s="2" t="s">
        <v>17</v>
      </c>
      <c r="D1562" s="3" t="n">
        <v>46245</v>
      </c>
      <c r="E1562" s="2" t="str">
        <f aca="false">TEXT(D1562,"dddd")</f>
        <v>Tuesday</v>
      </c>
      <c r="F1562" s="2" t="s">
        <v>457</v>
      </c>
      <c r="G1562" s="2" t="s">
        <v>458</v>
      </c>
      <c r="H1562" s="2" t="s">
        <v>459</v>
      </c>
      <c r="I1562" s="2" t="n">
        <f aca="false">IF(F1562="Present",9,IF(F1562="Half Day",4,0))</f>
        <v>9</v>
      </c>
      <c r="J1562" s="2"/>
      <c r="K1562" s="2"/>
    </row>
    <row r="1563" customFormat="false" ht="15" hidden="false" customHeight="false" outlineLevel="0" collapsed="false">
      <c r="A1563" s="2" t="s">
        <v>146</v>
      </c>
      <c r="B1563" s="2" t="s">
        <v>147</v>
      </c>
      <c r="C1563" s="2" t="s">
        <v>17</v>
      </c>
      <c r="D1563" s="3" t="n">
        <v>46246</v>
      </c>
      <c r="E1563" s="2" t="str">
        <f aca="false">TEXT(D1563,"dddd")</f>
        <v>Wednesday</v>
      </c>
      <c r="F1563" s="2" t="s">
        <v>457</v>
      </c>
      <c r="G1563" s="2" t="s">
        <v>458</v>
      </c>
      <c r="H1563" s="2" t="s">
        <v>459</v>
      </c>
      <c r="I1563" s="2" t="n">
        <f aca="false">IF(F1563="Present",9,IF(F1563="Half Day",4,0))</f>
        <v>9</v>
      </c>
      <c r="J1563" s="2"/>
      <c r="K1563" s="2"/>
    </row>
    <row r="1564" customFormat="false" ht="15" hidden="false" customHeight="false" outlineLevel="0" collapsed="false">
      <c r="A1564" s="2" t="s">
        <v>146</v>
      </c>
      <c r="B1564" s="2" t="s">
        <v>147</v>
      </c>
      <c r="C1564" s="2" t="s">
        <v>17</v>
      </c>
      <c r="D1564" s="3" t="n">
        <v>46247</v>
      </c>
      <c r="E1564" s="2" t="str">
        <f aca="false">TEXT(D1564,"dddd")</f>
        <v>Thursday</v>
      </c>
      <c r="F1564" s="2" t="s">
        <v>457</v>
      </c>
      <c r="G1564" s="2" t="s">
        <v>458</v>
      </c>
      <c r="H1564" s="2" t="s">
        <v>459</v>
      </c>
      <c r="I1564" s="2" t="n">
        <f aca="false">IF(F1564="Present",9,IF(F1564="Half Day",4,0))</f>
        <v>9</v>
      </c>
      <c r="J1564" s="2"/>
      <c r="K1564" s="2"/>
    </row>
    <row r="1565" customFormat="false" ht="15" hidden="false" customHeight="false" outlineLevel="0" collapsed="false">
      <c r="A1565" s="2" t="s">
        <v>146</v>
      </c>
      <c r="B1565" s="2" t="s">
        <v>147</v>
      </c>
      <c r="C1565" s="2" t="s">
        <v>17</v>
      </c>
      <c r="D1565" s="3" t="n">
        <v>46248</v>
      </c>
      <c r="E1565" s="2" t="str">
        <f aca="false">TEXT(D1565,"dddd")</f>
        <v>Friday</v>
      </c>
      <c r="F1565" s="2" t="s">
        <v>457</v>
      </c>
      <c r="G1565" s="2" t="s">
        <v>458</v>
      </c>
      <c r="H1565" s="2" t="s">
        <v>459</v>
      </c>
      <c r="I1565" s="2" t="n">
        <f aca="false">IF(F1565="Present",9,IF(F1565="Half Day",4,0))</f>
        <v>9</v>
      </c>
      <c r="J1565" s="2"/>
      <c r="K1565" s="2"/>
    </row>
    <row r="1566" customFormat="false" ht="15" hidden="false" customHeight="false" outlineLevel="0" collapsed="false">
      <c r="A1566" s="2" t="s">
        <v>146</v>
      </c>
      <c r="B1566" s="2" t="s">
        <v>147</v>
      </c>
      <c r="C1566" s="2" t="s">
        <v>17</v>
      </c>
      <c r="D1566" s="3" t="n">
        <v>46249</v>
      </c>
      <c r="E1566" s="2" t="str">
        <f aca="false">TEXT(D1566,"dddd")</f>
        <v>Saturday</v>
      </c>
      <c r="F1566" s="2" t="s">
        <v>457</v>
      </c>
      <c r="G1566" s="2" t="s">
        <v>458</v>
      </c>
      <c r="H1566" s="2" t="s">
        <v>459</v>
      </c>
      <c r="I1566" s="2" t="n">
        <f aca="false">IF(F1566="Present",9,IF(F1566="Half Day",4,0))</f>
        <v>9</v>
      </c>
      <c r="J1566" s="2"/>
      <c r="K1566" s="2"/>
    </row>
    <row r="1567" customFormat="false" ht="15" hidden="false" customHeight="false" outlineLevel="0" collapsed="false">
      <c r="A1567" s="2" t="s">
        <v>146</v>
      </c>
      <c r="B1567" s="2" t="s">
        <v>147</v>
      </c>
      <c r="C1567" s="2" t="s">
        <v>17</v>
      </c>
      <c r="D1567" s="3" t="n">
        <v>46250</v>
      </c>
      <c r="E1567" s="2" t="str">
        <f aca="false">TEXT(D1567,"dddd")</f>
        <v>Sunday</v>
      </c>
      <c r="F1567" s="2" t="s">
        <v>460</v>
      </c>
      <c r="G1567" s="2"/>
      <c r="H1567" s="2"/>
      <c r="I1567" s="2" t="n">
        <f aca="false">IF(F1567="Present",9,IF(F1567="Half Day",4,0))</f>
        <v>0</v>
      </c>
      <c r="J1567" s="2"/>
      <c r="K1567" s="2" t="s">
        <v>460</v>
      </c>
    </row>
    <row r="1568" customFormat="false" ht="15" hidden="false" customHeight="false" outlineLevel="0" collapsed="false">
      <c r="A1568" s="2" t="s">
        <v>146</v>
      </c>
      <c r="B1568" s="2" t="s">
        <v>147</v>
      </c>
      <c r="C1568" s="2" t="s">
        <v>17</v>
      </c>
      <c r="D1568" s="3" t="n">
        <v>46251</v>
      </c>
      <c r="E1568" s="2" t="str">
        <f aca="false">TEXT(D1568,"dddd")</f>
        <v>Monday</v>
      </c>
      <c r="F1568" s="2" t="s">
        <v>457</v>
      </c>
      <c r="G1568" s="2" t="s">
        <v>458</v>
      </c>
      <c r="H1568" s="2" t="s">
        <v>459</v>
      </c>
      <c r="I1568" s="2" t="n">
        <f aca="false">IF(F1568="Present",9,IF(F1568="Half Day",4,0))</f>
        <v>9</v>
      </c>
      <c r="J1568" s="2"/>
      <c r="K1568" s="2"/>
    </row>
    <row r="1569" customFormat="false" ht="15" hidden="false" customHeight="false" outlineLevel="0" collapsed="false">
      <c r="A1569" s="2" t="s">
        <v>146</v>
      </c>
      <c r="B1569" s="2" t="s">
        <v>147</v>
      </c>
      <c r="C1569" s="2" t="s">
        <v>17</v>
      </c>
      <c r="D1569" s="3" t="n">
        <v>46252</v>
      </c>
      <c r="E1569" s="2" t="str">
        <f aca="false">TEXT(D1569,"dddd")</f>
        <v>Tuesday</v>
      </c>
      <c r="F1569" s="2" t="s">
        <v>457</v>
      </c>
      <c r="G1569" s="2" t="s">
        <v>458</v>
      </c>
      <c r="H1569" s="2" t="s">
        <v>459</v>
      </c>
      <c r="I1569" s="2" t="n">
        <f aca="false">IF(F1569="Present",9,IF(F1569="Half Day",4,0))</f>
        <v>9</v>
      </c>
      <c r="J1569" s="2"/>
      <c r="K1569" s="2"/>
    </row>
    <row r="1570" customFormat="false" ht="15" hidden="false" customHeight="false" outlineLevel="0" collapsed="false">
      <c r="A1570" s="2" t="s">
        <v>146</v>
      </c>
      <c r="B1570" s="2" t="s">
        <v>147</v>
      </c>
      <c r="C1570" s="2" t="s">
        <v>17</v>
      </c>
      <c r="D1570" s="3" t="n">
        <v>46253</v>
      </c>
      <c r="E1570" s="2" t="str">
        <f aca="false">TEXT(D1570,"dddd")</f>
        <v>Wednesday</v>
      </c>
      <c r="F1570" s="2" t="s">
        <v>457</v>
      </c>
      <c r="G1570" s="2" t="s">
        <v>458</v>
      </c>
      <c r="H1570" s="2" t="s">
        <v>459</v>
      </c>
      <c r="I1570" s="2" t="n">
        <f aca="false">IF(F1570="Present",9,IF(F1570="Half Day",4,0))</f>
        <v>9</v>
      </c>
      <c r="J1570" s="2"/>
      <c r="K1570" s="2"/>
    </row>
    <row r="1571" customFormat="false" ht="15" hidden="false" customHeight="false" outlineLevel="0" collapsed="false">
      <c r="A1571" s="2" t="s">
        <v>146</v>
      </c>
      <c r="B1571" s="2" t="s">
        <v>147</v>
      </c>
      <c r="C1571" s="2" t="s">
        <v>17</v>
      </c>
      <c r="D1571" s="3" t="n">
        <v>46254</v>
      </c>
      <c r="E1571" s="2" t="str">
        <f aca="false">TEXT(D1571,"dddd")</f>
        <v>Thursday</v>
      </c>
      <c r="F1571" s="2" t="s">
        <v>457</v>
      </c>
      <c r="G1571" s="2" t="s">
        <v>458</v>
      </c>
      <c r="H1571" s="2" t="s">
        <v>459</v>
      </c>
      <c r="I1571" s="2" t="n">
        <f aca="false">IF(F1571="Present",9,IF(F1571="Half Day",4,0))</f>
        <v>9</v>
      </c>
      <c r="J1571" s="2"/>
      <c r="K1571" s="2"/>
    </row>
    <row r="1572" customFormat="false" ht="15" hidden="false" customHeight="false" outlineLevel="0" collapsed="false">
      <c r="A1572" s="2" t="s">
        <v>146</v>
      </c>
      <c r="B1572" s="2" t="s">
        <v>147</v>
      </c>
      <c r="C1572" s="2" t="s">
        <v>17</v>
      </c>
      <c r="D1572" s="3" t="n">
        <v>46255</v>
      </c>
      <c r="E1572" s="2" t="str">
        <f aca="false">TEXT(D1572,"dddd")</f>
        <v>Friday</v>
      </c>
      <c r="F1572" s="2" t="s">
        <v>463</v>
      </c>
      <c r="G1572" s="2"/>
      <c r="H1572" s="2"/>
      <c r="I1572" s="2" t="n">
        <f aca="false">IF(F1572="Present",9,IF(F1572="Half Day",4,0))</f>
        <v>0</v>
      </c>
      <c r="J1572" s="2" t="s">
        <v>468</v>
      </c>
      <c r="K1572" s="2" t="s">
        <v>469</v>
      </c>
    </row>
    <row r="1573" customFormat="false" ht="15" hidden="false" customHeight="false" outlineLevel="0" collapsed="false">
      <c r="A1573" s="2" t="s">
        <v>146</v>
      </c>
      <c r="B1573" s="2" t="s">
        <v>147</v>
      </c>
      <c r="C1573" s="2" t="s">
        <v>17</v>
      </c>
      <c r="D1573" s="3" t="n">
        <v>46256</v>
      </c>
      <c r="E1573" s="2" t="str">
        <f aca="false">TEXT(D1573,"dddd")</f>
        <v>Saturday</v>
      </c>
      <c r="F1573" s="2" t="s">
        <v>461</v>
      </c>
      <c r="G1573" s="2"/>
      <c r="H1573" s="2"/>
      <c r="I1573" s="2" t="n">
        <f aca="false">IF(F1573="Present",9,IF(F1573="Half Day",4,0))</f>
        <v>0</v>
      </c>
      <c r="J1573" s="2"/>
      <c r="K1573" s="2" t="s">
        <v>462</v>
      </c>
    </row>
    <row r="1574" customFormat="false" ht="15" hidden="false" customHeight="false" outlineLevel="0" collapsed="false">
      <c r="A1574" s="2" t="s">
        <v>146</v>
      </c>
      <c r="B1574" s="2" t="s">
        <v>147</v>
      </c>
      <c r="C1574" s="2" t="s">
        <v>17</v>
      </c>
      <c r="D1574" s="3" t="n">
        <v>46257</v>
      </c>
      <c r="E1574" s="2" t="str">
        <f aca="false">TEXT(D1574,"dddd")</f>
        <v>Sunday</v>
      </c>
      <c r="F1574" s="2" t="s">
        <v>460</v>
      </c>
      <c r="G1574" s="2"/>
      <c r="H1574" s="2"/>
      <c r="I1574" s="2" t="n">
        <f aca="false">IF(F1574="Present",9,IF(F1574="Half Day",4,0))</f>
        <v>0</v>
      </c>
      <c r="J1574" s="2"/>
      <c r="K1574" s="2" t="s">
        <v>460</v>
      </c>
    </row>
    <row r="1575" customFormat="false" ht="15" hidden="false" customHeight="false" outlineLevel="0" collapsed="false">
      <c r="A1575" s="2" t="s">
        <v>146</v>
      </c>
      <c r="B1575" s="2" t="s">
        <v>147</v>
      </c>
      <c r="C1575" s="2" t="s">
        <v>17</v>
      </c>
      <c r="D1575" s="3" t="n">
        <v>46258</v>
      </c>
      <c r="E1575" s="2" t="str">
        <f aca="false">TEXT(D1575,"dddd")</f>
        <v>Monday</v>
      </c>
      <c r="F1575" s="2" t="s">
        <v>461</v>
      </c>
      <c r="G1575" s="2"/>
      <c r="H1575" s="2"/>
      <c r="I1575" s="2" t="n">
        <f aca="false">IF(F1575="Present",9,IF(F1575="Half Day",4,0))</f>
        <v>0</v>
      </c>
      <c r="J1575" s="2"/>
      <c r="K1575" s="2" t="s">
        <v>462</v>
      </c>
    </row>
    <row r="1576" customFormat="false" ht="15" hidden="false" customHeight="false" outlineLevel="0" collapsed="false">
      <c r="A1576" s="2" t="s">
        <v>146</v>
      </c>
      <c r="B1576" s="2" t="s">
        <v>147</v>
      </c>
      <c r="C1576" s="2" t="s">
        <v>17</v>
      </c>
      <c r="D1576" s="3" t="n">
        <v>46259</v>
      </c>
      <c r="E1576" s="2" t="str">
        <f aca="false">TEXT(D1576,"dddd")</f>
        <v>Tuesday</v>
      </c>
      <c r="F1576" s="2" t="s">
        <v>457</v>
      </c>
      <c r="G1576" s="2" t="s">
        <v>458</v>
      </c>
      <c r="H1576" s="2" t="s">
        <v>459</v>
      </c>
      <c r="I1576" s="2" t="n">
        <f aca="false">IF(F1576="Present",9,IF(F1576="Half Day",4,0))</f>
        <v>9</v>
      </c>
      <c r="J1576" s="2"/>
      <c r="K1576" s="2"/>
    </row>
    <row r="1577" customFormat="false" ht="15" hidden="false" customHeight="false" outlineLevel="0" collapsed="false">
      <c r="A1577" s="2" t="s">
        <v>146</v>
      </c>
      <c r="B1577" s="2" t="s">
        <v>147</v>
      </c>
      <c r="C1577" s="2" t="s">
        <v>17</v>
      </c>
      <c r="D1577" s="3" t="n">
        <v>46260</v>
      </c>
      <c r="E1577" s="2" t="str">
        <f aca="false">TEXT(D1577,"dddd")</f>
        <v>Wednesday</v>
      </c>
      <c r="F1577" s="2" t="s">
        <v>461</v>
      </c>
      <c r="G1577" s="2"/>
      <c r="H1577" s="2"/>
      <c r="I1577" s="2" t="n">
        <f aca="false">IF(F1577="Present",9,IF(F1577="Half Day",4,0))</f>
        <v>0</v>
      </c>
      <c r="J1577" s="2"/>
      <c r="K1577" s="2" t="s">
        <v>462</v>
      </c>
    </row>
    <row r="1578" customFormat="false" ht="15" hidden="false" customHeight="false" outlineLevel="0" collapsed="false">
      <c r="A1578" s="2" t="s">
        <v>146</v>
      </c>
      <c r="B1578" s="2" t="s">
        <v>147</v>
      </c>
      <c r="C1578" s="2" t="s">
        <v>17</v>
      </c>
      <c r="D1578" s="3" t="n">
        <v>46261</v>
      </c>
      <c r="E1578" s="2" t="str">
        <f aca="false">TEXT(D1578,"dddd")</f>
        <v>Thursday</v>
      </c>
      <c r="F1578" s="2" t="s">
        <v>461</v>
      </c>
      <c r="G1578" s="2"/>
      <c r="H1578" s="2"/>
      <c r="I1578" s="2" t="n">
        <f aca="false">IF(F1578="Present",9,IF(F1578="Half Day",4,0))</f>
        <v>0</v>
      </c>
      <c r="J1578" s="2"/>
      <c r="K1578" s="2" t="s">
        <v>462</v>
      </c>
    </row>
    <row r="1579" customFormat="false" ht="15" hidden="false" customHeight="false" outlineLevel="0" collapsed="false">
      <c r="A1579" s="2" t="s">
        <v>146</v>
      </c>
      <c r="B1579" s="2" t="s">
        <v>147</v>
      </c>
      <c r="C1579" s="2" t="s">
        <v>17</v>
      </c>
      <c r="D1579" s="3" t="n">
        <v>46262</v>
      </c>
      <c r="E1579" s="2" t="str">
        <f aca="false">TEXT(D1579,"dddd")</f>
        <v>Friday</v>
      </c>
      <c r="F1579" s="2" t="s">
        <v>457</v>
      </c>
      <c r="G1579" s="2" t="s">
        <v>458</v>
      </c>
      <c r="H1579" s="2" t="s">
        <v>459</v>
      </c>
      <c r="I1579" s="2" t="n">
        <f aca="false">IF(F1579="Present",9,IF(F1579="Half Day",4,0))</f>
        <v>9</v>
      </c>
      <c r="J1579" s="2"/>
      <c r="K1579" s="2"/>
    </row>
    <row r="1580" customFormat="false" ht="15" hidden="false" customHeight="false" outlineLevel="0" collapsed="false">
      <c r="A1580" s="2" t="s">
        <v>146</v>
      </c>
      <c r="B1580" s="2" t="s">
        <v>147</v>
      </c>
      <c r="C1580" s="2" t="s">
        <v>17</v>
      </c>
      <c r="D1580" s="3" t="n">
        <v>46263</v>
      </c>
      <c r="E1580" s="2" t="str">
        <f aca="false">TEXT(D1580,"dddd")</f>
        <v>Saturday</v>
      </c>
      <c r="F1580" s="2" t="s">
        <v>457</v>
      </c>
      <c r="G1580" s="2" t="s">
        <v>458</v>
      </c>
      <c r="H1580" s="2" t="s">
        <v>459</v>
      </c>
      <c r="I1580" s="2" t="n">
        <f aca="false">IF(F1580="Present",9,IF(F1580="Half Day",4,0))</f>
        <v>9</v>
      </c>
      <c r="J1580" s="2"/>
      <c r="K1580" s="2"/>
    </row>
    <row r="1581" customFormat="false" ht="15" hidden="false" customHeight="false" outlineLevel="0" collapsed="false">
      <c r="A1581" s="2" t="s">
        <v>146</v>
      </c>
      <c r="B1581" s="2" t="s">
        <v>147</v>
      </c>
      <c r="C1581" s="2" t="s">
        <v>17</v>
      </c>
      <c r="D1581" s="3" t="n">
        <v>46264</v>
      </c>
      <c r="E1581" s="2" t="str">
        <f aca="false">TEXT(D1581,"dddd")</f>
        <v>Sunday</v>
      </c>
      <c r="F1581" s="2" t="s">
        <v>460</v>
      </c>
      <c r="G1581" s="2"/>
      <c r="H1581" s="2"/>
      <c r="I1581" s="2" t="n">
        <f aca="false">IF(F1581="Present",9,IF(F1581="Half Day",4,0))</f>
        <v>0</v>
      </c>
      <c r="J1581" s="2"/>
      <c r="K1581" s="2" t="s">
        <v>460</v>
      </c>
    </row>
    <row r="1582" customFormat="false" ht="15" hidden="false" customHeight="false" outlineLevel="0" collapsed="false">
      <c r="A1582" s="2" t="s">
        <v>146</v>
      </c>
      <c r="B1582" s="2" t="s">
        <v>147</v>
      </c>
      <c r="C1582" s="2" t="s">
        <v>17</v>
      </c>
      <c r="D1582" s="3" t="n">
        <v>46265</v>
      </c>
      <c r="E1582" s="2" t="str">
        <f aca="false">TEXT(D1582,"dddd")</f>
        <v>Monday</v>
      </c>
      <c r="F1582" s="2" t="s">
        <v>457</v>
      </c>
      <c r="G1582" s="2" t="s">
        <v>458</v>
      </c>
      <c r="H1582" s="2" t="s">
        <v>459</v>
      </c>
      <c r="I1582" s="2" t="n">
        <f aca="false">IF(F1582="Present",9,IF(F1582="Half Day",4,0))</f>
        <v>9</v>
      </c>
      <c r="J1582" s="2"/>
      <c r="K1582" s="2"/>
    </row>
    <row r="1583" customFormat="false" ht="15" hidden="false" customHeight="false" outlineLevel="0" collapsed="false">
      <c r="A1583" s="2" t="s">
        <v>149</v>
      </c>
      <c r="B1583" s="2" t="s">
        <v>150</v>
      </c>
      <c r="C1583" s="2" t="s">
        <v>24</v>
      </c>
      <c r="D1583" s="3" t="n">
        <v>46235</v>
      </c>
      <c r="E1583" s="2" t="str">
        <f aca="false">TEXT(D1583,"dddd")</f>
        <v>Saturday</v>
      </c>
      <c r="F1583" s="2" t="s">
        <v>457</v>
      </c>
      <c r="G1583" s="2" t="s">
        <v>458</v>
      </c>
      <c r="H1583" s="2" t="s">
        <v>459</v>
      </c>
      <c r="I1583" s="2" t="n">
        <f aca="false">IF(F1583="Present",9,IF(F1583="Half Day",4,0))</f>
        <v>9</v>
      </c>
      <c r="J1583" s="2"/>
      <c r="K1583" s="2"/>
    </row>
    <row r="1584" customFormat="false" ht="15" hidden="false" customHeight="false" outlineLevel="0" collapsed="false">
      <c r="A1584" s="2" t="s">
        <v>149</v>
      </c>
      <c r="B1584" s="2" t="s">
        <v>150</v>
      </c>
      <c r="C1584" s="2" t="s">
        <v>24</v>
      </c>
      <c r="D1584" s="3" t="n">
        <v>46236</v>
      </c>
      <c r="E1584" s="2" t="str">
        <f aca="false">TEXT(D1584,"dddd")</f>
        <v>Sunday</v>
      </c>
      <c r="F1584" s="2" t="s">
        <v>460</v>
      </c>
      <c r="G1584" s="2"/>
      <c r="H1584" s="2"/>
      <c r="I1584" s="2" t="n">
        <f aca="false">IF(F1584="Present",9,IF(F1584="Half Day",4,0))</f>
        <v>0</v>
      </c>
      <c r="J1584" s="2"/>
      <c r="K1584" s="2" t="s">
        <v>460</v>
      </c>
    </row>
    <row r="1585" customFormat="false" ht="15" hidden="false" customHeight="false" outlineLevel="0" collapsed="false">
      <c r="A1585" s="2" t="s">
        <v>149</v>
      </c>
      <c r="B1585" s="2" t="s">
        <v>150</v>
      </c>
      <c r="C1585" s="2" t="s">
        <v>24</v>
      </c>
      <c r="D1585" s="3" t="n">
        <v>46237</v>
      </c>
      <c r="E1585" s="2" t="str">
        <f aca="false">TEXT(D1585,"dddd")</f>
        <v>Monday</v>
      </c>
      <c r="F1585" s="2" t="s">
        <v>457</v>
      </c>
      <c r="G1585" s="2" t="s">
        <v>458</v>
      </c>
      <c r="H1585" s="2" t="s">
        <v>459</v>
      </c>
      <c r="I1585" s="2" t="n">
        <f aca="false">IF(F1585="Present",9,IF(F1585="Half Day",4,0))</f>
        <v>9</v>
      </c>
      <c r="J1585" s="2"/>
      <c r="K1585" s="2"/>
    </row>
    <row r="1586" customFormat="false" ht="15" hidden="false" customHeight="false" outlineLevel="0" collapsed="false">
      <c r="A1586" s="2" t="s">
        <v>149</v>
      </c>
      <c r="B1586" s="2" t="s">
        <v>150</v>
      </c>
      <c r="C1586" s="2" t="s">
        <v>24</v>
      </c>
      <c r="D1586" s="3" t="n">
        <v>46238</v>
      </c>
      <c r="E1586" s="2" t="str">
        <f aca="false">TEXT(D1586,"dddd")</f>
        <v>Tuesday</v>
      </c>
      <c r="F1586" s="2" t="s">
        <v>457</v>
      </c>
      <c r="G1586" s="2" t="s">
        <v>458</v>
      </c>
      <c r="H1586" s="2" t="s">
        <v>459</v>
      </c>
      <c r="I1586" s="2" t="n">
        <f aca="false">IF(F1586="Present",9,IF(F1586="Half Day",4,0))</f>
        <v>9</v>
      </c>
      <c r="J1586" s="2"/>
      <c r="K1586" s="2"/>
    </row>
    <row r="1587" customFormat="false" ht="15" hidden="false" customHeight="false" outlineLevel="0" collapsed="false">
      <c r="A1587" s="2" t="s">
        <v>149</v>
      </c>
      <c r="B1587" s="2" t="s">
        <v>150</v>
      </c>
      <c r="C1587" s="2" t="s">
        <v>24</v>
      </c>
      <c r="D1587" s="3" t="n">
        <v>46239</v>
      </c>
      <c r="E1587" s="2" t="str">
        <f aca="false">TEXT(D1587,"dddd")</f>
        <v>Wednesday</v>
      </c>
      <c r="F1587" s="2" t="s">
        <v>457</v>
      </c>
      <c r="G1587" s="2" t="s">
        <v>458</v>
      </c>
      <c r="H1587" s="2" t="s">
        <v>459</v>
      </c>
      <c r="I1587" s="2" t="n">
        <f aca="false">IF(F1587="Present",9,IF(F1587="Half Day",4,0))</f>
        <v>9</v>
      </c>
      <c r="J1587" s="2"/>
      <c r="K1587" s="2"/>
    </row>
    <row r="1588" customFormat="false" ht="15" hidden="false" customHeight="false" outlineLevel="0" collapsed="false">
      <c r="A1588" s="2" t="s">
        <v>149</v>
      </c>
      <c r="B1588" s="2" t="s">
        <v>150</v>
      </c>
      <c r="C1588" s="2" t="s">
        <v>24</v>
      </c>
      <c r="D1588" s="3" t="n">
        <v>46240</v>
      </c>
      <c r="E1588" s="2" t="str">
        <f aca="false">TEXT(D1588,"dddd")</f>
        <v>Thursday</v>
      </c>
      <c r="F1588" s="2" t="s">
        <v>457</v>
      </c>
      <c r="G1588" s="2" t="s">
        <v>458</v>
      </c>
      <c r="H1588" s="2" t="s">
        <v>459</v>
      </c>
      <c r="I1588" s="2" t="n">
        <f aca="false">IF(F1588="Present",9,IF(F1588="Half Day",4,0))</f>
        <v>9</v>
      </c>
      <c r="J1588" s="2"/>
      <c r="K1588" s="2"/>
    </row>
    <row r="1589" customFormat="false" ht="15" hidden="false" customHeight="false" outlineLevel="0" collapsed="false">
      <c r="A1589" s="2" t="s">
        <v>149</v>
      </c>
      <c r="B1589" s="2" t="s">
        <v>150</v>
      </c>
      <c r="C1589" s="2" t="s">
        <v>24</v>
      </c>
      <c r="D1589" s="3" t="n">
        <v>46241</v>
      </c>
      <c r="E1589" s="2" t="str">
        <f aca="false">TEXT(D1589,"dddd")</f>
        <v>Friday</v>
      </c>
      <c r="F1589" s="2" t="s">
        <v>457</v>
      </c>
      <c r="G1589" s="2" t="s">
        <v>458</v>
      </c>
      <c r="H1589" s="2" t="s">
        <v>459</v>
      </c>
      <c r="I1589" s="2" t="n">
        <f aca="false">IF(F1589="Present",9,IF(F1589="Half Day",4,0))</f>
        <v>9</v>
      </c>
      <c r="J1589" s="2"/>
      <c r="K1589" s="2"/>
    </row>
    <row r="1590" customFormat="false" ht="15" hidden="false" customHeight="false" outlineLevel="0" collapsed="false">
      <c r="A1590" s="2" t="s">
        <v>149</v>
      </c>
      <c r="B1590" s="2" t="s">
        <v>150</v>
      </c>
      <c r="C1590" s="2" t="s">
        <v>24</v>
      </c>
      <c r="D1590" s="3" t="n">
        <v>46242</v>
      </c>
      <c r="E1590" s="2" t="str">
        <f aca="false">TEXT(D1590,"dddd")</f>
        <v>Saturday</v>
      </c>
      <c r="F1590" s="2" t="s">
        <v>457</v>
      </c>
      <c r="G1590" s="2" t="s">
        <v>458</v>
      </c>
      <c r="H1590" s="2" t="s">
        <v>459</v>
      </c>
      <c r="I1590" s="2" t="n">
        <f aca="false">IF(F1590="Present",9,IF(F1590="Half Day",4,0))</f>
        <v>9</v>
      </c>
      <c r="J1590" s="2"/>
      <c r="K1590" s="2"/>
    </row>
    <row r="1591" customFormat="false" ht="15" hidden="false" customHeight="false" outlineLevel="0" collapsed="false">
      <c r="A1591" s="2" t="s">
        <v>149</v>
      </c>
      <c r="B1591" s="2" t="s">
        <v>150</v>
      </c>
      <c r="C1591" s="2" t="s">
        <v>24</v>
      </c>
      <c r="D1591" s="3" t="n">
        <v>46243</v>
      </c>
      <c r="E1591" s="2" t="str">
        <f aca="false">TEXT(D1591,"dddd")</f>
        <v>Sunday</v>
      </c>
      <c r="F1591" s="2" t="s">
        <v>460</v>
      </c>
      <c r="G1591" s="2"/>
      <c r="H1591" s="2"/>
      <c r="I1591" s="2" t="n">
        <f aca="false">IF(F1591="Present",9,IF(F1591="Half Day",4,0))</f>
        <v>0</v>
      </c>
      <c r="J1591" s="2"/>
      <c r="K1591" s="2" t="s">
        <v>460</v>
      </c>
    </row>
    <row r="1592" customFormat="false" ht="15" hidden="false" customHeight="false" outlineLevel="0" collapsed="false">
      <c r="A1592" s="2" t="s">
        <v>149</v>
      </c>
      <c r="B1592" s="2" t="s">
        <v>150</v>
      </c>
      <c r="C1592" s="2" t="s">
        <v>24</v>
      </c>
      <c r="D1592" s="3" t="n">
        <v>46244</v>
      </c>
      <c r="E1592" s="2" t="str">
        <f aca="false">TEXT(D1592,"dddd")</f>
        <v>Monday</v>
      </c>
      <c r="F1592" s="2" t="s">
        <v>457</v>
      </c>
      <c r="G1592" s="2" t="s">
        <v>458</v>
      </c>
      <c r="H1592" s="2" t="s">
        <v>459</v>
      </c>
      <c r="I1592" s="2" t="n">
        <f aca="false">IF(F1592="Present",9,IF(F1592="Half Day",4,0))</f>
        <v>9</v>
      </c>
      <c r="J1592" s="2"/>
      <c r="K1592" s="2"/>
    </row>
    <row r="1593" customFormat="false" ht="15" hidden="false" customHeight="false" outlineLevel="0" collapsed="false">
      <c r="A1593" s="2" t="s">
        <v>149</v>
      </c>
      <c r="B1593" s="2" t="s">
        <v>150</v>
      </c>
      <c r="C1593" s="2" t="s">
        <v>24</v>
      </c>
      <c r="D1593" s="3" t="n">
        <v>46245</v>
      </c>
      <c r="E1593" s="2" t="str">
        <f aca="false">TEXT(D1593,"dddd")</f>
        <v>Tuesday</v>
      </c>
      <c r="F1593" s="2" t="s">
        <v>457</v>
      </c>
      <c r="G1593" s="2" t="s">
        <v>458</v>
      </c>
      <c r="H1593" s="2" t="s">
        <v>459</v>
      </c>
      <c r="I1593" s="2" t="n">
        <f aca="false">IF(F1593="Present",9,IF(F1593="Half Day",4,0))</f>
        <v>9</v>
      </c>
      <c r="J1593" s="2"/>
      <c r="K1593" s="2"/>
    </row>
    <row r="1594" customFormat="false" ht="15" hidden="false" customHeight="false" outlineLevel="0" collapsed="false">
      <c r="A1594" s="2" t="s">
        <v>149</v>
      </c>
      <c r="B1594" s="2" t="s">
        <v>150</v>
      </c>
      <c r="C1594" s="2" t="s">
        <v>24</v>
      </c>
      <c r="D1594" s="3" t="n">
        <v>46246</v>
      </c>
      <c r="E1594" s="2" t="str">
        <f aca="false">TEXT(D1594,"dddd")</f>
        <v>Wednesday</v>
      </c>
      <c r="F1594" s="2" t="s">
        <v>457</v>
      </c>
      <c r="G1594" s="2" t="s">
        <v>458</v>
      </c>
      <c r="H1594" s="2" t="s">
        <v>459</v>
      </c>
      <c r="I1594" s="2" t="n">
        <f aca="false">IF(F1594="Present",9,IF(F1594="Half Day",4,0))</f>
        <v>9</v>
      </c>
      <c r="J1594" s="2"/>
      <c r="K1594" s="2"/>
    </row>
    <row r="1595" customFormat="false" ht="15" hidden="false" customHeight="false" outlineLevel="0" collapsed="false">
      <c r="A1595" s="2" t="s">
        <v>149</v>
      </c>
      <c r="B1595" s="2" t="s">
        <v>150</v>
      </c>
      <c r="C1595" s="2" t="s">
        <v>24</v>
      </c>
      <c r="D1595" s="3" t="n">
        <v>46247</v>
      </c>
      <c r="E1595" s="2" t="str">
        <f aca="false">TEXT(D1595,"dddd")</f>
        <v>Thursday</v>
      </c>
      <c r="F1595" s="2" t="s">
        <v>457</v>
      </c>
      <c r="G1595" s="2" t="s">
        <v>458</v>
      </c>
      <c r="H1595" s="2" t="s">
        <v>459</v>
      </c>
      <c r="I1595" s="2" t="n">
        <f aca="false">IF(F1595="Present",9,IF(F1595="Half Day",4,0))</f>
        <v>9</v>
      </c>
      <c r="J1595" s="2"/>
      <c r="K1595" s="2"/>
    </row>
    <row r="1596" customFormat="false" ht="15" hidden="false" customHeight="false" outlineLevel="0" collapsed="false">
      <c r="A1596" s="2" t="s">
        <v>149</v>
      </c>
      <c r="B1596" s="2" t="s">
        <v>150</v>
      </c>
      <c r="C1596" s="2" t="s">
        <v>24</v>
      </c>
      <c r="D1596" s="3" t="n">
        <v>46248</v>
      </c>
      <c r="E1596" s="2" t="str">
        <f aca="false">TEXT(D1596,"dddd")</f>
        <v>Friday</v>
      </c>
      <c r="F1596" s="2" t="s">
        <v>466</v>
      </c>
      <c r="G1596" s="2" t="s">
        <v>458</v>
      </c>
      <c r="H1596" s="2" t="s">
        <v>467</v>
      </c>
      <c r="I1596" s="2" t="n">
        <f aca="false">IF(F1596="Present",9,IF(F1596="Half Day",4,0))</f>
        <v>4</v>
      </c>
      <c r="J1596" s="2"/>
      <c r="K1596" s="2" t="s">
        <v>466</v>
      </c>
    </row>
    <row r="1597" customFormat="false" ht="15" hidden="false" customHeight="false" outlineLevel="0" collapsed="false">
      <c r="A1597" s="2" t="s">
        <v>149</v>
      </c>
      <c r="B1597" s="2" t="s">
        <v>150</v>
      </c>
      <c r="C1597" s="2" t="s">
        <v>24</v>
      </c>
      <c r="D1597" s="3" t="n">
        <v>46249</v>
      </c>
      <c r="E1597" s="2" t="str">
        <f aca="false">TEXT(D1597,"dddd")</f>
        <v>Saturday</v>
      </c>
      <c r="F1597" s="2" t="s">
        <v>457</v>
      </c>
      <c r="G1597" s="2" t="s">
        <v>458</v>
      </c>
      <c r="H1597" s="2" t="s">
        <v>459</v>
      </c>
      <c r="I1597" s="2" t="n">
        <f aca="false">IF(F1597="Present",9,IF(F1597="Half Day",4,0))</f>
        <v>9</v>
      </c>
      <c r="J1597" s="2"/>
      <c r="K1597" s="2"/>
    </row>
    <row r="1598" customFormat="false" ht="15" hidden="false" customHeight="false" outlineLevel="0" collapsed="false">
      <c r="A1598" s="2" t="s">
        <v>149</v>
      </c>
      <c r="B1598" s="2" t="s">
        <v>150</v>
      </c>
      <c r="C1598" s="2" t="s">
        <v>24</v>
      </c>
      <c r="D1598" s="3" t="n">
        <v>46250</v>
      </c>
      <c r="E1598" s="2" t="str">
        <f aca="false">TEXT(D1598,"dddd")</f>
        <v>Sunday</v>
      </c>
      <c r="F1598" s="2" t="s">
        <v>460</v>
      </c>
      <c r="G1598" s="2"/>
      <c r="H1598" s="2"/>
      <c r="I1598" s="2" t="n">
        <f aca="false">IF(F1598="Present",9,IF(F1598="Half Day",4,0))</f>
        <v>0</v>
      </c>
      <c r="J1598" s="2"/>
      <c r="K1598" s="2" t="s">
        <v>460</v>
      </c>
    </row>
    <row r="1599" customFormat="false" ht="15" hidden="false" customHeight="false" outlineLevel="0" collapsed="false">
      <c r="A1599" s="2" t="s">
        <v>149</v>
      </c>
      <c r="B1599" s="2" t="s">
        <v>150</v>
      </c>
      <c r="C1599" s="2" t="s">
        <v>24</v>
      </c>
      <c r="D1599" s="3" t="n">
        <v>46251</v>
      </c>
      <c r="E1599" s="2" t="str">
        <f aca="false">TEXT(D1599,"dddd")</f>
        <v>Monday</v>
      </c>
      <c r="F1599" s="2" t="s">
        <v>457</v>
      </c>
      <c r="G1599" s="2" t="s">
        <v>458</v>
      </c>
      <c r="H1599" s="2" t="s">
        <v>459</v>
      </c>
      <c r="I1599" s="2" t="n">
        <f aca="false">IF(F1599="Present",9,IF(F1599="Half Day",4,0))</f>
        <v>9</v>
      </c>
      <c r="J1599" s="2"/>
      <c r="K1599" s="2"/>
    </row>
    <row r="1600" customFormat="false" ht="15" hidden="false" customHeight="false" outlineLevel="0" collapsed="false">
      <c r="A1600" s="2" t="s">
        <v>149</v>
      </c>
      <c r="B1600" s="2" t="s">
        <v>150</v>
      </c>
      <c r="C1600" s="2" t="s">
        <v>24</v>
      </c>
      <c r="D1600" s="3" t="n">
        <v>46252</v>
      </c>
      <c r="E1600" s="2" t="str">
        <f aca="false">TEXT(D1600,"dddd")</f>
        <v>Tuesday</v>
      </c>
      <c r="F1600" s="2" t="s">
        <v>457</v>
      </c>
      <c r="G1600" s="2" t="s">
        <v>458</v>
      </c>
      <c r="H1600" s="2" t="s">
        <v>459</v>
      </c>
      <c r="I1600" s="2" t="n">
        <f aca="false">IF(F1600="Present",9,IF(F1600="Half Day",4,0))</f>
        <v>9</v>
      </c>
      <c r="J1600" s="2"/>
      <c r="K1600" s="2"/>
    </row>
    <row r="1601" customFormat="false" ht="15" hidden="false" customHeight="false" outlineLevel="0" collapsed="false">
      <c r="A1601" s="2" t="s">
        <v>149</v>
      </c>
      <c r="B1601" s="2" t="s">
        <v>150</v>
      </c>
      <c r="C1601" s="2" t="s">
        <v>24</v>
      </c>
      <c r="D1601" s="3" t="n">
        <v>46253</v>
      </c>
      <c r="E1601" s="2" t="str">
        <f aca="false">TEXT(D1601,"dddd")</f>
        <v>Wednesday</v>
      </c>
      <c r="F1601" s="2" t="s">
        <v>457</v>
      </c>
      <c r="G1601" s="2" t="s">
        <v>458</v>
      </c>
      <c r="H1601" s="2" t="s">
        <v>459</v>
      </c>
      <c r="I1601" s="2" t="n">
        <f aca="false">IF(F1601="Present",9,IF(F1601="Half Day",4,0))</f>
        <v>9</v>
      </c>
      <c r="J1601" s="2"/>
      <c r="K1601" s="2"/>
    </row>
    <row r="1602" customFormat="false" ht="15" hidden="false" customHeight="false" outlineLevel="0" collapsed="false">
      <c r="A1602" s="2" t="s">
        <v>149</v>
      </c>
      <c r="B1602" s="2" t="s">
        <v>150</v>
      </c>
      <c r="C1602" s="2" t="s">
        <v>24</v>
      </c>
      <c r="D1602" s="3" t="n">
        <v>46254</v>
      </c>
      <c r="E1602" s="2" t="str">
        <f aca="false">TEXT(D1602,"dddd")</f>
        <v>Thursday</v>
      </c>
      <c r="F1602" s="2" t="s">
        <v>457</v>
      </c>
      <c r="G1602" s="2" t="s">
        <v>458</v>
      </c>
      <c r="H1602" s="2" t="s">
        <v>459</v>
      </c>
      <c r="I1602" s="2" t="n">
        <f aca="false">IF(F1602="Present",9,IF(F1602="Half Day",4,0))</f>
        <v>9</v>
      </c>
      <c r="J1602" s="2"/>
      <c r="K1602" s="2"/>
    </row>
    <row r="1603" customFormat="false" ht="15" hidden="false" customHeight="false" outlineLevel="0" collapsed="false">
      <c r="A1603" s="2" t="s">
        <v>149</v>
      </c>
      <c r="B1603" s="2" t="s">
        <v>150</v>
      </c>
      <c r="C1603" s="2" t="s">
        <v>24</v>
      </c>
      <c r="D1603" s="3" t="n">
        <v>46255</v>
      </c>
      <c r="E1603" s="2" t="str">
        <f aca="false">TEXT(D1603,"dddd")</f>
        <v>Friday</v>
      </c>
      <c r="F1603" s="2" t="s">
        <v>457</v>
      </c>
      <c r="G1603" s="2" t="s">
        <v>458</v>
      </c>
      <c r="H1603" s="2" t="s">
        <v>459</v>
      </c>
      <c r="I1603" s="2" t="n">
        <f aca="false">IF(F1603="Present",9,IF(F1603="Half Day",4,0))</f>
        <v>9</v>
      </c>
      <c r="J1603" s="2"/>
      <c r="K1603" s="2"/>
    </row>
    <row r="1604" customFormat="false" ht="15" hidden="false" customHeight="false" outlineLevel="0" collapsed="false">
      <c r="A1604" s="2" t="s">
        <v>149</v>
      </c>
      <c r="B1604" s="2" t="s">
        <v>150</v>
      </c>
      <c r="C1604" s="2" t="s">
        <v>24</v>
      </c>
      <c r="D1604" s="3" t="n">
        <v>46256</v>
      </c>
      <c r="E1604" s="2" t="str">
        <f aca="false">TEXT(D1604,"dddd")</f>
        <v>Saturday</v>
      </c>
      <c r="F1604" s="2" t="s">
        <v>457</v>
      </c>
      <c r="G1604" s="2" t="s">
        <v>458</v>
      </c>
      <c r="H1604" s="2" t="s">
        <v>459</v>
      </c>
      <c r="I1604" s="2" t="n">
        <f aca="false">IF(F1604="Present",9,IF(F1604="Half Day",4,0))</f>
        <v>9</v>
      </c>
      <c r="J1604" s="2"/>
      <c r="K1604" s="2"/>
    </row>
    <row r="1605" customFormat="false" ht="15" hidden="false" customHeight="false" outlineLevel="0" collapsed="false">
      <c r="A1605" s="2" t="s">
        <v>149</v>
      </c>
      <c r="B1605" s="2" t="s">
        <v>150</v>
      </c>
      <c r="C1605" s="2" t="s">
        <v>24</v>
      </c>
      <c r="D1605" s="3" t="n">
        <v>46257</v>
      </c>
      <c r="E1605" s="2" t="str">
        <f aca="false">TEXT(D1605,"dddd")</f>
        <v>Sunday</v>
      </c>
      <c r="F1605" s="2" t="s">
        <v>460</v>
      </c>
      <c r="G1605" s="2"/>
      <c r="H1605" s="2"/>
      <c r="I1605" s="2" t="n">
        <f aca="false">IF(F1605="Present",9,IF(F1605="Half Day",4,0))</f>
        <v>0</v>
      </c>
      <c r="J1605" s="2"/>
      <c r="K1605" s="2" t="s">
        <v>460</v>
      </c>
    </row>
    <row r="1606" customFormat="false" ht="15" hidden="false" customHeight="false" outlineLevel="0" collapsed="false">
      <c r="A1606" s="2" t="s">
        <v>149</v>
      </c>
      <c r="B1606" s="2" t="s">
        <v>150</v>
      </c>
      <c r="C1606" s="2" t="s">
        <v>24</v>
      </c>
      <c r="D1606" s="3" t="n">
        <v>46258</v>
      </c>
      <c r="E1606" s="2" t="str">
        <f aca="false">TEXT(D1606,"dddd")</f>
        <v>Monday</v>
      </c>
      <c r="F1606" s="2" t="s">
        <v>457</v>
      </c>
      <c r="G1606" s="2" t="s">
        <v>458</v>
      </c>
      <c r="H1606" s="2" t="s">
        <v>459</v>
      </c>
      <c r="I1606" s="2" t="n">
        <f aca="false">IF(F1606="Present",9,IF(F1606="Half Day",4,0))</f>
        <v>9</v>
      </c>
      <c r="J1606" s="2"/>
      <c r="K1606" s="2"/>
    </row>
    <row r="1607" customFormat="false" ht="15" hidden="false" customHeight="false" outlineLevel="0" collapsed="false">
      <c r="A1607" s="2" t="s">
        <v>149</v>
      </c>
      <c r="B1607" s="2" t="s">
        <v>150</v>
      </c>
      <c r="C1607" s="2" t="s">
        <v>24</v>
      </c>
      <c r="D1607" s="3" t="n">
        <v>46259</v>
      </c>
      <c r="E1607" s="2" t="str">
        <f aca="false">TEXT(D1607,"dddd")</f>
        <v>Tuesday</v>
      </c>
      <c r="F1607" s="2" t="s">
        <v>457</v>
      </c>
      <c r="G1607" s="2" t="s">
        <v>458</v>
      </c>
      <c r="H1607" s="2" t="s">
        <v>459</v>
      </c>
      <c r="I1607" s="2" t="n">
        <f aca="false">IF(F1607="Present",9,IF(F1607="Half Day",4,0))</f>
        <v>9</v>
      </c>
      <c r="J1607" s="2"/>
      <c r="K1607" s="2"/>
    </row>
    <row r="1608" customFormat="false" ht="15" hidden="false" customHeight="false" outlineLevel="0" collapsed="false">
      <c r="A1608" s="2" t="s">
        <v>149</v>
      </c>
      <c r="B1608" s="2" t="s">
        <v>150</v>
      </c>
      <c r="C1608" s="2" t="s">
        <v>24</v>
      </c>
      <c r="D1608" s="3" t="n">
        <v>46260</v>
      </c>
      <c r="E1608" s="2" t="str">
        <f aca="false">TEXT(D1608,"dddd")</f>
        <v>Wednesday</v>
      </c>
      <c r="F1608" s="2" t="s">
        <v>457</v>
      </c>
      <c r="G1608" s="2" t="s">
        <v>458</v>
      </c>
      <c r="H1608" s="2" t="s">
        <v>459</v>
      </c>
      <c r="I1608" s="2" t="n">
        <f aca="false">IF(F1608="Present",9,IF(F1608="Half Day",4,0))</f>
        <v>9</v>
      </c>
      <c r="J1608" s="2"/>
      <c r="K1608" s="2"/>
    </row>
    <row r="1609" customFormat="false" ht="15" hidden="false" customHeight="false" outlineLevel="0" collapsed="false">
      <c r="A1609" s="2" t="s">
        <v>149</v>
      </c>
      <c r="B1609" s="2" t="s">
        <v>150</v>
      </c>
      <c r="C1609" s="2" t="s">
        <v>24</v>
      </c>
      <c r="D1609" s="3" t="n">
        <v>46261</v>
      </c>
      <c r="E1609" s="2" t="str">
        <f aca="false">TEXT(D1609,"dddd")</f>
        <v>Thursday</v>
      </c>
      <c r="F1609" s="2" t="s">
        <v>457</v>
      </c>
      <c r="G1609" s="2" t="s">
        <v>458</v>
      </c>
      <c r="H1609" s="2" t="s">
        <v>459</v>
      </c>
      <c r="I1609" s="2" t="n">
        <f aca="false">IF(F1609="Present",9,IF(F1609="Half Day",4,0))</f>
        <v>9</v>
      </c>
      <c r="J1609" s="2"/>
      <c r="K1609" s="2"/>
    </row>
    <row r="1610" customFormat="false" ht="15" hidden="false" customHeight="false" outlineLevel="0" collapsed="false">
      <c r="A1610" s="2" t="s">
        <v>149</v>
      </c>
      <c r="B1610" s="2" t="s">
        <v>150</v>
      </c>
      <c r="C1610" s="2" t="s">
        <v>24</v>
      </c>
      <c r="D1610" s="3" t="n">
        <v>46262</v>
      </c>
      <c r="E1610" s="2" t="str">
        <f aca="false">TEXT(D1610,"dddd")</f>
        <v>Friday</v>
      </c>
      <c r="F1610" s="2" t="s">
        <v>457</v>
      </c>
      <c r="G1610" s="2" t="s">
        <v>458</v>
      </c>
      <c r="H1610" s="2" t="s">
        <v>459</v>
      </c>
      <c r="I1610" s="2" t="n">
        <f aca="false">IF(F1610="Present",9,IF(F1610="Half Day",4,0))</f>
        <v>9</v>
      </c>
      <c r="J1610" s="2"/>
      <c r="K1610" s="2"/>
    </row>
    <row r="1611" customFormat="false" ht="15" hidden="false" customHeight="false" outlineLevel="0" collapsed="false">
      <c r="A1611" s="2" t="s">
        <v>149</v>
      </c>
      <c r="B1611" s="2" t="s">
        <v>150</v>
      </c>
      <c r="C1611" s="2" t="s">
        <v>24</v>
      </c>
      <c r="D1611" s="3" t="n">
        <v>46263</v>
      </c>
      <c r="E1611" s="2" t="str">
        <f aca="false">TEXT(D1611,"dddd")</f>
        <v>Saturday</v>
      </c>
      <c r="F1611" s="2" t="s">
        <v>457</v>
      </c>
      <c r="G1611" s="2" t="s">
        <v>458</v>
      </c>
      <c r="H1611" s="2" t="s">
        <v>459</v>
      </c>
      <c r="I1611" s="2" t="n">
        <f aca="false">IF(F1611="Present",9,IF(F1611="Half Day",4,0))</f>
        <v>9</v>
      </c>
      <c r="J1611" s="2"/>
      <c r="K1611" s="2"/>
    </row>
    <row r="1612" customFormat="false" ht="15" hidden="false" customHeight="false" outlineLevel="0" collapsed="false">
      <c r="A1612" s="2" t="s">
        <v>149</v>
      </c>
      <c r="B1612" s="2" t="s">
        <v>150</v>
      </c>
      <c r="C1612" s="2" t="s">
        <v>24</v>
      </c>
      <c r="D1612" s="3" t="n">
        <v>46264</v>
      </c>
      <c r="E1612" s="2" t="str">
        <f aca="false">TEXT(D1612,"dddd")</f>
        <v>Sunday</v>
      </c>
      <c r="F1612" s="2" t="s">
        <v>460</v>
      </c>
      <c r="G1612" s="2"/>
      <c r="H1612" s="2"/>
      <c r="I1612" s="2" t="n">
        <f aca="false">IF(F1612="Present",9,IF(F1612="Half Day",4,0))</f>
        <v>0</v>
      </c>
      <c r="J1612" s="2"/>
      <c r="K1612" s="2" t="s">
        <v>460</v>
      </c>
    </row>
    <row r="1613" customFormat="false" ht="15" hidden="false" customHeight="false" outlineLevel="0" collapsed="false">
      <c r="A1613" s="2" t="s">
        <v>149</v>
      </c>
      <c r="B1613" s="2" t="s">
        <v>150</v>
      </c>
      <c r="C1613" s="2" t="s">
        <v>24</v>
      </c>
      <c r="D1613" s="3" t="n">
        <v>46265</v>
      </c>
      <c r="E1613" s="2" t="str">
        <f aca="false">TEXT(D1613,"dddd")</f>
        <v>Monday</v>
      </c>
      <c r="F1613" s="2" t="s">
        <v>457</v>
      </c>
      <c r="G1613" s="2" t="s">
        <v>458</v>
      </c>
      <c r="H1613" s="2" t="s">
        <v>459</v>
      </c>
      <c r="I1613" s="2" t="n">
        <f aca="false">IF(F1613="Present",9,IF(F1613="Half Day",4,0))</f>
        <v>9</v>
      </c>
      <c r="J1613" s="2"/>
      <c r="K1613" s="2"/>
    </row>
    <row r="1614" customFormat="false" ht="15" hidden="false" customHeight="false" outlineLevel="0" collapsed="false">
      <c r="A1614" s="2" t="s">
        <v>152</v>
      </c>
      <c r="B1614" s="2" t="s">
        <v>153</v>
      </c>
      <c r="C1614" s="2" t="s">
        <v>28</v>
      </c>
      <c r="D1614" s="3" t="n">
        <v>46235</v>
      </c>
      <c r="E1614" s="2" t="str">
        <f aca="false">TEXT(D1614,"dddd")</f>
        <v>Saturday</v>
      </c>
      <c r="F1614" s="2" t="s">
        <v>457</v>
      </c>
      <c r="G1614" s="2" t="s">
        <v>458</v>
      </c>
      <c r="H1614" s="2" t="s">
        <v>459</v>
      </c>
      <c r="I1614" s="2" t="n">
        <f aca="false">IF(F1614="Present",9,IF(F1614="Half Day",4,0))</f>
        <v>9</v>
      </c>
      <c r="J1614" s="2"/>
      <c r="K1614" s="2"/>
    </row>
    <row r="1615" customFormat="false" ht="15" hidden="false" customHeight="false" outlineLevel="0" collapsed="false">
      <c r="A1615" s="2" t="s">
        <v>152</v>
      </c>
      <c r="B1615" s="2" t="s">
        <v>153</v>
      </c>
      <c r="C1615" s="2" t="s">
        <v>28</v>
      </c>
      <c r="D1615" s="3" t="n">
        <v>46236</v>
      </c>
      <c r="E1615" s="2" t="str">
        <f aca="false">TEXT(D1615,"dddd")</f>
        <v>Sunday</v>
      </c>
      <c r="F1615" s="2" t="s">
        <v>460</v>
      </c>
      <c r="G1615" s="2"/>
      <c r="H1615" s="2"/>
      <c r="I1615" s="2" t="n">
        <f aca="false">IF(F1615="Present",9,IF(F1615="Half Day",4,0))</f>
        <v>0</v>
      </c>
      <c r="J1615" s="2"/>
      <c r="K1615" s="2" t="s">
        <v>460</v>
      </c>
    </row>
    <row r="1616" customFormat="false" ht="15" hidden="false" customHeight="false" outlineLevel="0" collapsed="false">
      <c r="A1616" s="2" t="s">
        <v>152</v>
      </c>
      <c r="B1616" s="2" t="s">
        <v>153</v>
      </c>
      <c r="C1616" s="2" t="s">
        <v>28</v>
      </c>
      <c r="D1616" s="3" t="n">
        <v>46237</v>
      </c>
      <c r="E1616" s="2" t="str">
        <f aca="false">TEXT(D1616,"dddd")</f>
        <v>Monday</v>
      </c>
      <c r="F1616" s="2" t="s">
        <v>461</v>
      </c>
      <c r="G1616" s="2"/>
      <c r="H1616" s="2"/>
      <c r="I1616" s="2" t="n">
        <f aca="false">IF(F1616="Present",9,IF(F1616="Half Day",4,0))</f>
        <v>0</v>
      </c>
      <c r="J1616" s="2"/>
      <c r="K1616" s="2" t="s">
        <v>462</v>
      </c>
    </row>
    <row r="1617" customFormat="false" ht="15" hidden="false" customHeight="false" outlineLevel="0" collapsed="false">
      <c r="A1617" s="2" t="s">
        <v>152</v>
      </c>
      <c r="B1617" s="2" t="s">
        <v>153</v>
      </c>
      <c r="C1617" s="2" t="s">
        <v>28</v>
      </c>
      <c r="D1617" s="3" t="n">
        <v>46238</v>
      </c>
      <c r="E1617" s="2" t="str">
        <f aca="false">TEXT(D1617,"dddd")</f>
        <v>Tuesday</v>
      </c>
      <c r="F1617" s="2" t="s">
        <v>457</v>
      </c>
      <c r="G1617" s="2" t="s">
        <v>458</v>
      </c>
      <c r="H1617" s="2" t="s">
        <v>459</v>
      </c>
      <c r="I1617" s="2" t="n">
        <f aca="false">IF(F1617="Present",9,IF(F1617="Half Day",4,0))</f>
        <v>9</v>
      </c>
      <c r="J1617" s="2"/>
      <c r="K1617" s="2"/>
    </row>
    <row r="1618" customFormat="false" ht="15" hidden="false" customHeight="false" outlineLevel="0" collapsed="false">
      <c r="A1618" s="2" t="s">
        <v>152</v>
      </c>
      <c r="B1618" s="2" t="s">
        <v>153</v>
      </c>
      <c r="C1618" s="2" t="s">
        <v>28</v>
      </c>
      <c r="D1618" s="3" t="n">
        <v>46239</v>
      </c>
      <c r="E1618" s="2" t="str">
        <f aca="false">TEXT(D1618,"dddd")</f>
        <v>Wednesday</v>
      </c>
      <c r="F1618" s="2" t="s">
        <v>461</v>
      </c>
      <c r="G1618" s="2"/>
      <c r="H1618" s="2"/>
      <c r="I1618" s="2" t="n">
        <f aca="false">IF(F1618="Present",9,IF(F1618="Half Day",4,0))</f>
        <v>0</v>
      </c>
      <c r="J1618" s="2"/>
      <c r="K1618" s="2" t="s">
        <v>462</v>
      </c>
    </row>
    <row r="1619" customFormat="false" ht="15" hidden="false" customHeight="false" outlineLevel="0" collapsed="false">
      <c r="A1619" s="2" t="s">
        <v>152</v>
      </c>
      <c r="B1619" s="2" t="s">
        <v>153</v>
      </c>
      <c r="C1619" s="2" t="s">
        <v>28</v>
      </c>
      <c r="D1619" s="3" t="n">
        <v>46240</v>
      </c>
      <c r="E1619" s="2" t="str">
        <f aca="false">TEXT(D1619,"dddd")</f>
        <v>Thursday</v>
      </c>
      <c r="F1619" s="2" t="s">
        <v>461</v>
      </c>
      <c r="G1619" s="2"/>
      <c r="H1619" s="2"/>
      <c r="I1619" s="2" t="n">
        <f aca="false">IF(F1619="Present",9,IF(F1619="Half Day",4,0))</f>
        <v>0</v>
      </c>
      <c r="J1619" s="2"/>
      <c r="K1619" s="2" t="s">
        <v>462</v>
      </c>
    </row>
    <row r="1620" customFormat="false" ht="15" hidden="false" customHeight="false" outlineLevel="0" collapsed="false">
      <c r="A1620" s="2" t="s">
        <v>152</v>
      </c>
      <c r="B1620" s="2" t="s">
        <v>153</v>
      </c>
      <c r="C1620" s="2" t="s">
        <v>28</v>
      </c>
      <c r="D1620" s="3" t="n">
        <v>46241</v>
      </c>
      <c r="E1620" s="2" t="str">
        <f aca="false">TEXT(D1620,"dddd")</f>
        <v>Friday</v>
      </c>
      <c r="F1620" s="2" t="s">
        <v>457</v>
      </c>
      <c r="G1620" s="2" t="s">
        <v>458</v>
      </c>
      <c r="H1620" s="2" t="s">
        <v>459</v>
      </c>
      <c r="I1620" s="2" t="n">
        <f aca="false">IF(F1620="Present",9,IF(F1620="Half Day",4,0))</f>
        <v>9</v>
      </c>
      <c r="J1620" s="2"/>
      <c r="K1620" s="2"/>
    </row>
    <row r="1621" customFormat="false" ht="15" hidden="false" customHeight="false" outlineLevel="0" collapsed="false">
      <c r="A1621" s="2" t="s">
        <v>152</v>
      </c>
      <c r="B1621" s="2" t="s">
        <v>153</v>
      </c>
      <c r="C1621" s="2" t="s">
        <v>28</v>
      </c>
      <c r="D1621" s="3" t="n">
        <v>46242</v>
      </c>
      <c r="E1621" s="2" t="str">
        <f aca="false">TEXT(D1621,"dddd")</f>
        <v>Saturday</v>
      </c>
      <c r="F1621" s="2" t="s">
        <v>457</v>
      </c>
      <c r="G1621" s="2" t="s">
        <v>458</v>
      </c>
      <c r="H1621" s="2" t="s">
        <v>459</v>
      </c>
      <c r="I1621" s="2" t="n">
        <f aca="false">IF(F1621="Present",9,IF(F1621="Half Day",4,0))</f>
        <v>9</v>
      </c>
      <c r="J1621" s="2"/>
      <c r="K1621" s="2"/>
    </row>
    <row r="1622" customFormat="false" ht="15" hidden="false" customHeight="false" outlineLevel="0" collapsed="false">
      <c r="A1622" s="2" t="s">
        <v>152</v>
      </c>
      <c r="B1622" s="2" t="s">
        <v>153</v>
      </c>
      <c r="C1622" s="2" t="s">
        <v>28</v>
      </c>
      <c r="D1622" s="3" t="n">
        <v>46243</v>
      </c>
      <c r="E1622" s="2" t="str">
        <f aca="false">TEXT(D1622,"dddd")</f>
        <v>Sunday</v>
      </c>
      <c r="F1622" s="2" t="s">
        <v>460</v>
      </c>
      <c r="G1622" s="2"/>
      <c r="H1622" s="2"/>
      <c r="I1622" s="2" t="n">
        <f aca="false">IF(F1622="Present",9,IF(F1622="Half Day",4,0))</f>
        <v>0</v>
      </c>
      <c r="J1622" s="2"/>
      <c r="K1622" s="2" t="s">
        <v>460</v>
      </c>
    </row>
    <row r="1623" customFormat="false" ht="15" hidden="false" customHeight="false" outlineLevel="0" collapsed="false">
      <c r="A1623" s="2" t="s">
        <v>152</v>
      </c>
      <c r="B1623" s="2" t="s">
        <v>153</v>
      </c>
      <c r="C1623" s="2" t="s">
        <v>28</v>
      </c>
      <c r="D1623" s="3" t="n">
        <v>46244</v>
      </c>
      <c r="E1623" s="2" t="str">
        <f aca="false">TEXT(D1623,"dddd")</f>
        <v>Monday</v>
      </c>
      <c r="F1623" s="2" t="s">
        <v>457</v>
      </c>
      <c r="G1623" s="2" t="s">
        <v>458</v>
      </c>
      <c r="H1623" s="2" t="s">
        <v>459</v>
      </c>
      <c r="I1623" s="2" t="n">
        <f aca="false">IF(F1623="Present",9,IF(F1623="Half Day",4,0))</f>
        <v>9</v>
      </c>
      <c r="J1623" s="2"/>
      <c r="K1623" s="2"/>
    </row>
    <row r="1624" customFormat="false" ht="15" hidden="false" customHeight="false" outlineLevel="0" collapsed="false">
      <c r="A1624" s="2" t="s">
        <v>152</v>
      </c>
      <c r="B1624" s="2" t="s">
        <v>153</v>
      </c>
      <c r="C1624" s="2" t="s">
        <v>28</v>
      </c>
      <c r="D1624" s="3" t="n">
        <v>46245</v>
      </c>
      <c r="E1624" s="2" t="str">
        <f aca="false">TEXT(D1624,"dddd")</f>
        <v>Tuesday</v>
      </c>
      <c r="F1624" s="2" t="s">
        <v>457</v>
      </c>
      <c r="G1624" s="2" t="s">
        <v>458</v>
      </c>
      <c r="H1624" s="2" t="s">
        <v>459</v>
      </c>
      <c r="I1624" s="2" t="n">
        <f aca="false">IF(F1624="Present",9,IF(F1624="Half Day",4,0))</f>
        <v>9</v>
      </c>
      <c r="J1624" s="2"/>
      <c r="K1624" s="2"/>
    </row>
    <row r="1625" customFormat="false" ht="15" hidden="false" customHeight="false" outlineLevel="0" collapsed="false">
      <c r="A1625" s="2" t="s">
        <v>152</v>
      </c>
      <c r="B1625" s="2" t="s">
        <v>153</v>
      </c>
      <c r="C1625" s="2" t="s">
        <v>28</v>
      </c>
      <c r="D1625" s="3" t="n">
        <v>46246</v>
      </c>
      <c r="E1625" s="2" t="str">
        <f aca="false">TEXT(D1625,"dddd")</f>
        <v>Wednesday</v>
      </c>
      <c r="F1625" s="2" t="s">
        <v>461</v>
      </c>
      <c r="G1625" s="2"/>
      <c r="H1625" s="2"/>
      <c r="I1625" s="2" t="n">
        <f aca="false">IF(F1625="Present",9,IF(F1625="Half Day",4,0))</f>
        <v>0</v>
      </c>
      <c r="J1625" s="2"/>
      <c r="K1625" s="2" t="s">
        <v>462</v>
      </c>
    </row>
    <row r="1626" customFormat="false" ht="15" hidden="false" customHeight="false" outlineLevel="0" collapsed="false">
      <c r="A1626" s="2" t="s">
        <v>152</v>
      </c>
      <c r="B1626" s="2" t="s">
        <v>153</v>
      </c>
      <c r="C1626" s="2" t="s">
        <v>28</v>
      </c>
      <c r="D1626" s="3" t="n">
        <v>46247</v>
      </c>
      <c r="E1626" s="2" t="str">
        <f aca="false">TEXT(D1626,"dddd")</f>
        <v>Thursday</v>
      </c>
      <c r="F1626" s="2" t="s">
        <v>461</v>
      </c>
      <c r="G1626" s="2"/>
      <c r="H1626" s="2"/>
      <c r="I1626" s="2" t="n">
        <f aca="false">IF(F1626="Present",9,IF(F1626="Half Day",4,0))</f>
        <v>0</v>
      </c>
      <c r="J1626" s="2"/>
      <c r="K1626" s="2" t="s">
        <v>462</v>
      </c>
    </row>
    <row r="1627" customFormat="false" ht="15" hidden="false" customHeight="false" outlineLevel="0" collapsed="false">
      <c r="A1627" s="2" t="s">
        <v>152</v>
      </c>
      <c r="B1627" s="2" t="s">
        <v>153</v>
      </c>
      <c r="C1627" s="2" t="s">
        <v>28</v>
      </c>
      <c r="D1627" s="3" t="n">
        <v>46248</v>
      </c>
      <c r="E1627" s="2" t="str">
        <f aca="false">TEXT(D1627,"dddd")</f>
        <v>Friday</v>
      </c>
      <c r="F1627" s="2" t="s">
        <v>463</v>
      </c>
      <c r="G1627" s="2"/>
      <c r="H1627" s="2"/>
      <c r="I1627" s="2" t="n">
        <f aca="false">IF(F1627="Present",9,IF(F1627="Half Day",4,0))</f>
        <v>0</v>
      </c>
      <c r="J1627" s="2" t="s">
        <v>464</v>
      </c>
      <c r="K1627" s="2" t="s">
        <v>465</v>
      </c>
    </row>
    <row r="1628" customFormat="false" ht="15" hidden="false" customHeight="false" outlineLevel="0" collapsed="false">
      <c r="A1628" s="2" t="s">
        <v>152</v>
      </c>
      <c r="B1628" s="2" t="s">
        <v>153</v>
      </c>
      <c r="C1628" s="2" t="s">
        <v>28</v>
      </c>
      <c r="D1628" s="3" t="n">
        <v>46249</v>
      </c>
      <c r="E1628" s="2" t="str">
        <f aca="false">TEXT(D1628,"dddd")</f>
        <v>Saturday</v>
      </c>
      <c r="F1628" s="2" t="s">
        <v>461</v>
      </c>
      <c r="G1628" s="2"/>
      <c r="H1628" s="2"/>
      <c r="I1628" s="2" t="n">
        <f aca="false">IF(F1628="Present",9,IF(F1628="Half Day",4,0))</f>
        <v>0</v>
      </c>
      <c r="J1628" s="2"/>
      <c r="K1628" s="2" t="s">
        <v>462</v>
      </c>
    </row>
    <row r="1629" customFormat="false" ht="15" hidden="false" customHeight="false" outlineLevel="0" collapsed="false">
      <c r="A1629" s="2" t="s">
        <v>152</v>
      </c>
      <c r="B1629" s="2" t="s">
        <v>153</v>
      </c>
      <c r="C1629" s="2" t="s">
        <v>28</v>
      </c>
      <c r="D1629" s="3" t="n">
        <v>46250</v>
      </c>
      <c r="E1629" s="2" t="str">
        <f aca="false">TEXT(D1629,"dddd")</f>
        <v>Sunday</v>
      </c>
      <c r="F1629" s="2" t="s">
        <v>460</v>
      </c>
      <c r="G1629" s="2"/>
      <c r="H1629" s="2"/>
      <c r="I1629" s="2" t="n">
        <f aca="false">IF(F1629="Present",9,IF(F1629="Half Day",4,0))</f>
        <v>0</v>
      </c>
      <c r="J1629" s="2"/>
      <c r="K1629" s="2" t="s">
        <v>460</v>
      </c>
    </row>
    <row r="1630" customFormat="false" ht="15" hidden="false" customHeight="false" outlineLevel="0" collapsed="false">
      <c r="A1630" s="2" t="s">
        <v>152</v>
      </c>
      <c r="B1630" s="2" t="s">
        <v>153</v>
      </c>
      <c r="C1630" s="2" t="s">
        <v>28</v>
      </c>
      <c r="D1630" s="3" t="n">
        <v>46251</v>
      </c>
      <c r="E1630" s="2" t="str">
        <f aca="false">TEXT(D1630,"dddd")</f>
        <v>Monday</v>
      </c>
      <c r="F1630" s="2" t="s">
        <v>463</v>
      </c>
      <c r="G1630" s="2"/>
      <c r="H1630" s="2"/>
      <c r="I1630" s="2" t="n">
        <f aca="false">IF(F1630="Present",9,IF(F1630="Half Day",4,0))</f>
        <v>0</v>
      </c>
      <c r="J1630" s="2" t="s">
        <v>470</v>
      </c>
      <c r="K1630" s="2" t="s">
        <v>471</v>
      </c>
    </row>
    <row r="1631" customFormat="false" ht="15" hidden="false" customHeight="false" outlineLevel="0" collapsed="false">
      <c r="A1631" s="2" t="s">
        <v>152</v>
      </c>
      <c r="B1631" s="2" t="s">
        <v>153</v>
      </c>
      <c r="C1631" s="2" t="s">
        <v>28</v>
      </c>
      <c r="D1631" s="3" t="n">
        <v>46252</v>
      </c>
      <c r="E1631" s="2" t="str">
        <f aca="false">TEXT(D1631,"dddd")</f>
        <v>Tuesday</v>
      </c>
      <c r="F1631" s="2" t="s">
        <v>461</v>
      </c>
      <c r="G1631" s="2"/>
      <c r="H1631" s="2"/>
      <c r="I1631" s="2" t="n">
        <f aca="false">IF(F1631="Present",9,IF(F1631="Half Day",4,0))</f>
        <v>0</v>
      </c>
      <c r="J1631" s="2"/>
      <c r="K1631" s="2" t="s">
        <v>462</v>
      </c>
    </row>
    <row r="1632" customFormat="false" ht="15" hidden="false" customHeight="false" outlineLevel="0" collapsed="false">
      <c r="A1632" s="2" t="s">
        <v>152</v>
      </c>
      <c r="B1632" s="2" t="s">
        <v>153</v>
      </c>
      <c r="C1632" s="2" t="s">
        <v>28</v>
      </c>
      <c r="D1632" s="3" t="n">
        <v>46253</v>
      </c>
      <c r="E1632" s="2" t="str">
        <f aca="false">TEXT(D1632,"dddd")</f>
        <v>Wednesday</v>
      </c>
      <c r="F1632" s="2" t="s">
        <v>457</v>
      </c>
      <c r="G1632" s="2" t="s">
        <v>458</v>
      </c>
      <c r="H1632" s="2" t="s">
        <v>459</v>
      </c>
      <c r="I1632" s="2" t="n">
        <f aca="false">IF(F1632="Present",9,IF(F1632="Half Day",4,0))</f>
        <v>9</v>
      </c>
      <c r="J1632" s="2"/>
      <c r="K1632" s="2"/>
    </row>
    <row r="1633" customFormat="false" ht="15" hidden="false" customHeight="false" outlineLevel="0" collapsed="false">
      <c r="A1633" s="2" t="s">
        <v>152</v>
      </c>
      <c r="B1633" s="2" t="s">
        <v>153</v>
      </c>
      <c r="C1633" s="2" t="s">
        <v>28</v>
      </c>
      <c r="D1633" s="3" t="n">
        <v>46254</v>
      </c>
      <c r="E1633" s="2" t="str">
        <f aca="false">TEXT(D1633,"dddd")</f>
        <v>Thursday</v>
      </c>
      <c r="F1633" s="2" t="s">
        <v>457</v>
      </c>
      <c r="G1633" s="2" t="s">
        <v>458</v>
      </c>
      <c r="H1633" s="2" t="s">
        <v>459</v>
      </c>
      <c r="I1633" s="2" t="n">
        <f aca="false">IF(F1633="Present",9,IF(F1633="Half Day",4,0))</f>
        <v>9</v>
      </c>
      <c r="J1633" s="2"/>
      <c r="K1633" s="2"/>
    </row>
    <row r="1634" customFormat="false" ht="15" hidden="false" customHeight="false" outlineLevel="0" collapsed="false">
      <c r="A1634" s="2" t="s">
        <v>152</v>
      </c>
      <c r="B1634" s="2" t="s">
        <v>153</v>
      </c>
      <c r="C1634" s="2" t="s">
        <v>28</v>
      </c>
      <c r="D1634" s="3" t="n">
        <v>46255</v>
      </c>
      <c r="E1634" s="2" t="str">
        <f aca="false">TEXT(D1634,"dddd")</f>
        <v>Friday</v>
      </c>
      <c r="F1634" s="2" t="s">
        <v>457</v>
      </c>
      <c r="G1634" s="2" t="s">
        <v>458</v>
      </c>
      <c r="H1634" s="2" t="s">
        <v>459</v>
      </c>
      <c r="I1634" s="2" t="n">
        <f aca="false">IF(F1634="Present",9,IF(F1634="Half Day",4,0))</f>
        <v>9</v>
      </c>
      <c r="J1634" s="2"/>
      <c r="K1634" s="2"/>
    </row>
    <row r="1635" customFormat="false" ht="15" hidden="false" customHeight="false" outlineLevel="0" collapsed="false">
      <c r="A1635" s="2" t="s">
        <v>152</v>
      </c>
      <c r="B1635" s="2" t="s">
        <v>153</v>
      </c>
      <c r="C1635" s="2" t="s">
        <v>28</v>
      </c>
      <c r="D1635" s="3" t="n">
        <v>46256</v>
      </c>
      <c r="E1635" s="2" t="str">
        <f aca="false">TEXT(D1635,"dddd")</f>
        <v>Saturday</v>
      </c>
      <c r="F1635" s="2" t="s">
        <v>457</v>
      </c>
      <c r="G1635" s="2" t="s">
        <v>458</v>
      </c>
      <c r="H1635" s="2" t="s">
        <v>459</v>
      </c>
      <c r="I1635" s="2" t="n">
        <f aca="false">IF(F1635="Present",9,IF(F1635="Half Day",4,0))</f>
        <v>9</v>
      </c>
      <c r="J1635" s="2"/>
      <c r="K1635" s="2"/>
    </row>
    <row r="1636" customFormat="false" ht="15" hidden="false" customHeight="false" outlineLevel="0" collapsed="false">
      <c r="A1636" s="2" t="s">
        <v>152</v>
      </c>
      <c r="B1636" s="2" t="s">
        <v>153</v>
      </c>
      <c r="C1636" s="2" t="s">
        <v>28</v>
      </c>
      <c r="D1636" s="3" t="n">
        <v>46257</v>
      </c>
      <c r="E1636" s="2" t="str">
        <f aca="false">TEXT(D1636,"dddd")</f>
        <v>Sunday</v>
      </c>
      <c r="F1636" s="2" t="s">
        <v>460</v>
      </c>
      <c r="G1636" s="2"/>
      <c r="H1636" s="2"/>
      <c r="I1636" s="2" t="n">
        <f aca="false">IF(F1636="Present",9,IF(F1636="Half Day",4,0))</f>
        <v>0</v>
      </c>
      <c r="J1636" s="2"/>
      <c r="K1636" s="2" t="s">
        <v>460</v>
      </c>
    </row>
    <row r="1637" customFormat="false" ht="15" hidden="false" customHeight="false" outlineLevel="0" collapsed="false">
      <c r="A1637" s="2" t="s">
        <v>152</v>
      </c>
      <c r="B1637" s="2" t="s">
        <v>153</v>
      </c>
      <c r="C1637" s="2" t="s">
        <v>28</v>
      </c>
      <c r="D1637" s="3" t="n">
        <v>46258</v>
      </c>
      <c r="E1637" s="2" t="str">
        <f aca="false">TEXT(D1637,"dddd")</f>
        <v>Monday</v>
      </c>
      <c r="F1637" s="2" t="s">
        <v>457</v>
      </c>
      <c r="G1637" s="2" t="s">
        <v>458</v>
      </c>
      <c r="H1637" s="2" t="s">
        <v>459</v>
      </c>
      <c r="I1637" s="2" t="n">
        <f aca="false">IF(F1637="Present",9,IF(F1637="Half Day",4,0))</f>
        <v>9</v>
      </c>
      <c r="J1637" s="2"/>
      <c r="K1637" s="2"/>
    </row>
    <row r="1638" customFormat="false" ht="15" hidden="false" customHeight="false" outlineLevel="0" collapsed="false">
      <c r="A1638" s="2" t="s">
        <v>152</v>
      </c>
      <c r="B1638" s="2" t="s">
        <v>153</v>
      </c>
      <c r="C1638" s="2" t="s">
        <v>28</v>
      </c>
      <c r="D1638" s="3" t="n">
        <v>46259</v>
      </c>
      <c r="E1638" s="2" t="str">
        <f aca="false">TEXT(D1638,"dddd")</f>
        <v>Tuesday</v>
      </c>
      <c r="F1638" s="2" t="s">
        <v>457</v>
      </c>
      <c r="G1638" s="2" t="s">
        <v>458</v>
      </c>
      <c r="H1638" s="2" t="s">
        <v>459</v>
      </c>
      <c r="I1638" s="2" t="n">
        <f aca="false">IF(F1638="Present",9,IF(F1638="Half Day",4,0))</f>
        <v>9</v>
      </c>
      <c r="J1638" s="2"/>
      <c r="K1638" s="2"/>
    </row>
    <row r="1639" customFormat="false" ht="15" hidden="false" customHeight="false" outlineLevel="0" collapsed="false">
      <c r="A1639" s="2" t="s">
        <v>152</v>
      </c>
      <c r="B1639" s="2" t="s">
        <v>153</v>
      </c>
      <c r="C1639" s="2" t="s">
        <v>28</v>
      </c>
      <c r="D1639" s="3" t="n">
        <v>46260</v>
      </c>
      <c r="E1639" s="2" t="str">
        <f aca="false">TEXT(D1639,"dddd")</f>
        <v>Wednesday</v>
      </c>
      <c r="F1639" s="2" t="s">
        <v>457</v>
      </c>
      <c r="G1639" s="2" t="s">
        <v>458</v>
      </c>
      <c r="H1639" s="2" t="s">
        <v>459</v>
      </c>
      <c r="I1639" s="2" t="n">
        <f aca="false">IF(F1639="Present",9,IF(F1639="Half Day",4,0))</f>
        <v>9</v>
      </c>
      <c r="J1639" s="2"/>
      <c r="K1639" s="2"/>
    </row>
    <row r="1640" customFormat="false" ht="15" hidden="false" customHeight="false" outlineLevel="0" collapsed="false">
      <c r="A1640" s="2" t="s">
        <v>152</v>
      </c>
      <c r="B1640" s="2" t="s">
        <v>153</v>
      </c>
      <c r="C1640" s="2" t="s">
        <v>28</v>
      </c>
      <c r="D1640" s="3" t="n">
        <v>46261</v>
      </c>
      <c r="E1640" s="2" t="str">
        <f aca="false">TEXT(D1640,"dddd")</f>
        <v>Thursday</v>
      </c>
      <c r="F1640" s="2" t="s">
        <v>461</v>
      </c>
      <c r="G1640" s="2"/>
      <c r="H1640" s="2"/>
      <c r="I1640" s="2" t="n">
        <f aca="false">IF(F1640="Present",9,IF(F1640="Half Day",4,0))</f>
        <v>0</v>
      </c>
      <c r="J1640" s="2"/>
      <c r="K1640" s="2" t="s">
        <v>462</v>
      </c>
    </row>
    <row r="1641" customFormat="false" ht="15" hidden="false" customHeight="false" outlineLevel="0" collapsed="false">
      <c r="A1641" s="2" t="s">
        <v>152</v>
      </c>
      <c r="B1641" s="2" t="s">
        <v>153</v>
      </c>
      <c r="C1641" s="2" t="s">
        <v>28</v>
      </c>
      <c r="D1641" s="3" t="n">
        <v>46262</v>
      </c>
      <c r="E1641" s="2" t="str">
        <f aca="false">TEXT(D1641,"dddd")</f>
        <v>Friday</v>
      </c>
      <c r="F1641" s="2" t="s">
        <v>461</v>
      </c>
      <c r="G1641" s="2"/>
      <c r="H1641" s="2"/>
      <c r="I1641" s="2" t="n">
        <f aca="false">IF(F1641="Present",9,IF(F1641="Half Day",4,0))</f>
        <v>0</v>
      </c>
      <c r="J1641" s="2"/>
      <c r="K1641" s="2" t="s">
        <v>462</v>
      </c>
    </row>
    <row r="1642" customFormat="false" ht="15" hidden="false" customHeight="false" outlineLevel="0" collapsed="false">
      <c r="A1642" s="2" t="s">
        <v>152</v>
      </c>
      <c r="B1642" s="2" t="s">
        <v>153</v>
      </c>
      <c r="C1642" s="2" t="s">
        <v>28</v>
      </c>
      <c r="D1642" s="3" t="n">
        <v>46263</v>
      </c>
      <c r="E1642" s="2" t="str">
        <f aca="false">TEXT(D1642,"dddd")</f>
        <v>Saturday</v>
      </c>
      <c r="F1642" s="2" t="s">
        <v>457</v>
      </c>
      <c r="G1642" s="2" t="s">
        <v>458</v>
      </c>
      <c r="H1642" s="2" t="s">
        <v>459</v>
      </c>
      <c r="I1642" s="2" t="n">
        <f aca="false">IF(F1642="Present",9,IF(F1642="Half Day",4,0))</f>
        <v>9</v>
      </c>
      <c r="J1642" s="2"/>
      <c r="K1642" s="2"/>
    </row>
    <row r="1643" customFormat="false" ht="15" hidden="false" customHeight="false" outlineLevel="0" collapsed="false">
      <c r="A1643" s="2" t="s">
        <v>152</v>
      </c>
      <c r="B1643" s="2" t="s">
        <v>153</v>
      </c>
      <c r="C1643" s="2" t="s">
        <v>28</v>
      </c>
      <c r="D1643" s="3" t="n">
        <v>46264</v>
      </c>
      <c r="E1643" s="2" t="str">
        <f aca="false">TEXT(D1643,"dddd")</f>
        <v>Sunday</v>
      </c>
      <c r="F1643" s="2" t="s">
        <v>460</v>
      </c>
      <c r="G1643" s="2"/>
      <c r="H1643" s="2"/>
      <c r="I1643" s="2" t="n">
        <f aca="false">IF(F1643="Present",9,IF(F1643="Half Day",4,0))</f>
        <v>0</v>
      </c>
      <c r="J1643" s="2"/>
      <c r="K1643" s="2" t="s">
        <v>460</v>
      </c>
    </row>
    <row r="1644" customFormat="false" ht="15" hidden="false" customHeight="false" outlineLevel="0" collapsed="false">
      <c r="A1644" s="2" t="s">
        <v>152</v>
      </c>
      <c r="B1644" s="2" t="s">
        <v>153</v>
      </c>
      <c r="C1644" s="2" t="s">
        <v>28</v>
      </c>
      <c r="D1644" s="3" t="n">
        <v>46265</v>
      </c>
      <c r="E1644" s="2" t="str">
        <f aca="false">TEXT(D1644,"dddd")</f>
        <v>Monday</v>
      </c>
      <c r="F1644" s="2" t="s">
        <v>457</v>
      </c>
      <c r="G1644" s="2" t="s">
        <v>458</v>
      </c>
      <c r="H1644" s="2" t="s">
        <v>459</v>
      </c>
      <c r="I1644" s="2" t="n">
        <f aca="false">IF(F1644="Present",9,IF(F1644="Half Day",4,0))</f>
        <v>9</v>
      </c>
      <c r="J1644" s="2"/>
      <c r="K1644" s="2"/>
    </row>
    <row r="1645" customFormat="false" ht="15" hidden="false" customHeight="false" outlineLevel="0" collapsed="false">
      <c r="A1645" s="2" t="s">
        <v>154</v>
      </c>
      <c r="B1645" s="2" t="s">
        <v>155</v>
      </c>
      <c r="C1645" s="2" t="s">
        <v>32</v>
      </c>
      <c r="D1645" s="3" t="n">
        <v>46235</v>
      </c>
      <c r="E1645" s="2" t="str">
        <f aca="false">TEXT(D1645,"dddd")</f>
        <v>Saturday</v>
      </c>
      <c r="F1645" s="2" t="s">
        <v>457</v>
      </c>
      <c r="G1645" s="2" t="s">
        <v>458</v>
      </c>
      <c r="H1645" s="2" t="s">
        <v>459</v>
      </c>
      <c r="I1645" s="2" t="n">
        <f aca="false">IF(F1645="Present",9,IF(F1645="Half Day",4,0))</f>
        <v>9</v>
      </c>
      <c r="J1645" s="2"/>
      <c r="K1645" s="2"/>
    </row>
    <row r="1646" customFormat="false" ht="15" hidden="false" customHeight="false" outlineLevel="0" collapsed="false">
      <c r="A1646" s="2" t="s">
        <v>154</v>
      </c>
      <c r="B1646" s="2" t="s">
        <v>155</v>
      </c>
      <c r="C1646" s="2" t="s">
        <v>32</v>
      </c>
      <c r="D1646" s="3" t="n">
        <v>46236</v>
      </c>
      <c r="E1646" s="2" t="str">
        <f aca="false">TEXT(D1646,"dddd")</f>
        <v>Sunday</v>
      </c>
      <c r="F1646" s="2" t="s">
        <v>460</v>
      </c>
      <c r="G1646" s="2"/>
      <c r="H1646" s="2"/>
      <c r="I1646" s="2" t="n">
        <f aca="false">IF(F1646="Present",9,IF(F1646="Half Day",4,0))</f>
        <v>0</v>
      </c>
      <c r="J1646" s="2"/>
      <c r="K1646" s="2" t="s">
        <v>460</v>
      </c>
    </row>
    <row r="1647" customFormat="false" ht="15" hidden="false" customHeight="false" outlineLevel="0" collapsed="false">
      <c r="A1647" s="2" t="s">
        <v>154</v>
      </c>
      <c r="B1647" s="2" t="s">
        <v>155</v>
      </c>
      <c r="C1647" s="2" t="s">
        <v>32</v>
      </c>
      <c r="D1647" s="3" t="n">
        <v>46237</v>
      </c>
      <c r="E1647" s="2" t="str">
        <f aca="false">TEXT(D1647,"dddd")</f>
        <v>Monday</v>
      </c>
      <c r="F1647" s="2" t="s">
        <v>463</v>
      </c>
      <c r="G1647" s="2"/>
      <c r="H1647" s="2"/>
      <c r="I1647" s="2" t="n">
        <f aca="false">IF(F1647="Present",9,IF(F1647="Half Day",4,0))</f>
        <v>0</v>
      </c>
      <c r="J1647" s="2" t="s">
        <v>468</v>
      </c>
      <c r="K1647" s="2" t="s">
        <v>469</v>
      </c>
    </row>
    <row r="1648" customFormat="false" ht="15" hidden="false" customHeight="false" outlineLevel="0" collapsed="false">
      <c r="A1648" s="2" t="s">
        <v>154</v>
      </c>
      <c r="B1648" s="2" t="s">
        <v>155</v>
      </c>
      <c r="C1648" s="2" t="s">
        <v>32</v>
      </c>
      <c r="D1648" s="3" t="n">
        <v>46238</v>
      </c>
      <c r="E1648" s="2" t="str">
        <f aca="false">TEXT(D1648,"dddd")</f>
        <v>Tuesday</v>
      </c>
      <c r="F1648" s="2" t="s">
        <v>457</v>
      </c>
      <c r="G1648" s="2" t="s">
        <v>458</v>
      </c>
      <c r="H1648" s="2" t="s">
        <v>459</v>
      </c>
      <c r="I1648" s="2" t="n">
        <f aca="false">IF(F1648="Present",9,IF(F1648="Half Day",4,0))</f>
        <v>9</v>
      </c>
      <c r="J1648" s="2"/>
      <c r="K1648" s="2"/>
    </row>
    <row r="1649" customFormat="false" ht="15" hidden="false" customHeight="false" outlineLevel="0" collapsed="false">
      <c r="A1649" s="2" t="s">
        <v>154</v>
      </c>
      <c r="B1649" s="2" t="s">
        <v>155</v>
      </c>
      <c r="C1649" s="2" t="s">
        <v>32</v>
      </c>
      <c r="D1649" s="3" t="n">
        <v>46239</v>
      </c>
      <c r="E1649" s="2" t="str">
        <f aca="false">TEXT(D1649,"dddd")</f>
        <v>Wednesday</v>
      </c>
      <c r="F1649" s="2" t="s">
        <v>457</v>
      </c>
      <c r="G1649" s="2" t="s">
        <v>458</v>
      </c>
      <c r="H1649" s="2" t="s">
        <v>459</v>
      </c>
      <c r="I1649" s="2" t="n">
        <f aca="false">IF(F1649="Present",9,IF(F1649="Half Day",4,0))</f>
        <v>9</v>
      </c>
      <c r="J1649" s="2"/>
      <c r="K1649" s="2"/>
    </row>
    <row r="1650" customFormat="false" ht="15" hidden="false" customHeight="false" outlineLevel="0" collapsed="false">
      <c r="A1650" s="2" t="s">
        <v>154</v>
      </c>
      <c r="B1650" s="2" t="s">
        <v>155</v>
      </c>
      <c r="C1650" s="2" t="s">
        <v>32</v>
      </c>
      <c r="D1650" s="3" t="n">
        <v>46240</v>
      </c>
      <c r="E1650" s="2" t="str">
        <f aca="false">TEXT(D1650,"dddd")</f>
        <v>Thursday</v>
      </c>
      <c r="F1650" s="2" t="s">
        <v>457</v>
      </c>
      <c r="G1650" s="2" t="s">
        <v>458</v>
      </c>
      <c r="H1650" s="2" t="s">
        <v>459</v>
      </c>
      <c r="I1650" s="2" t="n">
        <f aca="false">IF(F1650="Present",9,IF(F1650="Half Day",4,0))</f>
        <v>9</v>
      </c>
      <c r="J1650" s="2"/>
      <c r="K1650" s="2"/>
    </row>
    <row r="1651" customFormat="false" ht="15" hidden="false" customHeight="false" outlineLevel="0" collapsed="false">
      <c r="A1651" s="2" t="s">
        <v>154</v>
      </c>
      <c r="B1651" s="2" t="s">
        <v>155</v>
      </c>
      <c r="C1651" s="2" t="s">
        <v>32</v>
      </c>
      <c r="D1651" s="3" t="n">
        <v>46241</v>
      </c>
      <c r="E1651" s="2" t="str">
        <f aca="false">TEXT(D1651,"dddd")</f>
        <v>Friday</v>
      </c>
      <c r="F1651" s="2" t="s">
        <v>457</v>
      </c>
      <c r="G1651" s="2" t="s">
        <v>458</v>
      </c>
      <c r="H1651" s="2" t="s">
        <v>459</v>
      </c>
      <c r="I1651" s="2" t="n">
        <f aca="false">IF(F1651="Present",9,IF(F1651="Half Day",4,0))</f>
        <v>9</v>
      </c>
      <c r="J1651" s="2"/>
      <c r="K1651" s="2"/>
    </row>
    <row r="1652" customFormat="false" ht="15" hidden="false" customHeight="false" outlineLevel="0" collapsed="false">
      <c r="A1652" s="2" t="s">
        <v>154</v>
      </c>
      <c r="B1652" s="2" t="s">
        <v>155</v>
      </c>
      <c r="C1652" s="2" t="s">
        <v>32</v>
      </c>
      <c r="D1652" s="3" t="n">
        <v>46242</v>
      </c>
      <c r="E1652" s="2" t="str">
        <f aca="false">TEXT(D1652,"dddd")</f>
        <v>Saturday</v>
      </c>
      <c r="F1652" s="2" t="s">
        <v>457</v>
      </c>
      <c r="G1652" s="2" t="s">
        <v>458</v>
      </c>
      <c r="H1652" s="2" t="s">
        <v>459</v>
      </c>
      <c r="I1652" s="2" t="n">
        <f aca="false">IF(F1652="Present",9,IF(F1652="Half Day",4,0))</f>
        <v>9</v>
      </c>
      <c r="J1652" s="2"/>
      <c r="K1652" s="2"/>
    </row>
    <row r="1653" customFormat="false" ht="15" hidden="false" customHeight="false" outlineLevel="0" collapsed="false">
      <c r="A1653" s="2" t="s">
        <v>154</v>
      </c>
      <c r="B1653" s="2" t="s">
        <v>155</v>
      </c>
      <c r="C1653" s="2" t="s">
        <v>32</v>
      </c>
      <c r="D1653" s="3" t="n">
        <v>46243</v>
      </c>
      <c r="E1653" s="2" t="str">
        <f aca="false">TEXT(D1653,"dddd")</f>
        <v>Sunday</v>
      </c>
      <c r="F1653" s="2" t="s">
        <v>460</v>
      </c>
      <c r="G1653" s="2"/>
      <c r="H1653" s="2"/>
      <c r="I1653" s="2" t="n">
        <f aca="false">IF(F1653="Present",9,IF(F1653="Half Day",4,0))</f>
        <v>0</v>
      </c>
      <c r="J1653" s="2"/>
      <c r="K1653" s="2" t="s">
        <v>460</v>
      </c>
    </row>
    <row r="1654" customFormat="false" ht="15" hidden="false" customHeight="false" outlineLevel="0" collapsed="false">
      <c r="A1654" s="2" t="s">
        <v>154</v>
      </c>
      <c r="B1654" s="2" t="s">
        <v>155</v>
      </c>
      <c r="C1654" s="2" t="s">
        <v>32</v>
      </c>
      <c r="D1654" s="3" t="n">
        <v>46244</v>
      </c>
      <c r="E1654" s="2" t="str">
        <f aca="false">TEXT(D1654,"dddd")</f>
        <v>Monday</v>
      </c>
      <c r="F1654" s="2" t="s">
        <v>457</v>
      </c>
      <c r="G1654" s="2" t="s">
        <v>458</v>
      </c>
      <c r="H1654" s="2" t="s">
        <v>459</v>
      </c>
      <c r="I1654" s="2" t="n">
        <f aca="false">IF(F1654="Present",9,IF(F1654="Half Day",4,0))</f>
        <v>9</v>
      </c>
      <c r="J1654" s="2"/>
      <c r="K1654" s="2"/>
    </row>
    <row r="1655" customFormat="false" ht="15" hidden="false" customHeight="false" outlineLevel="0" collapsed="false">
      <c r="A1655" s="2" t="s">
        <v>154</v>
      </c>
      <c r="B1655" s="2" t="s">
        <v>155</v>
      </c>
      <c r="C1655" s="2" t="s">
        <v>32</v>
      </c>
      <c r="D1655" s="3" t="n">
        <v>46245</v>
      </c>
      <c r="E1655" s="2" t="str">
        <f aca="false">TEXT(D1655,"dddd")</f>
        <v>Tuesday</v>
      </c>
      <c r="F1655" s="2" t="s">
        <v>457</v>
      </c>
      <c r="G1655" s="2" t="s">
        <v>458</v>
      </c>
      <c r="H1655" s="2" t="s">
        <v>459</v>
      </c>
      <c r="I1655" s="2" t="n">
        <f aca="false">IF(F1655="Present",9,IF(F1655="Half Day",4,0))</f>
        <v>9</v>
      </c>
      <c r="J1655" s="2"/>
      <c r="K1655" s="2"/>
    </row>
    <row r="1656" customFormat="false" ht="15" hidden="false" customHeight="false" outlineLevel="0" collapsed="false">
      <c r="A1656" s="2" t="s">
        <v>154</v>
      </c>
      <c r="B1656" s="2" t="s">
        <v>155</v>
      </c>
      <c r="C1656" s="2" t="s">
        <v>32</v>
      </c>
      <c r="D1656" s="3" t="n">
        <v>46246</v>
      </c>
      <c r="E1656" s="2" t="str">
        <f aca="false">TEXT(D1656,"dddd")</f>
        <v>Wednesday</v>
      </c>
      <c r="F1656" s="2" t="s">
        <v>457</v>
      </c>
      <c r="G1656" s="2" t="s">
        <v>458</v>
      </c>
      <c r="H1656" s="2" t="s">
        <v>459</v>
      </c>
      <c r="I1656" s="2" t="n">
        <f aca="false">IF(F1656="Present",9,IF(F1656="Half Day",4,0))</f>
        <v>9</v>
      </c>
      <c r="J1656" s="2"/>
      <c r="K1656" s="2"/>
    </row>
    <row r="1657" customFormat="false" ht="15" hidden="false" customHeight="false" outlineLevel="0" collapsed="false">
      <c r="A1657" s="2" t="s">
        <v>154</v>
      </c>
      <c r="B1657" s="2" t="s">
        <v>155</v>
      </c>
      <c r="C1657" s="2" t="s">
        <v>32</v>
      </c>
      <c r="D1657" s="3" t="n">
        <v>46247</v>
      </c>
      <c r="E1657" s="2" t="str">
        <f aca="false">TEXT(D1657,"dddd")</f>
        <v>Thursday</v>
      </c>
      <c r="F1657" s="2" t="s">
        <v>457</v>
      </c>
      <c r="G1657" s="2" t="s">
        <v>458</v>
      </c>
      <c r="H1657" s="2" t="s">
        <v>459</v>
      </c>
      <c r="I1657" s="2" t="n">
        <f aca="false">IF(F1657="Present",9,IF(F1657="Half Day",4,0))</f>
        <v>9</v>
      </c>
      <c r="J1657" s="2"/>
      <c r="K1657" s="2"/>
    </row>
    <row r="1658" customFormat="false" ht="15" hidden="false" customHeight="false" outlineLevel="0" collapsed="false">
      <c r="A1658" s="2" t="s">
        <v>154</v>
      </c>
      <c r="B1658" s="2" t="s">
        <v>155</v>
      </c>
      <c r="C1658" s="2" t="s">
        <v>32</v>
      </c>
      <c r="D1658" s="3" t="n">
        <v>46248</v>
      </c>
      <c r="E1658" s="2" t="str">
        <f aca="false">TEXT(D1658,"dddd")</f>
        <v>Friday</v>
      </c>
      <c r="F1658" s="2" t="s">
        <v>457</v>
      </c>
      <c r="G1658" s="2" t="s">
        <v>458</v>
      </c>
      <c r="H1658" s="2" t="s">
        <v>459</v>
      </c>
      <c r="I1658" s="2" t="n">
        <f aca="false">IF(F1658="Present",9,IF(F1658="Half Day",4,0))</f>
        <v>9</v>
      </c>
      <c r="J1658" s="2"/>
      <c r="K1658" s="2"/>
    </row>
    <row r="1659" customFormat="false" ht="15" hidden="false" customHeight="false" outlineLevel="0" collapsed="false">
      <c r="A1659" s="2" t="s">
        <v>154</v>
      </c>
      <c r="B1659" s="2" t="s">
        <v>155</v>
      </c>
      <c r="C1659" s="2" t="s">
        <v>32</v>
      </c>
      <c r="D1659" s="3" t="n">
        <v>46249</v>
      </c>
      <c r="E1659" s="2" t="str">
        <f aca="false">TEXT(D1659,"dddd")</f>
        <v>Saturday</v>
      </c>
      <c r="F1659" s="2" t="s">
        <v>457</v>
      </c>
      <c r="G1659" s="2" t="s">
        <v>458</v>
      </c>
      <c r="H1659" s="2" t="s">
        <v>459</v>
      </c>
      <c r="I1659" s="2" t="n">
        <f aca="false">IF(F1659="Present",9,IF(F1659="Half Day",4,0))</f>
        <v>9</v>
      </c>
      <c r="J1659" s="2"/>
      <c r="K1659" s="2"/>
    </row>
    <row r="1660" customFormat="false" ht="15" hidden="false" customHeight="false" outlineLevel="0" collapsed="false">
      <c r="A1660" s="2" t="s">
        <v>154</v>
      </c>
      <c r="B1660" s="2" t="s">
        <v>155</v>
      </c>
      <c r="C1660" s="2" t="s">
        <v>32</v>
      </c>
      <c r="D1660" s="3" t="n">
        <v>46250</v>
      </c>
      <c r="E1660" s="2" t="str">
        <f aca="false">TEXT(D1660,"dddd")</f>
        <v>Sunday</v>
      </c>
      <c r="F1660" s="2" t="s">
        <v>460</v>
      </c>
      <c r="G1660" s="2"/>
      <c r="H1660" s="2"/>
      <c r="I1660" s="2" t="n">
        <f aca="false">IF(F1660="Present",9,IF(F1660="Half Day",4,0))</f>
        <v>0</v>
      </c>
      <c r="J1660" s="2"/>
      <c r="K1660" s="2" t="s">
        <v>460</v>
      </c>
    </row>
    <row r="1661" customFormat="false" ht="15" hidden="false" customHeight="false" outlineLevel="0" collapsed="false">
      <c r="A1661" s="2" t="s">
        <v>154</v>
      </c>
      <c r="B1661" s="2" t="s">
        <v>155</v>
      </c>
      <c r="C1661" s="2" t="s">
        <v>32</v>
      </c>
      <c r="D1661" s="3" t="n">
        <v>46251</v>
      </c>
      <c r="E1661" s="2" t="str">
        <f aca="false">TEXT(D1661,"dddd")</f>
        <v>Monday</v>
      </c>
      <c r="F1661" s="2" t="s">
        <v>461</v>
      </c>
      <c r="G1661" s="2"/>
      <c r="H1661" s="2"/>
      <c r="I1661" s="2" t="n">
        <f aca="false">IF(F1661="Present",9,IF(F1661="Half Day",4,0))</f>
        <v>0</v>
      </c>
      <c r="J1661" s="2"/>
      <c r="K1661" s="2" t="s">
        <v>462</v>
      </c>
    </row>
    <row r="1662" customFormat="false" ht="15" hidden="false" customHeight="false" outlineLevel="0" collapsed="false">
      <c r="A1662" s="2" t="s">
        <v>154</v>
      </c>
      <c r="B1662" s="2" t="s">
        <v>155</v>
      </c>
      <c r="C1662" s="2" t="s">
        <v>32</v>
      </c>
      <c r="D1662" s="3" t="n">
        <v>46252</v>
      </c>
      <c r="E1662" s="2" t="str">
        <f aca="false">TEXT(D1662,"dddd")</f>
        <v>Tuesday</v>
      </c>
      <c r="F1662" s="2" t="s">
        <v>457</v>
      </c>
      <c r="G1662" s="2" t="s">
        <v>458</v>
      </c>
      <c r="H1662" s="2" t="s">
        <v>459</v>
      </c>
      <c r="I1662" s="2" t="n">
        <f aca="false">IF(F1662="Present",9,IF(F1662="Half Day",4,0))</f>
        <v>9</v>
      </c>
      <c r="J1662" s="2"/>
      <c r="K1662" s="2"/>
    </row>
    <row r="1663" customFormat="false" ht="15" hidden="false" customHeight="false" outlineLevel="0" collapsed="false">
      <c r="A1663" s="2" t="s">
        <v>154</v>
      </c>
      <c r="B1663" s="2" t="s">
        <v>155</v>
      </c>
      <c r="C1663" s="2" t="s">
        <v>32</v>
      </c>
      <c r="D1663" s="3" t="n">
        <v>46253</v>
      </c>
      <c r="E1663" s="2" t="str">
        <f aca="false">TEXT(D1663,"dddd")</f>
        <v>Wednesday</v>
      </c>
      <c r="F1663" s="2" t="s">
        <v>457</v>
      </c>
      <c r="G1663" s="2" t="s">
        <v>458</v>
      </c>
      <c r="H1663" s="2" t="s">
        <v>459</v>
      </c>
      <c r="I1663" s="2" t="n">
        <f aca="false">IF(F1663="Present",9,IF(F1663="Half Day",4,0))</f>
        <v>9</v>
      </c>
      <c r="J1663" s="2"/>
      <c r="K1663" s="2"/>
    </row>
    <row r="1664" customFormat="false" ht="15" hidden="false" customHeight="false" outlineLevel="0" collapsed="false">
      <c r="A1664" s="2" t="s">
        <v>154</v>
      </c>
      <c r="B1664" s="2" t="s">
        <v>155</v>
      </c>
      <c r="C1664" s="2" t="s">
        <v>32</v>
      </c>
      <c r="D1664" s="3" t="n">
        <v>46254</v>
      </c>
      <c r="E1664" s="2" t="str">
        <f aca="false">TEXT(D1664,"dddd")</f>
        <v>Thursday</v>
      </c>
      <c r="F1664" s="2" t="s">
        <v>457</v>
      </c>
      <c r="G1664" s="2" t="s">
        <v>458</v>
      </c>
      <c r="H1664" s="2" t="s">
        <v>459</v>
      </c>
      <c r="I1664" s="2" t="n">
        <f aca="false">IF(F1664="Present",9,IF(F1664="Half Day",4,0))</f>
        <v>9</v>
      </c>
      <c r="J1664" s="2"/>
      <c r="K1664" s="2"/>
    </row>
    <row r="1665" customFormat="false" ht="15" hidden="false" customHeight="false" outlineLevel="0" collapsed="false">
      <c r="A1665" s="2" t="s">
        <v>154</v>
      </c>
      <c r="B1665" s="2" t="s">
        <v>155</v>
      </c>
      <c r="C1665" s="2" t="s">
        <v>32</v>
      </c>
      <c r="D1665" s="3" t="n">
        <v>46255</v>
      </c>
      <c r="E1665" s="2" t="str">
        <f aca="false">TEXT(D1665,"dddd")</f>
        <v>Friday</v>
      </c>
      <c r="F1665" s="2" t="s">
        <v>457</v>
      </c>
      <c r="G1665" s="2" t="s">
        <v>458</v>
      </c>
      <c r="H1665" s="2" t="s">
        <v>459</v>
      </c>
      <c r="I1665" s="2" t="n">
        <f aca="false">IF(F1665="Present",9,IF(F1665="Half Day",4,0))</f>
        <v>9</v>
      </c>
      <c r="J1665" s="2"/>
      <c r="K1665" s="2"/>
    </row>
    <row r="1666" customFormat="false" ht="15" hidden="false" customHeight="false" outlineLevel="0" collapsed="false">
      <c r="A1666" s="2" t="s">
        <v>154</v>
      </c>
      <c r="B1666" s="2" t="s">
        <v>155</v>
      </c>
      <c r="C1666" s="2" t="s">
        <v>32</v>
      </c>
      <c r="D1666" s="3" t="n">
        <v>46256</v>
      </c>
      <c r="E1666" s="2" t="str">
        <f aca="false">TEXT(D1666,"dddd")</f>
        <v>Saturday</v>
      </c>
      <c r="F1666" s="2" t="s">
        <v>457</v>
      </c>
      <c r="G1666" s="2" t="s">
        <v>458</v>
      </c>
      <c r="H1666" s="2" t="s">
        <v>459</v>
      </c>
      <c r="I1666" s="2" t="n">
        <f aca="false">IF(F1666="Present",9,IF(F1666="Half Day",4,0))</f>
        <v>9</v>
      </c>
      <c r="J1666" s="2"/>
      <c r="K1666" s="2"/>
    </row>
    <row r="1667" customFormat="false" ht="15" hidden="false" customHeight="false" outlineLevel="0" collapsed="false">
      <c r="A1667" s="2" t="s">
        <v>154</v>
      </c>
      <c r="B1667" s="2" t="s">
        <v>155</v>
      </c>
      <c r="C1667" s="2" t="s">
        <v>32</v>
      </c>
      <c r="D1667" s="3" t="n">
        <v>46257</v>
      </c>
      <c r="E1667" s="2" t="str">
        <f aca="false">TEXT(D1667,"dddd")</f>
        <v>Sunday</v>
      </c>
      <c r="F1667" s="2" t="s">
        <v>460</v>
      </c>
      <c r="G1667" s="2"/>
      <c r="H1667" s="2"/>
      <c r="I1667" s="2" t="n">
        <f aca="false">IF(F1667="Present",9,IF(F1667="Half Day",4,0))</f>
        <v>0</v>
      </c>
      <c r="J1667" s="2"/>
      <c r="K1667" s="2" t="s">
        <v>460</v>
      </c>
    </row>
    <row r="1668" customFormat="false" ht="15" hidden="false" customHeight="false" outlineLevel="0" collapsed="false">
      <c r="A1668" s="2" t="s">
        <v>154</v>
      </c>
      <c r="B1668" s="2" t="s">
        <v>155</v>
      </c>
      <c r="C1668" s="2" t="s">
        <v>32</v>
      </c>
      <c r="D1668" s="3" t="n">
        <v>46258</v>
      </c>
      <c r="E1668" s="2" t="str">
        <f aca="false">TEXT(D1668,"dddd")</f>
        <v>Monday</v>
      </c>
      <c r="F1668" s="2" t="s">
        <v>457</v>
      </c>
      <c r="G1668" s="2" t="s">
        <v>458</v>
      </c>
      <c r="H1668" s="2" t="s">
        <v>459</v>
      </c>
      <c r="I1668" s="2" t="n">
        <f aca="false">IF(F1668="Present",9,IF(F1668="Half Day",4,0))</f>
        <v>9</v>
      </c>
      <c r="J1668" s="2"/>
      <c r="K1668" s="2"/>
    </row>
    <row r="1669" customFormat="false" ht="15" hidden="false" customHeight="false" outlineLevel="0" collapsed="false">
      <c r="A1669" s="2" t="s">
        <v>154</v>
      </c>
      <c r="B1669" s="2" t="s">
        <v>155</v>
      </c>
      <c r="C1669" s="2" t="s">
        <v>32</v>
      </c>
      <c r="D1669" s="3" t="n">
        <v>46259</v>
      </c>
      <c r="E1669" s="2" t="str">
        <f aca="false">TEXT(D1669,"dddd")</f>
        <v>Tuesday</v>
      </c>
      <c r="F1669" s="2" t="s">
        <v>457</v>
      </c>
      <c r="G1669" s="2" t="s">
        <v>458</v>
      </c>
      <c r="H1669" s="2" t="s">
        <v>459</v>
      </c>
      <c r="I1669" s="2" t="n">
        <f aca="false">IF(F1669="Present",9,IF(F1669="Half Day",4,0))</f>
        <v>9</v>
      </c>
      <c r="J1669" s="2"/>
      <c r="K1669" s="2"/>
    </row>
    <row r="1670" customFormat="false" ht="15" hidden="false" customHeight="false" outlineLevel="0" collapsed="false">
      <c r="A1670" s="2" t="s">
        <v>154</v>
      </c>
      <c r="B1670" s="2" t="s">
        <v>155</v>
      </c>
      <c r="C1670" s="2" t="s">
        <v>32</v>
      </c>
      <c r="D1670" s="3" t="n">
        <v>46260</v>
      </c>
      <c r="E1670" s="2" t="str">
        <f aca="false">TEXT(D1670,"dddd")</f>
        <v>Wednesday</v>
      </c>
      <c r="F1670" s="2" t="s">
        <v>457</v>
      </c>
      <c r="G1670" s="2" t="s">
        <v>458</v>
      </c>
      <c r="H1670" s="2" t="s">
        <v>459</v>
      </c>
      <c r="I1670" s="2" t="n">
        <f aca="false">IF(F1670="Present",9,IF(F1670="Half Day",4,0))</f>
        <v>9</v>
      </c>
      <c r="J1670" s="2"/>
      <c r="K1670" s="2"/>
    </row>
    <row r="1671" customFormat="false" ht="15" hidden="false" customHeight="false" outlineLevel="0" collapsed="false">
      <c r="A1671" s="2" t="s">
        <v>154</v>
      </c>
      <c r="B1671" s="2" t="s">
        <v>155</v>
      </c>
      <c r="C1671" s="2" t="s">
        <v>32</v>
      </c>
      <c r="D1671" s="3" t="n">
        <v>46261</v>
      </c>
      <c r="E1671" s="2" t="str">
        <f aca="false">TEXT(D1671,"dddd")</f>
        <v>Thursday</v>
      </c>
      <c r="F1671" s="2" t="s">
        <v>457</v>
      </c>
      <c r="G1671" s="2" t="s">
        <v>458</v>
      </c>
      <c r="H1671" s="2" t="s">
        <v>459</v>
      </c>
      <c r="I1671" s="2" t="n">
        <f aca="false">IF(F1671="Present",9,IF(F1671="Half Day",4,0))</f>
        <v>9</v>
      </c>
      <c r="J1671" s="2"/>
      <c r="K1671" s="2"/>
    </row>
    <row r="1672" customFormat="false" ht="15" hidden="false" customHeight="false" outlineLevel="0" collapsed="false">
      <c r="A1672" s="2" t="s">
        <v>154</v>
      </c>
      <c r="B1672" s="2" t="s">
        <v>155</v>
      </c>
      <c r="C1672" s="2" t="s">
        <v>32</v>
      </c>
      <c r="D1672" s="3" t="n">
        <v>46262</v>
      </c>
      <c r="E1672" s="2" t="str">
        <f aca="false">TEXT(D1672,"dddd")</f>
        <v>Friday</v>
      </c>
      <c r="F1672" s="2" t="s">
        <v>457</v>
      </c>
      <c r="G1672" s="2" t="s">
        <v>458</v>
      </c>
      <c r="H1672" s="2" t="s">
        <v>459</v>
      </c>
      <c r="I1672" s="2" t="n">
        <f aca="false">IF(F1672="Present",9,IF(F1672="Half Day",4,0))</f>
        <v>9</v>
      </c>
      <c r="J1672" s="2"/>
      <c r="K1672" s="2"/>
    </row>
    <row r="1673" customFormat="false" ht="15" hidden="false" customHeight="false" outlineLevel="0" collapsed="false">
      <c r="A1673" s="2" t="s">
        <v>154</v>
      </c>
      <c r="B1673" s="2" t="s">
        <v>155</v>
      </c>
      <c r="C1673" s="2" t="s">
        <v>32</v>
      </c>
      <c r="D1673" s="3" t="n">
        <v>46263</v>
      </c>
      <c r="E1673" s="2" t="str">
        <f aca="false">TEXT(D1673,"dddd")</f>
        <v>Saturday</v>
      </c>
      <c r="F1673" s="2" t="s">
        <v>457</v>
      </c>
      <c r="G1673" s="2" t="s">
        <v>458</v>
      </c>
      <c r="H1673" s="2" t="s">
        <v>459</v>
      </c>
      <c r="I1673" s="2" t="n">
        <f aca="false">IF(F1673="Present",9,IF(F1673="Half Day",4,0))</f>
        <v>9</v>
      </c>
      <c r="J1673" s="2"/>
      <c r="K1673" s="2"/>
    </row>
    <row r="1674" customFormat="false" ht="15" hidden="false" customHeight="false" outlineLevel="0" collapsed="false">
      <c r="A1674" s="2" t="s">
        <v>154</v>
      </c>
      <c r="B1674" s="2" t="s">
        <v>155</v>
      </c>
      <c r="C1674" s="2" t="s">
        <v>32</v>
      </c>
      <c r="D1674" s="3" t="n">
        <v>46264</v>
      </c>
      <c r="E1674" s="2" t="str">
        <f aca="false">TEXT(D1674,"dddd")</f>
        <v>Sunday</v>
      </c>
      <c r="F1674" s="2" t="s">
        <v>460</v>
      </c>
      <c r="G1674" s="2"/>
      <c r="H1674" s="2"/>
      <c r="I1674" s="2" t="n">
        <f aca="false">IF(F1674="Present",9,IF(F1674="Half Day",4,0))</f>
        <v>0</v>
      </c>
      <c r="J1674" s="2"/>
      <c r="K1674" s="2" t="s">
        <v>460</v>
      </c>
    </row>
    <row r="1675" customFormat="false" ht="15" hidden="false" customHeight="false" outlineLevel="0" collapsed="false">
      <c r="A1675" s="2" t="s">
        <v>154</v>
      </c>
      <c r="B1675" s="2" t="s">
        <v>155</v>
      </c>
      <c r="C1675" s="2" t="s">
        <v>32</v>
      </c>
      <c r="D1675" s="3" t="n">
        <v>46265</v>
      </c>
      <c r="E1675" s="2" t="str">
        <f aca="false">TEXT(D1675,"dddd")</f>
        <v>Monday</v>
      </c>
      <c r="F1675" s="2" t="s">
        <v>457</v>
      </c>
      <c r="G1675" s="2" t="s">
        <v>458</v>
      </c>
      <c r="H1675" s="2" t="s">
        <v>459</v>
      </c>
      <c r="I1675" s="2" t="n">
        <f aca="false">IF(F1675="Present",9,IF(F1675="Half Day",4,0))</f>
        <v>9</v>
      </c>
      <c r="J1675" s="2"/>
      <c r="K1675" s="2"/>
    </row>
    <row r="1676" customFormat="false" ht="15" hidden="false" customHeight="false" outlineLevel="0" collapsed="false">
      <c r="A1676" s="2" t="s">
        <v>156</v>
      </c>
      <c r="B1676" s="2" t="s">
        <v>157</v>
      </c>
      <c r="C1676" s="2" t="s">
        <v>36</v>
      </c>
      <c r="D1676" s="3" t="n">
        <v>46235</v>
      </c>
      <c r="E1676" s="2" t="str">
        <f aca="false">TEXT(D1676,"dddd")</f>
        <v>Saturday</v>
      </c>
      <c r="F1676" s="2" t="s">
        <v>457</v>
      </c>
      <c r="G1676" s="2" t="s">
        <v>458</v>
      </c>
      <c r="H1676" s="2" t="s">
        <v>459</v>
      </c>
      <c r="I1676" s="2" t="n">
        <f aca="false">IF(F1676="Present",9,IF(F1676="Half Day",4,0))</f>
        <v>9</v>
      </c>
      <c r="J1676" s="2"/>
      <c r="K1676" s="2"/>
    </row>
    <row r="1677" customFormat="false" ht="15" hidden="false" customHeight="false" outlineLevel="0" collapsed="false">
      <c r="A1677" s="2" t="s">
        <v>156</v>
      </c>
      <c r="B1677" s="2" t="s">
        <v>157</v>
      </c>
      <c r="C1677" s="2" t="s">
        <v>36</v>
      </c>
      <c r="D1677" s="3" t="n">
        <v>46236</v>
      </c>
      <c r="E1677" s="2" t="str">
        <f aca="false">TEXT(D1677,"dddd")</f>
        <v>Sunday</v>
      </c>
      <c r="F1677" s="2" t="s">
        <v>460</v>
      </c>
      <c r="G1677" s="2"/>
      <c r="H1677" s="2"/>
      <c r="I1677" s="2" t="n">
        <f aca="false">IF(F1677="Present",9,IF(F1677="Half Day",4,0))</f>
        <v>0</v>
      </c>
      <c r="J1677" s="2"/>
      <c r="K1677" s="2" t="s">
        <v>460</v>
      </c>
    </row>
    <row r="1678" customFormat="false" ht="15" hidden="false" customHeight="false" outlineLevel="0" collapsed="false">
      <c r="A1678" s="2" t="s">
        <v>156</v>
      </c>
      <c r="B1678" s="2" t="s">
        <v>157</v>
      </c>
      <c r="C1678" s="2" t="s">
        <v>36</v>
      </c>
      <c r="D1678" s="3" t="n">
        <v>46237</v>
      </c>
      <c r="E1678" s="2" t="str">
        <f aca="false">TEXT(D1678,"dddd")</f>
        <v>Monday</v>
      </c>
      <c r="F1678" s="2" t="s">
        <v>457</v>
      </c>
      <c r="G1678" s="2" t="s">
        <v>458</v>
      </c>
      <c r="H1678" s="2" t="s">
        <v>459</v>
      </c>
      <c r="I1678" s="2" t="n">
        <f aca="false">IF(F1678="Present",9,IF(F1678="Half Day",4,0))</f>
        <v>9</v>
      </c>
      <c r="J1678" s="2"/>
      <c r="K1678" s="2"/>
    </row>
    <row r="1679" customFormat="false" ht="15" hidden="false" customHeight="false" outlineLevel="0" collapsed="false">
      <c r="A1679" s="2" t="s">
        <v>156</v>
      </c>
      <c r="B1679" s="2" t="s">
        <v>157</v>
      </c>
      <c r="C1679" s="2" t="s">
        <v>36</v>
      </c>
      <c r="D1679" s="3" t="n">
        <v>46238</v>
      </c>
      <c r="E1679" s="2" t="str">
        <f aca="false">TEXT(D1679,"dddd")</f>
        <v>Tuesday</v>
      </c>
      <c r="F1679" s="2" t="s">
        <v>457</v>
      </c>
      <c r="G1679" s="2" t="s">
        <v>458</v>
      </c>
      <c r="H1679" s="2" t="s">
        <v>459</v>
      </c>
      <c r="I1679" s="2" t="n">
        <f aca="false">IF(F1679="Present",9,IF(F1679="Half Day",4,0))</f>
        <v>9</v>
      </c>
      <c r="J1679" s="2"/>
      <c r="K1679" s="2"/>
    </row>
    <row r="1680" customFormat="false" ht="15" hidden="false" customHeight="false" outlineLevel="0" collapsed="false">
      <c r="A1680" s="2" t="s">
        <v>156</v>
      </c>
      <c r="B1680" s="2" t="s">
        <v>157</v>
      </c>
      <c r="C1680" s="2" t="s">
        <v>36</v>
      </c>
      <c r="D1680" s="3" t="n">
        <v>46239</v>
      </c>
      <c r="E1680" s="2" t="str">
        <f aca="false">TEXT(D1680,"dddd")</f>
        <v>Wednesday</v>
      </c>
      <c r="F1680" s="2" t="s">
        <v>457</v>
      </c>
      <c r="G1680" s="2" t="s">
        <v>458</v>
      </c>
      <c r="H1680" s="2" t="s">
        <v>459</v>
      </c>
      <c r="I1680" s="2" t="n">
        <f aca="false">IF(F1680="Present",9,IF(F1680="Half Day",4,0))</f>
        <v>9</v>
      </c>
      <c r="J1680" s="2"/>
      <c r="K1680" s="2"/>
    </row>
    <row r="1681" customFormat="false" ht="15" hidden="false" customHeight="false" outlineLevel="0" collapsed="false">
      <c r="A1681" s="2" t="s">
        <v>156</v>
      </c>
      <c r="B1681" s="2" t="s">
        <v>157</v>
      </c>
      <c r="C1681" s="2" t="s">
        <v>36</v>
      </c>
      <c r="D1681" s="3" t="n">
        <v>46240</v>
      </c>
      <c r="E1681" s="2" t="str">
        <f aca="false">TEXT(D1681,"dddd")</f>
        <v>Thursday</v>
      </c>
      <c r="F1681" s="2" t="s">
        <v>457</v>
      </c>
      <c r="G1681" s="2" t="s">
        <v>458</v>
      </c>
      <c r="H1681" s="2" t="s">
        <v>459</v>
      </c>
      <c r="I1681" s="2" t="n">
        <f aca="false">IF(F1681="Present",9,IF(F1681="Half Day",4,0))</f>
        <v>9</v>
      </c>
      <c r="J1681" s="2"/>
      <c r="K1681" s="2"/>
    </row>
    <row r="1682" customFormat="false" ht="15" hidden="false" customHeight="false" outlineLevel="0" collapsed="false">
      <c r="A1682" s="2" t="s">
        <v>156</v>
      </c>
      <c r="B1682" s="2" t="s">
        <v>157</v>
      </c>
      <c r="C1682" s="2" t="s">
        <v>36</v>
      </c>
      <c r="D1682" s="3" t="n">
        <v>46241</v>
      </c>
      <c r="E1682" s="2" t="str">
        <f aca="false">TEXT(D1682,"dddd")</f>
        <v>Friday</v>
      </c>
      <c r="F1682" s="2" t="s">
        <v>457</v>
      </c>
      <c r="G1682" s="2" t="s">
        <v>458</v>
      </c>
      <c r="H1682" s="2" t="s">
        <v>459</v>
      </c>
      <c r="I1682" s="2" t="n">
        <f aca="false">IF(F1682="Present",9,IF(F1682="Half Day",4,0))</f>
        <v>9</v>
      </c>
      <c r="J1682" s="2"/>
      <c r="K1682" s="2"/>
    </row>
    <row r="1683" customFormat="false" ht="15" hidden="false" customHeight="false" outlineLevel="0" collapsed="false">
      <c r="A1683" s="2" t="s">
        <v>156</v>
      </c>
      <c r="B1683" s="2" t="s">
        <v>157</v>
      </c>
      <c r="C1683" s="2" t="s">
        <v>36</v>
      </c>
      <c r="D1683" s="3" t="n">
        <v>46242</v>
      </c>
      <c r="E1683" s="2" t="str">
        <f aca="false">TEXT(D1683,"dddd")</f>
        <v>Saturday</v>
      </c>
      <c r="F1683" s="2" t="s">
        <v>457</v>
      </c>
      <c r="G1683" s="2" t="s">
        <v>458</v>
      </c>
      <c r="H1683" s="2" t="s">
        <v>459</v>
      </c>
      <c r="I1683" s="2" t="n">
        <f aca="false">IF(F1683="Present",9,IF(F1683="Half Day",4,0))</f>
        <v>9</v>
      </c>
      <c r="J1683" s="2"/>
      <c r="K1683" s="2"/>
    </row>
    <row r="1684" customFormat="false" ht="15" hidden="false" customHeight="false" outlineLevel="0" collapsed="false">
      <c r="A1684" s="2" t="s">
        <v>156</v>
      </c>
      <c r="B1684" s="2" t="s">
        <v>157</v>
      </c>
      <c r="C1684" s="2" t="s">
        <v>36</v>
      </c>
      <c r="D1684" s="3" t="n">
        <v>46243</v>
      </c>
      <c r="E1684" s="2" t="str">
        <f aca="false">TEXT(D1684,"dddd")</f>
        <v>Sunday</v>
      </c>
      <c r="F1684" s="2" t="s">
        <v>460</v>
      </c>
      <c r="G1684" s="2"/>
      <c r="H1684" s="2"/>
      <c r="I1684" s="2" t="n">
        <f aca="false">IF(F1684="Present",9,IF(F1684="Half Day",4,0))</f>
        <v>0</v>
      </c>
      <c r="J1684" s="2"/>
      <c r="K1684" s="2" t="s">
        <v>460</v>
      </c>
    </row>
    <row r="1685" customFormat="false" ht="15" hidden="false" customHeight="false" outlineLevel="0" collapsed="false">
      <c r="A1685" s="2" t="s">
        <v>156</v>
      </c>
      <c r="B1685" s="2" t="s">
        <v>157</v>
      </c>
      <c r="C1685" s="2" t="s">
        <v>36</v>
      </c>
      <c r="D1685" s="3" t="n">
        <v>46244</v>
      </c>
      <c r="E1685" s="2" t="str">
        <f aca="false">TEXT(D1685,"dddd")</f>
        <v>Monday</v>
      </c>
      <c r="F1685" s="2" t="s">
        <v>457</v>
      </c>
      <c r="G1685" s="2" t="s">
        <v>458</v>
      </c>
      <c r="H1685" s="2" t="s">
        <v>459</v>
      </c>
      <c r="I1685" s="2" t="n">
        <f aca="false">IF(F1685="Present",9,IF(F1685="Half Day",4,0))</f>
        <v>9</v>
      </c>
      <c r="J1685" s="2"/>
      <c r="K1685" s="2"/>
    </row>
    <row r="1686" customFormat="false" ht="15" hidden="false" customHeight="false" outlineLevel="0" collapsed="false">
      <c r="A1686" s="2" t="s">
        <v>156</v>
      </c>
      <c r="B1686" s="2" t="s">
        <v>157</v>
      </c>
      <c r="C1686" s="2" t="s">
        <v>36</v>
      </c>
      <c r="D1686" s="3" t="n">
        <v>46245</v>
      </c>
      <c r="E1686" s="2" t="str">
        <f aca="false">TEXT(D1686,"dddd")</f>
        <v>Tuesday</v>
      </c>
      <c r="F1686" s="2" t="s">
        <v>457</v>
      </c>
      <c r="G1686" s="2" t="s">
        <v>458</v>
      </c>
      <c r="H1686" s="2" t="s">
        <v>459</v>
      </c>
      <c r="I1686" s="2" t="n">
        <f aca="false">IF(F1686="Present",9,IF(F1686="Half Day",4,0))</f>
        <v>9</v>
      </c>
      <c r="J1686" s="2"/>
      <c r="K1686" s="2"/>
    </row>
    <row r="1687" customFormat="false" ht="15" hidden="false" customHeight="false" outlineLevel="0" collapsed="false">
      <c r="A1687" s="2" t="s">
        <v>156</v>
      </c>
      <c r="B1687" s="2" t="s">
        <v>157</v>
      </c>
      <c r="C1687" s="2" t="s">
        <v>36</v>
      </c>
      <c r="D1687" s="3" t="n">
        <v>46246</v>
      </c>
      <c r="E1687" s="2" t="str">
        <f aca="false">TEXT(D1687,"dddd")</f>
        <v>Wednesday</v>
      </c>
      <c r="F1687" s="2" t="s">
        <v>466</v>
      </c>
      <c r="G1687" s="2" t="s">
        <v>458</v>
      </c>
      <c r="H1687" s="2" t="s">
        <v>467</v>
      </c>
      <c r="I1687" s="2" t="n">
        <f aca="false">IF(F1687="Present",9,IF(F1687="Half Day",4,0))</f>
        <v>4</v>
      </c>
      <c r="J1687" s="2"/>
      <c r="K1687" s="2" t="s">
        <v>466</v>
      </c>
    </row>
    <row r="1688" customFormat="false" ht="15" hidden="false" customHeight="false" outlineLevel="0" collapsed="false">
      <c r="A1688" s="2" t="s">
        <v>156</v>
      </c>
      <c r="B1688" s="2" t="s">
        <v>157</v>
      </c>
      <c r="C1688" s="2" t="s">
        <v>36</v>
      </c>
      <c r="D1688" s="3" t="n">
        <v>46247</v>
      </c>
      <c r="E1688" s="2" t="str">
        <f aca="false">TEXT(D1688,"dddd")</f>
        <v>Thursday</v>
      </c>
      <c r="F1688" s="2" t="s">
        <v>457</v>
      </c>
      <c r="G1688" s="2" t="s">
        <v>458</v>
      </c>
      <c r="H1688" s="2" t="s">
        <v>459</v>
      </c>
      <c r="I1688" s="2" t="n">
        <f aca="false">IF(F1688="Present",9,IF(F1688="Half Day",4,0))</f>
        <v>9</v>
      </c>
      <c r="J1688" s="2"/>
      <c r="K1688" s="2"/>
    </row>
    <row r="1689" customFormat="false" ht="15" hidden="false" customHeight="false" outlineLevel="0" collapsed="false">
      <c r="A1689" s="2" t="s">
        <v>156</v>
      </c>
      <c r="B1689" s="2" t="s">
        <v>157</v>
      </c>
      <c r="C1689" s="2" t="s">
        <v>36</v>
      </c>
      <c r="D1689" s="3" t="n">
        <v>46248</v>
      </c>
      <c r="E1689" s="2" t="str">
        <f aca="false">TEXT(D1689,"dddd")</f>
        <v>Friday</v>
      </c>
      <c r="F1689" s="2" t="s">
        <v>457</v>
      </c>
      <c r="G1689" s="2" t="s">
        <v>458</v>
      </c>
      <c r="H1689" s="2" t="s">
        <v>459</v>
      </c>
      <c r="I1689" s="2" t="n">
        <f aca="false">IF(F1689="Present",9,IF(F1689="Half Day",4,0))</f>
        <v>9</v>
      </c>
      <c r="J1689" s="2"/>
      <c r="K1689" s="2"/>
    </row>
    <row r="1690" customFormat="false" ht="15" hidden="false" customHeight="false" outlineLevel="0" collapsed="false">
      <c r="A1690" s="2" t="s">
        <v>156</v>
      </c>
      <c r="B1690" s="2" t="s">
        <v>157</v>
      </c>
      <c r="C1690" s="2" t="s">
        <v>36</v>
      </c>
      <c r="D1690" s="3" t="n">
        <v>46249</v>
      </c>
      <c r="E1690" s="2" t="str">
        <f aca="false">TEXT(D1690,"dddd")</f>
        <v>Saturday</v>
      </c>
      <c r="F1690" s="2" t="s">
        <v>466</v>
      </c>
      <c r="G1690" s="2" t="s">
        <v>458</v>
      </c>
      <c r="H1690" s="2" t="s">
        <v>467</v>
      </c>
      <c r="I1690" s="2" t="n">
        <f aca="false">IF(F1690="Present",9,IF(F1690="Half Day",4,0))</f>
        <v>4</v>
      </c>
      <c r="J1690" s="2"/>
      <c r="K1690" s="2" t="s">
        <v>466</v>
      </c>
    </row>
    <row r="1691" customFormat="false" ht="15" hidden="false" customHeight="false" outlineLevel="0" collapsed="false">
      <c r="A1691" s="2" t="s">
        <v>156</v>
      </c>
      <c r="B1691" s="2" t="s">
        <v>157</v>
      </c>
      <c r="C1691" s="2" t="s">
        <v>36</v>
      </c>
      <c r="D1691" s="3" t="n">
        <v>46250</v>
      </c>
      <c r="E1691" s="2" t="str">
        <f aca="false">TEXT(D1691,"dddd")</f>
        <v>Sunday</v>
      </c>
      <c r="F1691" s="2" t="s">
        <v>460</v>
      </c>
      <c r="G1691" s="2"/>
      <c r="H1691" s="2"/>
      <c r="I1691" s="2" t="n">
        <f aca="false">IF(F1691="Present",9,IF(F1691="Half Day",4,0))</f>
        <v>0</v>
      </c>
      <c r="J1691" s="2"/>
      <c r="K1691" s="2" t="s">
        <v>460</v>
      </c>
    </row>
    <row r="1692" customFormat="false" ht="15" hidden="false" customHeight="false" outlineLevel="0" collapsed="false">
      <c r="A1692" s="2" t="s">
        <v>156</v>
      </c>
      <c r="B1692" s="2" t="s">
        <v>157</v>
      </c>
      <c r="C1692" s="2" t="s">
        <v>36</v>
      </c>
      <c r="D1692" s="3" t="n">
        <v>46251</v>
      </c>
      <c r="E1692" s="2" t="str">
        <f aca="false">TEXT(D1692,"dddd")</f>
        <v>Monday</v>
      </c>
      <c r="F1692" s="2" t="s">
        <v>457</v>
      </c>
      <c r="G1692" s="2" t="s">
        <v>458</v>
      </c>
      <c r="H1692" s="2" t="s">
        <v>459</v>
      </c>
      <c r="I1692" s="2" t="n">
        <f aca="false">IF(F1692="Present",9,IF(F1692="Half Day",4,0))</f>
        <v>9</v>
      </c>
      <c r="J1692" s="2"/>
      <c r="K1692" s="2"/>
    </row>
    <row r="1693" customFormat="false" ht="15" hidden="false" customHeight="false" outlineLevel="0" collapsed="false">
      <c r="A1693" s="2" t="s">
        <v>156</v>
      </c>
      <c r="B1693" s="2" t="s">
        <v>157</v>
      </c>
      <c r="C1693" s="2" t="s">
        <v>36</v>
      </c>
      <c r="D1693" s="3" t="n">
        <v>46252</v>
      </c>
      <c r="E1693" s="2" t="str">
        <f aca="false">TEXT(D1693,"dddd")</f>
        <v>Tuesday</v>
      </c>
      <c r="F1693" s="2" t="s">
        <v>457</v>
      </c>
      <c r="G1693" s="2" t="s">
        <v>458</v>
      </c>
      <c r="H1693" s="2" t="s">
        <v>459</v>
      </c>
      <c r="I1693" s="2" t="n">
        <f aca="false">IF(F1693="Present",9,IF(F1693="Half Day",4,0))</f>
        <v>9</v>
      </c>
      <c r="J1693" s="2"/>
      <c r="K1693" s="2"/>
    </row>
    <row r="1694" customFormat="false" ht="15" hidden="false" customHeight="false" outlineLevel="0" collapsed="false">
      <c r="A1694" s="2" t="s">
        <v>156</v>
      </c>
      <c r="B1694" s="2" t="s">
        <v>157</v>
      </c>
      <c r="C1694" s="2" t="s">
        <v>36</v>
      </c>
      <c r="D1694" s="3" t="n">
        <v>46253</v>
      </c>
      <c r="E1694" s="2" t="str">
        <f aca="false">TEXT(D1694,"dddd")</f>
        <v>Wednesday</v>
      </c>
      <c r="F1694" s="2" t="s">
        <v>457</v>
      </c>
      <c r="G1694" s="2" t="s">
        <v>458</v>
      </c>
      <c r="H1694" s="2" t="s">
        <v>459</v>
      </c>
      <c r="I1694" s="2" t="n">
        <f aca="false">IF(F1694="Present",9,IF(F1694="Half Day",4,0))</f>
        <v>9</v>
      </c>
      <c r="J1694" s="2"/>
      <c r="K1694" s="2"/>
    </row>
    <row r="1695" customFormat="false" ht="15" hidden="false" customHeight="false" outlineLevel="0" collapsed="false">
      <c r="A1695" s="2" t="s">
        <v>156</v>
      </c>
      <c r="B1695" s="2" t="s">
        <v>157</v>
      </c>
      <c r="C1695" s="2" t="s">
        <v>36</v>
      </c>
      <c r="D1695" s="3" t="n">
        <v>46254</v>
      </c>
      <c r="E1695" s="2" t="str">
        <f aca="false">TEXT(D1695,"dddd")</f>
        <v>Thursday</v>
      </c>
      <c r="F1695" s="2" t="s">
        <v>457</v>
      </c>
      <c r="G1695" s="2" t="s">
        <v>458</v>
      </c>
      <c r="H1695" s="2" t="s">
        <v>459</v>
      </c>
      <c r="I1695" s="2" t="n">
        <f aca="false">IF(F1695="Present",9,IF(F1695="Half Day",4,0))</f>
        <v>9</v>
      </c>
      <c r="J1695" s="2"/>
      <c r="K1695" s="2"/>
    </row>
    <row r="1696" customFormat="false" ht="15" hidden="false" customHeight="false" outlineLevel="0" collapsed="false">
      <c r="A1696" s="2" t="s">
        <v>156</v>
      </c>
      <c r="B1696" s="2" t="s">
        <v>157</v>
      </c>
      <c r="C1696" s="2" t="s">
        <v>36</v>
      </c>
      <c r="D1696" s="3" t="n">
        <v>46255</v>
      </c>
      <c r="E1696" s="2" t="str">
        <f aca="false">TEXT(D1696,"dddd")</f>
        <v>Friday</v>
      </c>
      <c r="F1696" s="2" t="s">
        <v>457</v>
      </c>
      <c r="G1696" s="2" t="s">
        <v>458</v>
      </c>
      <c r="H1696" s="2" t="s">
        <v>459</v>
      </c>
      <c r="I1696" s="2" t="n">
        <f aca="false">IF(F1696="Present",9,IF(F1696="Half Day",4,0))</f>
        <v>9</v>
      </c>
      <c r="J1696" s="2"/>
      <c r="K1696" s="2"/>
    </row>
    <row r="1697" customFormat="false" ht="15" hidden="false" customHeight="false" outlineLevel="0" collapsed="false">
      <c r="A1697" s="2" t="s">
        <v>156</v>
      </c>
      <c r="B1697" s="2" t="s">
        <v>157</v>
      </c>
      <c r="C1697" s="2" t="s">
        <v>36</v>
      </c>
      <c r="D1697" s="3" t="n">
        <v>46256</v>
      </c>
      <c r="E1697" s="2" t="str">
        <f aca="false">TEXT(D1697,"dddd")</f>
        <v>Saturday</v>
      </c>
      <c r="F1697" s="2" t="s">
        <v>457</v>
      </c>
      <c r="G1697" s="2" t="s">
        <v>458</v>
      </c>
      <c r="H1697" s="2" t="s">
        <v>459</v>
      </c>
      <c r="I1697" s="2" t="n">
        <f aca="false">IF(F1697="Present",9,IF(F1697="Half Day",4,0))</f>
        <v>9</v>
      </c>
      <c r="J1697" s="2"/>
      <c r="K1697" s="2"/>
    </row>
    <row r="1698" customFormat="false" ht="15" hidden="false" customHeight="false" outlineLevel="0" collapsed="false">
      <c r="A1698" s="2" t="s">
        <v>156</v>
      </c>
      <c r="B1698" s="2" t="s">
        <v>157</v>
      </c>
      <c r="C1698" s="2" t="s">
        <v>36</v>
      </c>
      <c r="D1698" s="3" t="n">
        <v>46257</v>
      </c>
      <c r="E1698" s="2" t="str">
        <f aca="false">TEXT(D1698,"dddd")</f>
        <v>Sunday</v>
      </c>
      <c r="F1698" s="2" t="s">
        <v>460</v>
      </c>
      <c r="G1698" s="2"/>
      <c r="H1698" s="2"/>
      <c r="I1698" s="2" t="n">
        <f aca="false">IF(F1698="Present",9,IF(F1698="Half Day",4,0))</f>
        <v>0</v>
      </c>
      <c r="J1698" s="2"/>
      <c r="K1698" s="2" t="s">
        <v>460</v>
      </c>
    </row>
    <row r="1699" customFormat="false" ht="15" hidden="false" customHeight="false" outlineLevel="0" collapsed="false">
      <c r="A1699" s="2" t="s">
        <v>156</v>
      </c>
      <c r="B1699" s="2" t="s">
        <v>157</v>
      </c>
      <c r="C1699" s="2" t="s">
        <v>36</v>
      </c>
      <c r="D1699" s="3" t="n">
        <v>46258</v>
      </c>
      <c r="E1699" s="2" t="str">
        <f aca="false">TEXT(D1699,"dddd")</f>
        <v>Monday</v>
      </c>
      <c r="F1699" s="2" t="s">
        <v>457</v>
      </c>
      <c r="G1699" s="2" t="s">
        <v>458</v>
      </c>
      <c r="H1699" s="2" t="s">
        <v>459</v>
      </c>
      <c r="I1699" s="2" t="n">
        <f aca="false">IF(F1699="Present",9,IF(F1699="Half Day",4,0))</f>
        <v>9</v>
      </c>
      <c r="J1699" s="2"/>
      <c r="K1699" s="2"/>
    </row>
    <row r="1700" customFormat="false" ht="15" hidden="false" customHeight="false" outlineLevel="0" collapsed="false">
      <c r="A1700" s="2" t="s">
        <v>156</v>
      </c>
      <c r="B1700" s="2" t="s">
        <v>157</v>
      </c>
      <c r="C1700" s="2" t="s">
        <v>36</v>
      </c>
      <c r="D1700" s="3" t="n">
        <v>46259</v>
      </c>
      <c r="E1700" s="2" t="str">
        <f aca="false">TEXT(D1700,"dddd")</f>
        <v>Tuesday</v>
      </c>
      <c r="F1700" s="2" t="s">
        <v>457</v>
      </c>
      <c r="G1700" s="2" t="s">
        <v>458</v>
      </c>
      <c r="H1700" s="2" t="s">
        <v>459</v>
      </c>
      <c r="I1700" s="2" t="n">
        <f aca="false">IF(F1700="Present",9,IF(F1700="Half Day",4,0))</f>
        <v>9</v>
      </c>
      <c r="J1700" s="2"/>
      <c r="K1700" s="2"/>
    </row>
    <row r="1701" customFormat="false" ht="15" hidden="false" customHeight="false" outlineLevel="0" collapsed="false">
      <c r="A1701" s="2" t="s">
        <v>156</v>
      </c>
      <c r="B1701" s="2" t="s">
        <v>157</v>
      </c>
      <c r="C1701" s="2" t="s">
        <v>36</v>
      </c>
      <c r="D1701" s="3" t="n">
        <v>46260</v>
      </c>
      <c r="E1701" s="2" t="str">
        <f aca="false">TEXT(D1701,"dddd")</f>
        <v>Wednesday</v>
      </c>
      <c r="F1701" s="2" t="s">
        <v>457</v>
      </c>
      <c r="G1701" s="2" t="s">
        <v>458</v>
      </c>
      <c r="H1701" s="2" t="s">
        <v>459</v>
      </c>
      <c r="I1701" s="2" t="n">
        <f aca="false">IF(F1701="Present",9,IF(F1701="Half Day",4,0))</f>
        <v>9</v>
      </c>
      <c r="J1701" s="2"/>
      <c r="K1701" s="2"/>
    </row>
    <row r="1702" customFormat="false" ht="15" hidden="false" customHeight="false" outlineLevel="0" collapsed="false">
      <c r="A1702" s="2" t="s">
        <v>156</v>
      </c>
      <c r="B1702" s="2" t="s">
        <v>157</v>
      </c>
      <c r="C1702" s="2" t="s">
        <v>36</v>
      </c>
      <c r="D1702" s="3" t="n">
        <v>46261</v>
      </c>
      <c r="E1702" s="2" t="str">
        <f aca="false">TEXT(D1702,"dddd")</f>
        <v>Thursday</v>
      </c>
      <c r="F1702" s="2" t="s">
        <v>457</v>
      </c>
      <c r="G1702" s="2" t="s">
        <v>458</v>
      </c>
      <c r="H1702" s="2" t="s">
        <v>459</v>
      </c>
      <c r="I1702" s="2" t="n">
        <f aca="false">IF(F1702="Present",9,IF(F1702="Half Day",4,0))</f>
        <v>9</v>
      </c>
      <c r="J1702" s="2"/>
      <c r="K1702" s="2"/>
    </row>
    <row r="1703" customFormat="false" ht="15" hidden="false" customHeight="false" outlineLevel="0" collapsed="false">
      <c r="A1703" s="2" t="s">
        <v>156</v>
      </c>
      <c r="B1703" s="2" t="s">
        <v>157</v>
      </c>
      <c r="C1703" s="2" t="s">
        <v>36</v>
      </c>
      <c r="D1703" s="3" t="n">
        <v>46262</v>
      </c>
      <c r="E1703" s="2" t="str">
        <f aca="false">TEXT(D1703,"dddd")</f>
        <v>Friday</v>
      </c>
      <c r="F1703" s="2" t="s">
        <v>461</v>
      </c>
      <c r="G1703" s="2"/>
      <c r="H1703" s="2"/>
      <c r="I1703" s="2" t="n">
        <f aca="false">IF(F1703="Present",9,IF(F1703="Half Day",4,0))</f>
        <v>0</v>
      </c>
      <c r="J1703" s="2"/>
      <c r="K1703" s="2" t="s">
        <v>462</v>
      </c>
    </row>
    <row r="1704" customFormat="false" ht="15" hidden="false" customHeight="false" outlineLevel="0" collapsed="false">
      <c r="A1704" s="2" t="s">
        <v>156</v>
      </c>
      <c r="B1704" s="2" t="s">
        <v>157</v>
      </c>
      <c r="C1704" s="2" t="s">
        <v>36</v>
      </c>
      <c r="D1704" s="3" t="n">
        <v>46263</v>
      </c>
      <c r="E1704" s="2" t="str">
        <f aca="false">TEXT(D1704,"dddd")</f>
        <v>Saturday</v>
      </c>
      <c r="F1704" s="2" t="s">
        <v>457</v>
      </c>
      <c r="G1704" s="2" t="s">
        <v>458</v>
      </c>
      <c r="H1704" s="2" t="s">
        <v>459</v>
      </c>
      <c r="I1704" s="2" t="n">
        <f aca="false">IF(F1704="Present",9,IF(F1704="Half Day",4,0))</f>
        <v>9</v>
      </c>
      <c r="J1704" s="2"/>
      <c r="K1704" s="2"/>
    </row>
    <row r="1705" customFormat="false" ht="15" hidden="false" customHeight="false" outlineLevel="0" collapsed="false">
      <c r="A1705" s="2" t="s">
        <v>156</v>
      </c>
      <c r="B1705" s="2" t="s">
        <v>157</v>
      </c>
      <c r="C1705" s="2" t="s">
        <v>36</v>
      </c>
      <c r="D1705" s="3" t="n">
        <v>46264</v>
      </c>
      <c r="E1705" s="2" t="str">
        <f aca="false">TEXT(D1705,"dddd")</f>
        <v>Sunday</v>
      </c>
      <c r="F1705" s="2" t="s">
        <v>460</v>
      </c>
      <c r="G1705" s="2"/>
      <c r="H1705" s="2"/>
      <c r="I1705" s="2" t="n">
        <f aca="false">IF(F1705="Present",9,IF(F1705="Half Day",4,0))</f>
        <v>0</v>
      </c>
      <c r="J1705" s="2"/>
      <c r="K1705" s="2" t="s">
        <v>460</v>
      </c>
    </row>
    <row r="1706" customFormat="false" ht="15" hidden="false" customHeight="false" outlineLevel="0" collapsed="false">
      <c r="A1706" s="2" t="s">
        <v>156</v>
      </c>
      <c r="B1706" s="2" t="s">
        <v>157</v>
      </c>
      <c r="C1706" s="2" t="s">
        <v>36</v>
      </c>
      <c r="D1706" s="3" t="n">
        <v>46265</v>
      </c>
      <c r="E1706" s="2" t="str">
        <f aca="false">TEXT(D1706,"dddd")</f>
        <v>Monday</v>
      </c>
      <c r="F1706" s="2" t="s">
        <v>463</v>
      </c>
      <c r="G1706" s="2"/>
      <c r="H1706" s="2"/>
      <c r="I1706" s="2" t="n">
        <f aca="false">IF(F1706="Present",9,IF(F1706="Half Day",4,0))</f>
        <v>0</v>
      </c>
      <c r="J1706" s="2" t="s">
        <v>470</v>
      </c>
      <c r="K1706" s="2" t="s">
        <v>471</v>
      </c>
    </row>
    <row r="1707" customFormat="false" ht="15" hidden="false" customHeight="false" outlineLevel="0" collapsed="false">
      <c r="A1707" s="2" t="s">
        <v>158</v>
      </c>
      <c r="B1707" s="2" t="s">
        <v>159</v>
      </c>
      <c r="C1707" s="2" t="s">
        <v>41</v>
      </c>
      <c r="D1707" s="3" t="n">
        <v>46235</v>
      </c>
      <c r="E1707" s="2" t="str">
        <f aca="false">TEXT(D1707,"dddd")</f>
        <v>Saturday</v>
      </c>
      <c r="F1707" s="2" t="s">
        <v>457</v>
      </c>
      <c r="G1707" s="2" t="s">
        <v>458</v>
      </c>
      <c r="H1707" s="2" t="s">
        <v>459</v>
      </c>
      <c r="I1707" s="2" t="n">
        <f aca="false">IF(F1707="Present",9,IF(F1707="Half Day",4,0))</f>
        <v>9</v>
      </c>
      <c r="J1707" s="2"/>
      <c r="K1707" s="2"/>
    </row>
    <row r="1708" customFormat="false" ht="15" hidden="false" customHeight="false" outlineLevel="0" collapsed="false">
      <c r="A1708" s="2" t="s">
        <v>158</v>
      </c>
      <c r="B1708" s="2" t="s">
        <v>159</v>
      </c>
      <c r="C1708" s="2" t="s">
        <v>41</v>
      </c>
      <c r="D1708" s="3" t="n">
        <v>46236</v>
      </c>
      <c r="E1708" s="2" t="str">
        <f aca="false">TEXT(D1708,"dddd")</f>
        <v>Sunday</v>
      </c>
      <c r="F1708" s="2" t="s">
        <v>460</v>
      </c>
      <c r="G1708" s="2"/>
      <c r="H1708" s="2"/>
      <c r="I1708" s="2" t="n">
        <f aca="false">IF(F1708="Present",9,IF(F1708="Half Day",4,0))</f>
        <v>0</v>
      </c>
      <c r="J1708" s="2"/>
      <c r="K1708" s="2" t="s">
        <v>460</v>
      </c>
    </row>
    <row r="1709" customFormat="false" ht="15" hidden="false" customHeight="false" outlineLevel="0" collapsed="false">
      <c r="A1709" s="2" t="s">
        <v>158</v>
      </c>
      <c r="B1709" s="2" t="s">
        <v>159</v>
      </c>
      <c r="C1709" s="2" t="s">
        <v>41</v>
      </c>
      <c r="D1709" s="3" t="n">
        <v>46237</v>
      </c>
      <c r="E1709" s="2" t="str">
        <f aca="false">TEXT(D1709,"dddd")</f>
        <v>Monday</v>
      </c>
      <c r="F1709" s="2" t="s">
        <v>463</v>
      </c>
      <c r="G1709" s="2"/>
      <c r="H1709" s="2"/>
      <c r="I1709" s="2" t="n">
        <f aca="false">IF(F1709="Present",9,IF(F1709="Half Day",4,0))</f>
        <v>0</v>
      </c>
      <c r="J1709" s="2" t="s">
        <v>472</v>
      </c>
      <c r="K1709" s="2" t="s">
        <v>473</v>
      </c>
    </row>
    <row r="1710" customFormat="false" ht="15" hidden="false" customHeight="false" outlineLevel="0" collapsed="false">
      <c r="A1710" s="2" t="s">
        <v>158</v>
      </c>
      <c r="B1710" s="2" t="s">
        <v>159</v>
      </c>
      <c r="C1710" s="2" t="s">
        <v>41</v>
      </c>
      <c r="D1710" s="3" t="n">
        <v>46238</v>
      </c>
      <c r="E1710" s="2" t="str">
        <f aca="false">TEXT(D1710,"dddd")</f>
        <v>Tuesday</v>
      </c>
      <c r="F1710" s="2" t="s">
        <v>457</v>
      </c>
      <c r="G1710" s="2" t="s">
        <v>458</v>
      </c>
      <c r="H1710" s="2" t="s">
        <v>459</v>
      </c>
      <c r="I1710" s="2" t="n">
        <f aca="false">IF(F1710="Present",9,IF(F1710="Half Day",4,0))</f>
        <v>9</v>
      </c>
      <c r="J1710" s="2"/>
      <c r="K1710" s="2"/>
    </row>
    <row r="1711" customFormat="false" ht="15" hidden="false" customHeight="false" outlineLevel="0" collapsed="false">
      <c r="A1711" s="2" t="s">
        <v>158</v>
      </c>
      <c r="B1711" s="2" t="s">
        <v>159</v>
      </c>
      <c r="C1711" s="2" t="s">
        <v>41</v>
      </c>
      <c r="D1711" s="3" t="n">
        <v>46239</v>
      </c>
      <c r="E1711" s="2" t="str">
        <f aca="false">TEXT(D1711,"dddd")</f>
        <v>Wednesday</v>
      </c>
      <c r="F1711" s="2" t="s">
        <v>457</v>
      </c>
      <c r="G1711" s="2" t="s">
        <v>458</v>
      </c>
      <c r="H1711" s="2" t="s">
        <v>459</v>
      </c>
      <c r="I1711" s="2" t="n">
        <f aca="false">IF(F1711="Present",9,IF(F1711="Half Day",4,0))</f>
        <v>9</v>
      </c>
      <c r="J1711" s="2"/>
      <c r="K1711" s="2"/>
    </row>
    <row r="1712" customFormat="false" ht="15" hidden="false" customHeight="false" outlineLevel="0" collapsed="false">
      <c r="A1712" s="2" t="s">
        <v>158</v>
      </c>
      <c r="B1712" s="2" t="s">
        <v>159</v>
      </c>
      <c r="C1712" s="2" t="s">
        <v>41</v>
      </c>
      <c r="D1712" s="3" t="n">
        <v>46240</v>
      </c>
      <c r="E1712" s="2" t="str">
        <f aca="false">TEXT(D1712,"dddd")</f>
        <v>Thursday</v>
      </c>
      <c r="F1712" s="2" t="s">
        <v>457</v>
      </c>
      <c r="G1712" s="2" t="s">
        <v>458</v>
      </c>
      <c r="H1712" s="2" t="s">
        <v>459</v>
      </c>
      <c r="I1712" s="2" t="n">
        <f aca="false">IF(F1712="Present",9,IF(F1712="Half Day",4,0))</f>
        <v>9</v>
      </c>
      <c r="J1712" s="2"/>
      <c r="K1712" s="2"/>
    </row>
    <row r="1713" customFormat="false" ht="15" hidden="false" customHeight="false" outlineLevel="0" collapsed="false">
      <c r="A1713" s="2" t="s">
        <v>158</v>
      </c>
      <c r="B1713" s="2" t="s">
        <v>159</v>
      </c>
      <c r="C1713" s="2" t="s">
        <v>41</v>
      </c>
      <c r="D1713" s="3" t="n">
        <v>46241</v>
      </c>
      <c r="E1713" s="2" t="str">
        <f aca="false">TEXT(D1713,"dddd")</f>
        <v>Friday</v>
      </c>
      <c r="F1713" s="2" t="s">
        <v>461</v>
      </c>
      <c r="G1713" s="2"/>
      <c r="H1713" s="2"/>
      <c r="I1713" s="2" t="n">
        <f aca="false">IF(F1713="Present",9,IF(F1713="Half Day",4,0))</f>
        <v>0</v>
      </c>
      <c r="J1713" s="2"/>
      <c r="K1713" s="2" t="s">
        <v>462</v>
      </c>
    </row>
    <row r="1714" customFormat="false" ht="15" hidden="false" customHeight="false" outlineLevel="0" collapsed="false">
      <c r="A1714" s="2" t="s">
        <v>158</v>
      </c>
      <c r="B1714" s="2" t="s">
        <v>159</v>
      </c>
      <c r="C1714" s="2" t="s">
        <v>41</v>
      </c>
      <c r="D1714" s="3" t="n">
        <v>46242</v>
      </c>
      <c r="E1714" s="2" t="str">
        <f aca="false">TEXT(D1714,"dddd")</f>
        <v>Saturday</v>
      </c>
      <c r="F1714" s="2" t="s">
        <v>457</v>
      </c>
      <c r="G1714" s="2" t="s">
        <v>458</v>
      </c>
      <c r="H1714" s="2" t="s">
        <v>459</v>
      </c>
      <c r="I1714" s="2" t="n">
        <f aca="false">IF(F1714="Present",9,IF(F1714="Half Day",4,0))</f>
        <v>9</v>
      </c>
      <c r="J1714" s="2"/>
      <c r="K1714" s="2"/>
    </row>
    <row r="1715" customFormat="false" ht="15" hidden="false" customHeight="false" outlineLevel="0" collapsed="false">
      <c r="A1715" s="2" t="s">
        <v>158</v>
      </c>
      <c r="B1715" s="2" t="s">
        <v>159</v>
      </c>
      <c r="C1715" s="2" t="s">
        <v>41</v>
      </c>
      <c r="D1715" s="3" t="n">
        <v>46243</v>
      </c>
      <c r="E1715" s="2" t="str">
        <f aca="false">TEXT(D1715,"dddd")</f>
        <v>Sunday</v>
      </c>
      <c r="F1715" s="2" t="s">
        <v>460</v>
      </c>
      <c r="G1715" s="2"/>
      <c r="H1715" s="2"/>
      <c r="I1715" s="2" t="n">
        <f aca="false">IF(F1715="Present",9,IF(F1715="Half Day",4,0))</f>
        <v>0</v>
      </c>
      <c r="J1715" s="2"/>
      <c r="K1715" s="2" t="s">
        <v>460</v>
      </c>
    </row>
    <row r="1716" customFormat="false" ht="15" hidden="false" customHeight="false" outlineLevel="0" collapsed="false">
      <c r="A1716" s="2" t="s">
        <v>158</v>
      </c>
      <c r="B1716" s="2" t="s">
        <v>159</v>
      </c>
      <c r="C1716" s="2" t="s">
        <v>41</v>
      </c>
      <c r="D1716" s="3" t="n">
        <v>46244</v>
      </c>
      <c r="E1716" s="2" t="str">
        <f aca="false">TEXT(D1716,"dddd")</f>
        <v>Monday</v>
      </c>
      <c r="F1716" s="2" t="s">
        <v>457</v>
      </c>
      <c r="G1716" s="2" t="s">
        <v>458</v>
      </c>
      <c r="H1716" s="2" t="s">
        <v>459</v>
      </c>
      <c r="I1716" s="2" t="n">
        <f aca="false">IF(F1716="Present",9,IF(F1716="Half Day",4,0))</f>
        <v>9</v>
      </c>
      <c r="J1716" s="2"/>
      <c r="K1716" s="2"/>
    </row>
    <row r="1717" customFormat="false" ht="15" hidden="false" customHeight="false" outlineLevel="0" collapsed="false">
      <c r="A1717" s="2" t="s">
        <v>158</v>
      </c>
      <c r="B1717" s="2" t="s">
        <v>159</v>
      </c>
      <c r="C1717" s="2" t="s">
        <v>41</v>
      </c>
      <c r="D1717" s="3" t="n">
        <v>46245</v>
      </c>
      <c r="E1717" s="2" t="str">
        <f aca="false">TEXT(D1717,"dddd")</f>
        <v>Tuesday</v>
      </c>
      <c r="F1717" s="2" t="s">
        <v>463</v>
      </c>
      <c r="G1717" s="2"/>
      <c r="H1717" s="2"/>
      <c r="I1717" s="2" t="n">
        <f aca="false">IF(F1717="Present",9,IF(F1717="Half Day",4,0))</f>
        <v>0</v>
      </c>
      <c r="J1717" s="2" t="s">
        <v>474</v>
      </c>
      <c r="K1717" s="2" t="s">
        <v>475</v>
      </c>
    </row>
    <row r="1718" customFormat="false" ht="15" hidden="false" customHeight="false" outlineLevel="0" collapsed="false">
      <c r="A1718" s="2" t="s">
        <v>158</v>
      </c>
      <c r="B1718" s="2" t="s">
        <v>159</v>
      </c>
      <c r="C1718" s="2" t="s">
        <v>41</v>
      </c>
      <c r="D1718" s="3" t="n">
        <v>46246</v>
      </c>
      <c r="E1718" s="2" t="str">
        <f aca="false">TEXT(D1718,"dddd")</f>
        <v>Wednesday</v>
      </c>
      <c r="F1718" s="2" t="s">
        <v>457</v>
      </c>
      <c r="G1718" s="2" t="s">
        <v>458</v>
      </c>
      <c r="H1718" s="2" t="s">
        <v>459</v>
      </c>
      <c r="I1718" s="2" t="n">
        <f aca="false">IF(F1718="Present",9,IF(F1718="Half Day",4,0))</f>
        <v>9</v>
      </c>
      <c r="J1718" s="2"/>
      <c r="K1718" s="2"/>
    </row>
    <row r="1719" customFormat="false" ht="15" hidden="false" customHeight="false" outlineLevel="0" collapsed="false">
      <c r="A1719" s="2" t="s">
        <v>158</v>
      </c>
      <c r="B1719" s="2" t="s">
        <v>159</v>
      </c>
      <c r="C1719" s="2" t="s">
        <v>41</v>
      </c>
      <c r="D1719" s="3" t="n">
        <v>46247</v>
      </c>
      <c r="E1719" s="2" t="str">
        <f aca="false">TEXT(D1719,"dddd")</f>
        <v>Thursday</v>
      </c>
      <c r="F1719" s="2" t="s">
        <v>457</v>
      </c>
      <c r="G1719" s="2" t="s">
        <v>458</v>
      </c>
      <c r="H1719" s="2" t="s">
        <v>459</v>
      </c>
      <c r="I1719" s="2" t="n">
        <f aca="false">IF(F1719="Present",9,IF(F1719="Half Day",4,0))</f>
        <v>9</v>
      </c>
      <c r="J1719" s="2"/>
      <c r="K1719" s="2"/>
    </row>
    <row r="1720" customFormat="false" ht="15" hidden="false" customHeight="false" outlineLevel="0" collapsed="false">
      <c r="A1720" s="2" t="s">
        <v>158</v>
      </c>
      <c r="B1720" s="2" t="s">
        <v>159</v>
      </c>
      <c r="C1720" s="2" t="s">
        <v>41</v>
      </c>
      <c r="D1720" s="3" t="n">
        <v>46248</v>
      </c>
      <c r="E1720" s="2" t="str">
        <f aca="false">TEXT(D1720,"dddd")</f>
        <v>Friday</v>
      </c>
      <c r="F1720" s="2" t="s">
        <v>461</v>
      </c>
      <c r="G1720" s="2"/>
      <c r="H1720" s="2"/>
      <c r="I1720" s="2" t="n">
        <f aca="false">IF(F1720="Present",9,IF(F1720="Half Day",4,0))</f>
        <v>0</v>
      </c>
      <c r="J1720" s="2"/>
      <c r="K1720" s="2" t="s">
        <v>462</v>
      </c>
    </row>
    <row r="1721" customFormat="false" ht="15" hidden="false" customHeight="false" outlineLevel="0" collapsed="false">
      <c r="A1721" s="2" t="s">
        <v>158</v>
      </c>
      <c r="B1721" s="2" t="s">
        <v>159</v>
      </c>
      <c r="C1721" s="2" t="s">
        <v>41</v>
      </c>
      <c r="D1721" s="3" t="n">
        <v>46249</v>
      </c>
      <c r="E1721" s="2" t="str">
        <f aca="false">TEXT(D1721,"dddd")</f>
        <v>Saturday</v>
      </c>
      <c r="F1721" s="2" t="s">
        <v>457</v>
      </c>
      <c r="G1721" s="2" t="s">
        <v>458</v>
      </c>
      <c r="H1721" s="2" t="s">
        <v>459</v>
      </c>
      <c r="I1721" s="2" t="n">
        <f aca="false">IF(F1721="Present",9,IF(F1721="Half Day",4,0))</f>
        <v>9</v>
      </c>
      <c r="J1721" s="2"/>
      <c r="K1721" s="2"/>
    </row>
    <row r="1722" customFormat="false" ht="15" hidden="false" customHeight="false" outlineLevel="0" collapsed="false">
      <c r="A1722" s="2" t="s">
        <v>158</v>
      </c>
      <c r="B1722" s="2" t="s">
        <v>159</v>
      </c>
      <c r="C1722" s="2" t="s">
        <v>41</v>
      </c>
      <c r="D1722" s="3" t="n">
        <v>46250</v>
      </c>
      <c r="E1722" s="2" t="str">
        <f aca="false">TEXT(D1722,"dddd")</f>
        <v>Sunday</v>
      </c>
      <c r="F1722" s="2" t="s">
        <v>460</v>
      </c>
      <c r="G1722" s="2"/>
      <c r="H1722" s="2"/>
      <c r="I1722" s="2" t="n">
        <f aca="false">IF(F1722="Present",9,IF(F1722="Half Day",4,0))</f>
        <v>0</v>
      </c>
      <c r="J1722" s="2"/>
      <c r="K1722" s="2" t="s">
        <v>460</v>
      </c>
    </row>
    <row r="1723" customFormat="false" ht="15" hidden="false" customHeight="false" outlineLevel="0" collapsed="false">
      <c r="A1723" s="2" t="s">
        <v>158</v>
      </c>
      <c r="B1723" s="2" t="s">
        <v>159</v>
      </c>
      <c r="C1723" s="2" t="s">
        <v>41</v>
      </c>
      <c r="D1723" s="3" t="n">
        <v>46251</v>
      </c>
      <c r="E1723" s="2" t="str">
        <f aca="false">TEXT(D1723,"dddd")</f>
        <v>Monday</v>
      </c>
      <c r="F1723" s="2" t="s">
        <v>461</v>
      </c>
      <c r="G1723" s="2"/>
      <c r="H1723" s="2"/>
      <c r="I1723" s="2" t="n">
        <f aca="false">IF(F1723="Present",9,IF(F1723="Half Day",4,0))</f>
        <v>0</v>
      </c>
      <c r="J1723" s="2"/>
      <c r="K1723" s="2" t="s">
        <v>462</v>
      </c>
    </row>
    <row r="1724" customFormat="false" ht="15" hidden="false" customHeight="false" outlineLevel="0" collapsed="false">
      <c r="A1724" s="2" t="s">
        <v>158</v>
      </c>
      <c r="B1724" s="2" t="s">
        <v>159</v>
      </c>
      <c r="C1724" s="2" t="s">
        <v>41</v>
      </c>
      <c r="D1724" s="3" t="n">
        <v>46252</v>
      </c>
      <c r="E1724" s="2" t="str">
        <f aca="false">TEXT(D1724,"dddd")</f>
        <v>Tuesday</v>
      </c>
      <c r="F1724" s="2" t="s">
        <v>457</v>
      </c>
      <c r="G1724" s="2" t="s">
        <v>458</v>
      </c>
      <c r="H1724" s="2" t="s">
        <v>459</v>
      </c>
      <c r="I1724" s="2" t="n">
        <f aca="false">IF(F1724="Present",9,IF(F1724="Half Day",4,0))</f>
        <v>9</v>
      </c>
      <c r="J1724" s="2"/>
      <c r="K1724" s="2"/>
    </row>
    <row r="1725" customFormat="false" ht="15" hidden="false" customHeight="false" outlineLevel="0" collapsed="false">
      <c r="A1725" s="2" t="s">
        <v>158</v>
      </c>
      <c r="B1725" s="2" t="s">
        <v>159</v>
      </c>
      <c r="C1725" s="2" t="s">
        <v>41</v>
      </c>
      <c r="D1725" s="3" t="n">
        <v>46253</v>
      </c>
      <c r="E1725" s="2" t="str">
        <f aca="false">TEXT(D1725,"dddd")</f>
        <v>Wednesday</v>
      </c>
      <c r="F1725" s="2" t="s">
        <v>461</v>
      </c>
      <c r="G1725" s="2"/>
      <c r="H1725" s="2"/>
      <c r="I1725" s="2" t="n">
        <f aca="false">IF(F1725="Present",9,IF(F1725="Half Day",4,0))</f>
        <v>0</v>
      </c>
      <c r="J1725" s="2"/>
      <c r="K1725" s="2" t="s">
        <v>462</v>
      </c>
    </row>
    <row r="1726" customFormat="false" ht="15" hidden="false" customHeight="false" outlineLevel="0" collapsed="false">
      <c r="A1726" s="2" t="s">
        <v>158</v>
      </c>
      <c r="B1726" s="2" t="s">
        <v>159</v>
      </c>
      <c r="C1726" s="2" t="s">
        <v>41</v>
      </c>
      <c r="D1726" s="3" t="n">
        <v>46254</v>
      </c>
      <c r="E1726" s="2" t="str">
        <f aca="false">TEXT(D1726,"dddd")</f>
        <v>Thursday</v>
      </c>
      <c r="F1726" s="2" t="s">
        <v>457</v>
      </c>
      <c r="G1726" s="2" t="s">
        <v>458</v>
      </c>
      <c r="H1726" s="2" t="s">
        <v>459</v>
      </c>
      <c r="I1726" s="2" t="n">
        <f aca="false">IF(F1726="Present",9,IF(F1726="Half Day",4,0))</f>
        <v>9</v>
      </c>
      <c r="J1726" s="2"/>
      <c r="K1726" s="2"/>
    </row>
    <row r="1727" customFormat="false" ht="15" hidden="false" customHeight="false" outlineLevel="0" collapsed="false">
      <c r="A1727" s="2" t="s">
        <v>158</v>
      </c>
      <c r="B1727" s="2" t="s">
        <v>159</v>
      </c>
      <c r="C1727" s="2" t="s">
        <v>41</v>
      </c>
      <c r="D1727" s="3" t="n">
        <v>46255</v>
      </c>
      <c r="E1727" s="2" t="str">
        <f aca="false">TEXT(D1727,"dddd")</f>
        <v>Friday</v>
      </c>
      <c r="F1727" s="2" t="s">
        <v>461</v>
      </c>
      <c r="G1727" s="2"/>
      <c r="H1727" s="2"/>
      <c r="I1727" s="2" t="n">
        <f aca="false">IF(F1727="Present",9,IF(F1727="Half Day",4,0))</f>
        <v>0</v>
      </c>
      <c r="J1727" s="2"/>
      <c r="K1727" s="2" t="s">
        <v>462</v>
      </c>
    </row>
    <row r="1728" customFormat="false" ht="15" hidden="false" customHeight="false" outlineLevel="0" collapsed="false">
      <c r="A1728" s="2" t="s">
        <v>158</v>
      </c>
      <c r="B1728" s="2" t="s">
        <v>159</v>
      </c>
      <c r="C1728" s="2" t="s">
        <v>41</v>
      </c>
      <c r="D1728" s="3" t="n">
        <v>46256</v>
      </c>
      <c r="E1728" s="2" t="str">
        <f aca="false">TEXT(D1728,"dddd")</f>
        <v>Saturday</v>
      </c>
      <c r="F1728" s="2" t="s">
        <v>457</v>
      </c>
      <c r="G1728" s="2" t="s">
        <v>458</v>
      </c>
      <c r="H1728" s="2" t="s">
        <v>459</v>
      </c>
      <c r="I1728" s="2" t="n">
        <f aca="false">IF(F1728="Present",9,IF(F1728="Half Day",4,0))</f>
        <v>9</v>
      </c>
      <c r="J1728" s="2"/>
      <c r="K1728" s="2"/>
    </row>
    <row r="1729" customFormat="false" ht="15" hidden="false" customHeight="false" outlineLevel="0" collapsed="false">
      <c r="A1729" s="2" t="s">
        <v>158</v>
      </c>
      <c r="B1729" s="2" t="s">
        <v>159</v>
      </c>
      <c r="C1729" s="2" t="s">
        <v>41</v>
      </c>
      <c r="D1729" s="3" t="n">
        <v>46257</v>
      </c>
      <c r="E1729" s="2" t="str">
        <f aca="false">TEXT(D1729,"dddd")</f>
        <v>Sunday</v>
      </c>
      <c r="F1729" s="2" t="s">
        <v>460</v>
      </c>
      <c r="G1729" s="2"/>
      <c r="H1729" s="2"/>
      <c r="I1729" s="2" t="n">
        <f aca="false">IF(F1729="Present",9,IF(F1729="Half Day",4,0))</f>
        <v>0</v>
      </c>
      <c r="J1729" s="2"/>
      <c r="K1729" s="2" t="s">
        <v>460</v>
      </c>
    </row>
    <row r="1730" customFormat="false" ht="15" hidden="false" customHeight="false" outlineLevel="0" collapsed="false">
      <c r="A1730" s="2" t="s">
        <v>158</v>
      </c>
      <c r="B1730" s="2" t="s">
        <v>159</v>
      </c>
      <c r="C1730" s="2" t="s">
        <v>41</v>
      </c>
      <c r="D1730" s="3" t="n">
        <v>46258</v>
      </c>
      <c r="E1730" s="2" t="str">
        <f aca="false">TEXT(D1730,"dddd")</f>
        <v>Monday</v>
      </c>
      <c r="F1730" s="2" t="s">
        <v>457</v>
      </c>
      <c r="G1730" s="2" t="s">
        <v>458</v>
      </c>
      <c r="H1730" s="2" t="s">
        <v>459</v>
      </c>
      <c r="I1730" s="2" t="n">
        <f aca="false">IF(F1730="Present",9,IF(F1730="Half Day",4,0))</f>
        <v>9</v>
      </c>
      <c r="J1730" s="2"/>
      <c r="K1730" s="2"/>
    </row>
    <row r="1731" customFormat="false" ht="15" hidden="false" customHeight="false" outlineLevel="0" collapsed="false">
      <c r="A1731" s="2" t="s">
        <v>158</v>
      </c>
      <c r="B1731" s="2" t="s">
        <v>159</v>
      </c>
      <c r="C1731" s="2" t="s">
        <v>41</v>
      </c>
      <c r="D1731" s="3" t="n">
        <v>46259</v>
      </c>
      <c r="E1731" s="2" t="str">
        <f aca="false">TEXT(D1731,"dddd")</f>
        <v>Tuesday</v>
      </c>
      <c r="F1731" s="2" t="s">
        <v>457</v>
      </c>
      <c r="G1731" s="2" t="s">
        <v>458</v>
      </c>
      <c r="H1731" s="2" t="s">
        <v>459</v>
      </c>
      <c r="I1731" s="2" t="n">
        <f aca="false">IF(F1731="Present",9,IF(F1731="Half Day",4,0))</f>
        <v>9</v>
      </c>
      <c r="J1731" s="2"/>
      <c r="K1731" s="2"/>
    </row>
    <row r="1732" customFormat="false" ht="15" hidden="false" customHeight="false" outlineLevel="0" collapsed="false">
      <c r="A1732" s="2" t="s">
        <v>158</v>
      </c>
      <c r="B1732" s="2" t="s">
        <v>159</v>
      </c>
      <c r="C1732" s="2" t="s">
        <v>41</v>
      </c>
      <c r="D1732" s="3" t="n">
        <v>46260</v>
      </c>
      <c r="E1732" s="2" t="str">
        <f aca="false">TEXT(D1732,"dddd")</f>
        <v>Wednesday</v>
      </c>
      <c r="F1732" s="2" t="s">
        <v>461</v>
      </c>
      <c r="G1732" s="2"/>
      <c r="H1732" s="2"/>
      <c r="I1732" s="2" t="n">
        <f aca="false">IF(F1732="Present",9,IF(F1732="Half Day",4,0))</f>
        <v>0</v>
      </c>
      <c r="J1732" s="2"/>
      <c r="K1732" s="2" t="s">
        <v>462</v>
      </c>
    </row>
    <row r="1733" customFormat="false" ht="15" hidden="false" customHeight="false" outlineLevel="0" collapsed="false">
      <c r="A1733" s="2" t="s">
        <v>158</v>
      </c>
      <c r="B1733" s="2" t="s">
        <v>159</v>
      </c>
      <c r="C1733" s="2" t="s">
        <v>41</v>
      </c>
      <c r="D1733" s="3" t="n">
        <v>46261</v>
      </c>
      <c r="E1733" s="2" t="str">
        <f aca="false">TEXT(D1733,"dddd")</f>
        <v>Thursday</v>
      </c>
      <c r="F1733" s="2" t="s">
        <v>457</v>
      </c>
      <c r="G1733" s="2" t="s">
        <v>458</v>
      </c>
      <c r="H1733" s="2" t="s">
        <v>459</v>
      </c>
      <c r="I1733" s="2" t="n">
        <f aca="false">IF(F1733="Present",9,IF(F1733="Half Day",4,0))</f>
        <v>9</v>
      </c>
      <c r="J1733" s="2"/>
      <c r="K1733" s="2"/>
    </row>
    <row r="1734" customFormat="false" ht="15" hidden="false" customHeight="false" outlineLevel="0" collapsed="false">
      <c r="A1734" s="2" t="s">
        <v>158</v>
      </c>
      <c r="B1734" s="2" t="s">
        <v>159</v>
      </c>
      <c r="C1734" s="2" t="s">
        <v>41</v>
      </c>
      <c r="D1734" s="3" t="n">
        <v>46262</v>
      </c>
      <c r="E1734" s="2" t="str">
        <f aca="false">TEXT(D1734,"dddd")</f>
        <v>Friday</v>
      </c>
      <c r="F1734" s="2" t="s">
        <v>461</v>
      </c>
      <c r="G1734" s="2"/>
      <c r="H1734" s="2"/>
      <c r="I1734" s="2" t="n">
        <f aca="false">IF(F1734="Present",9,IF(F1734="Half Day",4,0))</f>
        <v>0</v>
      </c>
      <c r="J1734" s="2"/>
      <c r="K1734" s="2" t="s">
        <v>462</v>
      </c>
    </row>
    <row r="1735" customFormat="false" ht="15" hidden="false" customHeight="false" outlineLevel="0" collapsed="false">
      <c r="A1735" s="2" t="s">
        <v>158</v>
      </c>
      <c r="B1735" s="2" t="s">
        <v>159</v>
      </c>
      <c r="C1735" s="2" t="s">
        <v>41</v>
      </c>
      <c r="D1735" s="3" t="n">
        <v>46263</v>
      </c>
      <c r="E1735" s="2" t="str">
        <f aca="false">TEXT(D1735,"dddd")</f>
        <v>Saturday</v>
      </c>
      <c r="F1735" s="2" t="s">
        <v>457</v>
      </c>
      <c r="G1735" s="2" t="s">
        <v>458</v>
      </c>
      <c r="H1735" s="2" t="s">
        <v>459</v>
      </c>
      <c r="I1735" s="2" t="n">
        <f aca="false">IF(F1735="Present",9,IF(F1735="Half Day",4,0))</f>
        <v>9</v>
      </c>
      <c r="J1735" s="2"/>
      <c r="K1735" s="2"/>
    </row>
    <row r="1736" customFormat="false" ht="15" hidden="false" customHeight="false" outlineLevel="0" collapsed="false">
      <c r="A1736" s="2" t="s">
        <v>158</v>
      </c>
      <c r="B1736" s="2" t="s">
        <v>159</v>
      </c>
      <c r="C1736" s="2" t="s">
        <v>41</v>
      </c>
      <c r="D1736" s="3" t="n">
        <v>46264</v>
      </c>
      <c r="E1736" s="2" t="str">
        <f aca="false">TEXT(D1736,"dddd")</f>
        <v>Sunday</v>
      </c>
      <c r="F1736" s="2" t="s">
        <v>460</v>
      </c>
      <c r="G1736" s="2"/>
      <c r="H1736" s="2"/>
      <c r="I1736" s="2" t="n">
        <f aca="false">IF(F1736="Present",9,IF(F1736="Half Day",4,0))</f>
        <v>0</v>
      </c>
      <c r="J1736" s="2"/>
      <c r="K1736" s="2" t="s">
        <v>460</v>
      </c>
    </row>
    <row r="1737" customFormat="false" ht="15" hidden="false" customHeight="false" outlineLevel="0" collapsed="false">
      <c r="A1737" s="2" t="s">
        <v>158</v>
      </c>
      <c r="B1737" s="2" t="s">
        <v>159</v>
      </c>
      <c r="C1737" s="2" t="s">
        <v>41</v>
      </c>
      <c r="D1737" s="3" t="n">
        <v>46265</v>
      </c>
      <c r="E1737" s="2" t="str">
        <f aca="false">TEXT(D1737,"dddd")</f>
        <v>Monday</v>
      </c>
      <c r="F1737" s="2" t="s">
        <v>466</v>
      </c>
      <c r="G1737" s="2" t="s">
        <v>458</v>
      </c>
      <c r="H1737" s="2" t="s">
        <v>467</v>
      </c>
      <c r="I1737" s="2" t="n">
        <f aca="false">IF(F1737="Present",9,IF(F1737="Half Day",4,0))</f>
        <v>4</v>
      </c>
      <c r="J1737" s="2"/>
      <c r="K1737" s="2" t="s">
        <v>466</v>
      </c>
    </row>
    <row r="1738" customFormat="false" ht="15" hidden="false" customHeight="false" outlineLevel="0" collapsed="false">
      <c r="A1738" s="2" t="s">
        <v>160</v>
      </c>
      <c r="B1738" s="2" t="s">
        <v>161</v>
      </c>
      <c r="C1738" s="2" t="s">
        <v>45</v>
      </c>
      <c r="D1738" s="3" t="n">
        <v>46235</v>
      </c>
      <c r="E1738" s="2" t="str">
        <f aca="false">TEXT(D1738,"dddd")</f>
        <v>Saturday</v>
      </c>
      <c r="F1738" s="2" t="s">
        <v>457</v>
      </c>
      <c r="G1738" s="2" t="s">
        <v>458</v>
      </c>
      <c r="H1738" s="2" t="s">
        <v>459</v>
      </c>
      <c r="I1738" s="2" t="n">
        <f aca="false">IF(F1738="Present",9,IF(F1738="Half Day",4,0))</f>
        <v>9</v>
      </c>
      <c r="J1738" s="2"/>
      <c r="K1738" s="2"/>
    </row>
    <row r="1739" customFormat="false" ht="15" hidden="false" customHeight="false" outlineLevel="0" collapsed="false">
      <c r="A1739" s="2" t="s">
        <v>160</v>
      </c>
      <c r="B1739" s="2" t="s">
        <v>161</v>
      </c>
      <c r="C1739" s="2" t="s">
        <v>45</v>
      </c>
      <c r="D1739" s="3" t="n">
        <v>46236</v>
      </c>
      <c r="E1739" s="2" t="str">
        <f aca="false">TEXT(D1739,"dddd")</f>
        <v>Sunday</v>
      </c>
      <c r="F1739" s="2" t="s">
        <v>460</v>
      </c>
      <c r="G1739" s="2"/>
      <c r="H1739" s="2"/>
      <c r="I1739" s="2" t="n">
        <f aca="false">IF(F1739="Present",9,IF(F1739="Half Day",4,0))</f>
        <v>0</v>
      </c>
      <c r="J1739" s="2"/>
      <c r="K1739" s="2" t="s">
        <v>460</v>
      </c>
    </row>
    <row r="1740" customFormat="false" ht="15" hidden="false" customHeight="false" outlineLevel="0" collapsed="false">
      <c r="A1740" s="2" t="s">
        <v>160</v>
      </c>
      <c r="B1740" s="2" t="s">
        <v>161</v>
      </c>
      <c r="C1740" s="2" t="s">
        <v>45</v>
      </c>
      <c r="D1740" s="3" t="n">
        <v>46237</v>
      </c>
      <c r="E1740" s="2" t="str">
        <f aca="false">TEXT(D1740,"dddd")</f>
        <v>Monday</v>
      </c>
      <c r="F1740" s="2" t="s">
        <v>457</v>
      </c>
      <c r="G1740" s="2" t="s">
        <v>458</v>
      </c>
      <c r="H1740" s="2" t="s">
        <v>459</v>
      </c>
      <c r="I1740" s="2" t="n">
        <f aca="false">IF(F1740="Present",9,IF(F1740="Half Day",4,0))</f>
        <v>9</v>
      </c>
      <c r="J1740" s="2"/>
      <c r="K1740" s="2"/>
    </row>
    <row r="1741" customFormat="false" ht="15" hidden="false" customHeight="false" outlineLevel="0" collapsed="false">
      <c r="A1741" s="2" t="s">
        <v>160</v>
      </c>
      <c r="B1741" s="2" t="s">
        <v>161</v>
      </c>
      <c r="C1741" s="2" t="s">
        <v>45</v>
      </c>
      <c r="D1741" s="3" t="n">
        <v>46238</v>
      </c>
      <c r="E1741" s="2" t="str">
        <f aca="false">TEXT(D1741,"dddd")</f>
        <v>Tuesday</v>
      </c>
      <c r="F1741" s="2" t="s">
        <v>457</v>
      </c>
      <c r="G1741" s="2" t="s">
        <v>458</v>
      </c>
      <c r="H1741" s="2" t="s">
        <v>459</v>
      </c>
      <c r="I1741" s="2" t="n">
        <f aca="false">IF(F1741="Present",9,IF(F1741="Half Day",4,0))</f>
        <v>9</v>
      </c>
      <c r="J1741" s="2"/>
      <c r="K1741" s="2"/>
    </row>
    <row r="1742" customFormat="false" ht="15" hidden="false" customHeight="false" outlineLevel="0" collapsed="false">
      <c r="A1742" s="2" t="s">
        <v>160</v>
      </c>
      <c r="B1742" s="2" t="s">
        <v>161</v>
      </c>
      <c r="C1742" s="2" t="s">
        <v>45</v>
      </c>
      <c r="D1742" s="3" t="n">
        <v>46239</v>
      </c>
      <c r="E1742" s="2" t="str">
        <f aca="false">TEXT(D1742,"dddd")</f>
        <v>Wednesday</v>
      </c>
      <c r="F1742" s="2" t="s">
        <v>457</v>
      </c>
      <c r="G1742" s="2" t="s">
        <v>458</v>
      </c>
      <c r="H1742" s="2" t="s">
        <v>459</v>
      </c>
      <c r="I1742" s="2" t="n">
        <f aca="false">IF(F1742="Present",9,IF(F1742="Half Day",4,0))</f>
        <v>9</v>
      </c>
      <c r="J1742" s="2"/>
      <c r="K1742" s="2"/>
    </row>
    <row r="1743" customFormat="false" ht="15" hidden="false" customHeight="false" outlineLevel="0" collapsed="false">
      <c r="A1743" s="2" t="s">
        <v>160</v>
      </c>
      <c r="B1743" s="2" t="s">
        <v>161</v>
      </c>
      <c r="C1743" s="2" t="s">
        <v>45</v>
      </c>
      <c r="D1743" s="3" t="n">
        <v>46240</v>
      </c>
      <c r="E1743" s="2" t="str">
        <f aca="false">TEXT(D1743,"dddd")</f>
        <v>Thursday</v>
      </c>
      <c r="F1743" s="2" t="s">
        <v>457</v>
      </c>
      <c r="G1743" s="2" t="s">
        <v>458</v>
      </c>
      <c r="H1743" s="2" t="s">
        <v>459</v>
      </c>
      <c r="I1743" s="2" t="n">
        <f aca="false">IF(F1743="Present",9,IF(F1743="Half Day",4,0))</f>
        <v>9</v>
      </c>
      <c r="J1743" s="2"/>
      <c r="K1743" s="2"/>
    </row>
    <row r="1744" customFormat="false" ht="15" hidden="false" customHeight="false" outlineLevel="0" collapsed="false">
      <c r="A1744" s="2" t="s">
        <v>160</v>
      </c>
      <c r="B1744" s="2" t="s">
        <v>161</v>
      </c>
      <c r="C1744" s="2" t="s">
        <v>45</v>
      </c>
      <c r="D1744" s="3" t="n">
        <v>46241</v>
      </c>
      <c r="E1744" s="2" t="str">
        <f aca="false">TEXT(D1744,"dddd")</f>
        <v>Friday</v>
      </c>
      <c r="F1744" s="2" t="s">
        <v>457</v>
      </c>
      <c r="G1744" s="2" t="s">
        <v>458</v>
      </c>
      <c r="H1744" s="2" t="s">
        <v>459</v>
      </c>
      <c r="I1744" s="2" t="n">
        <f aca="false">IF(F1744="Present",9,IF(F1744="Half Day",4,0))</f>
        <v>9</v>
      </c>
      <c r="J1744" s="2"/>
      <c r="K1744" s="2"/>
    </row>
    <row r="1745" customFormat="false" ht="15" hidden="false" customHeight="false" outlineLevel="0" collapsed="false">
      <c r="A1745" s="2" t="s">
        <v>160</v>
      </c>
      <c r="B1745" s="2" t="s">
        <v>161</v>
      </c>
      <c r="C1745" s="2" t="s">
        <v>45</v>
      </c>
      <c r="D1745" s="3" t="n">
        <v>46242</v>
      </c>
      <c r="E1745" s="2" t="str">
        <f aca="false">TEXT(D1745,"dddd")</f>
        <v>Saturday</v>
      </c>
      <c r="F1745" s="2" t="s">
        <v>457</v>
      </c>
      <c r="G1745" s="2" t="s">
        <v>458</v>
      </c>
      <c r="H1745" s="2" t="s">
        <v>459</v>
      </c>
      <c r="I1745" s="2" t="n">
        <f aca="false">IF(F1745="Present",9,IF(F1745="Half Day",4,0))</f>
        <v>9</v>
      </c>
      <c r="J1745" s="2"/>
      <c r="K1745" s="2"/>
    </row>
    <row r="1746" customFormat="false" ht="15" hidden="false" customHeight="false" outlineLevel="0" collapsed="false">
      <c r="A1746" s="2" t="s">
        <v>160</v>
      </c>
      <c r="B1746" s="2" t="s">
        <v>161</v>
      </c>
      <c r="C1746" s="2" t="s">
        <v>45</v>
      </c>
      <c r="D1746" s="3" t="n">
        <v>46243</v>
      </c>
      <c r="E1746" s="2" t="str">
        <f aca="false">TEXT(D1746,"dddd")</f>
        <v>Sunday</v>
      </c>
      <c r="F1746" s="2" t="s">
        <v>460</v>
      </c>
      <c r="G1746" s="2"/>
      <c r="H1746" s="2"/>
      <c r="I1746" s="2" t="n">
        <f aca="false">IF(F1746="Present",9,IF(F1746="Half Day",4,0))</f>
        <v>0</v>
      </c>
      <c r="J1746" s="2"/>
      <c r="K1746" s="2" t="s">
        <v>460</v>
      </c>
    </row>
    <row r="1747" customFormat="false" ht="15" hidden="false" customHeight="false" outlineLevel="0" collapsed="false">
      <c r="A1747" s="2" t="s">
        <v>160</v>
      </c>
      <c r="B1747" s="2" t="s">
        <v>161</v>
      </c>
      <c r="C1747" s="2" t="s">
        <v>45</v>
      </c>
      <c r="D1747" s="3" t="n">
        <v>46244</v>
      </c>
      <c r="E1747" s="2" t="str">
        <f aca="false">TEXT(D1747,"dddd")</f>
        <v>Monday</v>
      </c>
      <c r="F1747" s="2" t="s">
        <v>457</v>
      </c>
      <c r="G1747" s="2" t="s">
        <v>458</v>
      </c>
      <c r="H1747" s="2" t="s">
        <v>459</v>
      </c>
      <c r="I1747" s="2" t="n">
        <f aca="false">IF(F1747="Present",9,IF(F1747="Half Day",4,0))</f>
        <v>9</v>
      </c>
      <c r="J1747" s="2"/>
      <c r="K1747" s="2"/>
    </row>
    <row r="1748" customFormat="false" ht="15" hidden="false" customHeight="false" outlineLevel="0" collapsed="false">
      <c r="A1748" s="2" t="s">
        <v>160</v>
      </c>
      <c r="B1748" s="2" t="s">
        <v>161</v>
      </c>
      <c r="C1748" s="2" t="s">
        <v>45</v>
      </c>
      <c r="D1748" s="3" t="n">
        <v>46245</v>
      </c>
      <c r="E1748" s="2" t="str">
        <f aca="false">TEXT(D1748,"dddd")</f>
        <v>Tuesday</v>
      </c>
      <c r="F1748" s="2" t="s">
        <v>457</v>
      </c>
      <c r="G1748" s="2" t="s">
        <v>458</v>
      </c>
      <c r="H1748" s="2" t="s">
        <v>459</v>
      </c>
      <c r="I1748" s="2" t="n">
        <f aca="false">IF(F1748="Present",9,IF(F1748="Half Day",4,0))</f>
        <v>9</v>
      </c>
      <c r="J1748" s="2"/>
      <c r="K1748" s="2"/>
    </row>
    <row r="1749" customFormat="false" ht="15" hidden="false" customHeight="false" outlineLevel="0" collapsed="false">
      <c r="A1749" s="2" t="s">
        <v>160</v>
      </c>
      <c r="B1749" s="2" t="s">
        <v>161</v>
      </c>
      <c r="C1749" s="2" t="s">
        <v>45</v>
      </c>
      <c r="D1749" s="3" t="n">
        <v>46246</v>
      </c>
      <c r="E1749" s="2" t="str">
        <f aca="false">TEXT(D1749,"dddd")</f>
        <v>Wednesday</v>
      </c>
      <c r="F1749" s="2" t="s">
        <v>457</v>
      </c>
      <c r="G1749" s="2" t="s">
        <v>458</v>
      </c>
      <c r="H1749" s="2" t="s">
        <v>459</v>
      </c>
      <c r="I1749" s="2" t="n">
        <f aca="false">IF(F1749="Present",9,IF(F1749="Half Day",4,0))</f>
        <v>9</v>
      </c>
      <c r="J1749" s="2"/>
      <c r="K1749" s="2"/>
    </row>
    <row r="1750" customFormat="false" ht="15" hidden="false" customHeight="false" outlineLevel="0" collapsed="false">
      <c r="A1750" s="2" t="s">
        <v>160</v>
      </c>
      <c r="B1750" s="2" t="s">
        <v>161</v>
      </c>
      <c r="C1750" s="2" t="s">
        <v>45</v>
      </c>
      <c r="D1750" s="3" t="n">
        <v>46247</v>
      </c>
      <c r="E1750" s="2" t="str">
        <f aca="false">TEXT(D1750,"dddd")</f>
        <v>Thursday</v>
      </c>
      <c r="F1750" s="2" t="s">
        <v>457</v>
      </c>
      <c r="G1750" s="2" t="s">
        <v>458</v>
      </c>
      <c r="H1750" s="2" t="s">
        <v>459</v>
      </c>
      <c r="I1750" s="2" t="n">
        <f aca="false">IF(F1750="Present",9,IF(F1750="Half Day",4,0))</f>
        <v>9</v>
      </c>
      <c r="J1750" s="2"/>
      <c r="K1750" s="2"/>
    </row>
    <row r="1751" customFormat="false" ht="15" hidden="false" customHeight="false" outlineLevel="0" collapsed="false">
      <c r="A1751" s="2" t="s">
        <v>160</v>
      </c>
      <c r="B1751" s="2" t="s">
        <v>161</v>
      </c>
      <c r="C1751" s="2" t="s">
        <v>45</v>
      </c>
      <c r="D1751" s="3" t="n">
        <v>46248</v>
      </c>
      <c r="E1751" s="2" t="str">
        <f aca="false">TEXT(D1751,"dddd")</f>
        <v>Friday</v>
      </c>
      <c r="F1751" s="2" t="s">
        <v>457</v>
      </c>
      <c r="G1751" s="2" t="s">
        <v>458</v>
      </c>
      <c r="H1751" s="2" t="s">
        <v>459</v>
      </c>
      <c r="I1751" s="2" t="n">
        <f aca="false">IF(F1751="Present",9,IF(F1751="Half Day",4,0))</f>
        <v>9</v>
      </c>
      <c r="J1751" s="2"/>
      <c r="K1751" s="2"/>
    </row>
    <row r="1752" customFormat="false" ht="15" hidden="false" customHeight="false" outlineLevel="0" collapsed="false">
      <c r="A1752" s="2" t="s">
        <v>160</v>
      </c>
      <c r="B1752" s="2" t="s">
        <v>161</v>
      </c>
      <c r="C1752" s="2" t="s">
        <v>45</v>
      </c>
      <c r="D1752" s="3" t="n">
        <v>46249</v>
      </c>
      <c r="E1752" s="2" t="str">
        <f aca="false">TEXT(D1752,"dddd")</f>
        <v>Saturday</v>
      </c>
      <c r="F1752" s="2" t="s">
        <v>457</v>
      </c>
      <c r="G1752" s="2" t="s">
        <v>458</v>
      </c>
      <c r="H1752" s="2" t="s">
        <v>459</v>
      </c>
      <c r="I1752" s="2" t="n">
        <f aca="false">IF(F1752="Present",9,IF(F1752="Half Day",4,0))</f>
        <v>9</v>
      </c>
      <c r="J1752" s="2"/>
      <c r="K1752" s="2"/>
    </row>
    <row r="1753" customFormat="false" ht="15" hidden="false" customHeight="false" outlineLevel="0" collapsed="false">
      <c r="A1753" s="2" t="s">
        <v>160</v>
      </c>
      <c r="B1753" s="2" t="s">
        <v>161</v>
      </c>
      <c r="C1753" s="2" t="s">
        <v>45</v>
      </c>
      <c r="D1753" s="3" t="n">
        <v>46250</v>
      </c>
      <c r="E1753" s="2" t="str">
        <f aca="false">TEXT(D1753,"dddd")</f>
        <v>Sunday</v>
      </c>
      <c r="F1753" s="2" t="s">
        <v>460</v>
      </c>
      <c r="G1753" s="2"/>
      <c r="H1753" s="2"/>
      <c r="I1753" s="2" t="n">
        <f aca="false">IF(F1753="Present",9,IF(F1753="Half Day",4,0))</f>
        <v>0</v>
      </c>
      <c r="J1753" s="2"/>
      <c r="K1753" s="2" t="s">
        <v>460</v>
      </c>
    </row>
    <row r="1754" customFormat="false" ht="15" hidden="false" customHeight="false" outlineLevel="0" collapsed="false">
      <c r="A1754" s="2" t="s">
        <v>160</v>
      </c>
      <c r="B1754" s="2" t="s">
        <v>161</v>
      </c>
      <c r="C1754" s="2" t="s">
        <v>45</v>
      </c>
      <c r="D1754" s="3" t="n">
        <v>46251</v>
      </c>
      <c r="E1754" s="2" t="str">
        <f aca="false">TEXT(D1754,"dddd")</f>
        <v>Monday</v>
      </c>
      <c r="F1754" s="2" t="s">
        <v>457</v>
      </c>
      <c r="G1754" s="2" t="s">
        <v>458</v>
      </c>
      <c r="H1754" s="2" t="s">
        <v>459</v>
      </c>
      <c r="I1754" s="2" t="n">
        <f aca="false">IF(F1754="Present",9,IF(F1754="Half Day",4,0))</f>
        <v>9</v>
      </c>
      <c r="J1754" s="2"/>
      <c r="K1754" s="2"/>
    </row>
    <row r="1755" customFormat="false" ht="15" hidden="false" customHeight="false" outlineLevel="0" collapsed="false">
      <c r="A1755" s="2" t="s">
        <v>160</v>
      </c>
      <c r="B1755" s="2" t="s">
        <v>161</v>
      </c>
      <c r="C1755" s="2" t="s">
        <v>45</v>
      </c>
      <c r="D1755" s="3" t="n">
        <v>46252</v>
      </c>
      <c r="E1755" s="2" t="str">
        <f aca="false">TEXT(D1755,"dddd")</f>
        <v>Tuesday</v>
      </c>
      <c r="F1755" s="2" t="s">
        <v>457</v>
      </c>
      <c r="G1755" s="2" t="s">
        <v>458</v>
      </c>
      <c r="H1755" s="2" t="s">
        <v>459</v>
      </c>
      <c r="I1755" s="2" t="n">
        <f aca="false">IF(F1755="Present",9,IF(F1755="Half Day",4,0))</f>
        <v>9</v>
      </c>
      <c r="J1755" s="2"/>
      <c r="K1755" s="2"/>
    </row>
    <row r="1756" customFormat="false" ht="15" hidden="false" customHeight="false" outlineLevel="0" collapsed="false">
      <c r="A1756" s="2" t="s">
        <v>160</v>
      </c>
      <c r="B1756" s="2" t="s">
        <v>161</v>
      </c>
      <c r="C1756" s="2" t="s">
        <v>45</v>
      </c>
      <c r="D1756" s="3" t="n">
        <v>46253</v>
      </c>
      <c r="E1756" s="2" t="str">
        <f aca="false">TEXT(D1756,"dddd")</f>
        <v>Wednesday</v>
      </c>
      <c r="F1756" s="2" t="s">
        <v>457</v>
      </c>
      <c r="G1756" s="2" t="s">
        <v>458</v>
      </c>
      <c r="H1756" s="2" t="s">
        <v>459</v>
      </c>
      <c r="I1756" s="2" t="n">
        <f aca="false">IF(F1756="Present",9,IF(F1756="Half Day",4,0))</f>
        <v>9</v>
      </c>
      <c r="J1756" s="2"/>
      <c r="K1756" s="2"/>
    </row>
    <row r="1757" customFormat="false" ht="15" hidden="false" customHeight="false" outlineLevel="0" collapsed="false">
      <c r="A1757" s="2" t="s">
        <v>160</v>
      </c>
      <c r="B1757" s="2" t="s">
        <v>161</v>
      </c>
      <c r="C1757" s="2" t="s">
        <v>45</v>
      </c>
      <c r="D1757" s="3" t="n">
        <v>46254</v>
      </c>
      <c r="E1757" s="2" t="str">
        <f aca="false">TEXT(D1757,"dddd")</f>
        <v>Thursday</v>
      </c>
      <c r="F1757" s="2" t="s">
        <v>457</v>
      </c>
      <c r="G1757" s="2" t="s">
        <v>458</v>
      </c>
      <c r="H1757" s="2" t="s">
        <v>459</v>
      </c>
      <c r="I1757" s="2" t="n">
        <f aca="false">IF(F1757="Present",9,IF(F1757="Half Day",4,0))</f>
        <v>9</v>
      </c>
      <c r="J1757" s="2"/>
      <c r="K1757" s="2"/>
    </row>
    <row r="1758" customFormat="false" ht="15" hidden="false" customHeight="false" outlineLevel="0" collapsed="false">
      <c r="A1758" s="2" t="s">
        <v>160</v>
      </c>
      <c r="B1758" s="2" t="s">
        <v>161</v>
      </c>
      <c r="C1758" s="2" t="s">
        <v>45</v>
      </c>
      <c r="D1758" s="3" t="n">
        <v>46255</v>
      </c>
      <c r="E1758" s="2" t="str">
        <f aca="false">TEXT(D1758,"dddd")</f>
        <v>Friday</v>
      </c>
      <c r="F1758" s="2" t="s">
        <v>457</v>
      </c>
      <c r="G1758" s="2" t="s">
        <v>458</v>
      </c>
      <c r="H1758" s="2" t="s">
        <v>459</v>
      </c>
      <c r="I1758" s="2" t="n">
        <f aca="false">IF(F1758="Present",9,IF(F1758="Half Day",4,0))</f>
        <v>9</v>
      </c>
      <c r="J1758" s="2"/>
      <c r="K1758" s="2"/>
    </row>
    <row r="1759" customFormat="false" ht="15" hidden="false" customHeight="false" outlineLevel="0" collapsed="false">
      <c r="A1759" s="2" t="s">
        <v>160</v>
      </c>
      <c r="B1759" s="2" t="s">
        <v>161</v>
      </c>
      <c r="C1759" s="2" t="s">
        <v>45</v>
      </c>
      <c r="D1759" s="3" t="n">
        <v>46256</v>
      </c>
      <c r="E1759" s="2" t="str">
        <f aca="false">TEXT(D1759,"dddd")</f>
        <v>Saturday</v>
      </c>
      <c r="F1759" s="2" t="s">
        <v>457</v>
      </c>
      <c r="G1759" s="2" t="s">
        <v>458</v>
      </c>
      <c r="H1759" s="2" t="s">
        <v>459</v>
      </c>
      <c r="I1759" s="2" t="n">
        <f aca="false">IF(F1759="Present",9,IF(F1759="Half Day",4,0))</f>
        <v>9</v>
      </c>
      <c r="J1759" s="2"/>
      <c r="K1759" s="2"/>
    </row>
    <row r="1760" customFormat="false" ht="15" hidden="false" customHeight="false" outlineLevel="0" collapsed="false">
      <c r="A1760" s="2" t="s">
        <v>160</v>
      </c>
      <c r="B1760" s="2" t="s">
        <v>161</v>
      </c>
      <c r="C1760" s="2" t="s">
        <v>45</v>
      </c>
      <c r="D1760" s="3" t="n">
        <v>46257</v>
      </c>
      <c r="E1760" s="2" t="str">
        <f aca="false">TEXT(D1760,"dddd")</f>
        <v>Sunday</v>
      </c>
      <c r="F1760" s="2" t="s">
        <v>460</v>
      </c>
      <c r="G1760" s="2"/>
      <c r="H1760" s="2"/>
      <c r="I1760" s="2" t="n">
        <f aca="false">IF(F1760="Present",9,IF(F1760="Half Day",4,0))</f>
        <v>0</v>
      </c>
      <c r="J1760" s="2"/>
      <c r="K1760" s="2" t="s">
        <v>460</v>
      </c>
    </row>
    <row r="1761" customFormat="false" ht="15" hidden="false" customHeight="false" outlineLevel="0" collapsed="false">
      <c r="A1761" s="2" t="s">
        <v>160</v>
      </c>
      <c r="B1761" s="2" t="s">
        <v>161</v>
      </c>
      <c r="C1761" s="2" t="s">
        <v>45</v>
      </c>
      <c r="D1761" s="3" t="n">
        <v>46258</v>
      </c>
      <c r="E1761" s="2" t="str">
        <f aca="false">TEXT(D1761,"dddd")</f>
        <v>Monday</v>
      </c>
      <c r="F1761" s="2" t="s">
        <v>457</v>
      </c>
      <c r="G1761" s="2" t="s">
        <v>458</v>
      </c>
      <c r="H1761" s="2" t="s">
        <v>459</v>
      </c>
      <c r="I1761" s="2" t="n">
        <f aca="false">IF(F1761="Present",9,IF(F1761="Half Day",4,0))</f>
        <v>9</v>
      </c>
      <c r="J1761" s="2"/>
      <c r="K1761" s="2"/>
    </row>
    <row r="1762" customFormat="false" ht="15" hidden="false" customHeight="false" outlineLevel="0" collapsed="false">
      <c r="A1762" s="2" t="s">
        <v>160</v>
      </c>
      <c r="B1762" s="2" t="s">
        <v>161</v>
      </c>
      <c r="C1762" s="2" t="s">
        <v>45</v>
      </c>
      <c r="D1762" s="3" t="n">
        <v>46259</v>
      </c>
      <c r="E1762" s="2" t="str">
        <f aca="false">TEXT(D1762,"dddd")</f>
        <v>Tuesday</v>
      </c>
      <c r="F1762" s="2" t="s">
        <v>457</v>
      </c>
      <c r="G1762" s="2" t="s">
        <v>458</v>
      </c>
      <c r="H1762" s="2" t="s">
        <v>459</v>
      </c>
      <c r="I1762" s="2" t="n">
        <f aca="false">IF(F1762="Present",9,IF(F1762="Half Day",4,0))</f>
        <v>9</v>
      </c>
      <c r="J1762" s="2"/>
      <c r="K1762" s="2"/>
    </row>
    <row r="1763" customFormat="false" ht="15" hidden="false" customHeight="false" outlineLevel="0" collapsed="false">
      <c r="A1763" s="2" t="s">
        <v>160</v>
      </c>
      <c r="B1763" s="2" t="s">
        <v>161</v>
      </c>
      <c r="C1763" s="2" t="s">
        <v>45</v>
      </c>
      <c r="D1763" s="3" t="n">
        <v>46260</v>
      </c>
      <c r="E1763" s="2" t="str">
        <f aca="false">TEXT(D1763,"dddd")</f>
        <v>Wednesday</v>
      </c>
      <c r="F1763" s="2" t="s">
        <v>457</v>
      </c>
      <c r="G1763" s="2" t="s">
        <v>458</v>
      </c>
      <c r="H1763" s="2" t="s">
        <v>459</v>
      </c>
      <c r="I1763" s="2" t="n">
        <f aca="false">IF(F1763="Present",9,IF(F1763="Half Day",4,0))</f>
        <v>9</v>
      </c>
      <c r="J1763" s="2"/>
      <c r="K1763" s="2"/>
    </row>
    <row r="1764" customFormat="false" ht="15" hidden="false" customHeight="false" outlineLevel="0" collapsed="false">
      <c r="A1764" s="2" t="s">
        <v>160</v>
      </c>
      <c r="B1764" s="2" t="s">
        <v>161</v>
      </c>
      <c r="C1764" s="2" t="s">
        <v>45</v>
      </c>
      <c r="D1764" s="3" t="n">
        <v>46261</v>
      </c>
      <c r="E1764" s="2" t="str">
        <f aca="false">TEXT(D1764,"dddd")</f>
        <v>Thursday</v>
      </c>
      <c r="F1764" s="2" t="s">
        <v>457</v>
      </c>
      <c r="G1764" s="2" t="s">
        <v>458</v>
      </c>
      <c r="H1764" s="2" t="s">
        <v>459</v>
      </c>
      <c r="I1764" s="2" t="n">
        <f aca="false">IF(F1764="Present",9,IF(F1764="Half Day",4,0))</f>
        <v>9</v>
      </c>
      <c r="J1764" s="2"/>
      <c r="K1764" s="2"/>
    </row>
    <row r="1765" customFormat="false" ht="15" hidden="false" customHeight="false" outlineLevel="0" collapsed="false">
      <c r="A1765" s="2" t="s">
        <v>160</v>
      </c>
      <c r="B1765" s="2" t="s">
        <v>161</v>
      </c>
      <c r="C1765" s="2" t="s">
        <v>45</v>
      </c>
      <c r="D1765" s="3" t="n">
        <v>46262</v>
      </c>
      <c r="E1765" s="2" t="str">
        <f aca="false">TEXT(D1765,"dddd")</f>
        <v>Friday</v>
      </c>
      <c r="F1765" s="2" t="s">
        <v>457</v>
      </c>
      <c r="G1765" s="2" t="s">
        <v>458</v>
      </c>
      <c r="H1765" s="2" t="s">
        <v>459</v>
      </c>
      <c r="I1765" s="2" t="n">
        <f aca="false">IF(F1765="Present",9,IF(F1765="Half Day",4,0))</f>
        <v>9</v>
      </c>
      <c r="J1765" s="2"/>
      <c r="K1765" s="2"/>
    </row>
    <row r="1766" customFormat="false" ht="15" hidden="false" customHeight="false" outlineLevel="0" collapsed="false">
      <c r="A1766" s="2" t="s">
        <v>160</v>
      </c>
      <c r="B1766" s="2" t="s">
        <v>161</v>
      </c>
      <c r="C1766" s="2" t="s">
        <v>45</v>
      </c>
      <c r="D1766" s="3" t="n">
        <v>46263</v>
      </c>
      <c r="E1766" s="2" t="str">
        <f aca="false">TEXT(D1766,"dddd")</f>
        <v>Saturday</v>
      </c>
      <c r="F1766" s="2" t="s">
        <v>457</v>
      </c>
      <c r="G1766" s="2" t="s">
        <v>458</v>
      </c>
      <c r="H1766" s="2" t="s">
        <v>459</v>
      </c>
      <c r="I1766" s="2" t="n">
        <f aca="false">IF(F1766="Present",9,IF(F1766="Half Day",4,0))</f>
        <v>9</v>
      </c>
      <c r="J1766" s="2"/>
      <c r="K1766" s="2"/>
    </row>
    <row r="1767" customFormat="false" ht="15" hidden="false" customHeight="false" outlineLevel="0" collapsed="false">
      <c r="A1767" s="2" t="s">
        <v>160</v>
      </c>
      <c r="B1767" s="2" t="s">
        <v>161</v>
      </c>
      <c r="C1767" s="2" t="s">
        <v>45</v>
      </c>
      <c r="D1767" s="3" t="n">
        <v>46264</v>
      </c>
      <c r="E1767" s="2" t="str">
        <f aca="false">TEXT(D1767,"dddd")</f>
        <v>Sunday</v>
      </c>
      <c r="F1767" s="2" t="s">
        <v>460</v>
      </c>
      <c r="G1767" s="2"/>
      <c r="H1767" s="2"/>
      <c r="I1767" s="2" t="n">
        <f aca="false">IF(F1767="Present",9,IF(F1767="Half Day",4,0))</f>
        <v>0</v>
      </c>
      <c r="J1767" s="2"/>
      <c r="K1767" s="2" t="s">
        <v>460</v>
      </c>
    </row>
    <row r="1768" customFormat="false" ht="15" hidden="false" customHeight="false" outlineLevel="0" collapsed="false">
      <c r="A1768" s="2" t="s">
        <v>160</v>
      </c>
      <c r="B1768" s="2" t="s">
        <v>161</v>
      </c>
      <c r="C1768" s="2" t="s">
        <v>45</v>
      </c>
      <c r="D1768" s="3" t="n">
        <v>46265</v>
      </c>
      <c r="E1768" s="2" t="str">
        <f aca="false">TEXT(D1768,"dddd")</f>
        <v>Monday</v>
      </c>
      <c r="F1768" s="2" t="s">
        <v>457</v>
      </c>
      <c r="G1768" s="2" t="s">
        <v>458</v>
      </c>
      <c r="H1768" s="2" t="s">
        <v>459</v>
      </c>
      <c r="I1768" s="2" t="n">
        <f aca="false">IF(F1768="Present",9,IF(F1768="Half Day",4,0))</f>
        <v>9</v>
      </c>
      <c r="J1768" s="2"/>
      <c r="K1768" s="2"/>
    </row>
    <row r="1769" customFormat="false" ht="15" hidden="false" customHeight="false" outlineLevel="0" collapsed="false">
      <c r="A1769" s="2" t="s">
        <v>162</v>
      </c>
      <c r="B1769" s="2" t="s">
        <v>163</v>
      </c>
      <c r="C1769" s="2" t="s">
        <v>49</v>
      </c>
      <c r="D1769" s="3" t="n">
        <v>46235</v>
      </c>
      <c r="E1769" s="2" t="str">
        <f aca="false">TEXT(D1769,"dddd")</f>
        <v>Saturday</v>
      </c>
      <c r="F1769" s="2" t="s">
        <v>457</v>
      </c>
      <c r="G1769" s="2" t="s">
        <v>458</v>
      </c>
      <c r="H1769" s="2" t="s">
        <v>459</v>
      </c>
      <c r="I1769" s="2" t="n">
        <f aca="false">IF(F1769="Present",9,IF(F1769="Half Day",4,0))</f>
        <v>9</v>
      </c>
      <c r="J1769" s="2"/>
      <c r="K1769" s="2"/>
    </row>
    <row r="1770" customFormat="false" ht="15" hidden="false" customHeight="false" outlineLevel="0" collapsed="false">
      <c r="A1770" s="2" t="s">
        <v>162</v>
      </c>
      <c r="B1770" s="2" t="s">
        <v>163</v>
      </c>
      <c r="C1770" s="2" t="s">
        <v>49</v>
      </c>
      <c r="D1770" s="3" t="n">
        <v>46236</v>
      </c>
      <c r="E1770" s="2" t="str">
        <f aca="false">TEXT(D1770,"dddd")</f>
        <v>Sunday</v>
      </c>
      <c r="F1770" s="2" t="s">
        <v>460</v>
      </c>
      <c r="G1770" s="2"/>
      <c r="H1770" s="2"/>
      <c r="I1770" s="2" t="n">
        <f aca="false">IF(F1770="Present",9,IF(F1770="Half Day",4,0))</f>
        <v>0</v>
      </c>
      <c r="J1770" s="2"/>
      <c r="K1770" s="2" t="s">
        <v>460</v>
      </c>
    </row>
    <row r="1771" customFormat="false" ht="15" hidden="false" customHeight="false" outlineLevel="0" collapsed="false">
      <c r="A1771" s="2" t="s">
        <v>162</v>
      </c>
      <c r="B1771" s="2" t="s">
        <v>163</v>
      </c>
      <c r="C1771" s="2" t="s">
        <v>49</v>
      </c>
      <c r="D1771" s="3" t="n">
        <v>46237</v>
      </c>
      <c r="E1771" s="2" t="str">
        <f aca="false">TEXT(D1771,"dddd")</f>
        <v>Monday</v>
      </c>
      <c r="F1771" s="2" t="s">
        <v>457</v>
      </c>
      <c r="G1771" s="2" t="s">
        <v>458</v>
      </c>
      <c r="H1771" s="2" t="s">
        <v>459</v>
      </c>
      <c r="I1771" s="2" t="n">
        <f aca="false">IF(F1771="Present",9,IF(F1771="Half Day",4,0))</f>
        <v>9</v>
      </c>
      <c r="J1771" s="2"/>
      <c r="K1771" s="2"/>
    </row>
    <row r="1772" customFormat="false" ht="15" hidden="false" customHeight="false" outlineLevel="0" collapsed="false">
      <c r="A1772" s="2" t="s">
        <v>162</v>
      </c>
      <c r="B1772" s="2" t="s">
        <v>163</v>
      </c>
      <c r="C1772" s="2" t="s">
        <v>49</v>
      </c>
      <c r="D1772" s="3" t="n">
        <v>46238</v>
      </c>
      <c r="E1772" s="2" t="str">
        <f aca="false">TEXT(D1772,"dddd")</f>
        <v>Tuesday</v>
      </c>
      <c r="F1772" s="2" t="s">
        <v>457</v>
      </c>
      <c r="G1772" s="2" t="s">
        <v>458</v>
      </c>
      <c r="H1772" s="2" t="s">
        <v>459</v>
      </c>
      <c r="I1772" s="2" t="n">
        <f aca="false">IF(F1772="Present",9,IF(F1772="Half Day",4,0))</f>
        <v>9</v>
      </c>
      <c r="J1772" s="2"/>
      <c r="K1772" s="2"/>
    </row>
    <row r="1773" customFormat="false" ht="15" hidden="false" customHeight="false" outlineLevel="0" collapsed="false">
      <c r="A1773" s="2" t="s">
        <v>162</v>
      </c>
      <c r="B1773" s="2" t="s">
        <v>163</v>
      </c>
      <c r="C1773" s="2" t="s">
        <v>49</v>
      </c>
      <c r="D1773" s="3" t="n">
        <v>46239</v>
      </c>
      <c r="E1773" s="2" t="str">
        <f aca="false">TEXT(D1773,"dddd")</f>
        <v>Wednesday</v>
      </c>
      <c r="F1773" s="2" t="s">
        <v>457</v>
      </c>
      <c r="G1773" s="2" t="s">
        <v>458</v>
      </c>
      <c r="H1773" s="2" t="s">
        <v>459</v>
      </c>
      <c r="I1773" s="2" t="n">
        <f aca="false">IF(F1773="Present",9,IF(F1773="Half Day",4,0))</f>
        <v>9</v>
      </c>
      <c r="J1773" s="2"/>
      <c r="K1773" s="2"/>
    </row>
    <row r="1774" customFormat="false" ht="15" hidden="false" customHeight="false" outlineLevel="0" collapsed="false">
      <c r="A1774" s="2" t="s">
        <v>162</v>
      </c>
      <c r="B1774" s="2" t="s">
        <v>163</v>
      </c>
      <c r="C1774" s="2" t="s">
        <v>49</v>
      </c>
      <c r="D1774" s="3" t="n">
        <v>46240</v>
      </c>
      <c r="E1774" s="2" t="str">
        <f aca="false">TEXT(D1774,"dddd")</f>
        <v>Thursday</v>
      </c>
      <c r="F1774" s="2" t="s">
        <v>457</v>
      </c>
      <c r="G1774" s="2" t="s">
        <v>458</v>
      </c>
      <c r="H1774" s="2" t="s">
        <v>459</v>
      </c>
      <c r="I1774" s="2" t="n">
        <f aca="false">IF(F1774="Present",9,IF(F1774="Half Day",4,0))</f>
        <v>9</v>
      </c>
      <c r="J1774" s="2"/>
      <c r="K1774" s="2"/>
    </row>
    <row r="1775" customFormat="false" ht="15" hidden="false" customHeight="false" outlineLevel="0" collapsed="false">
      <c r="A1775" s="2" t="s">
        <v>162</v>
      </c>
      <c r="B1775" s="2" t="s">
        <v>163</v>
      </c>
      <c r="C1775" s="2" t="s">
        <v>49</v>
      </c>
      <c r="D1775" s="3" t="n">
        <v>46241</v>
      </c>
      <c r="E1775" s="2" t="str">
        <f aca="false">TEXT(D1775,"dddd")</f>
        <v>Friday</v>
      </c>
      <c r="F1775" s="2" t="s">
        <v>457</v>
      </c>
      <c r="G1775" s="2" t="s">
        <v>458</v>
      </c>
      <c r="H1775" s="2" t="s">
        <v>459</v>
      </c>
      <c r="I1775" s="2" t="n">
        <f aca="false">IF(F1775="Present",9,IF(F1775="Half Day",4,0))</f>
        <v>9</v>
      </c>
      <c r="J1775" s="2"/>
      <c r="K1775" s="2"/>
    </row>
    <row r="1776" customFormat="false" ht="15" hidden="false" customHeight="false" outlineLevel="0" collapsed="false">
      <c r="A1776" s="2" t="s">
        <v>162</v>
      </c>
      <c r="B1776" s="2" t="s">
        <v>163</v>
      </c>
      <c r="C1776" s="2" t="s">
        <v>49</v>
      </c>
      <c r="D1776" s="3" t="n">
        <v>46242</v>
      </c>
      <c r="E1776" s="2" t="str">
        <f aca="false">TEXT(D1776,"dddd")</f>
        <v>Saturday</v>
      </c>
      <c r="F1776" s="2" t="s">
        <v>457</v>
      </c>
      <c r="G1776" s="2" t="s">
        <v>458</v>
      </c>
      <c r="H1776" s="2" t="s">
        <v>459</v>
      </c>
      <c r="I1776" s="2" t="n">
        <f aca="false">IF(F1776="Present",9,IF(F1776="Half Day",4,0))</f>
        <v>9</v>
      </c>
      <c r="J1776" s="2"/>
      <c r="K1776" s="2"/>
    </row>
    <row r="1777" customFormat="false" ht="15" hidden="false" customHeight="false" outlineLevel="0" collapsed="false">
      <c r="A1777" s="2" t="s">
        <v>162</v>
      </c>
      <c r="B1777" s="2" t="s">
        <v>163</v>
      </c>
      <c r="C1777" s="2" t="s">
        <v>49</v>
      </c>
      <c r="D1777" s="3" t="n">
        <v>46243</v>
      </c>
      <c r="E1777" s="2" t="str">
        <f aca="false">TEXT(D1777,"dddd")</f>
        <v>Sunday</v>
      </c>
      <c r="F1777" s="2" t="s">
        <v>460</v>
      </c>
      <c r="G1777" s="2"/>
      <c r="H1777" s="2"/>
      <c r="I1777" s="2" t="n">
        <f aca="false">IF(F1777="Present",9,IF(F1777="Half Day",4,0))</f>
        <v>0</v>
      </c>
      <c r="J1777" s="2"/>
      <c r="K1777" s="2" t="s">
        <v>460</v>
      </c>
    </row>
    <row r="1778" customFormat="false" ht="15" hidden="false" customHeight="false" outlineLevel="0" collapsed="false">
      <c r="A1778" s="2" t="s">
        <v>162</v>
      </c>
      <c r="B1778" s="2" t="s">
        <v>163</v>
      </c>
      <c r="C1778" s="2" t="s">
        <v>49</v>
      </c>
      <c r="D1778" s="3" t="n">
        <v>46244</v>
      </c>
      <c r="E1778" s="2" t="str">
        <f aca="false">TEXT(D1778,"dddd")</f>
        <v>Monday</v>
      </c>
      <c r="F1778" s="2" t="s">
        <v>457</v>
      </c>
      <c r="G1778" s="2" t="s">
        <v>458</v>
      </c>
      <c r="H1778" s="2" t="s">
        <v>459</v>
      </c>
      <c r="I1778" s="2" t="n">
        <f aca="false">IF(F1778="Present",9,IF(F1778="Half Day",4,0))</f>
        <v>9</v>
      </c>
      <c r="J1778" s="2"/>
      <c r="K1778" s="2"/>
    </row>
    <row r="1779" customFormat="false" ht="15" hidden="false" customHeight="false" outlineLevel="0" collapsed="false">
      <c r="A1779" s="2" t="s">
        <v>162</v>
      </c>
      <c r="B1779" s="2" t="s">
        <v>163</v>
      </c>
      <c r="C1779" s="2" t="s">
        <v>49</v>
      </c>
      <c r="D1779" s="3" t="n">
        <v>46245</v>
      </c>
      <c r="E1779" s="2" t="str">
        <f aca="false">TEXT(D1779,"dddd")</f>
        <v>Tuesday</v>
      </c>
      <c r="F1779" s="2" t="s">
        <v>457</v>
      </c>
      <c r="G1779" s="2" t="s">
        <v>458</v>
      </c>
      <c r="H1779" s="2" t="s">
        <v>459</v>
      </c>
      <c r="I1779" s="2" t="n">
        <f aca="false">IF(F1779="Present",9,IF(F1779="Half Day",4,0))</f>
        <v>9</v>
      </c>
      <c r="J1779" s="2"/>
      <c r="K1779" s="2"/>
    </row>
    <row r="1780" customFormat="false" ht="15" hidden="false" customHeight="false" outlineLevel="0" collapsed="false">
      <c r="A1780" s="2" t="s">
        <v>162</v>
      </c>
      <c r="B1780" s="2" t="s">
        <v>163</v>
      </c>
      <c r="C1780" s="2" t="s">
        <v>49</v>
      </c>
      <c r="D1780" s="3" t="n">
        <v>46246</v>
      </c>
      <c r="E1780" s="2" t="str">
        <f aca="false">TEXT(D1780,"dddd")</f>
        <v>Wednesday</v>
      </c>
      <c r="F1780" s="2" t="s">
        <v>457</v>
      </c>
      <c r="G1780" s="2" t="s">
        <v>458</v>
      </c>
      <c r="H1780" s="2" t="s">
        <v>459</v>
      </c>
      <c r="I1780" s="2" t="n">
        <f aca="false">IF(F1780="Present",9,IF(F1780="Half Day",4,0))</f>
        <v>9</v>
      </c>
      <c r="J1780" s="2"/>
      <c r="K1780" s="2"/>
    </row>
    <row r="1781" customFormat="false" ht="15" hidden="false" customHeight="false" outlineLevel="0" collapsed="false">
      <c r="A1781" s="2" t="s">
        <v>162</v>
      </c>
      <c r="B1781" s="2" t="s">
        <v>163</v>
      </c>
      <c r="C1781" s="2" t="s">
        <v>49</v>
      </c>
      <c r="D1781" s="3" t="n">
        <v>46247</v>
      </c>
      <c r="E1781" s="2" t="str">
        <f aca="false">TEXT(D1781,"dddd")</f>
        <v>Thursday</v>
      </c>
      <c r="F1781" s="2" t="s">
        <v>461</v>
      </c>
      <c r="G1781" s="2"/>
      <c r="H1781" s="2"/>
      <c r="I1781" s="2" t="n">
        <f aca="false">IF(F1781="Present",9,IF(F1781="Half Day",4,0))</f>
        <v>0</v>
      </c>
      <c r="J1781" s="2"/>
      <c r="K1781" s="2" t="s">
        <v>462</v>
      </c>
    </row>
    <row r="1782" customFormat="false" ht="15" hidden="false" customHeight="false" outlineLevel="0" collapsed="false">
      <c r="A1782" s="2" t="s">
        <v>162</v>
      </c>
      <c r="B1782" s="2" t="s">
        <v>163</v>
      </c>
      <c r="C1782" s="2" t="s">
        <v>49</v>
      </c>
      <c r="D1782" s="3" t="n">
        <v>46248</v>
      </c>
      <c r="E1782" s="2" t="str">
        <f aca="false">TEXT(D1782,"dddd")</f>
        <v>Friday</v>
      </c>
      <c r="F1782" s="2" t="s">
        <v>457</v>
      </c>
      <c r="G1782" s="2" t="s">
        <v>458</v>
      </c>
      <c r="H1782" s="2" t="s">
        <v>459</v>
      </c>
      <c r="I1782" s="2" t="n">
        <f aca="false">IF(F1782="Present",9,IF(F1782="Half Day",4,0))</f>
        <v>9</v>
      </c>
      <c r="J1782" s="2"/>
      <c r="K1782" s="2"/>
    </row>
    <row r="1783" customFormat="false" ht="15" hidden="false" customHeight="false" outlineLevel="0" collapsed="false">
      <c r="A1783" s="2" t="s">
        <v>162</v>
      </c>
      <c r="B1783" s="2" t="s">
        <v>163</v>
      </c>
      <c r="C1783" s="2" t="s">
        <v>49</v>
      </c>
      <c r="D1783" s="3" t="n">
        <v>46249</v>
      </c>
      <c r="E1783" s="2" t="str">
        <f aca="false">TEXT(D1783,"dddd")</f>
        <v>Saturday</v>
      </c>
      <c r="F1783" s="2" t="s">
        <v>457</v>
      </c>
      <c r="G1783" s="2" t="s">
        <v>458</v>
      </c>
      <c r="H1783" s="2" t="s">
        <v>459</v>
      </c>
      <c r="I1783" s="2" t="n">
        <f aca="false">IF(F1783="Present",9,IF(F1783="Half Day",4,0))</f>
        <v>9</v>
      </c>
      <c r="J1783" s="2"/>
      <c r="K1783" s="2"/>
    </row>
    <row r="1784" customFormat="false" ht="15" hidden="false" customHeight="false" outlineLevel="0" collapsed="false">
      <c r="A1784" s="2" t="s">
        <v>162</v>
      </c>
      <c r="B1784" s="2" t="s">
        <v>163</v>
      </c>
      <c r="C1784" s="2" t="s">
        <v>49</v>
      </c>
      <c r="D1784" s="3" t="n">
        <v>46250</v>
      </c>
      <c r="E1784" s="2" t="str">
        <f aca="false">TEXT(D1784,"dddd")</f>
        <v>Sunday</v>
      </c>
      <c r="F1784" s="2" t="s">
        <v>460</v>
      </c>
      <c r="G1784" s="2"/>
      <c r="H1784" s="2"/>
      <c r="I1784" s="2" t="n">
        <f aca="false">IF(F1784="Present",9,IF(F1784="Half Day",4,0))</f>
        <v>0</v>
      </c>
      <c r="J1784" s="2"/>
      <c r="K1784" s="2" t="s">
        <v>460</v>
      </c>
    </row>
    <row r="1785" customFormat="false" ht="15" hidden="false" customHeight="false" outlineLevel="0" collapsed="false">
      <c r="A1785" s="2" t="s">
        <v>162</v>
      </c>
      <c r="B1785" s="2" t="s">
        <v>163</v>
      </c>
      <c r="C1785" s="2" t="s">
        <v>49</v>
      </c>
      <c r="D1785" s="3" t="n">
        <v>46251</v>
      </c>
      <c r="E1785" s="2" t="str">
        <f aca="false">TEXT(D1785,"dddd")</f>
        <v>Monday</v>
      </c>
      <c r="F1785" s="2" t="s">
        <v>457</v>
      </c>
      <c r="G1785" s="2" t="s">
        <v>458</v>
      </c>
      <c r="H1785" s="2" t="s">
        <v>459</v>
      </c>
      <c r="I1785" s="2" t="n">
        <f aca="false">IF(F1785="Present",9,IF(F1785="Half Day",4,0))</f>
        <v>9</v>
      </c>
      <c r="J1785" s="2"/>
      <c r="K1785" s="2"/>
    </row>
    <row r="1786" customFormat="false" ht="15" hidden="false" customHeight="false" outlineLevel="0" collapsed="false">
      <c r="A1786" s="2" t="s">
        <v>162</v>
      </c>
      <c r="B1786" s="2" t="s">
        <v>163</v>
      </c>
      <c r="C1786" s="2" t="s">
        <v>49</v>
      </c>
      <c r="D1786" s="3" t="n">
        <v>46252</v>
      </c>
      <c r="E1786" s="2" t="str">
        <f aca="false">TEXT(D1786,"dddd")</f>
        <v>Tuesday</v>
      </c>
      <c r="F1786" s="2" t="s">
        <v>457</v>
      </c>
      <c r="G1786" s="2" t="s">
        <v>458</v>
      </c>
      <c r="H1786" s="2" t="s">
        <v>459</v>
      </c>
      <c r="I1786" s="2" t="n">
        <f aca="false">IF(F1786="Present",9,IF(F1786="Half Day",4,0))</f>
        <v>9</v>
      </c>
      <c r="J1786" s="2"/>
      <c r="K1786" s="2"/>
    </row>
    <row r="1787" customFormat="false" ht="15" hidden="false" customHeight="false" outlineLevel="0" collapsed="false">
      <c r="A1787" s="2" t="s">
        <v>162</v>
      </c>
      <c r="B1787" s="2" t="s">
        <v>163</v>
      </c>
      <c r="C1787" s="2" t="s">
        <v>49</v>
      </c>
      <c r="D1787" s="3" t="n">
        <v>46253</v>
      </c>
      <c r="E1787" s="2" t="str">
        <f aca="false">TEXT(D1787,"dddd")</f>
        <v>Wednesday</v>
      </c>
      <c r="F1787" s="2" t="s">
        <v>457</v>
      </c>
      <c r="G1787" s="2" t="s">
        <v>458</v>
      </c>
      <c r="H1787" s="2" t="s">
        <v>459</v>
      </c>
      <c r="I1787" s="2" t="n">
        <f aca="false">IF(F1787="Present",9,IF(F1787="Half Day",4,0))</f>
        <v>9</v>
      </c>
      <c r="J1787" s="2"/>
      <c r="K1787" s="2"/>
    </row>
    <row r="1788" customFormat="false" ht="15" hidden="false" customHeight="false" outlineLevel="0" collapsed="false">
      <c r="A1788" s="2" t="s">
        <v>162</v>
      </c>
      <c r="B1788" s="2" t="s">
        <v>163</v>
      </c>
      <c r="C1788" s="2" t="s">
        <v>49</v>
      </c>
      <c r="D1788" s="3" t="n">
        <v>46254</v>
      </c>
      <c r="E1788" s="2" t="str">
        <f aca="false">TEXT(D1788,"dddd")</f>
        <v>Thursday</v>
      </c>
      <c r="F1788" s="2" t="s">
        <v>457</v>
      </c>
      <c r="G1788" s="2" t="s">
        <v>458</v>
      </c>
      <c r="H1788" s="2" t="s">
        <v>459</v>
      </c>
      <c r="I1788" s="2" t="n">
        <f aca="false">IF(F1788="Present",9,IF(F1788="Half Day",4,0))</f>
        <v>9</v>
      </c>
      <c r="J1788" s="2"/>
      <c r="K1788" s="2"/>
    </row>
    <row r="1789" customFormat="false" ht="15" hidden="false" customHeight="false" outlineLevel="0" collapsed="false">
      <c r="A1789" s="2" t="s">
        <v>162</v>
      </c>
      <c r="B1789" s="2" t="s">
        <v>163</v>
      </c>
      <c r="C1789" s="2" t="s">
        <v>49</v>
      </c>
      <c r="D1789" s="3" t="n">
        <v>46255</v>
      </c>
      <c r="E1789" s="2" t="str">
        <f aca="false">TEXT(D1789,"dddd")</f>
        <v>Friday</v>
      </c>
      <c r="F1789" s="2" t="s">
        <v>457</v>
      </c>
      <c r="G1789" s="2" t="s">
        <v>458</v>
      </c>
      <c r="H1789" s="2" t="s">
        <v>459</v>
      </c>
      <c r="I1789" s="2" t="n">
        <f aca="false">IF(F1789="Present",9,IF(F1789="Half Day",4,0))</f>
        <v>9</v>
      </c>
      <c r="J1789" s="2"/>
      <c r="K1789" s="2"/>
    </row>
    <row r="1790" customFormat="false" ht="15" hidden="false" customHeight="false" outlineLevel="0" collapsed="false">
      <c r="A1790" s="2" t="s">
        <v>162</v>
      </c>
      <c r="B1790" s="2" t="s">
        <v>163</v>
      </c>
      <c r="C1790" s="2" t="s">
        <v>49</v>
      </c>
      <c r="D1790" s="3" t="n">
        <v>46256</v>
      </c>
      <c r="E1790" s="2" t="str">
        <f aca="false">TEXT(D1790,"dddd")</f>
        <v>Saturday</v>
      </c>
      <c r="F1790" s="2" t="s">
        <v>457</v>
      </c>
      <c r="G1790" s="2" t="s">
        <v>458</v>
      </c>
      <c r="H1790" s="2" t="s">
        <v>459</v>
      </c>
      <c r="I1790" s="2" t="n">
        <f aca="false">IF(F1790="Present",9,IF(F1790="Half Day",4,0))</f>
        <v>9</v>
      </c>
      <c r="J1790" s="2"/>
      <c r="K1790" s="2"/>
    </row>
    <row r="1791" customFormat="false" ht="15" hidden="false" customHeight="false" outlineLevel="0" collapsed="false">
      <c r="A1791" s="2" t="s">
        <v>162</v>
      </c>
      <c r="B1791" s="2" t="s">
        <v>163</v>
      </c>
      <c r="C1791" s="2" t="s">
        <v>49</v>
      </c>
      <c r="D1791" s="3" t="n">
        <v>46257</v>
      </c>
      <c r="E1791" s="2" t="str">
        <f aca="false">TEXT(D1791,"dddd")</f>
        <v>Sunday</v>
      </c>
      <c r="F1791" s="2" t="s">
        <v>460</v>
      </c>
      <c r="G1791" s="2"/>
      <c r="H1791" s="2"/>
      <c r="I1791" s="2" t="n">
        <f aca="false">IF(F1791="Present",9,IF(F1791="Half Day",4,0))</f>
        <v>0</v>
      </c>
      <c r="J1791" s="2"/>
      <c r="K1791" s="2" t="s">
        <v>460</v>
      </c>
    </row>
    <row r="1792" customFormat="false" ht="15" hidden="false" customHeight="false" outlineLevel="0" collapsed="false">
      <c r="A1792" s="2" t="s">
        <v>162</v>
      </c>
      <c r="B1792" s="2" t="s">
        <v>163</v>
      </c>
      <c r="C1792" s="2" t="s">
        <v>49</v>
      </c>
      <c r="D1792" s="3" t="n">
        <v>46258</v>
      </c>
      <c r="E1792" s="2" t="str">
        <f aca="false">TEXT(D1792,"dddd")</f>
        <v>Monday</v>
      </c>
      <c r="F1792" s="2" t="s">
        <v>457</v>
      </c>
      <c r="G1792" s="2" t="s">
        <v>458</v>
      </c>
      <c r="H1792" s="2" t="s">
        <v>459</v>
      </c>
      <c r="I1792" s="2" t="n">
        <f aca="false">IF(F1792="Present",9,IF(F1792="Half Day",4,0))</f>
        <v>9</v>
      </c>
      <c r="J1792" s="2"/>
      <c r="K1792" s="2"/>
    </row>
    <row r="1793" customFormat="false" ht="15" hidden="false" customHeight="false" outlineLevel="0" collapsed="false">
      <c r="A1793" s="2" t="s">
        <v>162</v>
      </c>
      <c r="B1793" s="2" t="s">
        <v>163</v>
      </c>
      <c r="C1793" s="2" t="s">
        <v>49</v>
      </c>
      <c r="D1793" s="3" t="n">
        <v>46259</v>
      </c>
      <c r="E1793" s="2" t="str">
        <f aca="false">TEXT(D1793,"dddd")</f>
        <v>Tuesday</v>
      </c>
      <c r="F1793" s="2" t="s">
        <v>457</v>
      </c>
      <c r="G1793" s="2" t="s">
        <v>458</v>
      </c>
      <c r="H1793" s="2" t="s">
        <v>459</v>
      </c>
      <c r="I1793" s="2" t="n">
        <f aca="false">IF(F1793="Present",9,IF(F1793="Half Day",4,0))</f>
        <v>9</v>
      </c>
      <c r="J1793" s="2"/>
      <c r="K1793" s="2"/>
    </row>
    <row r="1794" customFormat="false" ht="15" hidden="false" customHeight="false" outlineLevel="0" collapsed="false">
      <c r="A1794" s="2" t="s">
        <v>162</v>
      </c>
      <c r="B1794" s="2" t="s">
        <v>163</v>
      </c>
      <c r="C1794" s="2" t="s">
        <v>49</v>
      </c>
      <c r="D1794" s="3" t="n">
        <v>46260</v>
      </c>
      <c r="E1794" s="2" t="str">
        <f aca="false">TEXT(D1794,"dddd")</f>
        <v>Wednesday</v>
      </c>
      <c r="F1794" s="2" t="s">
        <v>457</v>
      </c>
      <c r="G1794" s="2" t="s">
        <v>458</v>
      </c>
      <c r="H1794" s="2" t="s">
        <v>459</v>
      </c>
      <c r="I1794" s="2" t="n">
        <f aca="false">IF(F1794="Present",9,IF(F1794="Half Day",4,0))</f>
        <v>9</v>
      </c>
      <c r="J1794" s="2"/>
      <c r="K1794" s="2"/>
    </row>
    <row r="1795" customFormat="false" ht="15" hidden="false" customHeight="false" outlineLevel="0" collapsed="false">
      <c r="A1795" s="2" t="s">
        <v>162</v>
      </c>
      <c r="B1795" s="2" t="s">
        <v>163</v>
      </c>
      <c r="C1795" s="2" t="s">
        <v>49</v>
      </c>
      <c r="D1795" s="3" t="n">
        <v>46261</v>
      </c>
      <c r="E1795" s="2" t="str">
        <f aca="false">TEXT(D1795,"dddd")</f>
        <v>Thursday</v>
      </c>
      <c r="F1795" s="2" t="s">
        <v>457</v>
      </c>
      <c r="G1795" s="2" t="s">
        <v>458</v>
      </c>
      <c r="H1795" s="2" t="s">
        <v>459</v>
      </c>
      <c r="I1795" s="2" t="n">
        <f aca="false">IF(F1795="Present",9,IF(F1795="Half Day",4,0))</f>
        <v>9</v>
      </c>
      <c r="J1795" s="2"/>
      <c r="K1795" s="2"/>
    </row>
    <row r="1796" customFormat="false" ht="15" hidden="false" customHeight="false" outlineLevel="0" collapsed="false">
      <c r="A1796" s="2" t="s">
        <v>162</v>
      </c>
      <c r="B1796" s="2" t="s">
        <v>163</v>
      </c>
      <c r="C1796" s="2" t="s">
        <v>49</v>
      </c>
      <c r="D1796" s="3" t="n">
        <v>46262</v>
      </c>
      <c r="E1796" s="2" t="str">
        <f aca="false">TEXT(D1796,"dddd")</f>
        <v>Friday</v>
      </c>
      <c r="F1796" s="2" t="s">
        <v>457</v>
      </c>
      <c r="G1796" s="2" t="s">
        <v>458</v>
      </c>
      <c r="H1796" s="2" t="s">
        <v>459</v>
      </c>
      <c r="I1796" s="2" t="n">
        <f aca="false">IF(F1796="Present",9,IF(F1796="Half Day",4,0))</f>
        <v>9</v>
      </c>
      <c r="J1796" s="2"/>
      <c r="K1796" s="2"/>
    </row>
    <row r="1797" customFormat="false" ht="15" hidden="false" customHeight="false" outlineLevel="0" collapsed="false">
      <c r="A1797" s="2" t="s">
        <v>162</v>
      </c>
      <c r="B1797" s="2" t="s">
        <v>163</v>
      </c>
      <c r="C1797" s="2" t="s">
        <v>49</v>
      </c>
      <c r="D1797" s="3" t="n">
        <v>46263</v>
      </c>
      <c r="E1797" s="2" t="str">
        <f aca="false">TEXT(D1797,"dddd")</f>
        <v>Saturday</v>
      </c>
      <c r="F1797" s="2" t="s">
        <v>457</v>
      </c>
      <c r="G1797" s="2" t="s">
        <v>458</v>
      </c>
      <c r="H1797" s="2" t="s">
        <v>459</v>
      </c>
      <c r="I1797" s="2" t="n">
        <f aca="false">IF(F1797="Present",9,IF(F1797="Half Day",4,0))</f>
        <v>9</v>
      </c>
      <c r="J1797" s="2"/>
      <c r="K1797" s="2"/>
    </row>
    <row r="1798" customFormat="false" ht="15" hidden="false" customHeight="false" outlineLevel="0" collapsed="false">
      <c r="A1798" s="2" t="s">
        <v>162</v>
      </c>
      <c r="B1798" s="2" t="s">
        <v>163</v>
      </c>
      <c r="C1798" s="2" t="s">
        <v>49</v>
      </c>
      <c r="D1798" s="3" t="n">
        <v>46264</v>
      </c>
      <c r="E1798" s="2" t="str">
        <f aca="false">TEXT(D1798,"dddd")</f>
        <v>Sunday</v>
      </c>
      <c r="F1798" s="2" t="s">
        <v>460</v>
      </c>
      <c r="G1798" s="2"/>
      <c r="H1798" s="2"/>
      <c r="I1798" s="2" t="n">
        <f aca="false">IF(F1798="Present",9,IF(F1798="Half Day",4,0))</f>
        <v>0</v>
      </c>
      <c r="J1798" s="2"/>
      <c r="K1798" s="2" t="s">
        <v>460</v>
      </c>
    </row>
    <row r="1799" customFormat="false" ht="15" hidden="false" customHeight="false" outlineLevel="0" collapsed="false">
      <c r="A1799" s="2" t="s">
        <v>162</v>
      </c>
      <c r="B1799" s="2" t="s">
        <v>163</v>
      </c>
      <c r="C1799" s="2" t="s">
        <v>49</v>
      </c>
      <c r="D1799" s="3" t="n">
        <v>46265</v>
      </c>
      <c r="E1799" s="2" t="str">
        <f aca="false">TEXT(D1799,"dddd")</f>
        <v>Monday</v>
      </c>
      <c r="F1799" s="2" t="s">
        <v>457</v>
      </c>
      <c r="G1799" s="2" t="s">
        <v>458</v>
      </c>
      <c r="H1799" s="2" t="s">
        <v>459</v>
      </c>
      <c r="I1799" s="2" t="n">
        <f aca="false">IF(F1799="Present",9,IF(F1799="Half Day",4,0))</f>
        <v>9</v>
      </c>
      <c r="J1799" s="2"/>
      <c r="K1799" s="2"/>
    </row>
    <row r="1800" customFormat="false" ht="15" hidden="false" customHeight="false" outlineLevel="0" collapsed="false">
      <c r="A1800" s="2" t="s">
        <v>164</v>
      </c>
      <c r="B1800" s="2" t="s">
        <v>165</v>
      </c>
      <c r="C1800" s="2" t="s">
        <v>53</v>
      </c>
      <c r="D1800" s="3" t="n">
        <v>46235</v>
      </c>
      <c r="E1800" s="2" t="str">
        <f aca="false">TEXT(D1800,"dddd")</f>
        <v>Saturday</v>
      </c>
      <c r="F1800" s="2" t="s">
        <v>457</v>
      </c>
      <c r="G1800" s="2" t="s">
        <v>458</v>
      </c>
      <c r="H1800" s="2" t="s">
        <v>459</v>
      </c>
      <c r="I1800" s="2" t="n">
        <f aca="false">IF(F1800="Present",9,IF(F1800="Half Day",4,0))</f>
        <v>9</v>
      </c>
      <c r="J1800" s="2"/>
      <c r="K1800" s="2"/>
    </row>
    <row r="1801" customFormat="false" ht="15" hidden="false" customHeight="false" outlineLevel="0" collapsed="false">
      <c r="A1801" s="2" t="s">
        <v>164</v>
      </c>
      <c r="B1801" s="2" t="s">
        <v>165</v>
      </c>
      <c r="C1801" s="2" t="s">
        <v>53</v>
      </c>
      <c r="D1801" s="3" t="n">
        <v>46236</v>
      </c>
      <c r="E1801" s="2" t="str">
        <f aca="false">TEXT(D1801,"dddd")</f>
        <v>Sunday</v>
      </c>
      <c r="F1801" s="2" t="s">
        <v>460</v>
      </c>
      <c r="G1801" s="2"/>
      <c r="H1801" s="2"/>
      <c r="I1801" s="2" t="n">
        <f aca="false">IF(F1801="Present",9,IF(F1801="Half Day",4,0))</f>
        <v>0</v>
      </c>
      <c r="J1801" s="2"/>
      <c r="K1801" s="2" t="s">
        <v>460</v>
      </c>
    </row>
    <row r="1802" customFormat="false" ht="15" hidden="false" customHeight="false" outlineLevel="0" collapsed="false">
      <c r="A1802" s="2" t="s">
        <v>164</v>
      </c>
      <c r="B1802" s="2" t="s">
        <v>165</v>
      </c>
      <c r="C1802" s="2" t="s">
        <v>53</v>
      </c>
      <c r="D1802" s="3" t="n">
        <v>46237</v>
      </c>
      <c r="E1802" s="2" t="str">
        <f aca="false">TEXT(D1802,"dddd")</f>
        <v>Monday</v>
      </c>
      <c r="F1802" s="2" t="s">
        <v>457</v>
      </c>
      <c r="G1802" s="2" t="s">
        <v>458</v>
      </c>
      <c r="H1802" s="2" t="s">
        <v>459</v>
      </c>
      <c r="I1802" s="2" t="n">
        <f aca="false">IF(F1802="Present",9,IF(F1802="Half Day",4,0))</f>
        <v>9</v>
      </c>
      <c r="J1802" s="2"/>
      <c r="K1802" s="2"/>
    </row>
    <row r="1803" customFormat="false" ht="15" hidden="false" customHeight="false" outlineLevel="0" collapsed="false">
      <c r="A1803" s="2" t="s">
        <v>164</v>
      </c>
      <c r="B1803" s="2" t="s">
        <v>165</v>
      </c>
      <c r="C1803" s="2" t="s">
        <v>53</v>
      </c>
      <c r="D1803" s="3" t="n">
        <v>46238</v>
      </c>
      <c r="E1803" s="2" t="str">
        <f aca="false">TEXT(D1803,"dddd")</f>
        <v>Tuesday</v>
      </c>
      <c r="F1803" s="2" t="s">
        <v>457</v>
      </c>
      <c r="G1803" s="2" t="s">
        <v>458</v>
      </c>
      <c r="H1803" s="2" t="s">
        <v>459</v>
      </c>
      <c r="I1803" s="2" t="n">
        <f aca="false">IF(F1803="Present",9,IF(F1803="Half Day",4,0))</f>
        <v>9</v>
      </c>
      <c r="J1803" s="2"/>
      <c r="K1803" s="2"/>
    </row>
    <row r="1804" customFormat="false" ht="15" hidden="false" customHeight="false" outlineLevel="0" collapsed="false">
      <c r="A1804" s="2" t="s">
        <v>164</v>
      </c>
      <c r="B1804" s="2" t="s">
        <v>165</v>
      </c>
      <c r="C1804" s="2" t="s">
        <v>53</v>
      </c>
      <c r="D1804" s="3" t="n">
        <v>46239</v>
      </c>
      <c r="E1804" s="2" t="str">
        <f aca="false">TEXT(D1804,"dddd")</f>
        <v>Wednesday</v>
      </c>
      <c r="F1804" s="2" t="s">
        <v>457</v>
      </c>
      <c r="G1804" s="2" t="s">
        <v>458</v>
      </c>
      <c r="H1804" s="2" t="s">
        <v>459</v>
      </c>
      <c r="I1804" s="2" t="n">
        <f aca="false">IF(F1804="Present",9,IF(F1804="Half Day",4,0))</f>
        <v>9</v>
      </c>
      <c r="J1804" s="2"/>
      <c r="K1804" s="2"/>
    </row>
    <row r="1805" customFormat="false" ht="15" hidden="false" customHeight="false" outlineLevel="0" collapsed="false">
      <c r="A1805" s="2" t="s">
        <v>164</v>
      </c>
      <c r="B1805" s="2" t="s">
        <v>165</v>
      </c>
      <c r="C1805" s="2" t="s">
        <v>53</v>
      </c>
      <c r="D1805" s="3" t="n">
        <v>46240</v>
      </c>
      <c r="E1805" s="2" t="str">
        <f aca="false">TEXT(D1805,"dddd")</f>
        <v>Thursday</v>
      </c>
      <c r="F1805" s="2" t="s">
        <v>457</v>
      </c>
      <c r="G1805" s="2" t="s">
        <v>458</v>
      </c>
      <c r="H1805" s="2" t="s">
        <v>459</v>
      </c>
      <c r="I1805" s="2" t="n">
        <f aca="false">IF(F1805="Present",9,IF(F1805="Half Day",4,0))</f>
        <v>9</v>
      </c>
      <c r="J1805" s="2"/>
      <c r="K1805" s="2"/>
    </row>
    <row r="1806" customFormat="false" ht="15" hidden="false" customHeight="false" outlineLevel="0" collapsed="false">
      <c r="A1806" s="2" t="s">
        <v>164</v>
      </c>
      <c r="B1806" s="2" t="s">
        <v>165</v>
      </c>
      <c r="C1806" s="2" t="s">
        <v>53</v>
      </c>
      <c r="D1806" s="3" t="n">
        <v>46241</v>
      </c>
      <c r="E1806" s="2" t="str">
        <f aca="false">TEXT(D1806,"dddd")</f>
        <v>Friday</v>
      </c>
      <c r="F1806" s="2" t="s">
        <v>457</v>
      </c>
      <c r="G1806" s="2" t="s">
        <v>458</v>
      </c>
      <c r="H1806" s="2" t="s">
        <v>459</v>
      </c>
      <c r="I1806" s="2" t="n">
        <f aca="false">IF(F1806="Present",9,IF(F1806="Half Day",4,0))</f>
        <v>9</v>
      </c>
      <c r="J1806" s="2"/>
      <c r="K1806" s="2"/>
    </row>
    <row r="1807" customFormat="false" ht="15" hidden="false" customHeight="false" outlineLevel="0" collapsed="false">
      <c r="A1807" s="2" t="s">
        <v>164</v>
      </c>
      <c r="B1807" s="2" t="s">
        <v>165</v>
      </c>
      <c r="C1807" s="2" t="s">
        <v>53</v>
      </c>
      <c r="D1807" s="3" t="n">
        <v>46242</v>
      </c>
      <c r="E1807" s="2" t="str">
        <f aca="false">TEXT(D1807,"dddd")</f>
        <v>Saturday</v>
      </c>
      <c r="F1807" s="2" t="s">
        <v>457</v>
      </c>
      <c r="G1807" s="2" t="s">
        <v>458</v>
      </c>
      <c r="H1807" s="2" t="s">
        <v>459</v>
      </c>
      <c r="I1807" s="2" t="n">
        <f aca="false">IF(F1807="Present",9,IF(F1807="Half Day",4,0))</f>
        <v>9</v>
      </c>
      <c r="J1807" s="2"/>
      <c r="K1807" s="2"/>
    </row>
    <row r="1808" customFormat="false" ht="15" hidden="false" customHeight="false" outlineLevel="0" collapsed="false">
      <c r="A1808" s="2" t="s">
        <v>164</v>
      </c>
      <c r="B1808" s="2" t="s">
        <v>165</v>
      </c>
      <c r="C1808" s="2" t="s">
        <v>53</v>
      </c>
      <c r="D1808" s="3" t="n">
        <v>46243</v>
      </c>
      <c r="E1808" s="2" t="str">
        <f aca="false">TEXT(D1808,"dddd")</f>
        <v>Sunday</v>
      </c>
      <c r="F1808" s="2" t="s">
        <v>460</v>
      </c>
      <c r="G1808" s="2"/>
      <c r="H1808" s="2"/>
      <c r="I1808" s="2" t="n">
        <f aca="false">IF(F1808="Present",9,IF(F1808="Half Day",4,0))</f>
        <v>0</v>
      </c>
      <c r="J1808" s="2"/>
      <c r="K1808" s="2" t="s">
        <v>460</v>
      </c>
    </row>
    <row r="1809" customFormat="false" ht="15" hidden="false" customHeight="false" outlineLevel="0" collapsed="false">
      <c r="A1809" s="2" t="s">
        <v>164</v>
      </c>
      <c r="B1809" s="2" t="s">
        <v>165</v>
      </c>
      <c r="C1809" s="2" t="s">
        <v>53</v>
      </c>
      <c r="D1809" s="3" t="n">
        <v>46244</v>
      </c>
      <c r="E1809" s="2" t="str">
        <f aca="false">TEXT(D1809,"dddd")</f>
        <v>Monday</v>
      </c>
      <c r="F1809" s="2" t="s">
        <v>457</v>
      </c>
      <c r="G1809" s="2" t="s">
        <v>458</v>
      </c>
      <c r="H1809" s="2" t="s">
        <v>459</v>
      </c>
      <c r="I1809" s="2" t="n">
        <f aca="false">IF(F1809="Present",9,IF(F1809="Half Day",4,0))</f>
        <v>9</v>
      </c>
      <c r="J1809" s="2"/>
      <c r="K1809" s="2"/>
    </row>
    <row r="1810" customFormat="false" ht="15" hidden="false" customHeight="false" outlineLevel="0" collapsed="false">
      <c r="A1810" s="2" t="s">
        <v>164</v>
      </c>
      <c r="B1810" s="2" t="s">
        <v>165</v>
      </c>
      <c r="C1810" s="2" t="s">
        <v>53</v>
      </c>
      <c r="D1810" s="3" t="n">
        <v>46245</v>
      </c>
      <c r="E1810" s="2" t="str">
        <f aca="false">TEXT(D1810,"dddd")</f>
        <v>Tuesday</v>
      </c>
      <c r="F1810" s="2" t="s">
        <v>457</v>
      </c>
      <c r="G1810" s="2" t="s">
        <v>458</v>
      </c>
      <c r="H1810" s="2" t="s">
        <v>459</v>
      </c>
      <c r="I1810" s="2" t="n">
        <f aca="false">IF(F1810="Present",9,IF(F1810="Half Day",4,0))</f>
        <v>9</v>
      </c>
      <c r="J1810" s="2"/>
      <c r="K1810" s="2"/>
    </row>
    <row r="1811" customFormat="false" ht="15" hidden="false" customHeight="false" outlineLevel="0" collapsed="false">
      <c r="A1811" s="2" t="s">
        <v>164</v>
      </c>
      <c r="B1811" s="2" t="s">
        <v>165</v>
      </c>
      <c r="C1811" s="2" t="s">
        <v>53</v>
      </c>
      <c r="D1811" s="3" t="n">
        <v>46246</v>
      </c>
      <c r="E1811" s="2" t="str">
        <f aca="false">TEXT(D1811,"dddd")</f>
        <v>Wednesday</v>
      </c>
      <c r="F1811" s="2" t="s">
        <v>461</v>
      </c>
      <c r="G1811" s="2"/>
      <c r="H1811" s="2"/>
      <c r="I1811" s="2" t="n">
        <f aca="false">IF(F1811="Present",9,IF(F1811="Half Day",4,0))</f>
        <v>0</v>
      </c>
      <c r="J1811" s="2"/>
      <c r="K1811" s="2" t="s">
        <v>462</v>
      </c>
    </row>
    <row r="1812" customFormat="false" ht="15" hidden="false" customHeight="false" outlineLevel="0" collapsed="false">
      <c r="A1812" s="2" t="s">
        <v>164</v>
      </c>
      <c r="B1812" s="2" t="s">
        <v>165</v>
      </c>
      <c r="C1812" s="2" t="s">
        <v>53</v>
      </c>
      <c r="D1812" s="3" t="n">
        <v>46247</v>
      </c>
      <c r="E1812" s="2" t="str">
        <f aca="false">TEXT(D1812,"dddd")</f>
        <v>Thursday</v>
      </c>
      <c r="F1812" s="2" t="s">
        <v>457</v>
      </c>
      <c r="G1812" s="2" t="s">
        <v>458</v>
      </c>
      <c r="H1812" s="2" t="s">
        <v>459</v>
      </c>
      <c r="I1812" s="2" t="n">
        <f aca="false">IF(F1812="Present",9,IF(F1812="Half Day",4,0))</f>
        <v>9</v>
      </c>
      <c r="J1812" s="2"/>
      <c r="K1812" s="2"/>
    </row>
    <row r="1813" customFormat="false" ht="15" hidden="false" customHeight="false" outlineLevel="0" collapsed="false">
      <c r="A1813" s="2" t="s">
        <v>164</v>
      </c>
      <c r="B1813" s="2" t="s">
        <v>165</v>
      </c>
      <c r="C1813" s="2" t="s">
        <v>53</v>
      </c>
      <c r="D1813" s="3" t="n">
        <v>46248</v>
      </c>
      <c r="E1813" s="2" t="str">
        <f aca="false">TEXT(D1813,"dddd")</f>
        <v>Friday</v>
      </c>
      <c r="F1813" s="2" t="s">
        <v>461</v>
      </c>
      <c r="G1813" s="2"/>
      <c r="H1813" s="2"/>
      <c r="I1813" s="2" t="n">
        <f aca="false">IF(F1813="Present",9,IF(F1813="Half Day",4,0))</f>
        <v>0</v>
      </c>
      <c r="J1813" s="2"/>
      <c r="K1813" s="2" t="s">
        <v>462</v>
      </c>
    </row>
    <row r="1814" customFormat="false" ht="15" hidden="false" customHeight="false" outlineLevel="0" collapsed="false">
      <c r="A1814" s="2" t="s">
        <v>164</v>
      </c>
      <c r="B1814" s="2" t="s">
        <v>165</v>
      </c>
      <c r="C1814" s="2" t="s">
        <v>53</v>
      </c>
      <c r="D1814" s="3" t="n">
        <v>46249</v>
      </c>
      <c r="E1814" s="2" t="str">
        <f aca="false">TEXT(D1814,"dddd")</f>
        <v>Saturday</v>
      </c>
      <c r="F1814" s="2" t="s">
        <v>461</v>
      </c>
      <c r="G1814" s="2"/>
      <c r="H1814" s="2"/>
      <c r="I1814" s="2" t="n">
        <f aca="false">IF(F1814="Present",9,IF(F1814="Half Day",4,0))</f>
        <v>0</v>
      </c>
      <c r="J1814" s="2"/>
      <c r="K1814" s="2" t="s">
        <v>462</v>
      </c>
    </row>
    <row r="1815" customFormat="false" ht="15" hidden="false" customHeight="false" outlineLevel="0" collapsed="false">
      <c r="A1815" s="2" t="s">
        <v>164</v>
      </c>
      <c r="B1815" s="2" t="s">
        <v>165</v>
      </c>
      <c r="C1815" s="2" t="s">
        <v>53</v>
      </c>
      <c r="D1815" s="3" t="n">
        <v>46250</v>
      </c>
      <c r="E1815" s="2" t="str">
        <f aca="false">TEXT(D1815,"dddd")</f>
        <v>Sunday</v>
      </c>
      <c r="F1815" s="2" t="s">
        <v>460</v>
      </c>
      <c r="G1815" s="2"/>
      <c r="H1815" s="2"/>
      <c r="I1815" s="2" t="n">
        <f aca="false">IF(F1815="Present",9,IF(F1815="Half Day",4,0))</f>
        <v>0</v>
      </c>
      <c r="J1815" s="2"/>
      <c r="K1815" s="2" t="s">
        <v>460</v>
      </c>
    </row>
    <row r="1816" customFormat="false" ht="15" hidden="false" customHeight="false" outlineLevel="0" collapsed="false">
      <c r="A1816" s="2" t="s">
        <v>164</v>
      </c>
      <c r="B1816" s="2" t="s">
        <v>165</v>
      </c>
      <c r="C1816" s="2" t="s">
        <v>53</v>
      </c>
      <c r="D1816" s="3" t="n">
        <v>46251</v>
      </c>
      <c r="E1816" s="2" t="str">
        <f aca="false">TEXT(D1816,"dddd")</f>
        <v>Monday</v>
      </c>
      <c r="F1816" s="2" t="s">
        <v>457</v>
      </c>
      <c r="G1816" s="2" t="s">
        <v>458</v>
      </c>
      <c r="H1816" s="2" t="s">
        <v>459</v>
      </c>
      <c r="I1816" s="2" t="n">
        <f aca="false">IF(F1816="Present",9,IF(F1816="Half Day",4,0))</f>
        <v>9</v>
      </c>
      <c r="J1816" s="2"/>
      <c r="K1816" s="2"/>
    </row>
    <row r="1817" customFormat="false" ht="15" hidden="false" customHeight="false" outlineLevel="0" collapsed="false">
      <c r="A1817" s="2" t="s">
        <v>164</v>
      </c>
      <c r="B1817" s="2" t="s">
        <v>165</v>
      </c>
      <c r="C1817" s="2" t="s">
        <v>53</v>
      </c>
      <c r="D1817" s="3" t="n">
        <v>46252</v>
      </c>
      <c r="E1817" s="2" t="str">
        <f aca="false">TEXT(D1817,"dddd")</f>
        <v>Tuesday</v>
      </c>
      <c r="F1817" s="2" t="s">
        <v>463</v>
      </c>
      <c r="G1817" s="2"/>
      <c r="H1817" s="2"/>
      <c r="I1817" s="2" t="n">
        <f aca="false">IF(F1817="Present",9,IF(F1817="Half Day",4,0))</f>
        <v>0</v>
      </c>
      <c r="J1817" s="2" t="s">
        <v>468</v>
      </c>
      <c r="K1817" s="2" t="s">
        <v>469</v>
      </c>
    </row>
    <row r="1818" customFormat="false" ht="15" hidden="false" customHeight="false" outlineLevel="0" collapsed="false">
      <c r="A1818" s="2" t="s">
        <v>164</v>
      </c>
      <c r="B1818" s="2" t="s">
        <v>165</v>
      </c>
      <c r="C1818" s="2" t="s">
        <v>53</v>
      </c>
      <c r="D1818" s="3" t="n">
        <v>46253</v>
      </c>
      <c r="E1818" s="2" t="str">
        <f aca="false">TEXT(D1818,"dddd")</f>
        <v>Wednesday</v>
      </c>
      <c r="F1818" s="2" t="s">
        <v>457</v>
      </c>
      <c r="G1818" s="2" t="s">
        <v>458</v>
      </c>
      <c r="H1818" s="2" t="s">
        <v>459</v>
      </c>
      <c r="I1818" s="2" t="n">
        <f aca="false">IF(F1818="Present",9,IF(F1818="Half Day",4,0))</f>
        <v>9</v>
      </c>
      <c r="J1818" s="2"/>
      <c r="K1818" s="2"/>
    </row>
    <row r="1819" customFormat="false" ht="15" hidden="false" customHeight="false" outlineLevel="0" collapsed="false">
      <c r="A1819" s="2" t="s">
        <v>164</v>
      </c>
      <c r="B1819" s="2" t="s">
        <v>165</v>
      </c>
      <c r="C1819" s="2" t="s">
        <v>53</v>
      </c>
      <c r="D1819" s="3" t="n">
        <v>46254</v>
      </c>
      <c r="E1819" s="2" t="str">
        <f aca="false">TEXT(D1819,"dddd")</f>
        <v>Thursday</v>
      </c>
      <c r="F1819" s="2" t="s">
        <v>457</v>
      </c>
      <c r="G1819" s="2" t="s">
        <v>458</v>
      </c>
      <c r="H1819" s="2" t="s">
        <v>459</v>
      </c>
      <c r="I1819" s="2" t="n">
        <f aca="false">IF(F1819="Present",9,IF(F1819="Half Day",4,0))</f>
        <v>9</v>
      </c>
      <c r="J1819" s="2"/>
      <c r="K1819" s="2"/>
    </row>
    <row r="1820" customFormat="false" ht="15" hidden="false" customHeight="false" outlineLevel="0" collapsed="false">
      <c r="A1820" s="2" t="s">
        <v>164</v>
      </c>
      <c r="B1820" s="2" t="s">
        <v>165</v>
      </c>
      <c r="C1820" s="2" t="s">
        <v>53</v>
      </c>
      <c r="D1820" s="3" t="n">
        <v>46255</v>
      </c>
      <c r="E1820" s="2" t="str">
        <f aca="false">TEXT(D1820,"dddd")</f>
        <v>Friday</v>
      </c>
      <c r="F1820" s="2" t="s">
        <v>457</v>
      </c>
      <c r="G1820" s="2" t="s">
        <v>458</v>
      </c>
      <c r="H1820" s="2" t="s">
        <v>459</v>
      </c>
      <c r="I1820" s="2" t="n">
        <f aca="false">IF(F1820="Present",9,IF(F1820="Half Day",4,0))</f>
        <v>9</v>
      </c>
      <c r="J1820" s="2"/>
      <c r="K1820" s="2"/>
    </row>
    <row r="1821" customFormat="false" ht="15" hidden="false" customHeight="false" outlineLevel="0" collapsed="false">
      <c r="A1821" s="2" t="s">
        <v>164</v>
      </c>
      <c r="B1821" s="2" t="s">
        <v>165</v>
      </c>
      <c r="C1821" s="2" t="s">
        <v>53</v>
      </c>
      <c r="D1821" s="3" t="n">
        <v>46256</v>
      </c>
      <c r="E1821" s="2" t="str">
        <f aca="false">TEXT(D1821,"dddd")</f>
        <v>Saturday</v>
      </c>
      <c r="F1821" s="2" t="s">
        <v>461</v>
      </c>
      <c r="G1821" s="2"/>
      <c r="H1821" s="2"/>
      <c r="I1821" s="2" t="n">
        <f aca="false">IF(F1821="Present",9,IF(F1821="Half Day",4,0))</f>
        <v>0</v>
      </c>
      <c r="J1821" s="2"/>
      <c r="K1821" s="2" t="s">
        <v>462</v>
      </c>
    </row>
    <row r="1822" customFormat="false" ht="15" hidden="false" customHeight="false" outlineLevel="0" collapsed="false">
      <c r="A1822" s="2" t="s">
        <v>164</v>
      </c>
      <c r="B1822" s="2" t="s">
        <v>165</v>
      </c>
      <c r="C1822" s="2" t="s">
        <v>53</v>
      </c>
      <c r="D1822" s="3" t="n">
        <v>46257</v>
      </c>
      <c r="E1822" s="2" t="str">
        <f aca="false">TEXT(D1822,"dddd")</f>
        <v>Sunday</v>
      </c>
      <c r="F1822" s="2" t="s">
        <v>460</v>
      </c>
      <c r="G1822" s="2"/>
      <c r="H1822" s="2"/>
      <c r="I1822" s="2" t="n">
        <f aca="false">IF(F1822="Present",9,IF(F1822="Half Day",4,0))</f>
        <v>0</v>
      </c>
      <c r="J1822" s="2"/>
      <c r="K1822" s="2" t="s">
        <v>460</v>
      </c>
    </row>
    <row r="1823" customFormat="false" ht="15" hidden="false" customHeight="false" outlineLevel="0" collapsed="false">
      <c r="A1823" s="2" t="s">
        <v>164</v>
      </c>
      <c r="B1823" s="2" t="s">
        <v>165</v>
      </c>
      <c r="C1823" s="2" t="s">
        <v>53</v>
      </c>
      <c r="D1823" s="3" t="n">
        <v>46258</v>
      </c>
      <c r="E1823" s="2" t="str">
        <f aca="false">TEXT(D1823,"dddd")</f>
        <v>Monday</v>
      </c>
      <c r="F1823" s="2" t="s">
        <v>457</v>
      </c>
      <c r="G1823" s="2" t="s">
        <v>458</v>
      </c>
      <c r="H1823" s="2" t="s">
        <v>459</v>
      </c>
      <c r="I1823" s="2" t="n">
        <f aca="false">IF(F1823="Present",9,IF(F1823="Half Day",4,0))</f>
        <v>9</v>
      </c>
      <c r="J1823" s="2"/>
      <c r="K1823" s="2"/>
    </row>
    <row r="1824" customFormat="false" ht="15" hidden="false" customHeight="false" outlineLevel="0" collapsed="false">
      <c r="A1824" s="2" t="s">
        <v>164</v>
      </c>
      <c r="B1824" s="2" t="s">
        <v>165</v>
      </c>
      <c r="C1824" s="2" t="s">
        <v>53</v>
      </c>
      <c r="D1824" s="3" t="n">
        <v>46259</v>
      </c>
      <c r="E1824" s="2" t="str">
        <f aca="false">TEXT(D1824,"dddd")</f>
        <v>Tuesday</v>
      </c>
      <c r="F1824" s="2" t="s">
        <v>461</v>
      </c>
      <c r="G1824" s="2"/>
      <c r="H1824" s="2"/>
      <c r="I1824" s="2" t="n">
        <f aca="false">IF(F1824="Present",9,IF(F1824="Half Day",4,0))</f>
        <v>0</v>
      </c>
      <c r="J1824" s="2"/>
      <c r="K1824" s="2" t="s">
        <v>462</v>
      </c>
    </row>
    <row r="1825" customFormat="false" ht="15" hidden="false" customHeight="false" outlineLevel="0" collapsed="false">
      <c r="A1825" s="2" t="s">
        <v>164</v>
      </c>
      <c r="B1825" s="2" t="s">
        <v>165</v>
      </c>
      <c r="C1825" s="2" t="s">
        <v>53</v>
      </c>
      <c r="D1825" s="3" t="n">
        <v>46260</v>
      </c>
      <c r="E1825" s="2" t="str">
        <f aca="false">TEXT(D1825,"dddd")</f>
        <v>Wednesday</v>
      </c>
      <c r="F1825" s="2" t="s">
        <v>457</v>
      </c>
      <c r="G1825" s="2" t="s">
        <v>458</v>
      </c>
      <c r="H1825" s="2" t="s">
        <v>459</v>
      </c>
      <c r="I1825" s="2" t="n">
        <f aca="false">IF(F1825="Present",9,IF(F1825="Half Day",4,0))</f>
        <v>9</v>
      </c>
      <c r="J1825" s="2"/>
      <c r="K1825" s="2"/>
    </row>
    <row r="1826" customFormat="false" ht="15" hidden="false" customHeight="false" outlineLevel="0" collapsed="false">
      <c r="A1826" s="2" t="s">
        <v>164</v>
      </c>
      <c r="B1826" s="2" t="s">
        <v>165</v>
      </c>
      <c r="C1826" s="2" t="s">
        <v>53</v>
      </c>
      <c r="D1826" s="3" t="n">
        <v>46261</v>
      </c>
      <c r="E1826" s="2" t="str">
        <f aca="false">TEXT(D1826,"dddd")</f>
        <v>Thursday</v>
      </c>
      <c r="F1826" s="2" t="s">
        <v>457</v>
      </c>
      <c r="G1826" s="2" t="s">
        <v>458</v>
      </c>
      <c r="H1826" s="2" t="s">
        <v>459</v>
      </c>
      <c r="I1826" s="2" t="n">
        <f aca="false">IF(F1826="Present",9,IF(F1826="Half Day",4,0))</f>
        <v>9</v>
      </c>
      <c r="J1826" s="2"/>
      <c r="K1826" s="2"/>
    </row>
    <row r="1827" customFormat="false" ht="15" hidden="false" customHeight="false" outlineLevel="0" collapsed="false">
      <c r="A1827" s="2" t="s">
        <v>164</v>
      </c>
      <c r="B1827" s="2" t="s">
        <v>165</v>
      </c>
      <c r="C1827" s="2" t="s">
        <v>53</v>
      </c>
      <c r="D1827" s="3" t="n">
        <v>46262</v>
      </c>
      <c r="E1827" s="2" t="str">
        <f aca="false">TEXT(D1827,"dddd")</f>
        <v>Friday</v>
      </c>
      <c r="F1827" s="2" t="s">
        <v>457</v>
      </c>
      <c r="G1827" s="2" t="s">
        <v>458</v>
      </c>
      <c r="H1827" s="2" t="s">
        <v>459</v>
      </c>
      <c r="I1827" s="2" t="n">
        <f aca="false">IF(F1827="Present",9,IF(F1827="Half Day",4,0))</f>
        <v>9</v>
      </c>
      <c r="J1827" s="2"/>
      <c r="K1827" s="2"/>
    </row>
    <row r="1828" customFormat="false" ht="15" hidden="false" customHeight="false" outlineLevel="0" collapsed="false">
      <c r="A1828" s="2" t="s">
        <v>164</v>
      </c>
      <c r="B1828" s="2" t="s">
        <v>165</v>
      </c>
      <c r="C1828" s="2" t="s">
        <v>53</v>
      </c>
      <c r="D1828" s="3" t="n">
        <v>46263</v>
      </c>
      <c r="E1828" s="2" t="str">
        <f aca="false">TEXT(D1828,"dddd")</f>
        <v>Saturday</v>
      </c>
      <c r="F1828" s="2" t="s">
        <v>457</v>
      </c>
      <c r="G1828" s="2" t="s">
        <v>458</v>
      </c>
      <c r="H1828" s="2" t="s">
        <v>459</v>
      </c>
      <c r="I1828" s="2" t="n">
        <f aca="false">IF(F1828="Present",9,IF(F1828="Half Day",4,0))</f>
        <v>9</v>
      </c>
      <c r="J1828" s="2"/>
      <c r="K1828" s="2"/>
    </row>
    <row r="1829" customFormat="false" ht="15" hidden="false" customHeight="false" outlineLevel="0" collapsed="false">
      <c r="A1829" s="2" t="s">
        <v>164</v>
      </c>
      <c r="B1829" s="2" t="s">
        <v>165</v>
      </c>
      <c r="C1829" s="2" t="s">
        <v>53</v>
      </c>
      <c r="D1829" s="3" t="n">
        <v>46264</v>
      </c>
      <c r="E1829" s="2" t="str">
        <f aca="false">TEXT(D1829,"dddd")</f>
        <v>Sunday</v>
      </c>
      <c r="F1829" s="2" t="s">
        <v>460</v>
      </c>
      <c r="G1829" s="2"/>
      <c r="H1829" s="2"/>
      <c r="I1829" s="2" t="n">
        <f aca="false">IF(F1829="Present",9,IF(F1829="Half Day",4,0))</f>
        <v>0</v>
      </c>
      <c r="J1829" s="2"/>
      <c r="K1829" s="2" t="s">
        <v>460</v>
      </c>
    </row>
    <row r="1830" customFormat="false" ht="15" hidden="false" customHeight="false" outlineLevel="0" collapsed="false">
      <c r="A1830" s="2" t="s">
        <v>164</v>
      </c>
      <c r="B1830" s="2" t="s">
        <v>165</v>
      </c>
      <c r="C1830" s="2" t="s">
        <v>53</v>
      </c>
      <c r="D1830" s="3" t="n">
        <v>46265</v>
      </c>
      <c r="E1830" s="2" t="str">
        <f aca="false">TEXT(D1830,"dddd")</f>
        <v>Monday</v>
      </c>
      <c r="F1830" s="2" t="s">
        <v>457</v>
      </c>
      <c r="G1830" s="2" t="s">
        <v>458</v>
      </c>
      <c r="H1830" s="2" t="s">
        <v>459</v>
      </c>
      <c r="I1830" s="2" t="n">
        <f aca="false">IF(F1830="Present",9,IF(F1830="Half Day",4,0))</f>
        <v>9</v>
      </c>
      <c r="J1830" s="2"/>
      <c r="K1830" s="2"/>
    </row>
    <row r="1831" customFormat="false" ht="15" hidden="false" customHeight="false" outlineLevel="0" collapsed="false">
      <c r="A1831" s="2" t="s">
        <v>166</v>
      </c>
      <c r="B1831" s="2" t="s">
        <v>167</v>
      </c>
      <c r="C1831" s="2" t="s">
        <v>57</v>
      </c>
      <c r="D1831" s="3" t="n">
        <v>46235</v>
      </c>
      <c r="E1831" s="2" t="str">
        <f aca="false">TEXT(D1831,"dddd")</f>
        <v>Saturday</v>
      </c>
      <c r="F1831" s="2" t="s">
        <v>463</v>
      </c>
      <c r="G1831" s="2"/>
      <c r="H1831" s="2"/>
      <c r="I1831" s="2" t="n">
        <f aca="false">IF(F1831="Present",9,IF(F1831="Half Day",4,0))</f>
        <v>0</v>
      </c>
      <c r="J1831" s="2" t="s">
        <v>468</v>
      </c>
      <c r="K1831" s="2" t="s">
        <v>469</v>
      </c>
    </row>
    <row r="1832" customFormat="false" ht="15" hidden="false" customHeight="false" outlineLevel="0" collapsed="false">
      <c r="A1832" s="2" t="s">
        <v>166</v>
      </c>
      <c r="B1832" s="2" t="s">
        <v>167</v>
      </c>
      <c r="C1832" s="2" t="s">
        <v>57</v>
      </c>
      <c r="D1832" s="3" t="n">
        <v>46236</v>
      </c>
      <c r="E1832" s="2" t="str">
        <f aca="false">TEXT(D1832,"dddd")</f>
        <v>Sunday</v>
      </c>
      <c r="F1832" s="2" t="s">
        <v>460</v>
      </c>
      <c r="G1832" s="2"/>
      <c r="H1832" s="2"/>
      <c r="I1832" s="2" t="n">
        <f aca="false">IF(F1832="Present",9,IF(F1832="Half Day",4,0))</f>
        <v>0</v>
      </c>
      <c r="J1832" s="2"/>
      <c r="K1832" s="2" t="s">
        <v>460</v>
      </c>
    </row>
    <row r="1833" customFormat="false" ht="15" hidden="false" customHeight="false" outlineLevel="0" collapsed="false">
      <c r="A1833" s="2" t="s">
        <v>166</v>
      </c>
      <c r="B1833" s="2" t="s">
        <v>167</v>
      </c>
      <c r="C1833" s="2" t="s">
        <v>57</v>
      </c>
      <c r="D1833" s="3" t="n">
        <v>46237</v>
      </c>
      <c r="E1833" s="2" t="str">
        <f aca="false">TEXT(D1833,"dddd")</f>
        <v>Monday</v>
      </c>
      <c r="F1833" s="2" t="s">
        <v>461</v>
      </c>
      <c r="G1833" s="2"/>
      <c r="H1833" s="2"/>
      <c r="I1833" s="2" t="n">
        <f aca="false">IF(F1833="Present",9,IF(F1833="Half Day",4,0))</f>
        <v>0</v>
      </c>
      <c r="J1833" s="2"/>
      <c r="K1833" s="2" t="s">
        <v>462</v>
      </c>
    </row>
    <row r="1834" customFormat="false" ht="15" hidden="false" customHeight="false" outlineLevel="0" collapsed="false">
      <c r="A1834" s="2" t="s">
        <v>166</v>
      </c>
      <c r="B1834" s="2" t="s">
        <v>167</v>
      </c>
      <c r="C1834" s="2" t="s">
        <v>57</v>
      </c>
      <c r="D1834" s="3" t="n">
        <v>46238</v>
      </c>
      <c r="E1834" s="2" t="str">
        <f aca="false">TEXT(D1834,"dddd")</f>
        <v>Tuesday</v>
      </c>
      <c r="F1834" s="2" t="s">
        <v>457</v>
      </c>
      <c r="G1834" s="2" t="s">
        <v>458</v>
      </c>
      <c r="H1834" s="2" t="s">
        <v>459</v>
      </c>
      <c r="I1834" s="2" t="n">
        <f aca="false">IF(F1834="Present",9,IF(F1834="Half Day",4,0))</f>
        <v>9</v>
      </c>
      <c r="J1834" s="2"/>
      <c r="K1834" s="2"/>
    </row>
    <row r="1835" customFormat="false" ht="15" hidden="false" customHeight="false" outlineLevel="0" collapsed="false">
      <c r="A1835" s="2" t="s">
        <v>166</v>
      </c>
      <c r="B1835" s="2" t="s">
        <v>167</v>
      </c>
      <c r="C1835" s="2" t="s">
        <v>57</v>
      </c>
      <c r="D1835" s="3" t="n">
        <v>46239</v>
      </c>
      <c r="E1835" s="2" t="str">
        <f aca="false">TEXT(D1835,"dddd")</f>
        <v>Wednesday</v>
      </c>
      <c r="F1835" s="2" t="s">
        <v>457</v>
      </c>
      <c r="G1835" s="2" t="s">
        <v>458</v>
      </c>
      <c r="H1835" s="2" t="s">
        <v>459</v>
      </c>
      <c r="I1835" s="2" t="n">
        <f aca="false">IF(F1835="Present",9,IF(F1835="Half Day",4,0))</f>
        <v>9</v>
      </c>
      <c r="J1835" s="2"/>
      <c r="K1835" s="2"/>
    </row>
    <row r="1836" customFormat="false" ht="15" hidden="false" customHeight="false" outlineLevel="0" collapsed="false">
      <c r="A1836" s="2" t="s">
        <v>166</v>
      </c>
      <c r="B1836" s="2" t="s">
        <v>167</v>
      </c>
      <c r="C1836" s="2" t="s">
        <v>57</v>
      </c>
      <c r="D1836" s="3" t="n">
        <v>46240</v>
      </c>
      <c r="E1836" s="2" t="str">
        <f aca="false">TEXT(D1836,"dddd")</f>
        <v>Thursday</v>
      </c>
      <c r="F1836" s="2" t="s">
        <v>457</v>
      </c>
      <c r="G1836" s="2" t="s">
        <v>458</v>
      </c>
      <c r="H1836" s="2" t="s">
        <v>459</v>
      </c>
      <c r="I1836" s="2" t="n">
        <f aca="false">IF(F1836="Present",9,IF(F1836="Half Day",4,0))</f>
        <v>9</v>
      </c>
      <c r="J1836" s="2"/>
      <c r="K1836" s="2"/>
    </row>
    <row r="1837" customFormat="false" ht="15" hidden="false" customHeight="false" outlineLevel="0" collapsed="false">
      <c r="A1837" s="2" t="s">
        <v>166</v>
      </c>
      <c r="B1837" s="2" t="s">
        <v>167</v>
      </c>
      <c r="C1837" s="2" t="s">
        <v>57</v>
      </c>
      <c r="D1837" s="3" t="n">
        <v>46241</v>
      </c>
      <c r="E1837" s="2" t="str">
        <f aca="false">TEXT(D1837,"dddd")</f>
        <v>Friday</v>
      </c>
      <c r="F1837" s="2" t="s">
        <v>457</v>
      </c>
      <c r="G1837" s="2" t="s">
        <v>458</v>
      </c>
      <c r="H1837" s="2" t="s">
        <v>459</v>
      </c>
      <c r="I1837" s="2" t="n">
        <f aca="false">IF(F1837="Present",9,IF(F1837="Half Day",4,0))</f>
        <v>9</v>
      </c>
      <c r="J1837" s="2"/>
      <c r="K1837" s="2"/>
    </row>
    <row r="1838" customFormat="false" ht="15" hidden="false" customHeight="false" outlineLevel="0" collapsed="false">
      <c r="A1838" s="2" t="s">
        <v>166</v>
      </c>
      <c r="B1838" s="2" t="s">
        <v>167</v>
      </c>
      <c r="C1838" s="2" t="s">
        <v>57</v>
      </c>
      <c r="D1838" s="3" t="n">
        <v>46242</v>
      </c>
      <c r="E1838" s="2" t="str">
        <f aca="false">TEXT(D1838,"dddd")</f>
        <v>Saturday</v>
      </c>
      <c r="F1838" s="2" t="s">
        <v>457</v>
      </c>
      <c r="G1838" s="2" t="s">
        <v>458</v>
      </c>
      <c r="H1838" s="2" t="s">
        <v>459</v>
      </c>
      <c r="I1838" s="2" t="n">
        <f aca="false">IF(F1838="Present",9,IF(F1838="Half Day",4,0))</f>
        <v>9</v>
      </c>
      <c r="J1838" s="2"/>
      <c r="K1838" s="2"/>
    </row>
    <row r="1839" customFormat="false" ht="15" hidden="false" customHeight="false" outlineLevel="0" collapsed="false">
      <c r="A1839" s="2" t="s">
        <v>166</v>
      </c>
      <c r="B1839" s="2" t="s">
        <v>167</v>
      </c>
      <c r="C1839" s="2" t="s">
        <v>57</v>
      </c>
      <c r="D1839" s="3" t="n">
        <v>46243</v>
      </c>
      <c r="E1839" s="2" t="str">
        <f aca="false">TEXT(D1839,"dddd")</f>
        <v>Sunday</v>
      </c>
      <c r="F1839" s="2" t="s">
        <v>460</v>
      </c>
      <c r="G1839" s="2"/>
      <c r="H1839" s="2"/>
      <c r="I1839" s="2" t="n">
        <f aca="false">IF(F1839="Present",9,IF(F1839="Half Day",4,0))</f>
        <v>0</v>
      </c>
      <c r="J1839" s="2"/>
      <c r="K1839" s="2" t="s">
        <v>460</v>
      </c>
    </row>
    <row r="1840" customFormat="false" ht="15" hidden="false" customHeight="false" outlineLevel="0" collapsed="false">
      <c r="A1840" s="2" t="s">
        <v>166</v>
      </c>
      <c r="B1840" s="2" t="s">
        <v>167</v>
      </c>
      <c r="C1840" s="2" t="s">
        <v>57</v>
      </c>
      <c r="D1840" s="3" t="n">
        <v>46244</v>
      </c>
      <c r="E1840" s="2" t="str">
        <f aca="false">TEXT(D1840,"dddd")</f>
        <v>Monday</v>
      </c>
      <c r="F1840" s="2" t="s">
        <v>457</v>
      </c>
      <c r="G1840" s="2" t="s">
        <v>458</v>
      </c>
      <c r="H1840" s="2" t="s">
        <v>459</v>
      </c>
      <c r="I1840" s="2" t="n">
        <f aca="false">IF(F1840="Present",9,IF(F1840="Half Day",4,0))</f>
        <v>9</v>
      </c>
      <c r="J1840" s="2"/>
      <c r="K1840" s="2"/>
    </row>
    <row r="1841" customFormat="false" ht="15" hidden="false" customHeight="false" outlineLevel="0" collapsed="false">
      <c r="A1841" s="2" t="s">
        <v>166</v>
      </c>
      <c r="B1841" s="2" t="s">
        <v>167</v>
      </c>
      <c r="C1841" s="2" t="s">
        <v>57</v>
      </c>
      <c r="D1841" s="3" t="n">
        <v>46245</v>
      </c>
      <c r="E1841" s="2" t="str">
        <f aca="false">TEXT(D1841,"dddd")</f>
        <v>Tuesday</v>
      </c>
      <c r="F1841" s="2" t="s">
        <v>457</v>
      </c>
      <c r="G1841" s="2" t="s">
        <v>458</v>
      </c>
      <c r="H1841" s="2" t="s">
        <v>459</v>
      </c>
      <c r="I1841" s="2" t="n">
        <f aca="false">IF(F1841="Present",9,IF(F1841="Half Day",4,0))</f>
        <v>9</v>
      </c>
      <c r="J1841" s="2"/>
      <c r="K1841" s="2"/>
    </row>
    <row r="1842" customFormat="false" ht="15" hidden="false" customHeight="false" outlineLevel="0" collapsed="false">
      <c r="A1842" s="2" t="s">
        <v>166</v>
      </c>
      <c r="B1842" s="2" t="s">
        <v>167</v>
      </c>
      <c r="C1842" s="2" t="s">
        <v>57</v>
      </c>
      <c r="D1842" s="3" t="n">
        <v>46246</v>
      </c>
      <c r="E1842" s="2" t="str">
        <f aca="false">TEXT(D1842,"dddd")</f>
        <v>Wednesday</v>
      </c>
      <c r="F1842" s="2" t="s">
        <v>457</v>
      </c>
      <c r="G1842" s="2" t="s">
        <v>458</v>
      </c>
      <c r="H1842" s="2" t="s">
        <v>459</v>
      </c>
      <c r="I1842" s="2" t="n">
        <f aca="false">IF(F1842="Present",9,IF(F1842="Half Day",4,0))</f>
        <v>9</v>
      </c>
      <c r="J1842" s="2"/>
      <c r="K1842" s="2"/>
    </row>
    <row r="1843" customFormat="false" ht="15" hidden="false" customHeight="false" outlineLevel="0" collapsed="false">
      <c r="A1843" s="2" t="s">
        <v>166</v>
      </c>
      <c r="B1843" s="2" t="s">
        <v>167</v>
      </c>
      <c r="C1843" s="2" t="s">
        <v>57</v>
      </c>
      <c r="D1843" s="3" t="n">
        <v>46247</v>
      </c>
      <c r="E1843" s="2" t="str">
        <f aca="false">TEXT(D1843,"dddd")</f>
        <v>Thursday</v>
      </c>
      <c r="F1843" s="2" t="s">
        <v>457</v>
      </c>
      <c r="G1843" s="2" t="s">
        <v>458</v>
      </c>
      <c r="H1843" s="2" t="s">
        <v>459</v>
      </c>
      <c r="I1843" s="2" t="n">
        <f aca="false">IF(F1843="Present",9,IF(F1843="Half Day",4,0))</f>
        <v>9</v>
      </c>
      <c r="J1843" s="2"/>
      <c r="K1843" s="2"/>
    </row>
    <row r="1844" customFormat="false" ht="15" hidden="false" customHeight="false" outlineLevel="0" collapsed="false">
      <c r="A1844" s="2" t="s">
        <v>166</v>
      </c>
      <c r="B1844" s="2" t="s">
        <v>167</v>
      </c>
      <c r="C1844" s="2" t="s">
        <v>57</v>
      </c>
      <c r="D1844" s="3" t="n">
        <v>46248</v>
      </c>
      <c r="E1844" s="2" t="str">
        <f aca="false">TEXT(D1844,"dddd")</f>
        <v>Friday</v>
      </c>
      <c r="F1844" s="2" t="s">
        <v>457</v>
      </c>
      <c r="G1844" s="2" t="s">
        <v>458</v>
      </c>
      <c r="H1844" s="2" t="s">
        <v>459</v>
      </c>
      <c r="I1844" s="2" t="n">
        <f aca="false">IF(F1844="Present",9,IF(F1844="Half Day",4,0))</f>
        <v>9</v>
      </c>
      <c r="J1844" s="2"/>
      <c r="K1844" s="2"/>
    </row>
    <row r="1845" customFormat="false" ht="15" hidden="false" customHeight="false" outlineLevel="0" collapsed="false">
      <c r="A1845" s="2" t="s">
        <v>166</v>
      </c>
      <c r="B1845" s="2" t="s">
        <v>167</v>
      </c>
      <c r="C1845" s="2" t="s">
        <v>57</v>
      </c>
      <c r="D1845" s="3" t="n">
        <v>46249</v>
      </c>
      <c r="E1845" s="2" t="str">
        <f aca="false">TEXT(D1845,"dddd")</f>
        <v>Saturday</v>
      </c>
      <c r="F1845" s="2" t="s">
        <v>463</v>
      </c>
      <c r="G1845" s="2"/>
      <c r="H1845" s="2"/>
      <c r="I1845" s="2" t="n">
        <f aca="false">IF(F1845="Present",9,IF(F1845="Half Day",4,0))</f>
        <v>0</v>
      </c>
      <c r="J1845" s="2" t="s">
        <v>468</v>
      </c>
      <c r="K1845" s="2" t="s">
        <v>469</v>
      </c>
    </row>
    <row r="1846" customFormat="false" ht="15" hidden="false" customHeight="false" outlineLevel="0" collapsed="false">
      <c r="A1846" s="2" t="s">
        <v>166</v>
      </c>
      <c r="B1846" s="2" t="s">
        <v>167</v>
      </c>
      <c r="C1846" s="2" t="s">
        <v>57</v>
      </c>
      <c r="D1846" s="3" t="n">
        <v>46250</v>
      </c>
      <c r="E1846" s="2" t="str">
        <f aca="false">TEXT(D1846,"dddd")</f>
        <v>Sunday</v>
      </c>
      <c r="F1846" s="2" t="s">
        <v>460</v>
      </c>
      <c r="G1846" s="2"/>
      <c r="H1846" s="2"/>
      <c r="I1846" s="2" t="n">
        <f aca="false">IF(F1846="Present",9,IF(F1846="Half Day",4,0))</f>
        <v>0</v>
      </c>
      <c r="J1846" s="2"/>
      <c r="K1846" s="2" t="s">
        <v>460</v>
      </c>
    </row>
    <row r="1847" customFormat="false" ht="15" hidden="false" customHeight="false" outlineLevel="0" collapsed="false">
      <c r="A1847" s="2" t="s">
        <v>166</v>
      </c>
      <c r="B1847" s="2" t="s">
        <v>167</v>
      </c>
      <c r="C1847" s="2" t="s">
        <v>57</v>
      </c>
      <c r="D1847" s="3" t="n">
        <v>46251</v>
      </c>
      <c r="E1847" s="2" t="str">
        <f aca="false">TEXT(D1847,"dddd")</f>
        <v>Monday</v>
      </c>
      <c r="F1847" s="2" t="s">
        <v>457</v>
      </c>
      <c r="G1847" s="2" t="s">
        <v>458</v>
      </c>
      <c r="H1847" s="2" t="s">
        <v>459</v>
      </c>
      <c r="I1847" s="2" t="n">
        <f aca="false">IF(F1847="Present",9,IF(F1847="Half Day",4,0))</f>
        <v>9</v>
      </c>
      <c r="J1847" s="2"/>
      <c r="K1847" s="2"/>
    </row>
    <row r="1848" customFormat="false" ht="15" hidden="false" customHeight="false" outlineLevel="0" collapsed="false">
      <c r="A1848" s="2" t="s">
        <v>166</v>
      </c>
      <c r="B1848" s="2" t="s">
        <v>167</v>
      </c>
      <c r="C1848" s="2" t="s">
        <v>57</v>
      </c>
      <c r="D1848" s="3" t="n">
        <v>46252</v>
      </c>
      <c r="E1848" s="2" t="str">
        <f aca="false">TEXT(D1848,"dddd")</f>
        <v>Tuesday</v>
      </c>
      <c r="F1848" s="2" t="s">
        <v>457</v>
      </c>
      <c r="G1848" s="2" t="s">
        <v>458</v>
      </c>
      <c r="H1848" s="2" t="s">
        <v>459</v>
      </c>
      <c r="I1848" s="2" t="n">
        <f aca="false">IF(F1848="Present",9,IF(F1848="Half Day",4,0))</f>
        <v>9</v>
      </c>
      <c r="J1848" s="2"/>
      <c r="K1848" s="2"/>
    </row>
    <row r="1849" customFormat="false" ht="15" hidden="false" customHeight="false" outlineLevel="0" collapsed="false">
      <c r="A1849" s="2" t="s">
        <v>166</v>
      </c>
      <c r="B1849" s="2" t="s">
        <v>167</v>
      </c>
      <c r="C1849" s="2" t="s">
        <v>57</v>
      </c>
      <c r="D1849" s="3" t="n">
        <v>46253</v>
      </c>
      <c r="E1849" s="2" t="str">
        <f aca="false">TEXT(D1849,"dddd")</f>
        <v>Wednesday</v>
      </c>
      <c r="F1849" s="2" t="s">
        <v>457</v>
      </c>
      <c r="G1849" s="2" t="s">
        <v>458</v>
      </c>
      <c r="H1849" s="2" t="s">
        <v>459</v>
      </c>
      <c r="I1849" s="2" t="n">
        <f aca="false">IF(F1849="Present",9,IF(F1849="Half Day",4,0))</f>
        <v>9</v>
      </c>
      <c r="J1849" s="2"/>
      <c r="K1849" s="2"/>
    </row>
    <row r="1850" customFormat="false" ht="15" hidden="false" customHeight="false" outlineLevel="0" collapsed="false">
      <c r="A1850" s="2" t="s">
        <v>166</v>
      </c>
      <c r="B1850" s="2" t="s">
        <v>167</v>
      </c>
      <c r="C1850" s="2" t="s">
        <v>57</v>
      </c>
      <c r="D1850" s="3" t="n">
        <v>46254</v>
      </c>
      <c r="E1850" s="2" t="str">
        <f aca="false">TEXT(D1850,"dddd")</f>
        <v>Thursday</v>
      </c>
      <c r="F1850" s="2" t="s">
        <v>457</v>
      </c>
      <c r="G1850" s="2" t="s">
        <v>458</v>
      </c>
      <c r="H1850" s="2" t="s">
        <v>459</v>
      </c>
      <c r="I1850" s="2" t="n">
        <f aca="false">IF(F1850="Present",9,IF(F1850="Half Day",4,0))</f>
        <v>9</v>
      </c>
      <c r="J1850" s="2"/>
      <c r="K1850" s="2"/>
    </row>
    <row r="1851" customFormat="false" ht="15" hidden="false" customHeight="false" outlineLevel="0" collapsed="false">
      <c r="A1851" s="2" t="s">
        <v>166</v>
      </c>
      <c r="B1851" s="2" t="s">
        <v>167</v>
      </c>
      <c r="C1851" s="2" t="s">
        <v>57</v>
      </c>
      <c r="D1851" s="3" t="n">
        <v>46255</v>
      </c>
      <c r="E1851" s="2" t="str">
        <f aca="false">TEXT(D1851,"dddd")</f>
        <v>Friday</v>
      </c>
      <c r="F1851" s="2" t="s">
        <v>461</v>
      </c>
      <c r="G1851" s="2"/>
      <c r="H1851" s="2"/>
      <c r="I1851" s="2" t="n">
        <f aca="false">IF(F1851="Present",9,IF(F1851="Half Day",4,0))</f>
        <v>0</v>
      </c>
      <c r="J1851" s="2"/>
      <c r="K1851" s="2" t="s">
        <v>462</v>
      </c>
    </row>
    <row r="1852" customFormat="false" ht="15" hidden="false" customHeight="false" outlineLevel="0" collapsed="false">
      <c r="A1852" s="2" t="s">
        <v>166</v>
      </c>
      <c r="B1852" s="2" t="s">
        <v>167</v>
      </c>
      <c r="C1852" s="2" t="s">
        <v>57</v>
      </c>
      <c r="D1852" s="3" t="n">
        <v>46256</v>
      </c>
      <c r="E1852" s="2" t="str">
        <f aca="false">TEXT(D1852,"dddd")</f>
        <v>Saturday</v>
      </c>
      <c r="F1852" s="2" t="s">
        <v>457</v>
      </c>
      <c r="G1852" s="2" t="s">
        <v>458</v>
      </c>
      <c r="H1852" s="2" t="s">
        <v>459</v>
      </c>
      <c r="I1852" s="2" t="n">
        <f aca="false">IF(F1852="Present",9,IF(F1852="Half Day",4,0))</f>
        <v>9</v>
      </c>
      <c r="J1852" s="2"/>
      <c r="K1852" s="2"/>
    </row>
    <row r="1853" customFormat="false" ht="15" hidden="false" customHeight="false" outlineLevel="0" collapsed="false">
      <c r="A1853" s="2" t="s">
        <v>166</v>
      </c>
      <c r="B1853" s="2" t="s">
        <v>167</v>
      </c>
      <c r="C1853" s="2" t="s">
        <v>57</v>
      </c>
      <c r="D1853" s="3" t="n">
        <v>46257</v>
      </c>
      <c r="E1853" s="2" t="str">
        <f aca="false">TEXT(D1853,"dddd")</f>
        <v>Sunday</v>
      </c>
      <c r="F1853" s="2" t="s">
        <v>460</v>
      </c>
      <c r="G1853" s="2"/>
      <c r="H1853" s="2"/>
      <c r="I1853" s="2" t="n">
        <f aca="false">IF(F1853="Present",9,IF(F1853="Half Day",4,0))</f>
        <v>0</v>
      </c>
      <c r="J1853" s="2"/>
      <c r="K1853" s="2" t="s">
        <v>460</v>
      </c>
    </row>
    <row r="1854" customFormat="false" ht="15" hidden="false" customHeight="false" outlineLevel="0" collapsed="false">
      <c r="A1854" s="2" t="s">
        <v>166</v>
      </c>
      <c r="B1854" s="2" t="s">
        <v>167</v>
      </c>
      <c r="C1854" s="2" t="s">
        <v>57</v>
      </c>
      <c r="D1854" s="3" t="n">
        <v>46258</v>
      </c>
      <c r="E1854" s="2" t="str">
        <f aca="false">TEXT(D1854,"dddd")</f>
        <v>Monday</v>
      </c>
      <c r="F1854" s="2" t="s">
        <v>457</v>
      </c>
      <c r="G1854" s="2" t="s">
        <v>458</v>
      </c>
      <c r="H1854" s="2" t="s">
        <v>459</v>
      </c>
      <c r="I1854" s="2" t="n">
        <f aca="false">IF(F1854="Present",9,IF(F1854="Half Day",4,0))</f>
        <v>9</v>
      </c>
      <c r="J1854" s="2"/>
      <c r="K1854" s="2"/>
    </row>
    <row r="1855" customFormat="false" ht="15" hidden="false" customHeight="false" outlineLevel="0" collapsed="false">
      <c r="A1855" s="2" t="s">
        <v>166</v>
      </c>
      <c r="B1855" s="2" t="s">
        <v>167</v>
      </c>
      <c r="C1855" s="2" t="s">
        <v>57</v>
      </c>
      <c r="D1855" s="3" t="n">
        <v>46259</v>
      </c>
      <c r="E1855" s="2" t="str">
        <f aca="false">TEXT(D1855,"dddd")</f>
        <v>Tuesday</v>
      </c>
      <c r="F1855" s="2" t="s">
        <v>457</v>
      </c>
      <c r="G1855" s="2" t="s">
        <v>458</v>
      </c>
      <c r="H1855" s="2" t="s">
        <v>459</v>
      </c>
      <c r="I1855" s="2" t="n">
        <f aca="false">IF(F1855="Present",9,IF(F1855="Half Day",4,0))</f>
        <v>9</v>
      </c>
      <c r="J1855" s="2"/>
      <c r="K1855" s="2"/>
    </row>
    <row r="1856" customFormat="false" ht="15" hidden="false" customHeight="false" outlineLevel="0" collapsed="false">
      <c r="A1856" s="2" t="s">
        <v>166</v>
      </c>
      <c r="B1856" s="2" t="s">
        <v>167</v>
      </c>
      <c r="C1856" s="2" t="s">
        <v>57</v>
      </c>
      <c r="D1856" s="3" t="n">
        <v>46260</v>
      </c>
      <c r="E1856" s="2" t="str">
        <f aca="false">TEXT(D1856,"dddd")</f>
        <v>Wednesday</v>
      </c>
      <c r="F1856" s="2" t="s">
        <v>457</v>
      </c>
      <c r="G1856" s="2" t="s">
        <v>458</v>
      </c>
      <c r="H1856" s="2" t="s">
        <v>459</v>
      </c>
      <c r="I1856" s="2" t="n">
        <f aca="false">IF(F1856="Present",9,IF(F1856="Half Day",4,0))</f>
        <v>9</v>
      </c>
      <c r="J1856" s="2"/>
      <c r="K1856" s="2"/>
    </row>
    <row r="1857" customFormat="false" ht="15" hidden="false" customHeight="false" outlineLevel="0" collapsed="false">
      <c r="A1857" s="2" t="s">
        <v>166</v>
      </c>
      <c r="B1857" s="2" t="s">
        <v>167</v>
      </c>
      <c r="C1857" s="2" t="s">
        <v>57</v>
      </c>
      <c r="D1857" s="3" t="n">
        <v>46261</v>
      </c>
      <c r="E1857" s="2" t="str">
        <f aca="false">TEXT(D1857,"dddd")</f>
        <v>Thursday</v>
      </c>
      <c r="F1857" s="2" t="s">
        <v>457</v>
      </c>
      <c r="G1857" s="2" t="s">
        <v>458</v>
      </c>
      <c r="H1857" s="2" t="s">
        <v>459</v>
      </c>
      <c r="I1857" s="2" t="n">
        <f aca="false">IF(F1857="Present",9,IF(F1857="Half Day",4,0))</f>
        <v>9</v>
      </c>
      <c r="J1857" s="2"/>
      <c r="K1857" s="2"/>
    </row>
    <row r="1858" customFormat="false" ht="15" hidden="false" customHeight="false" outlineLevel="0" collapsed="false">
      <c r="A1858" s="2" t="s">
        <v>166</v>
      </c>
      <c r="B1858" s="2" t="s">
        <v>167</v>
      </c>
      <c r="C1858" s="2" t="s">
        <v>57</v>
      </c>
      <c r="D1858" s="3" t="n">
        <v>46262</v>
      </c>
      <c r="E1858" s="2" t="str">
        <f aca="false">TEXT(D1858,"dddd")</f>
        <v>Friday</v>
      </c>
      <c r="F1858" s="2" t="s">
        <v>457</v>
      </c>
      <c r="G1858" s="2" t="s">
        <v>458</v>
      </c>
      <c r="H1858" s="2" t="s">
        <v>459</v>
      </c>
      <c r="I1858" s="2" t="n">
        <f aca="false">IF(F1858="Present",9,IF(F1858="Half Day",4,0))</f>
        <v>9</v>
      </c>
      <c r="J1858" s="2"/>
      <c r="K1858" s="2"/>
    </row>
    <row r="1859" customFormat="false" ht="15" hidden="false" customHeight="false" outlineLevel="0" collapsed="false">
      <c r="A1859" s="2" t="s">
        <v>166</v>
      </c>
      <c r="B1859" s="2" t="s">
        <v>167</v>
      </c>
      <c r="C1859" s="2" t="s">
        <v>57</v>
      </c>
      <c r="D1859" s="3" t="n">
        <v>46263</v>
      </c>
      <c r="E1859" s="2" t="str">
        <f aca="false">TEXT(D1859,"dddd")</f>
        <v>Saturday</v>
      </c>
      <c r="F1859" s="2" t="s">
        <v>457</v>
      </c>
      <c r="G1859" s="2" t="s">
        <v>458</v>
      </c>
      <c r="H1859" s="2" t="s">
        <v>459</v>
      </c>
      <c r="I1859" s="2" t="n">
        <f aca="false">IF(F1859="Present",9,IF(F1859="Half Day",4,0))</f>
        <v>9</v>
      </c>
      <c r="J1859" s="2"/>
      <c r="K1859" s="2"/>
    </row>
    <row r="1860" customFormat="false" ht="15" hidden="false" customHeight="false" outlineLevel="0" collapsed="false">
      <c r="A1860" s="2" t="s">
        <v>166</v>
      </c>
      <c r="B1860" s="2" t="s">
        <v>167</v>
      </c>
      <c r="C1860" s="2" t="s">
        <v>57</v>
      </c>
      <c r="D1860" s="3" t="n">
        <v>46264</v>
      </c>
      <c r="E1860" s="2" t="str">
        <f aca="false">TEXT(D1860,"dddd")</f>
        <v>Sunday</v>
      </c>
      <c r="F1860" s="2" t="s">
        <v>460</v>
      </c>
      <c r="G1860" s="2"/>
      <c r="H1860" s="2"/>
      <c r="I1860" s="2" t="n">
        <f aca="false">IF(F1860="Present",9,IF(F1860="Half Day",4,0))</f>
        <v>0</v>
      </c>
      <c r="J1860" s="2"/>
      <c r="K1860" s="2" t="s">
        <v>460</v>
      </c>
    </row>
    <row r="1861" customFormat="false" ht="15" hidden="false" customHeight="false" outlineLevel="0" collapsed="false">
      <c r="A1861" s="2" t="s">
        <v>166</v>
      </c>
      <c r="B1861" s="2" t="s">
        <v>167</v>
      </c>
      <c r="C1861" s="2" t="s">
        <v>57</v>
      </c>
      <c r="D1861" s="3" t="n">
        <v>46265</v>
      </c>
      <c r="E1861" s="2" t="str">
        <f aca="false">TEXT(D1861,"dddd")</f>
        <v>Monday</v>
      </c>
      <c r="F1861" s="2" t="s">
        <v>457</v>
      </c>
      <c r="G1861" s="2" t="s">
        <v>458</v>
      </c>
      <c r="H1861" s="2" t="s">
        <v>459</v>
      </c>
      <c r="I1861" s="2" t="n">
        <f aca="false">IF(F1861="Present",9,IF(F1861="Half Day",4,0))</f>
        <v>9</v>
      </c>
      <c r="J1861" s="2"/>
      <c r="K1861" s="2"/>
    </row>
    <row r="1862" customFormat="false" ht="15" hidden="false" customHeight="false" outlineLevel="0" collapsed="false">
      <c r="A1862" s="2" t="s">
        <v>168</v>
      </c>
      <c r="B1862" s="2" t="s">
        <v>169</v>
      </c>
      <c r="C1862" s="2" t="s">
        <v>17</v>
      </c>
      <c r="D1862" s="3" t="n">
        <v>46235</v>
      </c>
      <c r="E1862" s="2" t="str">
        <f aca="false">TEXT(D1862,"dddd")</f>
        <v>Saturday</v>
      </c>
      <c r="F1862" s="2" t="s">
        <v>461</v>
      </c>
      <c r="G1862" s="2"/>
      <c r="H1862" s="2"/>
      <c r="I1862" s="2" t="n">
        <f aca="false">IF(F1862="Present",9,IF(F1862="Half Day",4,0))</f>
        <v>0</v>
      </c>
      <c r="J1862" s="2"/>
      <c r="K1862" s="2" t="s">
        <v>462</v>
      </c>
    </row>
    <row r="1863" customFormat="false" ht="15" hidden="false" customHeight="false" outlineLevel="0" collapsed="false">
      <c r="A1863" s="2" t="s">
        <v>168</v>
      </c>
      <c r="B1863" s="2" t="s">
        <v>169</v>
      </c>
      <c r="C1863" s="2" t="s">
        <v>17</v>
      </c>
      <c r="D1863" s="3" t="n">
        <v>46236</v>
      </c>
      <c r="E1863" s="2" t="str">
        <f aca="false">TEXT(D1863,"dddd")</f>
        <v>Sunday</v>
      </c>
      <c r="F1863" s="2" t="s">
        <v>460</v>
      </c>
      <c r="G1863" s="2"/>
      <c r="H1863" s="2"/>
      <c r="I1863" s="2" t="n">
        <f aca="false">IF(F1863="Present",9,IF(F1863="Half Day",4,0))</f>
        <v>0</v>
      </c>
      <c r="J1863" s="2"/>
      <c r="K1863" s="2" t="s">
        <v>460</v>
      </c>
    </row>
    <row r="1864" customFormat="false" ht="15" hidden="false" customHeight="false" outlineLevel="0" collapsed="false">
      <c r="A1864" s="2" t="s">
        <v>168</v>
      </c>
      <c r="B1864" s="2" t="s">
        <v>169</v>
      </c>
      <c r="C1864" s="2" t="s">
        <v>17</v>
      </c>
      <c r="D1864" s="3" t="n">
        <v>46237</v>
      </c>
      <c r="E1864" s="2" t="str">
        <f aca="false">TEXT(D1864,"dddd")</f>
        <v>Monday</v>
      </c>
      <c r="F1864" s="2" t="s">
        <v>457</v>
      </c>
      <c r="G1864" s="2" t="s">
        <v>458</v>
      </c>
      <c r="H1864" s="2" t="s">
        <v>459</v>
      </c>
      <c r="I1864" s="2" t="n">
        <f aca="false">IF(F1864="Present",9,IF(F1864="Half Day",4,0))</f>
        <v>9</v>
      </c>
      <c r="J1864" s="2"/>
      <c r="K1864" s="2"/>
    </row>
    <row r="1865" customFormat="false" ht="15" hidden="false" customHeight="false" outlineLevel="0" collapsed="false">
      <c r="A1865" s="2" t="s">
        <v>168</v>
      </c>
      <c r="B1865" s="2" t="s">
        <v>169</v>
      </c>
      <c r="C1865" s="2" t="s">
        <v>17</v>
      </c>
      <c r="D1865" s="3" t="n">
        <v>46238</v>
      </c>
      <c r="E1865" s="2" t="str">
        <f aca="false">TEXT(D1865,"dddd")</f>
        <v>Tuesday</v>
      </c>
      <c r="F1865" s="2" t="s">
        <v>457</v>
      </c>
      <c r="G1865" s="2" t="s">
        <v>458</v>
      </c>
      <c r="H1865" s="2" t="s">
        <v>459</v>
      </c>
      <c r="I1865" s="2" t="n">
        <f aca="false">IF(F1865="Present",9,IF(F1865="Half Day",4,0))</f>
        <v>9</v>
      </c>
      <c r="J1865" s="2"/>
      <c r="K1865" s="2"/>
    </row>
    <row r="1866" customFormat="false" ht="15" hidden="false" customHeight="false" outlineLevel="0" collapsed="false">
      <c r="A1866" s="2" t="s">
        <v>168</v>
      </c>
      <c r="B1866" s="2" t="s">
        <v>169</v>
      </c>
      <c r="C1866" s="2" t="s">
        <v>17</v>
      </c>
      <c r="D1866" s="3" t="n">
        <v>46239</v>
      </c>
      <c r="E1866" s="2" t="str">
        <f aca="false">TEXT(D1866,"dddd")</f>
        <v>Wednesday</v>
      </c>
      <c r="F1866" s="2" t="s">
        <v>457</v>
      </c>
      <c r="G1866" s="2" t="s">
        <v>458</v>
      </c>
      <c r="H1866" s="2" t="s">
        <v>459</v>
      </c>
      <c r="I1866" s="2" t="n">
        <f aca="false">IF(F1866="Present",9,IF(F1866="Half Day",4,0))</f>
        <v>9</v>
      </c>
      <c r="J1866" s="2"/>
      <c r="K1866" s="2"/>
    </row>
    <row r="1867" customFormat="false" ht="15" hidden="false" customHeight="false" outlineLevel="0" collapsed="false">
      <c r="A1867" s="2" t="s">
        <v>168</v>
      </c>
      <c r="B1867" s="2" t="s">
        <v>169</v>
      </c>
      <c r="C1867" s="2" t="s">
        <v>17</v>
      </c>
      <c r="D1867" s="3" t="n">
        <v>46240</v>
      </c>
      <c r="E1867" s="2" t="str">
        <f aca="false">TEXT(D1867,"dddd")</f>
        <v>Thursday</v>
      </c>
      <c r="F1867" s="2" t="s">
        <v>457</v>
      </c>
      <c r="G1867" s="2" t="s">
        <v>458</v>
      </c>
      <c r="H1867" s="2" t="s">
        <v>459</v>
      </c>
      <c r="I1867" s="2" t="n">
        <f aca="false">IF(F1867="Present",9,IF(F1867="Half Day",4,0))</f>
        <v>9</v>
      </c>
      <c r="J1867" s="2"/>
      <c r="K1867" s="2"/>
    </row>
    <row r="1868" customFormat="false" ht="15" hidden="false" customHeight="false" outlineLevel="0" collapsed="false">
      <c r="A1868" s="2" t="s">
        <v>168</v>
      </c>
      <c r="B1868" s="2" t="s">
        <v>169</v>
      </c>
      <c r="C1868" s="2" t="s">
        <v>17</v>
      </c>
      <c r="D1868" s="3" t="n">
        <v>46241</v>
      </c>
      <c r="E1868" s="2" t="str">
        <f aca="false">TEXT(D1868,"dddd")</f>
        <v>Friday</v>
      </c>
      <c r="F1868" s="2" t="s">
        <v>461</v>
      </c>
      <c r="G1868" s="2"/>
      <c r="H1868" s="2"/>
      <c r="I1868" s="2" t="n">
        <f aca="false">IF(F1868="Present",9,IF(F1868="Half Day",4,0))</f>
        <v>0</v>
      </c>
      <c r="J1868" s="2"/>
      <c r="K1868" s="2" t="s">
        <v>462</v>
      </c>
    </row>
    <row r="1869" customFormat="false" ht="15" hidden="false" customHeight="false" outlineLevel="0" collapsed="false">
      <c r="A1869" s="2" t="s">
        <v>168</v>
      </c>
      <c r="B1869" s="2" t="s">
        <v>169</v>
      </c>
      <c r="C1869" s="2" t="s">
        <v>17</v>
      </c>
      <c r="D1869" s="3" t="n">
        <v>46242</v>
      </c>
      <c r="E1869" s="2" t="str">
        <f aca="false">TEXT(D1869,"dddd")</f>
        <v>Saturday</v>
      </c>
      <c r="F1869" s="2" t="s">
        <v>461</v>
      </c>
      <c r="G1869" s="2"/>
      <c r="H1869" s="2"/>
      <c r="I1869" s="2" t="n">
        <f aca="false">IF(F1869="Present",9,IF(F1869="Half Day",4,0))</f>
        <v>0</v>
      </c>
      <c r="J1869" s="2"/>
      <c r="K1869" s="2" t="s">
        <v>462</v>
      </c>
    </row>
    <row r="1870" customFormat="false" ht="15" hidden="false" customHeight="false" outlineLevel="0" collapsed="false">
      <c r="A1870" s="2" t="s">
        <v>168</v>
      </c>
      <c r="B1870" s="2" t="s">
        <v>169</v>
      </c>
      <c r="C1870" s="2" t="s">
        <v>17</v>
      </c>
      <c r="D1870" s="3" t="n">
        <v>46243</v>
      </c>
      <c r="E1870" s="2" t="str">
        <f aca="false">TEXT(D1870,"dddd")</f>
        <v>Sunday</v>
      </c>
      <c r="F1870" s="2" t="s">
        <v>460</v>
      </c>
      <c r="G1870" s="2"/>
      <c r="H1870" s="2"/>
      <c r="I1870" s="2" t="n">
        <f aca="false">IF(F1870="Present",9,IF(F1870="Half Day",4,0))</f>
        <v>0</v>
      </c>
      <c r="J1870" s="2"/>
      <c r="K1870" s="2" t="s">
        <v>460</v>
      </c>
    </row>
    <row r="1871" customFormat="false" ht="15" hidden="false" customHeight="false" outlineLevel="0" collapsed="false">
      <c r="A1871" s="2" t="s">
        <v>168</v>
      </c>
      <c r="B1871" s="2" t="s">
        <v>169</v>
      </c>
      <c r="C1871" s="2" t="s">
        <v>17</v>
      </c>
      <c r="D1871" s="3" t="n">
        <v>46244</v>
      </c>
      <c r="E1871" s="2" t="str">
        <f aca="false">TEXT(D1871,"dddd")</f>
        <v>Monday</v>
      </c>
      <c r="F1871" s="2" t="s">
        <v>461</v>
      </c>
      <c r="G1871" s="2"/>
      <c r="H1871" s="2"/>
      <c r="I1871" s="2" t="n">
        <f aca="false">IF(F1871="Present",9,IF(F1871="Half Day",4,0))</f>
        <v>0</v>
      </c>
      <c r="J1871" s="2"/>
      <c r="K1871" s="2" t="s">
        <v>462</v>
      </c>
    </row>
    <row r="1872" customFormat="false" ht="15" hidden="false" customHeight="false" outlineLevel="0" collapsed="false">
      <c r="A1872" s="2" t="s">
        <v>168</v>
      </c>
      <c r="B1872" s="2" t="s">
        <v>169</v>
      </c>
      <c r="C1872" s="2" t="s">
        <v>17</v>
      </c>
      <c r="D1872" s="3" t="n">
        <v>46245</v>
      </c>
      <c r="E1872" s="2" t="str">
        <f aca="false">TEXT(D1872,"dddd")</f>
        <v>Tuesday</v>
      </c>
      <c r="F1872" s="2" t="s">
        <v>461</v>
      </c>
      <c r="G1872" s="2"/>
      <c r="H1872" s="2"/>
      <c r="I1872" s="2" t="n">
        <f aca="false">IF(F1872="Present",9,IF(F1872="Half Day",4,0))</f>
        <v>0</v>
      </c>
      <c r="J1872" s="2"/>
      <c r="K1872" s="2" t="s">
        <v>462</v>
      </c>
    </row>
    <row r="1873" customFormat="false" ht="15" hidden="false" customHeight="false" outlineLevel="0" collapsed="false">
      <c r="A1873" s="2" t="s">
        <v>168</v>
      </c>
      <c r="B1873" s="2" t="s">
        <v>169</v>
      </c>
      <c r="C1873" s="2" t="s">
        <v>17</v>
      </c>
      <c r="D1873" s="3" t="n">
        <v>46246</v>
      </c>
      <c r="E1873" s="2" t="str">
        <f aca="false">TEXT(D1873,"dddd")</f>
        <v>Wednesday</v>
      </c>
      <c r="F1873" s="2" t="s">
        <v>457</v>
      </c>
      <c r="G1873" s="2" t="s">
        <v>458</v>
      </c>
      <c r="H1873" s="2" t="s">
        <v>459</v>
      </c>
      <c r="I1873" s="2" t="n">
        <f aca="false">IF(F1873="Present",9,IF(F1873="Half Day",4,0))</f>
        <v>9</v>
      </c>
      <c r="J1873" s="2"/>
      <c r="K1873" s="2"/>
    </row>
    <row r="1874" customFormat="false" ht="15" hidden="false" customHeight="false" outlineLevel="0" collapsed="false">
      <c r="A1874" s="2" t="s">
        <v>168</v>
      </c>
      <c r="B1874" s="2" t="s">
        <v>169</v>
      </c>
      <c r="C1874" s="2" t="s">
        <v>17</v>
      </c>
      <c r="D1874" s="3" t="n">
        <v>46247</v>
      </c>
      <c r="E1874" s="2" t="str">
        <f aca="false">TEXT(D1874,"dddd")</f>
        <v>Thursday</v>
      </c>
      <c r="F1874" s="2" t="s">
        <v>461</v>
      </c>
      <c r="G1874" s="2"/>
      <c r="H1874" s="2"/>
      <c r="I1874" s="2" t="n">
        <f aca="false">IF(F1874="Present",9,IF(F1874="Half Day",4,0))</f>
        <v>0</v>
      </c>
      <c r="J1874" s="2"/>
      <c r="K1874" s="2" t="s">
        <v>462</v>
      </c>
    </row>
    <row r="1875" customFormat="false" ht="15" hidden="false" customHeight="false" outlineLevel="0" collapsed="false">
      <c r="A1875" s="2" t="s">
        <v>168</v>
      </c>
      <c r="B1875" s="2" t="s">
        <v>169</v>
      </c>
      <c r="C1875" s="2" t="s">
        <v>17</v>
      </c>
      <c r="D1875" s="3" t="n">
        <v>46248</v>
      </c>
      <c r="E1875" s="2" t="str">
        <f aca="false">TEXT(D1875,"dddd")</f>
        <v>Friday</v>
      </c>
      <c r="F1875" s="2" t="s">
        <v>457</v>
      </c>
      <c r="G1875" s="2" t="s">
        <v>458</v>
      </c>
      <c r="H1875" s="2" t="s">
        <v>459</v>
      </c>
      <c r="I1875" s="2" t="n">
        <f aca="false">IF(F1875="Present",9,IF(F1875="Half Day",4,0))</f>
        <v>9</v>
      </c>
      <c r="J1875" s="2"/>
      <c r="K1875" s="2"/>
    </row>
    <row r="1876" customFormat="false" ht="15" hidden="false" customHeight="false" outlineLevel="0" collapsed="false">
      <c r="A1876" s="2" t="s">
        <v>168</v>
      </c>
      <c r="B1876" s="2" t="s">
        <v>169</v>
      </c>
      <c r="C1876" s="2" t="s">
        <v>17</v>
      </c>
      <c r="D1876" s="3" t="n">
        <v>46249</v>
      </c>
      <c r="E1876" s="2" t="str">
        <f aca="false">TEXT(D1876,"dddd")</f>
        <v>Saturday</v>
      </c>
      <c r="F1876" s="2" t="s">
        <v>457</v>
      </c>
      <c r="G1876" s="2" t="s">
        <v>458</v>
      </c>
      <c r="H1876" s="2" t="s">
        <v>459</v>
      </c>
      <c r="I1876" s="2" t="n">
        <f aca="false">IF(F1876="Present",9,IF(F1876="Half Day",4,0))</f>
        <v>9</v>
      </c>
      <c r="J1876" s="2"/>
      <c r="K1876" s="2"/>
    </row>
    <row r="1877" customFormat="false" ht="15" hidden="false" customHeight="false" outlineLevel="0" collapsed="false">
      <c r="A1877" s="2" t="s">
        <v>168</v>
      </c>
      <c r="B1877" s="2" t="s">
        <v>169</v>
      </c>
      <c r="C1877" s="2" t="s">
        <v>17</v>
      </c>
      <c r="D1877" s="3" t="n">
        <v>46250</v>
      </c>
      <c r="E1877" s="2" t="str">
        <f aca="false">TEXT(D1877,"dddd")</f>
        <v>Sunday</v>
      </c>
      <c r="F1877" s="2" t="s">
        <v>460</v>
      </c>
      <c r="G1877" s="2"/>
      <c r="H1877" s="2"/>
      <c r="I1877" s="2" t="n">
        <f aca="false">IF(F1877="Present",9,IF(F1877="Half Day",4,0))</f>
        <v>0</v>
      </c>
      <c r="J1877" s="2"/>
      <c r="K1877" s="2" t="s">
        <v>460</v>
      </c>
    </row>
    <row r="1878" customFormat="false" ht="15" hidden="false" customHeight="false" outlineLevel="0" collapsed="false">
      <c r="A1878" s="2" t="s">
        <v>168</v>
      </c>
      <c r="B1878" s="2" t="s">
        <v>169</v>
      </c>
      <c r="C1878" s="2" t="s">
        <v>17</v>
      </c>
      <c r="D1878" s="3" t="n">
        <v>46251</v>
      </c>
      <c r="E1878" s="2" t="str">
        <f aca="false">TEXT(D1878,"dddd")</f>
        <v>Monday</v>
      </c>
      <c r="F1878" s="2" t="s">
        <v>457</v>
      </c>
      <c r="G1878" s="2" t="s">
        <v>458</v>
      </c>
      <c r="H1878" s="2" t="s">
        <v>459</v>
      </c>
      <c r="I1878" s="2" t="n">
        <f aca="false">IF(F1878="Present",9,IF(F1878="Half Day",4,0))</f>
        <v>9</v>
      </c>
      <c r="J1878" s="2"/>
      <c r="K1878" s="2"/>
    </row>
    <row r="1879" customFormat="false" ht="15" hidden="false" customHeight="false" outlineLevel="0" collapsed="false">
      <c r="A1879" s="2" t="s">
        <v>168</v>
      </c>
      <c r="B1879" s="2" t="s">
        <v>169</v>
      </c>
      <c r="C1879" s="2" t="s">
        <v>17</v>
      </c>
      <c r="D1879" s="3" t="n">
        <v>46252</v>
      </c>
      <c r="E1879" s="2" t="str">
        <f aca="false">TEXT(D1879,"dddd")</f>
        <v>Tuesday</v>
      </c>
      <c r="F1879" s="2" t="s">
        <v>457</v>
      </c>
      <c r="G1879" s="2" t="s">
        <v>458</v>
      </c>
      <c r="H1879" s="2" t="s">
        <v>459</v>
      </c>
      <c r="I1879" s="2" t="n">
        <f aca="false">IF(F1879="Present",9,IF(F1879="Half Day",4,0))</f>
        <v>9</v>
      </c>
      <c r="J1879" s="2"/>
      <c r="K1879" s="2"/>
    </row>
    <row r="1880" customFormat="false" ht="15" hidden="false" customHeight="false" outlineLevel="0" collapsed="false">
      <c r="A1880" s="2" t="s">
        <v>168</v>
      </c>
      <c r="B1880" s="2" t="s">
        <v>169</v>
      </c>
      <c r="C1880" s="2" t="s">
        <v>17</v>
      </c>
      <c r="D1880" s="3" t="n">
        <v>46253</v>
      </c>
      <c r="E1880" s="2" t="str">
        <f aca="false">TEXT(D1880,"dddd")</f>
        <v>Wednesday</v>
      </c>
      <c r="F1880" s="2" t="s">
        <v>457</v>
      </c>
      <c r="G1880" s="2" t="s">
        <v>458</v>
      </c>
      <c r="H1880" s="2" t="s">
        <v>459</v>
      </c>
      <c r="I1880" s="2" t="n">
        <f aca="false">IF(F1880="Present",9,IF(F1880="Half Day",4,0))</f>
        <v>9</v>
      </c>
      <c r="J1880" s="2"/>
      <c r="K1880" s="2"/>
    </row>
    <row r="1881" customFormat="false" ht="15" hidden="false" customHeight="false" outlineLevel="0" collapsed="false">
      <c r="A1881" s="2" t="s">
        <v>168</v>
      </c>
      <c r="B1881" s="2" t="s">
        <v>169</v>
      </c>
      <c r="C1881" s="2" t="s">
        <v>17</v>
      </c>
      <c r="D1881" s="3" t="n">
        <v>46254</v>
      </c>
      <c r="E1881" s="2" t="str">
        <f aca="false">TEXT(D1881,"dddd")</f>
        <v>Thursday</v>
      </c>
      <c r="F1881" s="2" t="s">
        <v>463</v>
      </c>
      <c r="G1881" s="2"/>
      <c r="H1881" s="2"/>
      <c r="I1881" s="2" t="n">
        <f aca="false">IF(F1881="Present",9,IF(F1881="Half Day",4,0))</f>
        <v>0</v>
      </c>
      <c r="J1881" s="2" t="s">
        <v>474</v>
      </c>
      <c r="K1881" s="2" t="s">
        <v>475</v>
      </c>
    </row>
    <row r="1882" customFormat="false" ht="15" hidden="false" customHeight="false" outlineLevel="0" collapsed="false">
      <c r="A1882" s="2" t="s">
        <v>168</v>
      </c>
      <c r="B1882" s="2" t="s">
        <v>169</v>
      </c>
      <c r="C1882" s="2" t="s">
        <v>17</v>
      </c>
      <c r="D1882" s="3" t="n">
        <v>46255</v>
      </c>
      <c r="E1882" s="2" t="str">
        <f aca="false">TEXT(D1882,"dddd")</f>
        <v>Friday</v>
      </c>
      <c r="F1882" s="2" t="s">
        <v>461</v>
      </c>
      <c r="G1882" s="2"/>
      <c r="H1882" s="2"/>
      <c r="I1882" s="2" t="n">
        <f aca="false">IF(F1882="Present",9,IF(F1882="Half Day",4,0))</f>
        <v>0</v>
      </c>
      <c r="J1882" s="2"/>
      <c r="K1882" s="2" t="s">
        <v>462</v>
      </c>
    </row>
    <row r="1883" customFormat="false" ht="15" hidden="false" customHeight="false" outlineLevel="0" collapsed="false">
      <c r="A1883" s="2" t="s">
        <v>168</v>
      </c>
      <c r="B1883" s="2" t="s">
        <v>169</v>
      </c>
      <c r="C1883" s="2" t="s">
        <v>17</v>
      </c>
      <c r="D1883" s="3" t="n">
        <v>46256</v>
      </c>
      <c r="E1883" s="2" t="str">
        <f aca="false">TEXT(D1883,"dddd")</f>
        <v>Saturday</v>
      </c>
      <c r="F1883" s="2" t="s">
        <v>457</v>
      </c>
      <c r="G1883" s="2" t="s">
        <v>458</v>
      </c>
      <c r="H1883" s="2" t="s">
        <v>459</v>
      </c>
      <c r="I1883" s="2" t="n">
        <f aca="false">IF(F1883="Present",9,IF(F1883="Half Day",4,0))</f>
        <v>9</v>
      </c>
      <c r="J1883" s="2"/>
      <c r="K1883" s="2"/>
    </row>
    <row r="1884" customFormat="false" ht="15" hidden="false" customHeight="false" outlineLevel="0" collapsed="false">
      <c r="A1884" s="2" t="s">
        <v>168</v>
      </c>
      <c r="B1884" s="2" t="s">
        <v>169</v>
      </c>
      <c r="C1884" s="2" t="s">
        <v>17</v>
      </c>
      <c r="D1884" s="3" t="n">
        <v>46257</v>
      </c>
      <c r="E1884" s="2" t="str">
        <f aca="false">TEXT(D1884,"dddd")</f>
        <v>Sunday</v>
      </c>
      <c r="F1884" s="2" t="s">
        <v>460</v>
      </c>
      <c r="G1884" s="2"/>
      <c r="H1884" s="2"/>
      <c r="I1884" s="2" t="n">
        <f aca="false">IF(F1884="Present",9,IF(F1884="Half Day",4,0))</f>
        <v>0</v>
      </c>
      <c r="J1884" s="2"/>
      <c r="K1884" s="2" t="s">
        <v>460</v>
      </c>
    </row>
    <row r="1885" customFormat="false" ht="15" hidden="false" customHeight="false" outlineLevel="0" collapsed="false">
      <c r="A1885" s="2" t="s">
        <v>168</v>
      </c>
      <c r="B1885" s="2" t="s">
        <v>169</v>
      </c>
      <c r="C1885" s="2" t="s">
        <v>17</v>
      </c>
      <c r="D1885" s="3" t="n">
        <v>46258</v>
      </c>
      <c r="E1885" s="2" t="str">
        <f aca="false">TEXT(D1885,"dddd")</f>
        <v>Monday</v>
      </c>
      <c r="F1885" s="2" t="s">
        <v>457</v>
      </c>
      <c r="G1885" s="2" t="s">
        <v>458</v>
      </c>
      <c r="H1885" s="2" t="s">
        <v>459</v>
      </c>
      <c r="I1885" s="2" t="n">
        <f aca="false">IF(F1885="Present",9,IF(F1885="Half Day",4,0))</f>
        <v>9</v>
      </c>
      <c r="J1885" s="2"/>
      <c r="K1885" s="2"/>
    </row>
    <row r="1886" customFormat="false" ht="15" hidden="false" customHeight="false" outlineLevel="0" collapsed="false">
      <c r="A1886" s="2" t="s">
        <v>168</v>
      </c>
      <c r="B1886" s="2" t="s">
        <v>169</v>
      </c>
      <c r="C1886" s="2" t="s">
        <v>17</v>
      </c>
      <c r="D1886" s="3" t="n">
        <v>46259</v>
      </c>
      <c r="E1886" s="2" t="str">
        <f aca="false">TEXT(D1886,"dddd")</f>
        <v>Tuesday</v>
      </c>
      <c r="F1886" s="2" t="s">
        <v>457</v>
      </c>
      <c r="G1886" s="2" t="s">
        <v>458</v>
      </c>
      <c r="H1886" s="2" t="s">
        <v>459</v>
      </c>
      <c r="I1886" s="2" t="n">
        <f aca="false">IF(F1886="Present",9,IF(F1886="Half Day",4,0))</f>
        <v>9</v>
      </c>
      <c r="J1886" s="2"/>
      <c r="K1886" s="2"/>
    </row>
    <row r="1887" customFormat="false" ht="15" hidden="false" customHeight="false" outlineLevel="0" collapsed="false">
      <c r="A1887" s="2" t="s">
        <v>168</v>
      </c>
      <c r="B1887" s="2" t="s">
        <v>169</v>
      </c>
      <c r="C1887" s="2" t="s">
        <v>17</v>
      </c>
      <c r="D1887" s="3" t="n">
        <v>46260</v>
      </c>
      <c r="E1887" s="2" t="str">
        <f aca="false">TEXT(D1887,"dddd")</f>
        <v>Wednesday</v>
      </c>
      <c r="F1887" s="2" t="s">
        <v>457</v>
      </c>
      <c r="G1887" s="2" t="s">
        <v>458</v>
      </c>
      <c r="H1887" s="2" t="s">
        <v>459</v>
      </c>
      <c r="I1887" s="2" t="n">
        <f aca="false">IF(F1887="Present",9,IF(F1887="Half Day",4,0))</f>
        <v>9</v>
      </c>
      <c r="J1887" s="2"/>
      <c r="K1887" s="2"/>
    </row>
    <row r="1888" customFormat="false" ht="15" hidden="false" customHeight="false" outlineLevel="0" collapsed="false">
      <c r="A1888" s="2" t="s">
        <v>168</v>
      </c>
      <c r="B1888" s="2" t="s">
        <v>169</v>
      </c>
      <c r="C1888" s="2" t="s">
        <v>17</v>
      </c>
      <c r="D1888" s="3" t="n">
        <v>46261</v>
      </c>
      <c r="E1888" s="2" t="str">
        <f aca="false">TEXT(D1888,"dddd")</f>
        <v>Thursday</v>
      </c>
      <c r="F1888" s="2" t="s">
        <v>457</v>
      </c>
      <c r="G1888" s="2" t="s">
        <v>458</v>
      </c>
      <c r="H1888" s="2" t="s">
        <v>459</v>
      </c>
      <c r="I1888" s="2" t="n">
        <f aca="false">IF(F1888="Present",9,IF(F1888="Half Day",4,0))</f>
        <v>9</v>
      </c>
      <c r="J1888" s="2"/>
      <c r="K1888" s="2"/>
    </row>
    <row r="1889" customFormat="false" ht="15" hidden="false" customHeight="false" outlineLevel="0" collapsed="false">
      <c r="A1889" s="2" t="s">
        <v>168</v>
      </c>
      <c r="B1889" s="2" t="s">
        <v>169</v>
      </c>
      <c r="C1889" s="2" t="s">
        <v>17</v>
      </c>
      <c r="D1889" s="3" t="n">
        <v>46262</v>
      </c>
      <c r="E1889" s="2" t="str">
        <f aca="false">TEXT(D1889,"dddd")</f>
        <v>Friday</v>
      </c>
      <c r="F1889" s="2" t="s">
        <v>457</v>
      </c>
      <c r="G1889" s="2" t="s">
        <v>458</v>
      </c>
      <c r="H1889" s="2" t="s">
        <v>459</v>
      </c>
      <c r="I1889" s="2" t="n">
        <f aca="false">IF(F1889="Present",9,IF(F1889="Half Day",4,0))</f>
        <v>9</v>
      </c>
      <c r="J1889" s="2"/>
      <c r="K1889" s="2"/>
    </row>
    <row r="1890" customFormat="false" ht="15" hidden="false" customHeight="false" outlineLevel="0" collapsed="false">
      <c r="A1890" s="2" t="s">
        <v>168</v>
      </c>
      <c r="B1890" s="2" t="s">
        <v>169</v>
      </c>
      <c r="C1890" s="2" t="s">
        <v>17</v>
      </c>
      <c r="D1890" s="3" t="n">
        <v>46263</v>
      </c>
      <c r="E1890" s="2" t="str">
        <f aca="false">TEXT(D1890,"dddd")</f>
        <v>Saturday</v>
      </c>
      <c r="F1890" s="2" t="s">
        <v>457</v>
      </c>
      <c r="G1890" s="2" t="s">
        <v>458</v>
      </c>
      <c r="H1890" s="2" t="s">
        <v>459</v>
      </c>
      <c r="I1890" s="2" t="n">
        <f aca="false">IF(F1890="Present",9,IF(F1890="Half Day",4,0))</f>
        <v>9</v>
      </c>
      <c r="J1890" s="2"/>
      <c r="K1890" s="2"/>
    </row>
    <row r="1891" customFormat="false" ht="15" hidden="false" customHeight="false" outlineLevel="0" collapsed="false">
      <c r="A1891" s="2" t="s">
        <v>168</v>
      </c>
      <c r="B1891" s="2" t="s">
        <v>169</v>
      </c>
      <c r="C1891" s="2" t="s">
        <v>17</v>
      </c>
      <c r="D1891" s="3" t="n">
        <v>46264</v>
      </c>
      <c r="E1891" s="2" t="str">
        <f aca="false">TEXT(D1891,"dddd")</f>
        <v>Sunday</v>
      </c>
      <c r="F1891" s="2" t="s">
        <v>460</v>
      </c>
      <c r="G1891" s="2"/>
      <c r="H1891" s="2"/>
      <c r="I1891" s="2" t="n">
        <f aca="false">IF(F1891="Present",9,IF(F1891="Half Day",4,0))</f>
        <v>0</v>
      </c>
      <c r="J1891" s="2"/>
      <c r="K1891" s="2" t="s">
        <v>460</v>
      </c>
    </row>
    <row r="1892" customFormat="false" ht="15" hidden="false" customHeight="false" outlineLevel="0" collapsed="false">
      <c r="A1892" s="2" t="s">
        <v>168</v>
      </c>
      <c r="B1892" s="2" t="s">
        <v>169</v>
      </c>
      <c r="C1892" s="2" t="s">
        <v>17</v>
      </c>
      <c r="D1892" s="3" t="n">
        <v>46265</v>
      </c>
      <c r="E1892" s="2" t="str">
        <f aca="false">TEXT(D1892,"dddd")</f>
        <v>Monday</v>
      </c>
      <c r="F1892" s="2" t="s">
        <v>457</v>
      </c>
      <c r="G1892" s="2" t="s">
        <v>458</v>
      </c>
      <c r="H1892" s="2" t="s">
        <v>459</v>
      </c>
      <c r="I1892" s="2" t="n">
        <f aca="false">IF(F1892="Present",9,IF(F1892="Half Day",4,0))</f>
        <v>9</v>
      </c>
      <c r="J1892" s="2"/>
      <c r="K1892" s="2"/>
    </row>
    <row r="1893" customFormat="false" ht="15" hidden="false" customHeight="false" outlineLevel="0" collapsed="false">
      <c r="A1893" s="2" t="s">
        <v>170</v>
      </c>
      <c r="B1893" s="2" t="s">
        <v>171</v>
      </c>
      <c r="C1893" s="2" t="s">
        <v>24</v>
      </c>
      <c r="D1893" s="3" t="n">
        <v>46235</v>
      </c>
      <c r="E1893" s="2" t="str">
        <f aca="false">TEXT(D1893,"dddd")</f>
        <v>Saturday</v>
      </c>
      <c r="F1893" s="2" t="s">
        <v>457</v>
      </c>
      <c r="G1893" s="2" t="s">
        <v>458</v>
      </c>
      <c r="H1893" s="2" t="s">
        <v>459</v>
      </c>
      <c r="I1893" s="2" t="n">
        <f aca="false">IF(F1893="Present",9,IF(F1893="Half Day",4,0))</f>
        <v>9</v>
      </c>
      <c r="J1893" s="2"/>
      <c r="K1893" s="2"/>
    </row>
    <row r="1894" customFormat="false" ht="15" hidden="false" customHeight="false" outlineLevel="0" collapsed="false">
      <c r="A1894" s="2" t="s">
        <v>170</v>
      </c>
      <c r="B1894" s="2" t="s">
        <v>171</v>
      </c>
      <c r="C1894" s="2" t="s">
        <v>24</v>
      </c>
      <c r="D1894" s="3" t="n">
        <v>46236</v>
      </c>
      <c r="E1894" s="2" t="str">
        <f aca="false">TEXT(D1894,"dddd")</f>
        <v>Sunday</v>
      </c>
      <c r="F1894" s="2" t="s">
        <v>460</v>
      </c>
      <c r="G1894" s="2"/>
      <c r="H1894" s="2"/>
      <c r="I1894" s="2" t="n">
        <f aca="false">IF(F1894="Present",9,IF(F1894="Half Day",4,0))</f>
        <v>0</v>
      </c>
      <c r="J1894" s="2"/>
      <c r="K1894" s="2" t="s">
        <v>460</v>
      </c>
    </row>
    <row r="1895" customFormat="false" ht="15" hidden="false" customHeight="false" outlineLevel="0" collapsed="false">
      <c r="A1895" s="2" t="s">
        <v>170</v>
      </c>
      <c r="B1895" s="2" t="s">
        <v>171</v>
      </c>
      <c r="C1895" s="2" t="s">
        <v>24</v>
      </c>
      <c r="D1895" s="3" t="n">
        <v>46237</v>
      </c>
      <c r="E1895" s="2" t="str">
        <f aca="false">TEXT(D1895,"dddd")</f>
        <v>Monday</v>
      </c>
      <c r="F1895" s="2" t="s">
        <v>457</v>
      </c>
      <c r="G1895" s="2" t="s">
        <v>458</v>
      </c>
      <c r="H1895" s="2" t="s">
        <v>459</v>
      </c>
      <c r="I1895" s="2" t="n">
        <f aca="false">IF(F1895="Present",9,IF(F1895="Half Day",4,0))</f>
        <v>9</v>
      </c>
      <c r="J1895" s="2"/>
      <c r="K1895" s="2"/>
    </row>
    <row r="1896" customFormat="false" ht="15" hidden="false" customHeight="false" outlineLevel="0" collapsed="false">
      <c r="A1896" s="2" t="s">
        <v>170</v>
      </c>
      <c r="B1896" s="2" t="s">
        <v>171</v>
      </c>
      <c r="C1896" s="2" t="s">
        <v>24</v>
      </c>
      <c r="D1896" s="3" t="n">
        <v>46238</v>
      </c>
      <c r="E1896" s="2" t="str">
        <f aca="false">TEXT(D1896,"dddd")</f>
        <v>Tuesday</v>
      </c>
      <c r="F1896" s="2" t="s">
        <v>457</v>
      </c>
      <c r="G1896" s="2" t="s">
        <v>458</v>
      </c>
      <c r="H1896" s="2" t="s">
        <v>459</v>
      </c>
      <c r="I1896" s="2" t="n">
        <f aca="false">IF(F1896="Present",9,IF(F1896="Half Day",4,0))</f>
        <v>9</v>
      </c>
      <c r="J1896" s="2"/>
      <c r="K1896" s="2"/>
    </row>
    <row r="1897" customFormat="false" ht="15" hidden="false" customHeight="false" outlineLevel="0" collapsed="false">
      <c r="A1897" s="2" t="s">
        <v>170</v>
      </c>
      <c r="B1897" s="2" t="s">
        <v>171</v>
      </c>
      <c r="C1897" s="2" t="s">
        <v>24</v>
      </c>
      <c r="D1897" s="3" t="n">
        <v>46239</v>
      </c>
      <c r="E1897" s="2" t="str">
        <f aca="false">TEXT(D1897,"dddd")</f>
        <v>Wednesday</v>
      </c>
      <c r="F1897" s="2" t="s">
        <v>457</v>
      </c>
      <c r="G1897" s="2" t="s">
        <v>458</v>
      </c>
      <c r="H1897" s="2" t="s">
        <v>459</v>
      </c>
      <c r="I1897" s="2" t="n">
        <f aca="false">IF(F1897="Present",9,IF(F1897="Half Day",4,0))</f>
        <v>9</v>
      </c>
      <c r="J1897" s="2"/>
      <c r="K1897" s="2"/>
    </row>
    <row r="1898" customFormat="false" ht="15" hidden="false" customHeight="false" outlineLevel="0" collapsed="false">
      <c r="A1898" s="2" t="s">
        <v>170</v>
      </c>
      <c r="B1898" s="2" t="s">
        <v>171</v>
      </c>
      <c r="C1898" s="2" t="s">
        <v>24</v>
      </c>
      <c r="D1898" s="3" t="n">
        <v>46240</v>
      </c>
      <c r="E1898" s="2" t="str">
        <f aca="false">TEXT(D1898,"dddd")</f>
        <v>Thursday</v>
      </c>
      <c r="F1898" s="2" t="s">
        <v>457</v>
      </c>
      <c r="G1898" s="2" t="s">
        <v>458</v>
      </c>
      <c r="H1898" s="2" t="s">
        <v>459</v>
      </c>
      <c r="I1898" s="2" t="n">
        <f aca="false">IF(F1898="Present",9,IF(F1898="Half Day",4,0))</f>
        <v>9</v>
      </c>
      <c r="J1898" s="2"/>
      <c r="K1898" s="2"/>
    </row>
    <row r="1899" customFormat="false" ht="15" hidden="false" customHeight="false" outlineLevel="0" collapsed="false">
      <c r="A1899" s="2" t="s">
        <v>170</v>
      </c>
      <c r="B1899" s="2" t="s">
        <v>171</v>
      </c>
      <c r="C1899" s="2" t="s">
        <v>24</v>
      </c>
      <c r="D1899" s="3" t="n">
        <v>46241</v>
      </c>
      <c r="E1899" s="2" t="str">
        <f aca="false">TEXT(D1899,"dddd")</f>
        <v>Friday</v>
      </c>
      <c r="F1899" s="2" t="s">
        <v>457</v>
      </c>
      <c r="G1899" s="2" t="s">
        <v>458</v>
      </c>
      <c r="H1899" s="2" t="s">
        <v>459</v>
      </c>
      <c r="I1899" s="2" t="n">
        <f aca="false">IF(F1899="Present",9,IF(F1899="Half Day",4,0))</f>
        <v>9</v>
      </c>
      <c r="J1899" s="2"/>
      <c r="K1899" s="2"/>
    </row>
    <row r="1900" customFormat="false" ht="15" hidden="false" customHeight="false" outlineLevel="0" collapsed="false">
      <c r="A1900" s="2" t="s">
        <v>170</v>
      </c>
      <c r="B1900" s="2" t="s">
        <v>171</v>
      </c>
      <c r="C1900" s="2" t="s">
        <v>24</v>
      </c>
      <c r="D1900" s="3" t="n">
        <v>46242</v>
      </c>
      <c r="E1900" s="2" t="str">
        <f aca="false">TEXT(D1900,"dddd")</f>
        <v>Saturday</v>
      </c>
      <c r="F1900" s="2" t="s">
        <v>457</v>
      </c>
      <c r="G1900" s="2" t="s">
        <v>458</v>
      </c>
      <c r="H1900" s="2" t="s">
        <v>459</v>
      </c>
      <c r="I1900" s="2" t="n">
        <f aca="false">IF(F1900="Present",9,IF(F1900="Half Day",4,0))</f>
        <v>9</v>
      </c>
      <c r="J1900" s="2"/>
      <c r="K1900" s="2"/>
    </row>
    <row r="1901" customFormat="false" ht="15" hidden="false" customHeight="false" outlineLevel="0" collapsed="false">
      <c r="A1901" s="2" t="s">
        <v>170</v>
      </c>
      <c r="B1901" s="2" t="s">
        <v>171</v>
      </c>
      <c r="C1901" s="2" t="s">
        <v>24</v>
      </c>
      <c r="D1901" s="3" t="n">
        <v>46243</v>
      </c>
      <c r="E1901" s="2" t="str">
        <f aca="false">TEXT(D1901,"dddd")</f>
        <v>Sunday</v>
      </c>
      <c r="F1901" s="2" t="s">
        <v>460</v>
      </c>
      <c r="G1901" s="2"/>
      <c r="H1901" s="2"/>
      <c r="I1901" s="2" t="n">
        <f aca="false">IF(F1901="Present",9,IF(F1901="Half Day",4,0))</f>
        <v>0</v>
      </c>
      <c r="J1901" s="2"/>
      <c r="K1901" s="2" t="s">
        <v>460</v>
      </c>
    </row>
    <row r="1902" customFormat="false" ht="15" hidden="false" customHeight="false" outlineLevel="0" collapsed="false">
      <c r="A1902" s="2" t="s">
        <v>170</v>
      </c>
      <c r="B1902" s="2" t="s">
        <v>171</v>
      </c>
      <c r="C1902" s="2" t="s">
        <v>24</v>
      </c>
      <c r="D1902" s="3" t="n">
        <v>46244</v>
      </c>
      <c r="E1902" s="2" t="str">
        <f aca="false">TEXT(D1902,"dddd")</f>
        <v>Monday</v>
      </c>
      <c r="F1902" s="2" t="s">
        <v>457</v>
      </c>
      <c r="G1902" s="2" t="s">
        <v>458</v>
      </c>
      <c r="H1902" s="2" t="s">
        <v>459</v>
      </c>
      <c r="I1902" s="2" t="n">
        <f aca="false">IF(F1902="Present",9,IF(F1902="Half Day",4,0))</f>
        <v>9</v>
      </c>
      <c r="J1902" s="2"/>
      <c r="K1902" s="2"/>
    </row>
    <row r="1903" customFormat="false" ht="15" hidden="false" customHeight="false" outlineLevel="0" collapsed="false">
      <c r="A1903" s="2" t="s">
        <v>170</v>
      </c>
      <c r="B1903" s="2" t="s">
        <v>171</v>
      </c>
      <c r="C1903" s="2" t="s">
        <v>24</v>
      </c>
      <c r="D1903" s="3" t="n">
        <v>46245</v>
      </c>
      <c r="E1903" s="2" t="str">
        <f aca="false">TEXT(D1903,"dddd")</f>
        <v>Tuesday</v>
      </c>
      <c r="F1903" s="2" t="s">
        <v>457</v>
      </c>
      <c r="G1903" s="2" t="s">
        <v>458</v>
      </c>
      <c r="H1903" s="2" t="s">
        <v>459</v>
      </c>
      <c r="I1903" s="2" t="n">
        <f aca="false">IF(F1903="Present",9,IF(F1903="Half Day",4,0))</f>
        <v>9</v>
      </c>
      <c r="J1903" s="2"/>
      <c r="K1903" s="2"/>
    </row>
    <row r="1904" customFormat="false" ht="15" hidden="false" customHeight="false" outlineLevel="0" collapsed="false">
      <c r="A1904" s="2" t="s">
        <v>170</v>
      </c>
      <c r="B1904" s="2" t="s">
        <v>171</v>
      </c>
      <c r="C1904" s="2" t="s">
        <v>24</v>
      </c>
      <c r="D1904" s="3" t="n">
        <v>46246</v>
      </c>
      <c r="E1904" s="2" t="str">
        <f aca="false">TEXT(D1904,"dddd")</f>
        <v>Wednesday</v>
      </c>
      <c r="F1904" s="2" t="s">
        <v>457</v>
      </c>
      <c r="G1904" s="2" t="s">
        <v>458</v>
      </c>
      <c r="H1904" s="2" t="s">
        <v>459</v>
      </c>
      <c r="I1904" s="2" t="n">
        <f aca="false">IF(F1904="Present",9,IF(F1904="Half Day",4,0))</f>
        <v>9</v>
      </c>
      <c r="J1904" s="2"/>
      <c r="K1904" s="2"/>
    </row>
    <row r="1905" customFormat="false" ht="15" hidden="false" customHeight="false" outlineLevel="0" collapsed="false">
      <c r="A1905" s="2" t="s">
        <v>170</v>
      </c>
      <c r="B1905" s="2" t="s">
        <v>171</v>
      </c>
      <c r="C1905" s="2" t="s">
        <v>24</v>
      </c>
      <c r="D1905" s="3" t="n">
        <v>46247</v>
      </c>
      <c r="E1905" s="2" t="str">
        <f aca="false">TEXT(D1905,"dddd")</f>
        <v>Thursday</v>
      </c>
      <c r="F1905" s="2" t="s">
        <v>457</v>
      </c>
      <c r="G1905" s="2" t="s">
        <v>458</v>
      </c>
      <c r="H1905" s="2" t="s">
        <v>459</v>
      </c>
      <c r="I1905" s="2" t="n">
        <f aca="false">IF(F1905="Present",9,IF(F1905="Half Day",4,0))</f>
        <v>9</v>
      </c>
      <c r="J1905" s="2"/>
      <c r="K1905" s="2"/>
    </row>
    <row r="1906" customFormat="false" ht="15" hidden="false" customHeight="false" outlineLevel="0" collapsed="false">
      <c r="A1906" s="2" t="s">
        <v>170</v>
      </c>
      <c r="B1906" s="2" t="s">
        <v>171</v>
      </c>
      <c r="C1906" s="2" t="s">
        <v>24</v>
      </c>
      <c r="D1906" s="3" t="n">
        <v>46248</v>
      </c>
      <c r="E1906" s="2" t="str">
        <f aca="false">TEXT(D1906,"dddd")</f>
        <v>Friday</v>
      </c>
      <c r="F1906" s="2" t="s">
        <v>457</v>
      </c>
      <c r="G1906" s="2" t="s">
        <v>458</v>
      </c>
      <c r="H1906" s="2" t="s">
        <v>459</v>
      </c>
      <c r="I1906" s="2" t="n">
        <f aca="false">IF(F1906="Present",9,IF(F1906="Half Day",4,0))</f>
        <v>9</v>
      </c>
      <c r="J1906" s="2"/>
      <c r="K1906" s="2"/>
    </row>
    <row r="1907" customFormat="false" ht="15" hidden="false" customHeight="false" outlineLevel="0" collapsed="false">
      <c r="A1907" s="2" t="s">
        <v>170</v>
      </c>
      <c r="B1907" s="2" t="s">
        <v>171</v>
      </c>
      <c r="C1907" s="2" t="s">
        <v>24</v>
      </c>
      <c r="D1907" s="3" t="n">
        <v>46249</v>
      </c>
      <c r="E1907" s="2" t="str">
        <f aca="false">TEXT(D1907,"dddd")</f>
        <v>Saturday</v>
      </c>
      <c r="F1907" s="2" t="s">
        <v>457</v>
      </c>
      <c r="G1907" s="2" t="s">
        <v>458</v>
      </c>
      <c r="H1907" s="2" t="s">
        <v>459</v>
      </c>
      <c r="I1907" s="2" t="n">
        <f aca="false">IF(F1907="Present",9,IF(F1907="Half Day",4,0))</f>
        <v>9</v>
      </c>
      <c r="J1907" s="2"/>
      <c r="K1907" s="2"/>
    </row>
    <row r="1908" customFormat="false" ht="15" hidden="false" customHeight="false" outlineLevel="0" collapsed="false">
      <c r="A1908" s="2" t="s">
        <v>170</v>
      </c>
      <c r="B1908" s="2" t="s">
        <v>171</v>
      </c>
      <c r="C1908" s="2" t="s">
        <v>24</v>
      </c>
      <c r="D1908" s="3" t="n">
        <v>46250</v>
      </c>
      <c r="E1908" s="2" t="str">
        <f aca="false">TEXT(D1908,"dddd")</f>
        <v>Sunday</v>
      </c>
      <c r="F1908" s="2" t="s">
        <v>460</v>
      </c>
      <c r="G1908" s="2"/>
      <c r="H1908" s="2"/>
      <c r="I1908" s="2" t="n">
        <f aca="false">IF(F1908="Present",9,IF(F1908="Half Day",4,0))</f>
        <v>0</v>
      </c>
      <c r="J1908" s="2"/>
      <c r="K1908" s="2" t="s">
        <v>460</v>
      </c>
    </row>
    <row r="1909" customFormat="false" ht="15" hidden="false" customHeight="false" outlineLevel="0" collapsed="false">
      <c r="A1909" s="2" t="s">
        <v>170</v>
      </c>
      <c r="B1909" s="2" t="s">
        <v>171</v>
      </c>
      <c r="C1909" s="2" t="s">
        <v>24</v>
      </c>
      <c r="D1909" s="3" t="n">
        <v>46251</v>
      </c>
      <c r="E1909" s="2" t="str">
        <f aca="false">TEXT(D1909,"dddd")</f>
        <v>Monday</v>
      </c>
      <c r="F1909" s="2" t="s">
        <v>457</v>
      </c>
      <c r="G1909" s="2" t="s">
        <v>458</v>
      </c>
      <c r="H1909" s="2" t="s">
        <v>459</v>
      </c>
      <c r="I1909" s="2" t="n">
        <f aca="false">IF(F1909="Present",9,IF(F1909="Half Day",4,0))</f>
        <v>9</v>
      </c>
      <c r="J1909" s="2"/>
      <c r="K1909" s="2"/>
    </row>
    <row r="1910" customFormat="false" ht="15" hidden="false" customHeight="false" outlineLevel="0" collapsed="false">
      <c r="A1910" s="2" t="s">
        <v>170</v>
      </c>
      <c r="B1910" s="2" t="s">
        <v>171</v>
      </c>
      <c r="C1910" s="2" t="s">
        <v>24</v>
      </c>
      <c r="D1910" s="3" t="n">
        <v>46252</v>
      </c>
      <c r="E1910" s="2" t="str">
        <f aca="false">TEXT(D1910,"dddd")</f>
        <v>Tuesday</v>
      </c>
      <c r="F1910" s="2" t="s">
        <v>457</v>
      </c>
      <c r="G1910" s="2" t="s">
        <v>458</v>
      </c>
      <c r="H1910" s="2" t="s">
        <v>459</v>
      </c>
      <c r="I1910" s="2" t="n">
        <f aca="false">IF(F1910="Present",9,IF(F1910="Half Day",4,0))</f>
        <v>9</v>
      </c>
      <c r="J1910" s="2"/>
      <c r="K1910" s="2"/>
    </row>
    <row r="1911" customFormat="false" ht="15" hidden="false" customHeight="false" outlineLevel="0" collapsed="false">
      <c r="A1911" s="2" t="s">
        <v>170</v>
      </c>
      <c r="B1911" s="2" t="s">
        <v>171</v>
      </c>
      <c r="C1911" s="2" t="s">
        <v>24</v>
      </c>
      <c r="D1911" s="3" t="n">
        <v>46253</v>
      </c>
      <c r="E1911" s="2" t="str">
        <f aca="false">TEXT(D1911,"dddd")</f>
        <v>Wednesday</v>
      </c>
      <c r="F1911" s="2" t="s">
        <v>457</v>
      </c>
      <c r="G1911" s="2" t="s">
        <v>458</v>
      </c>
      <c r="H1911" s="2" t="s">
        <v>459</v>
      </c>
      <c r="I1911" s="2" t="n">
        <f aca="false">IF(F1911="Present",9,IF(F1911="Half Day",4,0))</f>
        <v>9</v>
      </c>
      <c r="J1911" s="2"/>
      <c r="K1911" s="2"/>
    </row>
    <row r="1912" customFormat="false" ht="15" hidden="false" customHeight="false" outlineLevel="0" collapsed="false">
      <c r="A1912" s="2" t="s">
        <v>170</v>
      </c>
      <c r="B1912" s="2" t="s">
        <v>171</v>
      </c>
      <c r="C1912" s="2" t="s">
        <v>24</v>
      </c>
      <c r="D1912" s="3" t="n">
        <v>46254</v>
      </c>
      <c r="E1912" s="2" t="str">
        <f aca="false">TEXT(D1912,"dddd")</f>
        <v>Thursday</v>
      </c>
      <c r="F1912" s="2" t="s">
        <v>457</v>
      </c>
      <c r="G1912" s="2" t="s">
        <v>458</v>
      </c>
      <c r="H1912" s="2" t="s">
        <v>459</v>
      </c>
      <c r="I1912" s="2" t="n">
        <f aca="false">IF(F1912="Present",9,IF(F1912="Half Day",4,0))</f>
        <v>9</v>
      </c>
      <c r="J1912" s="2"/>
      <c r="K1912" s="2"/>
    </row>
    <row r="1913" customFormat="false" ht="15" hidden="false" customHeight="false" outlineLevel="0" collapsed="false">
      <c r="A1913" s="2" t="s">
        <v>170</v>
      </c>
      <c r="B1913" s="2" t="s">
        <v>171</v>
      </c>
      <c r="C1913" s="2" t="s">
        <v>24</v>
      </c>
      <c r="D1913" s="3" t="n">
        <v>46255</v>
      </c>
      <c r="E1913" s="2" t="str">
        <f aca="false">TEXT(D1913,"dddd")</f>
        <v>Friday</v>
      </c>
      <c r="F1913" s="2" t="s">
        <v>457</v>
      </c>
      <c r="G1913" s="2" t="s">
        <v>458</v>
      </c>
      <c r="H1913" s="2" t="s">
        <v>459</v>
      </c>
      <c r="I1913" s="2" t="n">
        <f aca="false">IF(F1913="Present",9,IF(F1913="Half Day",4,0))</f>
        <v>9</v>
      </c>
      <c r="J1913" s="2"/>
      <c r="K1913" s="2"/>
    </row>
    <row r="1914" customFormat="false" ht="15" hidden="false" customHeight="false" outlineLevel="0" collapsed="false">
      <c r="A1914" s="2" t="s">
        <v>170</v>
      </c>
      <c r="B1914" s="2" t="s">
        <v>171</v>
      </c>
      <c r="C1914" s="2" t="s">
        <v>24</v>
      </c>
      <c r="D1914" s="3" t="n">
        <v>46256</v>
      </c>
      <c r="E1914" s="2" t="str">
        <f aca="false">TEXT(D1914,"dddd")</f>
        <v>Saturday</v>
      </c>
      <c r="F1914" s="2" t="s">
        <v>457</v>
      </c>
      <c r="G1914" s="2" t="s">
        <v>458</v>
      </c>
      <c r="H1914" s="2" t="s">
        <v>459</v>
      </c>
      <c r="I1914" s="2" t="n">
        <f aca="false">IF(F1914="Present",9,IF(F1914="Half Day",4,0))</f>
        <v>9</v>
      </c>
      <c r="J1914" s="2"/>
      <c r="K1914" s="2"/>
    </row>
    <row r="1915" customFormat="false" ht="15" hidden="false" customHeight="false" outlineLevel="0" collapsed="false">
      <c r="A1915" s="2" t="s">
        <v>170</v>
      </c>
      <c r="B1915" s="2" t="s">
        <v>171</v>
      </c>
      <c r="C1915" s="2" t="s">
        <v>24</v>
      </c>
      <c r="D1915" s="3" t="n">
        <v>46257</v>
      </c>
      <c r="E1915" s="2" t="str">
        <f aca="false">TEXT(D1915,"dddd")</f>
        <v>Sunday</v>
      </c>
      <c r="F1915" s="2" t="s">
        <v>460</v>
      </c>
      <c r="G1915" s="2"/>
      <c r="H1915" s="2"/>
      <c r="I1915" s="2" t="n">
        <f aca="false">IF(F1915="Present",9,IF(F1915="Half Day",4,0))</f>
        <v>0</v>
      </c>
      <c r="J1915" s="2"/>
      <c r="K1915" s="2" t="s">
        <v>460</v>
      </c>
    </row>
    <row r="1916" customFormat="false" ht="15" hidden="false" customHeight="false" outlineLevel="0" collapsed="false">
      <c r="A1916" s="2" t="s">
        <v>170</v>
      </c>
      <c r="B1916" s="2" t="s">
        <v>171</v>
      </c>
      <c r="C1916" s="2" t="s">
        <v>24</v>
      </c>
      <c r="D1916" s="3" t="n">
        <v>46258</v>
      </c>
      <c r="E1916" s="2" t="str">
        <f aca="false">TEXT(D1916,"dddd")</f>
        <v>Monday</v>
      </c>
      <c r="F1916" s="2" t="s">
        <v>457</v>
      </c>
      <c r="G1916" s="2" t="s">
        <v>458</v>
      </c>
      <c r="H1916" s="2" t="s">
        <v>459</v>
      </c>
      <c r="I1916" s="2" t="n">
        <f aca="false">IF(F1916="Present",9,IF(F1916="Half Day",4,0))</f>
        <v>9</v>
      </c>
      <c r="J1916" s="2"/>
      <c r="K1916" s="2"/>
    </row>
    <row r="1917" customFormat="false" ht="15" hidden="false" customHeight="false" outlineLevel="0" collapsed="false">
      <c r="A1917" s="2" t="s">
        <v>170</v>
      </c>
      <c r="B1917" s="2" t="s">
        <v>171</v>
      </c>
      <c r="C1917" s="2" t="s">
        <v>24</v>
      </c>
      <c r="D1917" s="3" t="n">
        <v>46259</v>
      </c>
      <c r="E1917" s="2" t="str">
        <f aca="false">TEXT(D1917,"dddd")</f>
        <v>Tuesday</v>
      </c>
      <c r="F1917" s="2" t="s">
        <v>457</v>
      </c>
      <c r="G1917" s="2" t="s">
        <v>458</v>
      </c>
      <c r="H1917" s="2" t="s">
        <v>459</v>
      </c>
      <c r="I1917" s="2" t="n">
        <f aca="false">IF(F1917="Present",9,IF(F1917="Half Day",4,0))</f>
        <v>9</v>
      </c>
      <c r="J1917" s="2"/>
      <c r="K1917" s="2"/>
    </row>
    <row r="1918" customFormat="false" ht="15" hidden="false" customHeight="false" outlineLevel="0" collapsed="false">
      <c r="A1918" s="2" t="s">
        <v>170</v>
      </c>
      <c r="B1918" s="2" t="s">
        <v>171</v>
      </c>
      <c r="C1918" s="2" t="s">
        <v>24</v>
      </c>
      <c r="D1918" s="3" t="n">
        <v>46260</v>
      </c>
      <c r="E1918" s="2" t="str">
        <f aca="false">TEXT(D1918,"dddd")</f>
        <v>Wednesday</v>
      </c>
      <c r="F1918" s="2" t="s">
        <v>457</v>
      </c>
      <c r="G1918" s="2" t="s">
        <v>458</v>
      </c>
      <c r="H1918" s="2" t="s">
        <v>459</v>
      </c>
      <c r="I1918" s="2" t="n">
        <f aca="false">IF(F1918="Present",9,IF(F1918="Half Day",4,0))</f>
        <v>9</v>
      </c>
      <c r="J1918" s="2"/>
      <c r="K1918" s="2"/>
    </row>
    <row r="1919" customFormat="false" ht="15" hidden="false" customHeight="false" outlineLevel="0" collapsed="false">
      <c r="A1919" s="2" t="s">
        <v>170</v>
      </c>
      <c r="B1919" s="2" t="s">
        <v>171</v>
      </c>
      <c r="C1919" s="2" t="s">
        <v>24</v>
      </c>
      <c r="D1919" s="3" t="n">
        <v>46261</v>
      </c>
      <c r="E1919" s="2" t="str">
        <f aca="false">TEXT(D1919,"dddd")</f>
        <v>Thursday</v>
      </c>
      <c r="F1919" s="2" t="s">
        <v>457</v>
      </c>
      <c r="G1919" s="2" t="s">
        <v>458</v>
      </c>
      <c r="H1919" s="2" t="s">
        <v>459</v>
      </c>
      <c r="I1919" s="2" t="n">
        <f aca="false">IF(F1919="Present",9,IF(F1919="Half Day",4,0))</f>
        <v>9</v>
      </c>
      <c r="J1919" s="2"/>
      <c r="K1919" s="2"/>
    </row>
    <row r="1920" customFormat="false" ht="15" hidden="false" customHeight="false" outlineLevel="0" collapsed="false">
      <c r="A1920" s="2" t="s">
        <v>170</v>
      </c>
      <c r="B1920" s="2" t="s">
        <v>171</v>
      </c>
      <c r="C1920" s="2" t="s">
        <v>24</v>
      </c>
      <c r="D1920" s="3" t="n">
        <v>46262</v>
      </c>
      <c r="E1920" s="2" t="str">
        <f aca="false">TEXT(D1920,"dddd")</f>
        <v>Friday</v>
      </c>
      <c r="F1920" s="2" t="s">
        <v>457</v>
      </c>
      <c r="G1920" s="2" t="s">
        <v>458</v>
      </c>
      <c r="H1920" s="2" t="s">
        <v>459</v>
      </c>
      <c r="I1920" s="2" t="n">
        <f aca="false">IF(F1920="Present",9,IF(F1920="Half Day",4,0))</f>
        <v>9</v>
      </c>
      <c r="J1920" s="2"/>
      <c r="K1920" s="2"/>
    </row>
    <row r="1921" customFormat="false" ht="15" hidden="false" customHeight="false" outlineLevel="0" collapsed="false">
      <c r="A1921" s="2" t="s">
        <v>170</v>
      </c>
      <c r="B1921" s="2" t="s">
        <v>171</v>
      </c>
      <c r="C1921" s="2" t="s">
        <v>24</v>
      </c>
      <c r="D1921" s="3" t="n">
        <v>46263</v>
      </c>
      <c r="E1921" s="2" t="str">
        <f aca="false">TEXT(D1921,"dddd")</f>
        <v>Saturday</v>
      </c>
      <c r="F1921" s="2" t="s">
        <v>457</v>
      </c>
      <c r="G1921" s="2" t="s">
        <v>458</v>
      </c>
      <c r="H1921" s="2" t="s">
        <v>459</v>
      </c>
      <c r="I1921" s="2" t="n">
        <f aca="false">IF(F1921="Present",9,IF(F1921="Half Day",4,0))</f>
        <v>9</v>
      </c>
      <c r="J1921" s="2"/>
      <c r="K1921" s="2"/>
    </row>
    <row r="1922" customFormat="false" ht="15" hidden="false" customHeight="false" outlineLevel="0" collapsed="false">
      <c r="A1922" s="2" t="s">
        <v>170</v>
      </c>
      <c r="B1922" s="2" t="s">
        <v>171</v>
      </c>
      <c r="C1922" s="2" t="s">
        <v>24</v>
      </c>
      <c r="D1922" s="3" t="n">
        <v>46264</v>
      </c>
      <c r="E1922" s="2" t="str">
        <f aca="false">TEXT(D1922,"dddd")</f>
        <v>Sunday</v>
      </c>
      <c r="F1922" s="2" t="s">
        <v>460</v>
      </c>
      <c r="G1922" s="2"/>
      <c r="H1922" s="2"/>
      <c r="I1922" s="2" t="n">
        <f aca="false">IF(F1922="Present",9,IF(F1922="Half Day",4,0))</f>
        <v>0</v>
      </c>
      <c r="J1922" s="2"/>
      <c r="K1922" s="2" t="s">
        <v>460</v>
      </c>
    </row>
    <row r="1923" customFormat="false" ht="15" hidden="false" customHeight="false" outlineLevel="0" collapsed="false">
      <c r="A1923" s="2" t="s">
        <v>170</v>
      </c>
      <c r="B1923" s="2" t="s">
        <v>171</v>
      </c>
      <c r="C1923" s="2" t="s">
        <v>24</v>
      </c>
      <c r="D1923" s="3" t="n">
        <v>46265</v>
      </c>
      <c r="E1923" s="2" t="str">
        <f aca="false">TEXT(D1923,"dddd")</f>
        <v>Monday</v>
      </c>
      <c r="F1923" s="2" t="s">
        <v>457</v>
      </c>
      <c r="G1923" s="2" t="s">
        <v>458</v>
      </c>
      <c r="H1923" s="2" t="s">
        <v>459</v>
      </c>
      <c r="I1923" s="2" t="n">
        <f aca="false">IF(F1923="Present",9,IF(F1923="Half Day",4,0))</f>
        <v>9</v>
      </c>
      <c r="J1923" s="2"/>
      <c r="K1923" s="2"/>
    </row>
    <row r="1924" customFormat="false" ht="15" hidden="false" customHeight="false" outlineLevel="0" collapsed="false">
      <c r="A1924" s="2" t="s">
        <v>172</v>
      </c>
      <c r="B1924" s="2" t="s">
        <v>173</v>
      </c>
      <c r="C1924" s="2" t="s">
        <v>28</v>
      </c>
      <c r="D1924" s="3" t="n">
        <v>46235</v>
      </c>
      <c r="E1924" s="2" t="str">
        <f aca="false">TEXT(D1924,"dddd")</f>
        <v>Saturday</v>
      </c>
      <c r="F1924" s="2" t="s">
        <v>457</v>
      </c>
      <c r="G1924" s="2" t="s">
        <v>458</v>
      </c>
      <c r="H1924" s="2" t="s">
        <v>459</v>
      </c>
      <c r="I1924" s="2" t="n">
        <f aca="false">IF(F1924="Present",9,IF(F1924="Half Day",4,0))</f>
        <v>9</v>
      </c>
      <c r="J1924" s="2"/>
      <c r="K1924" s="2"/>
    </row>
    <row r="1925" customFormat="false" ht="15" hidden="false" customHeight="false" outlineLevel="0" collapsed="false">
      <c r="A1925" s="2" t="s">
        <v>172</v>
      </c>
      <c r="B1925" s="2" t="s">
        <v>173</v>
      </c>
      <c r="C1925" s="2" t="s">
        <v>28</v>
      </c>
      <c r="D1925" s="3" t="n">
        <v>46236</v>
      </c>
      <c r="E1925" s="2" t="str">
        <f aca="false">TEXT(D1925,"dddd")</f>
        <v>Sunday</v>
      </c>
      <c r="F1925" s="2" t="s">
        <v>460</v>
      </c>
      <c r="G1925" s="2"/>
      <c r="H1925" s="2"/>
      <c r="I1925" s="2" t="n">
        <f aca="false">IF(F1925="Present",9,IF(F1925="Half Day",4,0))</f>
        <v>0</v>
      </c>
      <c r="J1925" s="2"/>
      <c r="K1925" s="2" t="s">
        <v>460</v>
      </c>
    </row>
    <row r="1926" customFormat="false" ht="15" hidden="false" customHeight="false" outlineLevel="0" collapsed="false">
      <c r="A1926" s="2" t="s">
        <v>172</v>
      </c>
      <c r="B1926" s="2" t="s">
        <v>173</v>
      </c>
      <c r="C1926" s="2" t="s">
        <v>28</v>
      </c>
      <c r="D1926" s="3" t="n">
        <v>46237</v>
      </c>
      <c r="E1926" s="2" t="str">
        <f aca="false">TEXT(D1926,"dddd")</f>
        <v>Monday</v>
      </c>
      <c r="F1926" s="2" t="s">
        <v>461</v>
      </c>
      <c r="G1926" s="2"/>
      <c r="H1926" s="2"/>
      <c r="I1926" s="2" t="n">
        <f aca="false">IF(F1926="Present",9,IF(F1926="Half Day",4,0))</f>
        <v>0</v>
      </c>
      <c r="J1926" s="2"/>
      <c r="K1926" s="2" t="s">
        <v>462</v>
      </c>
    </row>
    <row r="1927" customFormat="false" ht="15" hidden="false" customHeight="false" outlineLevel="0" collapsed="false">
      <c r="A1927" s="2" t="s">
        <v>172</v>
      </c>
      <c r="B1927" s="2" t="s">
        <v>173</v>
      </c>
      <c r="C1927" s="2" t="s">
        <v>28</v>
      </c>
      <c r="D1927" s="3" t="n">
        <v>46238</v>
      </c>
      <c r="E1927" s="2" t="str">
        <f aca="false">TEXT(D1927,"dddd")</f>
        <v>Tuesday</v>
      </c>
      <c r="F1927" s="2" t="s">
        <v>457</v>
      </c>
      <c r="G1927" s="2" t="s">
        <v>458</v>
      </c>
      <c r="H1927" s="2" t="s">
        <v>459</v>
      </c>
      <c r="I1927" s="2" t="n">
        <f aca="false">IF(F1927="Present",9,IF(F1927="Half Day",4,0))</f>
        <v>9</v>
      </c>
      <c r="J1927" s="2"/>
      <c r="K1927" s="2"/>
    </row>
    <row r="1928" customFormat="false" ht="15" hidden="false" customHeight="false" outlineLevel="0" collapsed="false">
      <c r="A1928" s="2" t="s">
        <v>172</v>
      </c>
      <c r="B1928" s="2" t="s">
        <v>173</v>
      </c>
      <c r="C1928" s="2" t="s">
        <v>28</v>
      </c>
      <c r="D1928" s="3" t="n">
        <v>46239</v>
      </c>
      <c r="E1928" s="2" t="str">
        <f aca="false">TEXT(D1928,"dddd")</f>
        <v>Wednesday</v>
      </c>
      <c r="F1928" s="2" t="s">
        <v>457</v>
      </c>
      <c r="G1928" s="2" t="s">
        <v>458</v>
      </c>
      <c r="H1928" s="2" t="s">
        <v>459</v>
      </c>
      <c r="I1928" s="2" t="n">
        <f aca="false">IF(F1928="Present",9,IF(F1928="Half Day",4,0))</f>
        <v>9</v>
      </c>
      <c r="J1928" s="2"/>
      <c r="K1928" s="2"/>
    </row>
    <row r="1929" customFormat="false" ht="15" hidden="false" customHeight="false" outlineLevel="0" collapsed="false">
      <c r="A1929" s="2" t="s">
        <v>172</v>
      </c>
      <c r="B1929" s="2" t="s">
        <v>173</v>
      </c>
      <c r="C1929" s="2" t="s">
        <v>28</v>
      </c>
      <c r="D1929" s="3" t="n">
        <v>46240</v>
      </c>
      <c r="E1929" s="2" t="str">
        <f aca="false">TEXT(D1929,"dddd")</f>
        <v>Thursday</v>
      </c>
      <c r="F1929" s="2" t="s">
        <v>466</v>
      </c>
      <c r="G1929" s="2" t="s">
        <v>458</v>
      </c>
      <c r="H1929" s="2" t="s">
        <v>467</v>
      </c>
      <c r="I1929" s="2" t="n">
        <f aca="false">IF(F1929="Present",9,IF(F1929="Half Day",4,0))</f>
        <v>4</v>
      </c>
      <c r="J1929" s="2"/>
      <c r="K1929" s="2" t="s">
        <v>466</v>
      </c>
    </row>
    <row r="1930" customFormat="false" ht="15" hidden="false" customHeight="false" outlineLevel="0" collapsed="false">
      <c r="A1930" s="2" t="s">
        <v>172</v>
      </c>
      <c r="B1930" s="2" t="s">
        <v>173</v>
      </c>
      <c r="C1930" s="2" t="s">
        <v>28</v>
      </c>
      <c r="D1930" s="3" t="n">
        <v>46241</v>
      </c>
      <c r="E1930" s="2" t="str">
        <f aca="false">TEXT(D1930,"dddd")</f>
        <v>Friday</v>
      </c>
      <c r="F1930" s="2" t="s">
        <v>457</v>
      </c>
      <c r="G1930" s="2" t="s">
        <v>458</v>
      </c>
      <c r="H1930" s="2" t="s">
        <v>459</v>
      </c>
      <c r="I1930" s="2" t="n">
        <f aca="false">IF(F1930="Present",9,IF(F1930="Half Day",4,0))</f>
        <v>9</v>
      </c>
      <c r="J1930" s="2"/>
      <c r="K1930" s="2"/>
    </row>
    <row r="1931" customFormat="false" ht="15" hidden="false" customHeight="false" outlineLevel="0" collapsed="false">
      <c r="A1931" s="2" t="s">
        <v>172</v>
      </c>
      <c r="B1931" s="2" t="s">
        <v>173</v>
      </c>
      <c r="C1931" s="2" t="s">
        <v>28</v>
      </c>
      <c r="D1931" s="3" t="n">
        <v>46242</v>
      </c>
      <c r="E1931" s="2" t="str">
        <f aca="false">TEXT(D1931,"dddd")</f>
        <v>Saturday</v>
      </c>
      <c r="F1931" s="2" t="s">
        <v>457</v>
      </c>
      <c r="G1931" s="2" t="s">
        <v>458</v>
      </c>
      <c r="H1931" s="2" t="s">
        <v>459</v>
      </c>
      <c r="I1931" s="2" t="n">
        <f aca="false">IF(F1931="Present",9,IF(F1931="Half Day",4,0))</f>
        <v>9</v>
      </c>
      <c r="J1931" s="2"/>
      <c r="K1931" s="2"/>
    </row>
    <row r="1932" customFormat="false" ht="15" hidden="false" customHeight="false" outlineLevel="0" collapsed="false">
      <c r="A1932" s="2" t="s">
        <v>172</v>
      </c>
      <c r="B1932" s="2" t="s">
        <v>173</v>
      </c>
      <c r="C1932" s="2" t="s">
        <v>28</v>
      </c>
      <c r="D1932" s="3" t="n">
        <v>46243</v>
      </c>
      <c r="E1932" s="2" t="str">
        <f aca="false">TEXT(D1932,"dddd")</f>
        <v>Sunday</v>
      </c>
      <c r="F1932" s="2" t="s">
        <v>460</v>
      </c>
      <c r="G1932" s="2"/>
      <c r="H1932" s="2"/>
      <c r="I1932" s="2" t="n">
        <f aca="false">IF(F1932="Present",9,IF(F1932="Half Day",4,0))</f>
        <v>0</v>
      </c>
      <c r="J1932" s="2"/>
      <c r="K1932" s="2" t="s">
        <v>460</v>
      </c>
    </row>
    <row r="1933" customFormat="false" ht="15" hidden="false" customHeight="false" outlineLevel="0" collapsed="false">
      <c r="A1933" s="2" t="s">
        <v>172</v>
      </c>
      <c r="B1933" s="2" t="s">
        <v>173</v>
      </c>
      <c r="C1933" s="2" t="s">
        <v>28</v>
      </c>
      <c r="D1933" s="3" t="n">
        <v>46244</v>
      </c>
      <c r="E1933" s="2" t="str">
        <f aca="false">TEXT(D1933,"dddd")</f>
        <v>Monday</v>
      </c>
      <c r="F1933" s="2" t="s">
        <v>463</v>
      </c>
      <c r="G1933" s="2"/>
      <c r="H1933" s="2"/>
      <c r="I1933" s="2" t="n">
        <f aca="false">IF(F1933="Present",9,IF(F1933="Half Day",4,0))</f>
        <v>0</v>
      </c>
      <c r="J1933" s="2" t="s">
        <v>472</v>
      </c>
      <c r="K1933" s="2" t="s">
        <v>473</v>
      </c>
    </row>
    <row r="1934" customFormat="false" ht="15" hidden="false" customHeight="false" outlineLevel="0" collapsed="false">
      <c r="A1934" s="2" t="s">
        <v>172</v>
      </c>
      <c r="B1934" s="2" t="s">
        <v>173</v>
      </c>
      <c r="C1934" s="2" t="s">
        <v>28</v>
      </c>
      <c r="D1934" s="3" t="n">
        <v>46245</v>
      </c>
      <c r="E1934" s="2" t="str">
        <f aca="false">TEXT(D1934,"dddd")</f>
        <v>Tuesday</v>
      </c>
      <c r="F1934" s="2" t="s">
        <v>457</v>
      </c>
      <c r="G1934" s="2" t="s">
        <v>458</v>
      </c>
      <c r="H1934" s="2" t="s">
        <v>459</v>
      </c>
      <c r="I1934" s="2" t="n">
        <f aca="false">IF(F1934="Present",9,IF(F1934="Half Day",4,0))</f>
        <v>9</v>
      </c>
      <c r="J1934" s="2"/>
      <c r="K1934" s="2"/>
    </row>
    <row r="1935" customFormat="false" ht="15" hidden="false" customHeight="false" outlineLevel="0" collapsed="false">
      <c r="A1935" s="2" t="s">
        <v>172</v>
      </c>
      <c r="B1935" s="2" t="s">
        <v>173</v>
      </c>
      <c r="C1935" s="2" t="s">
        <v>28</v>
      </c>
      <c r="D1935" s="3" t="n">
        <v>46246</v>
      </c>
      <c r="E1935" s="2" t="str">
        <f aca="false">TEXT(D1935,"dddd")</f>
        <v>Wednesday</v>
      </c>
      <c r="F1935" s="2" t="s">
        <v>461</v>
      </c>
      <c r="G1935" s="2"/>
      <c r="H1935" s="2"/>
      <c r="I1935" s="2" t="n">
        <f aca="false">IF(F1935="Present",9,IF(F1935="Half Day",4,0))</f>
        <v>0</v>
      </c>
      <c r="J1935" s="2"/>
      <c r="K1935" s="2" t="s">
        <v>462</v>
      </c>
    </row>
    <row r="1936" customFormat="false" ht="15" hidden="false" customHeight="false" outlineLevel="0" collapsed="false">
      <c r="A1936" s="2" t="s">
        <v>172</v>
      </c>
      <c r="B1936" s="2" t="s">
        <v>173</v>
      </c>
      <c r="C1936" s="2" t="s">
        <v>28</v>
      </c>
      <c r="D1936" s="3" t="n">
        <v>46247</v>
      </c>
      <c r="E1936" s="2" t="str">
        <f aca="false">TEXT(D1936,"dddd")</f>
        <v>Thursday</v>
      </c>
      <c r="F1936" s="2" t="s">
        <v>461</v>
      </c>
      <c r="G1936" s="2"/>
      <c r="H1936" s="2"/>
      <c r="I1936" s="2" t="n">
        <f aca="false">IF(F1936="Present",9,IF(F1936="Half Day",4,0))</f>
        <v>0</v>
      </c>
      <c r="J1936" s="2"/>
      <c r="K1936" s="2" t="s">
        <v>462</v>
      </c>
    </row>
    <row r="1937" customFormat="false" ht="15" hidden="false" customHeight="false" outlineLevel="0" collapsed="false">
      <c r="A1937" s="2" t="s">
        <v>172</v>
      </c>
      <c r="B1937" s="2" t="s">
        <v>173</v>
      </c>
      <c r="C1937" s="2" t="s">
        <v>28</v>
      </c>
      <c r="D1937" s="3" t="n">
        <v>46248</v>
      </c>
      <c r="E1937" s="2" t="str">
        <f aca="false">TEXT(D1937,"dddd")</f>
        <v>Friday</v>
      </c>
      <c r="F1937" s="2" t="s">
        <v>457</v>
      </c>
      <c r="G1937" s="2" t="s">
        <v>458</v>
      </c>
      <c r="H1937" s="2" t="s">
        <v>459</v>
      </c>
      <c r="I1937" s="2" t="n">
        <f aca="false">IF(F1937="Present",9,IF(F1937="Half Day",4,0))</f>
        <v>9</v>
      </c>
      <c r="J1937" s="2"/>
      <c r="K1937" s="2"/>
    </row>
    <row r="1938" customFormat="false" ht="15" hidden="false" customHeight="false" outlineLevel="0" collapsed="false">
      <c r="A1938" s="2" t="s">
        <v>172</v>
      </c>
      <c r="B1938" s="2" t="s">
        <v>173</v>
      </c>
      <c r="C1938" s="2" t="s">
        <v>28</v>
      </c>
      <c r="D1938" s="3" t="n">
        <v>46249</v>
      </c>
      <c r="E1938" s="2" t="str">
        <f aca="false">TEXT(D1938,"dddd")</f>
        <v>Saturday</v>
      </c>
      <c r="F1938" s="2" t="s">
        <v>457</v>
      </c>
      <c r="G1938" s="2" t="s">
        <v>458</v>
      </c>
      <c r="H1938" s="2" t="s">
        <v>459</v>
      </c>
      <c r="I1938" s="2" t="n">
        <f aca="false">IF(F1938="Present",9,IF(F1938="Half Day",4,0))</f>
        <v>9</v>
      </c>
      <c r="J1938" s="2"/>
      <c r="K1938" s="2"/>
    </row>
    <row r="1939" customFormat="false" ht="15" hidden="false" customHeight="false" outlineLevel="0" collapsed="false">
      <c r="A1939" s="2" t="s">
        <v>172</v>
      </c>
      <c r="B1939" s="2" t="s">
        <v>173</v>
      </c>
      <c r="C1939" s="2" t="s">
        <v>28</v>
      </c>
      <c r="D1939" s="3" t="n">
        <v>46250</v>
      </c>
      <c r="E1939" s="2" t="str">
        <f aca="false">TEXT(D1939,"dddd")</f>
        <v>Sunday</v>
      </c>
      <c r="F1939" s="2" t="s">
        <v>460</v>
      </c>
      <c r="G1939" s="2"/>
      <c r="H1939" s="2"/>
      <c r="I1939" s="2" t="n">
        <f aca="false">IF(F1939="Present",9,IF(F1939="Half Day",4,0))</f>
        <v>0</v>
      </c>
      <c r="J1939" s="2"/>
      <c r="K1939" s="2" t="s">
        <v>460</v>
      </c>
    </row>
    <row r="1940" customFormat="false" ht="15" hidden="false" customHeight="false" outlineLevel="0" collapsed="false">
      <c r="A1940" s="2" t="s">
        <v>172</v>
      </c>
      <c r="B1940" s="2" t="s">
        <v>173</v>
      </c>
      <c r="C1940" s="2" t="s">
        <v>28</v>
      </c>
      <c r="D1940" s="3" t="n">
        <v>46251</v>
      </c>
      <c r="E1940" s="2" t="str">
        <f aca="false">TEXT(D1940,"dddd")</f>
        <v>Monday</v>
      </c>
      <c r="F1940" s="2" t="s">
        <v>461</v>
      </c>
      <c r="G1940" s="2"/>
      <c r="H1940" s="2"/>
      <c r="I1940" s="2" t="n">
        <f aca="false">IF(F1940="Present",9,IF(F1940="Half Day",4,0))</f>
        <v>0</v>
      </c>
      <c r="J1940" s="2"/>
      <c r="K1940" s="2" t="s">
        <v>462</v>
      </c>
    </row>
    <row r="1941" customFormat="false" ht="15" hidden="false" customHeight="false" outlineLevel="0" collapsed="false">
      <c r="A1941" s="2" t="s">
        <v>172</v>
      </c>
      <c r="B1941" s="2" t="s">
        <v>173</v>
      </c>
      <c r="C1941" s="2" t="s">
        <v>28</v>
      </c>
      <c r="D1941" s="3" t="n">
        <v>46252</v>
      </c>
      <c r="E1941" s="2" t="str">
        <f aca="false">TEXT(D1941,"dddd")</f>
        <v>Tuesday</v>
      </c>
      <c r="F1941" s="2" t="s">
        <v>461</v>
      </c>
      <c r="G1941" s="2"/>
      <c r="H1941" s="2"/>
      <c r="I1941" s="2" t="n">
        <f aca="false">IF(F1941="Present",9,IF(F1941="Half Day",4,0))</f>
        <v>0</v>
      </c>
      <c r="J1941" s="2"/>
      <c r="K1941" s="2" t="s">
        <v>462</v>
      </c>
    </row>
    <row r="1942" customFormat="false" ht="15" hidden="false" customHeight="false" outlineLevel="0" collapsed="false">
      <c r="A1942" s="2" t="s">
        <v>172</v>
      </c>
      <c r="B1942" s="2" t="s">
        <v>173</v>
      </c>
      <c r="C1942" s="2" t="s">
        <v>28</v>
      </c>
      <c r="D1942" s="3" t="n">
        <v>46253</v>
      </c>
      <c r="E1942" s="2" t="str">
        <f aca="false">TEXT(D1942,"dddd")</f>
        <v>Wednesday</v>
      </c>
      <c r="F1942" s="2" t="s">
        <v>457</v>
      </c>
      <c r="G1942" s="2" t="s">
        <v>458</v>
      </c>
      <c r="H1942" s="2" t="s">
        <v>459</v>
      </c>
      <c r="I1942" s="2" t="n">
        <f aca="false">IF(F1942="Present",9,IF(F1942="Half Day",4,0))</f>
        <v>9</v>
      </c>
      <c r="J1942" s="2"/>
      <c r="K1942" s="2"/>
    </row>
    <row r="1943" customFormat="false" ht="15" hidden="false" customHeight="false" outlineLevel="0" collapsed="false">
      <c r="A1943" s="2" t="s">
        <v>172</v>
      </c>
      <c r="B1943" s="2" t="s">
        <v>173</v>
      </c>
      <c r="C1943" s="2" t="s">
        <v>28</v>
      </c>
      <c r="D1943" s="3" t="n">
        <v>46254</v>
      </c>
      <c r="E1943" s="2" t="str">
        <f aca="false">TEXT(D1943,"dddd")</f>
        <v>Thursday</v>
      </c>
      <c r="F1943" s="2" t="s">
        <v>461</v>
      </c>
      <c r="G1943" s="2"/>
      <c r="H1943" s="2"/>
      <c r="I1943" s="2" t="n">
        <f aca="false">IF(F1943="Present",9,IF(F1943="Half Day",4,0))</f>
        <v>0</v>
      </c>
      <c r="J1943" s="2"/>
      <c r="K1943" s="2" t="s">
        <v>462</v>
      </c>
    </row>
    <row r="1944" customFormat="false" ht="15" hidden="false" customHeight="false" outlineLevel="0" collapsed="false">
      <c r="A1944" s="2" t="s">
        <v>172</v>
      </c>
      <c r="B1944" s="2" t="s">
        <v>173</v>
      </c>
      <c r="C1944" s="2" t="s">
        <v>28</v>
      </c>
      <c r="D1944" s="3" t="n">
        <v>46255</v>
      </c>
      <c r="E1944" s="2" t="str">
        <f aca="false">TEXT(D1944,"dddd")</f>
        <v>Friday</v>
      </c>
      <c r="F1944" s="2" t="s">
        <v>457</v>
      </c>
      <c r="G1944" s="2" t="s">
        <v>458</v>
      </c>
      <c r="H1944" s="2" t="s">
        <v>459</v>
      </c>
      <c r="I1944" s="2" t="n">
        <f aca="false">IF(F1944="Present",9,IF(F1944="Half Day",4,0))</f>
        <v>9</v>
      </c>
      <c r="J1944" s="2"/>
      <c r="K1944" s="2"/>
    </row>
    <row r="1945" customFormat="false" ht="15" hidden="false" customHeight="false" outlineLevel="0" collapsed="false">
      <c r="A1945" s="2" t="s">
        <v>172</v>
      </c>
      <c r="B1945" s="2" t="s">
        <v>173</v>
      </c>
      <c r="C1945" s="2" t="s">
        <v>28</v>
      </c>
      <c r="D1945" s="3" t="n">
        <v>46256</v>
      </c>
      <c r="E1945" s="2" t="str">
        <f aca="false">TEXT(D1945,"dddd")</f>
        <v>Saturday</v>
      </c>
      <c r="F1945" s="2" t="s">
        <v>457</v>
      </c>
      <c r="G1945" s="2" t="s">
        <v>458</v>
      </c>
      <c r="H1945" s="2" t="s">
        <v>459</v>
      </c>
      <c r="I1945" s="2" t="n">
        <f aca="false">IF(F1945="Present",9,IF(F1945="Half Day",4,0))</f>
        <v>9</v>
      </c>
      <c r="J1945" s="2"/>
      <c r="K1945" s="2"/>
    </row>
    <row r="1946" customFormat="false" ht="15" hidden="false" customHeight="false" outlineLevel="0" collapsed="false">
      <c r="A1946" s="2" t="s">
        <v>172</v>
      </c>
      <c r="B1946" s="2" t="s">
        <v>173</v>
      </c>
      <c r="C1946" s="2" t="s">
        <v>28</v>
      </c>
      <c r="D1946" s="3" t="n">
        <v>46257</v>
      </c>
      <c r="E1946" s="2" t="str">
        <f aca="false">TEXT(D1946,"dddd")</f>
        <v>Sunday</v>
      </c>
      <c r="F1946" s="2" t="s">
        <v>460</v>
      </c>
      <c r="G1946" s="2"/>
      <c r="H1946" s="2"/>
      <c r="I1946" s="2" t="n">
        <f aca="false">IF(F1946="Present",9,IF(F1946="Half Day",4,0))</f>
        <v>0</v>
      </c>
      <c r="J1946" s="2"/>
      <c r="K1946" s="2" t="s">
        <v>460</v>
      </c>
    </row>
    <row r="1947" customFormat="false" ht="15" hidden="false" customHeight="false" outlineLevel="0" collapsed="false">
      <c r="A1947" s="2" t="s">
        <v>172</v>
      </c>
      <c r="B1947" s="2" t="s">
        <v>173</v>
      </c>
      <c r="C1947" s="2" t="s">
        <v>28</v>
      </c>
      <c r="D1947" s="3" t="n">
        <v>46258</v>
      </c>
      <c r="E1947" s="2" t="str">
        <f aca="false">TEXT(D1947,"dddd")</f>
        <v>Monday</v>
      </c>
      <c r="F1947" s="2" t="s">
        <v>461</v>
      </c>
      <c r="G1947" s="2"/>
      <c r="H1947" s="2"/>
      <c r="I1947" s="2" t="n">
        <f aca="false">IF(F1947="Present",9,IF(F1947="Half Day",4,0))</f>
        <v>0</v>
      </c>
      <c r="J1947" s="2"/>
      <c r="K1947" s="2" t="s">
        <v>462</v>
      </c>
    </row>
    <row r="1948" customFormat="false" ht="15" hidden="false" customHeight="false" outlineLevel="0" collapsed="false">
      <c r="A1948" s="2" t="s">
        <v>172</v>
      </c>
      <c r="B1948" s="2" t="s">
        <v>173</v>
      </c>
      <c r="C1948" s="2" t="s">
        <v>28</v>
      </c>
      <c r="D1948" s="3" t="n">
        <v>46259</v>
      </c>
      <c r="E1948" s="2" t="str">
        <f aca="false">TEXT(D1948,"dddd")</f>
        <v>Tuesday</v>
      </c>
      <c r="F1948" s="2" t="s">
        <v>466</v>
      </c>
      <c r="G1948" s="2" t="s">
        <v>458</v>
      </c>
      <c r="H1948" s="2" t="s">
        <v>467</v>
      </c>
      <c r="I1948" s="2" t="n">
        <f aca="false">IF(F1948="Present",9,IF(F1948="Half Day",4,0))</f>
        <v>4</v>
      </c>
      <c r="J1948" s="2"/>
      <c r="K1948" s="2" t="s">
        <v>466</v>
      </c>
    </row>
    <row r="1949" customFormat="false" ht="15" hidden="false" customHeight="false" outlineLevel="0" collapsed="false">
      <c r="A1949" s="2" t="s">
        <v>172</v>
      </c>
      <c r="B1949" s="2" t="s">
        <v>173</v>
      </c>
      <c r="C1949" s="2" t="s">
        <v>28</v>
      </c>
      <c r="D1949" s="3" t="n">
        <v>46260</v>
      </c>
      <c r="E1949" s="2" t="str">
        <f aca="false">TEXT(D1949,"dddd")</f>
        <v>Wednesday</v>
      </c>
      <c r="F1949" s="2" t="s">
        <v>457</v>
      </c>
      <c r="G1949" s="2" t="s">
        <v>458</v>
      </c>
      <c r="H1949" s="2" t="s">
        <v>459</v>
      </c>
      <c r="I1949" s="2" t="n">
        <f aca="false">IF(F1949="Present",9,IF(F1949="Half Day",4,0))</f>
        <v>9</v>
      </c>
      <c r="J1949" s="2"/>
      <c r="K1949" s="2"/>
    </row>
    <row r="1950" customFormat="false" ht="15" hidden="false" customHeight="false" outlineLevel="0" collapsed="false">
      <c r="A1950" s="2" t="s">
        <v>172</v>
      </c>
      <c r="B1950" s="2" t="s">
        <v>173</v>
      </c>
      <c r="C1950" s="2" t="s">
        <v>28</v>
      </c>
      <c r="D1950" s="3" t="n">
        <v>46261</v>
      </c>
      <c r="E1950" s="2" t="str">
        <f aca="false">TEXT(D1950,"dddd")</f>
        <v>Thursday</v>
      </c>
      <c r="F1950" s="2" t="s">
        <v>461</v>
      </c>
      <c r="G1950" s="2"/>
      <c r="H1950" s="2"/>
      <c r="I1950" s="2" t="n">
        <f aca="false">IF(F1950="Present",9,IF(F1950="Half Day",4,0))</f>
        <v>0</v>
      </c>
      <c r="J1950" s="2"/>
      <c r="K1950" s="2" t="s">
        <v>462</v>
      </c>
    </row>
    <row r="1951" customFormat="false" ht="15" hidden="false" customHeight="false" outlineLevel="0" collapsed="false">
      <c r="A1951" s="2" t="s">
        <v>172</v>
      </c>
      <c r="B1951" s="2" t="s">
        <v>173</v>
      </c>
      <c r="C1951" s="2" t="s">
        <v>28</v>
      </c>
      <c r="D1951" s="3" t="n">
        <v>46262</v>
      </c>
      <c r="E1951" s="2" t="str">
        <f aca="false">TEXT(D1951,"dddd")</f>
        <v>Friday</v>
      </c>
      <c r="F1951" s="2" t="s">
        <v>461</v>
      </c>
      <c r="G1951" s="2"/>
      <c r="H1951" s="2"/>
      <c r="I1951" s="2" t="n">
        <f aca="false">IF(F1951="Present",9,IF(F1951="Half Day",4,0))</f>
        <v>0</v>
      </c>
      <c r="J1951" s="2"/>
      <c r="K1951" s="2" t="s">
        <v>462</v>
      </c>
    </row>
    <row r="1952" customFormat="false" ht="15" hidden="false" customHeight="false" outlineLevel="0" collapsed="false">
      <c r="A1952" s="2" t="s">
        <v>172</v>
      </c>
      <c r="B1952" s="2" t="s">
        <v>173</v>
      </c>
      <c r="C1952" s="2" t="s">
        <v>28</v>
      </c>
      <c r="D1952" s="3" t="n">
        <v>46263</v>
      </c>
      <c r="E1952" s="2" t="str">
        <f aca="false">TEXT(D1952,"dddd")</f>
        <v>Saturday</v>
      </c>
      <c r="F1952" s="2" t="s">
        <v>457</v>
      </c>
      <c r="G1952" s="2" t="s">
        <v>458</v>
      </c>
      <c r="H1952" s="2" t="s">
        <v>459</v>
      </c>
      <c r="I1952" s="2" t="n">
        <f aca="false">IF(F1952="Present",9,IF(F1952="Half Day",4,0))</f>
        <v>9</v>
      </c>
      <c r="J1952" s="2"/>
      <c r="K1952" s="2"/>
    </row>
    <row r="1953" customFormat="false" ht="15" hidden="false" customHeight="false" outlineLevel="0" collapsed="false">
      <c r="A1953" s="2" t="s">
        <v>172</v>
      </c>
      <c r="B1953" s="2" t="s">
        <v>173</v>
      </c>
      <c r="C1953" s="2" t="s">
        <v>28</v>
      </c>
      <c r="D1953" s="3" t="n">
        <v>46264</v>
      </c>
      <c r="E1953" s="2" t="str">
        <f aca="false">TEXT(D1953,"dddd")</f>
        <v>Sunday</v>
      </c>
      <c r="F1953" s="2" t="s">
        <v>460</v>
      </c>
      <c r="G1953" s="2"/>
      <c r="H1953" s="2"/>
      <c r="I1953" s="2" t="n">
        <f aca="false">IF(F1953="Present",9,IF(F1953="Half Day",4,0))</f>
        <v>0</v>
      </c>
      <c r="J1953" s="2"/>
      <c r="K1953" s="2" t="s">
        <v>460</v>
      </c>
    </row>
    <row r="1954" customFormat="false" ht="15" hidden="false" customHeight="false" outlineLevel="0" collapsed="false">
      <c r="A1954" s="2" t="s">
        <v>172</v>
      </c>
      <c r="B1954" s="2" t="s">
        <v>173</v>
      </c>
      <c r="C1954" s="2" t="s">
        <v>28</v>
      </c>
      <c r="D1954" s="3" t="n">
        <v>46265</v>
      </c>
      <c r="E1954" s="2" t="str">
        <f aca="false">TEXT(D1954,"dddd")</f>
        <v>Monday</v>
      </c>
      <c r="F1954" s="2" t="s">
        <v>457</v>
      </c>
      <c r="G1954" s="2" t="s">
        <v>458</v>
      </c>
      <c r="H1954" s="2" t="s">
        <v>459</v>
      </c>
      <c r="I1954" s="2" t="n">
        <f aca="false">IF(F1954="Present",9,IF(F1954="Half Day",4,0))</f>
        <v>9</v>
      </c>
      <c r="J1954" s="2"/>
      <c r="K1954" s="2"/>
    </row>
    <row r="1955" customFormat="false" ht="15" hidden="false" customHeight="false" outlineLevel="0" collapsed="false">
      <c r="A1955" s="2" t="s">
        <v>174</v>
      </c>
      <c r="B1955" s="2" t="s">
        <v>175</v>
      </c>
      <c r="C1955" s="2" t="s">
        <v>32</v>
      </c>
      <c r="D1955" s="3" t="n">
        <v>46235</v>
      </c>
      <c r="E1955" s="2" t="str">
        <f aca="false">TEXT(D1955,"dddd")</f>
        <v>Saturday</v>
      </c>
      <c r="F1955" s="2" t="s">
        <v>457</v>
      </c>
      <c r="G1955" s="2" t="s">
        <v>458</v>
      </c>
      <c r="H1955" s="2" t="s">
        <v>459</v>
      </c>
      <c r="I1955" s="2" t="n">
        <f aca="false">IF(F1955="Present",9,IF(F1955="Half Day",4,0))</f>
        <v>9</v>
      </c>
      <c r="J1955" s="2"/>
      <c r="K1955" s="2"/>
    </row>
    <row r="1956" customFormat="false" ht="15" hidden="false" customHeight="false" outlineLevel="0" collapsed="false">
      <c r="A1956" s="2" t="s">
        <v>174</v>
      </c>
      <c r="B1956" s="2" t="s">
        <v>175</v>
      </c>
      <c r="C1956" s="2" t="s">
        <v>32</v>
      </c>
      <c r="D1956" s="3" t="n">
        <v>46236</v>
      </c>
      <c r="E1956" s="2" t="str">
        <f aca="false">TEXT(D1956,"dddd")</f>
        <v>Sunday</v>
      </c>
      <c r="F1956" s="2" t="s">
        <v>460</v>
      </c>
      <c r="G1956" s="2"/>
      <c r="H1956" s="2"/>
      <c r="I1956" s="2" t="n">
        <f aca="false">IF(F1956="Present",9,IF(F1956="Half Day",4,0))</f>
        <v>0</v>
      </c>
      <c r="J1956" s="2"/>
      <c r="K1956" s="2" t="s">
        <v>460</v>
      </c>
    </row>
    <row r="1957" customFormat="false" ht="15" hidden="false" customHeight="false" outlineLevel="0" collapsed="false">
      <c r="A1957" s="2" t="s">
        <v>174</v>
      </c>
      <c r="B1957" s="2" t="s">
        <v>175</v>
      </c>
      <c r="C1957" s="2" t="s">
        <v>32</v>
      </c>
      <c r="D1957" s="3" t="n">
        <v>46237</v>
      </c>
      <c r="E1957" s="2" t="str">
        <f aca="false">TEXT(D1957,"dddd")</f>
        <v>Monday</v>
      </c>
      <c r="F1957" s="2" t="s">
        <v>461</v>
      </c>
      <c r="G1957" s="2"/>
      <c r="H1957" s="2"/>
      <c r="I1957" s="2" t="n">
        <f aca="false">IF(F1957="Present",9,IF(F1957="Half Day",4,0))</f>
        <v>0</v>
      </c>
      <c r="J1957" s="2"/>
      <c r="K1957" s="2" t="s">
        <v>462</v>
      </c>
    </row>
    <row r="1958" customFormat="false" ht="15" hidden="false" customHeight="false" outlineLevel="0" collapsed="false">
      <c r="A1958" s="2" t="s">
        <v>174</v>
      </c>
      <c r="B1958" s="2" t="s">
        <v>175</v>
      </c>
      <c r="C1958" s="2" t="s">
        <v>32</v>
      </c>
      <c r="D1958" s="3" t="n">
        <v>46238</v>
      </c>
      <c r="E1958" s="2" t="str">
        <f aca="false">TEXT(D1958,"dddd")</f>
        <v>Tuesday</v>
      </c>
      <c r="F1958" s="2" t="s">
        <v>457</v>
      </c>
      <c r="G1958" s="2" t="s">
        <v>458</v>
      </c>
      <c r="H1958" s="2" t="s">
        <v>459</v>
      </c>
      <c r="I1958" s="2" t="n">
        <f aca="false">IF(F1958="Present",9,IF(F1958="Half Day",4,0))</f>
        <v>9</v>
      </c>
      <c r="J1958" s="2"/>
      <c r="K1958" s="2"/>
    </row>
    <row r="1959" customFormat="false" ht="15" hidden="false" customHeight="false" outlineLevel="0" collapsed="false">
      <c r="A1959" s="2" t="s">
        <v>174</v>
      </c>
      <c r="B1959" s="2" t="s">
        <v>175</v>
      </c>
      <c r="C1959" s="2" t="s">
        <v>32</v>
      </c>
      <c r="D1959" s="3" t="n">
        <v>46239</v>
      </c>
      <c r="E1959" s="2" t="str">
        <f aca="false">TEXT(D1959,"dddd")</f>
        <v>Wednesday</v>
      </c>
      <c r="F1959" s="2" t="s">
        <v>457</v>
      </c>
      <c r="G1959" s="2" t="s">
        <v>458</v>
      </c>
      <c r="H1959" s="2" t="s">
        <v>459</v>
      </c>
      <c r="I1959" s="2" t="n">
        <f aca="false">IF(F1959="Present",9,IF(F1959="Half Day",4,0))</f>
        <v>9</v>
      </c>
      <c r="J1959" s="2"/>
      <c r="K1959" s="2"/>
    </row>
    <row r="1960" customFormat="false" ht="15" hidden="false" customHeight="false" outlineLevel="0" collapsed="false">
      <c r="A1960" s="2" t="s">
        <v>174</v>
      </c>
      <c r="B1960" s="2" t="s">
        <v>175</v>
      </c>
      <c r="C1960" s="2" t="s">
        <v>32</v>
      </c>
      <c r="D1960" s="3" t="n">
        <v>46240</v>
      </c>
      <c r="E1960" s="2" t="str">
        <f aca="false">TEXT(D1960,"dddd")</f>
        <v>Thursday</v>
      </c>
      <c r="F1960" s="2" t="s">
        <v>457</v>
      </c>
      <c r="G1960" s="2" t="s">
        <v>458</v>
      </c>
      <c r="H1960" s="2" t="s">
        <v>459</v>
      </c>
      <c r="I1960" s="2" t="n">
        <f aca="false">IF(F1960="Present",9,IF(F1960="Half Day",4,0))</f>
        <v>9</v>
      </c>
      <c r="J1960" s="2"/>
      <c r="K1960" s="2"/>
    </row>
    <row r="1961" customFormat="false" ht="15" hidden="false" customHeight="false" outlineLevel="0" collapsed="false">
      <c r="A1961" s="2" t="s">
        <v>174</v>
      </c>
      <c r="B1961" s="2" t="s">
        <v>175</v>
      </c>
      <c r="C1961" s="2" t="s">
        <v>32</v>
      </c>
      <c r="D1961" s="3" t="n">
        <v>46241</v>
      </c>
      <c r="E1961" s="2" t="str">
        <f aca="false">TEXT(D1961,"dddd")</f>
        <v>Friday</v>
      </c>
      <c r="F1961" s="2" t="s">
        <v>463</v>
      </c>
      <c r="G1961" s="2"/>
      <c r="H1961" s="2"/>
      <c r="I1961" s="2" t="n">
        <f aca="false">IF(F1961="Present",9,IF(F1961="Half Day",4,0))</f>
        <v>0</v>
      </c>
      <c r="J1961" s="2" t="s">
        <v>464</v>
      </c>
      <c r="K1961" s="2" t="s">
        <v>465</v>
      </c>
    </row>
    <row r="1962" customFormat="false" ht="15" hidden="false" customHeight="false" outlineLevel="0" collapsed="false">
      <c r="A1962" s="2" t="s">
        <v>174</v>
      </c>
      <c r="B1962" s="2" t="s">
        <v>175</v>
      </c>
      <c r="C1962" s="2" t="s">
        <v>32</v>
      </c>
      <c r="D1962" s="3" t="n">
        <v>46242</v>
      </c>
      <c r="E1962" s="2" t="str">
        <f aca="false">TEXT(D1962,"dddd")</f>
        <v>Saturday</v>
      </c>
      <c r="F1962" s="2" t="s">
        <v>457</v>
      </c>
      <c r="G1962" s="2" t="s">
        <v>458</v>
      </c>
      <c r="H1962" s="2" t="s">
        <v>459</v>
      </c>
      <c r="I1962" s="2" t="n">
        <f aca="false">IF(F1962="Present",9,IF(F1962="Half Day",4,0))</f>
        <v>9</v>
      </c>
      <c r="J1962" s="2"/>
      <c r="K1962" s="2"/>
    </row>
    <row r="1963" customFormat="false" ht="15" hidden="false" customHeight="false" outlineLevel="0" collapsed="false">
      <c r="A1963" s="2" t="s">
        <v>174</v>
      </c>
      <c r="B1963" s="2" t="s">
        <v>175</v>
      </c>
      <c r="C1963" s="2" t="s">
        <v>32</v>
      </c>
      <c r="D1963" s="3" t="n">
        <v>46243</v>
      </c>
      <c r="E1963" s="2" t="str">
        <f aca="false">TEXT(D1963,"dddd")</f>
        <v>Sunday</v>
      </c>
      <c r="F1963" s="2" t="s">
        <v>460</v>
      </c>
      <c r="G1963" s="2"/>
      <c r="H1963" s="2"/>
      <c r="I1963" s="2" t="n">
        <f aca="false">IF(F1963="Present",9,IF(F1963="Half Day",4,0))</f>
        <v>0</v>
      </c>
      <c r="J1963" s="2"/>
      <c r="K1963" s="2" t="s">
        <v>460</v>
      </c>
    </row>
    <row r="1964" customFormat="false" ht="15" hidden="false" customHeight="false" outlineLevel="0" collapsed="false">
      <c r="A1964" s="2" t="s">
        <v>174</v>
      </c>
      <c r="B1964" s="2" t="s">
        <v>175</v>
      </c>
      <c r="C1964" s="2" t="s">
        <v>32</v>
      </c>
      <c r="D1964" s="3" t="n">
        <v>46244</v>
      </c>
      <c r="E1964" s="2" t="str">
        <f aca="false">TEXT(D1964,"dddd")</f>
        <v>Monday</v>
      </c>
      <c r="F1964" s="2" t="s">
        <v>457</v>
      </c>
      <c r="G1964" s="2" t="s">
        <v>458</v>
      </c>
      <c r="H1964" s="2" t="s">
        <v>459</v>
      </c>
      <c r="I1964" s="2" t="n">
        <f aca="false">IF(F1964="Present",9,IF(F1964="Half Day",4,0))</f>
        <v>9</v>
      </c>
      <c r="J1964" s="2"/>
      <c r="K1964" s="2"/>
    </row>
    <row r="1965" customFormat="false" ht="15" hidden="false" customHeight="false" outlineLevel="0" collapsed="false">
      <c r="A1965" s="2" t="s">
        <v>174</v>
      </c>
      <c r="B1965" s="2" t="s">
        <v>175</v>
      </c>
      <c r="C1965" s="2" t="s">
        <v>32</v>
      </c>
      <c r="D1965" s="3" t="n">
        <v>46245</v>
      </c>
      <c r="E1965" s="2" t="str">
        <f aca="false">TEXT(D1965,"dddd")</f>
        <v>Tuesday</v>
      </c>
      <c r="F1965" s="2" t="s">
        <v>457</v>
      </c>
      <c r="G1965" s="2" t="s">
        <v>458</v>
      </c>
      <c r="H1965" s="2" t="s">
        <v>459</v>
      </c>
      <c r="I1965" s="2" t="n">
        <f aca="false">IF(F1965="Present",9,IF(F1965="Half Day",4,0))</f>
        <v>9</v>
      </c>
      <c r="J1965" s="2"/>
      <c r="K1965" s="2"/>
    </row>
    <row r="1966" customFormat="false" ht="15" hidden="false" customHeight="false" outlineLevel="0" collapsed="false">
      <c r="A1966" s="2" t="s">
        <v>174</v>
      </c>
      <c r="B1966" s="2" t="s">
        <v>175</v>
      </c>
      <c r="C1966" s="2" t="s">
        <v>32</v>
      </c>
      <c r="D1966" s="3" t="n">
        <v>46246</v>
      </c>
      <c r="E1966" s="2" t="str">
        <f aca="false">TEXT(D1966,"dddd")</f>
        <v>Wednesday</v>
      </c>
      <c r="F1966" s="2" t="s">
        <v>457</v>
      </c>
      <c r="G1966" s="2" t="s">
        <v>458</v>
      </c>
      <c r="H1966" s="2" t="s">
        <v>459</v>
      </c>
      <c r="I1966" s="2" t="n">
        <f aca="false">IF(F1966="Present",9,IF(F1966="Half Day",4,0))</f>
        <v>9</v>
      </c>
      <c r="J1966" s="2"/>
      <c r="K1966" s="2"/>
    </row>
    <row r="1967" customFormat="false" ht="15" hidden="false" customHeight="false" outlineLevel="0" collapsed="false">
      <c r="A1967" s="2" t="s">
        <v>174</v>
      </c>
      <c r="B1967" s="2" t="s">
        <v>175</v>
      </c>
      <c r="C1967" s="2" t="s">
        <v>32</v>
      </c>
      <c r="D1967" s="3" t="n">
        <v>46247</v>
      </c>
      <c r="E1967" s="2" t="str">
        <f aca="false">TEXT(D1967,"dddd")</f>
        <v>Thursday</v>
      </c>
      <c r="F1967" s="2" t="s">
        <v>457</v>
      </c>
      <c r="G1967" s="2" t="s">
        <v>458</v>
      </c>
      <c r="H1967" s="2" t="s">
        <v>459</v>
      </c>
      <c r="I1967" s="2" t="n">
        <f aca="false">IF(F1967="Present",9,IF(F1967="Half Day",4,0))</f>
        <v>9</v>
      </c>
      <c r="J1967" s="2"/>
      <c r="K1967" s="2"/>
    </row>
    <row r="1968" customFormat="false" ht="15" hidden="false" customHeight="false" outlineLevel="0" collapsed="false">
      <c r="A1968" s="2" t="s">
        <v>174</v>
      </c>
      <c r="B1968" s="2" t="s">
        <v>175</v>
      </c>
      <c r="C1968" s="2" t="s">
        <v>32</v>
      </c>
      <c r="D1968" s="3" t="n">
        <v>46248</v>
      </c>
      <c r="E1968" s="2" t="str">
        <f aca="false">TEXT(D1968,"dddd")</f>
        <v>Friday</v>
      </c>
      <c r="F1968" s="2" t="s">
        <v>457</v>
      </c>
      <c r="G1968" s="2" t="s">
        <v>458</v>
      </c>
      <c r="H1968" s="2" t="s">
        <v>459</v>
      </c>
      <c r="I1968" s="2" t="n">
        <f aca="false">IF(F1968="Present",9,IF(F1968="Half Day",4,0))</f>
        <v>9</v>
      </c>
      <c r="J1968" s="2"/>
      <c r="K1968" s="2"/>
    </row>
    <row r="1969" customFormat="false" ht="15" hidden="false" customHeight="false" outlineLevel="0" collapsed="false">
      <c r="A1969" s="2" t="s">
        <v>174</v>
      </c>
      <c r="B1969" s="2" t="s">
        <v>175</v>
      </c>
      <c r="C1969" s="2" t="s">
        <v>32</v>
      </c>
      <c r="D1969" s="3" t="n">
        <v>46249</v>
      </c>
      <c r="E1969" s="2" t="str">
        <f aca="false">TEXT(D1969,"dddd")</f>
        <v>Saturday</v>
      </c>
      <c r="F1969" s="2" t="s">
        <v>457</v>
      </c>
      <c r="G1969" s="2" t="s">
        <v>458</v>
      </c>
      <c r="H1969" s="2" t="s">
        <v>459</v>
      </c>
      <c r="I1969" s="2" t="n">
        <f aca="false">IF(F1969="Present",9,IF(F1969="Half Day",4,0))</f>
        <v>9</v>
      </c>
      <c r="J1969" s="2"/>
      <c r="K1969" s="2"/>
    </row>
    <row r="1970" customFormat="false" ht="15" hidden="false" customHeight="false" outlineLevel="0" collapsed="false">
      <c r="A1970" s="2" t="s">
        <v>174</v>
      </c>
      <c r="B1970" s="2" t="s">
        <v>175</v>
      </c>
      <c r="C1970" s="2" t="s">
        <v>32</v>
      </c>
      <c r="D1970" s="3" t="n">
        <v>46250</v>
      </c>
      <c r="E1970" s="2" t="str">
        <f aca="false">TEXT(D1970,"dddd")</f>
        <v>Sunday</v>
      </c>
      <c r="F1970" s="2" t="s">
        <v>460</v>
      </c>
      <c r="G1970" s="2"/>
      <c r="H1970" s="2"/>
      <c r="I1970" s="2" t="n">
        <f aca="false">IF(F1970="Present",9,IF(F1970="Half Day",4,0))</f>
        <v>0</v>
      </c>
      <c r="J1970" s="2"/>
      <c r="K1970" s="2" t="s">
        <v>460</v>
      </c>
    </row>
    <row r="1971" customFormat="false" ht="15" hidden="false" customHeight="false" outlineLevel="0" collapsed="false">
      <c r="A1971" s="2" t="s">
        <v>174</v>
      </c>
      <c r="B1971" s="2" t="s">
        <v>175</v>
      </c>
      <c r="C1971" s="2" t="s">
        <v>32</v>
      </c>
      <c r="D1971" s="3" t="n">
        <v>46251</v>
      </c>
      <c r="E1971" s="2" t="str">
        <f aca="false">TEXT(D1971,"dddd")</f>
        <v>Monday</v>
      </c>
      <c r="F1971" s="2" t="s">
        <v>461</v>
      </c>
      <c r="G1971" s="2"/>
      <c r="H1971" s="2"/>
      <c r="I1971" s="2" t="n">
        <f aca="false">IF(F1971="Present",9,IF(F1971="Half Day",4,0))</f>
        <v>0</v>
      </c>
      <c r="J1971" s="2"/>
      <c r="K1971" s="2" t="s">
        <v>462</v>
      </c>
    </row>
    <row r="1972" customFormat="false" ht="15" hidden="false" customHeight="false" outlineLevel="0" collapsed="false">
      <c r="A1972" s="2" t="s">
        <v>174</v>
      </c>
      <c r="B1972" s="2" t="s">
        <v>175</v>
      </c>
      <c r="C1972" s="2" t="s">
        <v>32</v>
      </c>
      <c r="D1972" s="3" t="n">
        <v>46252</v>
      </c>
      <c r="E1972" s="2" t="str">
        <f aca="false">TEXT(D1972,"dddd")</f>
        <v>Tuesday</v>
      </c>
      <c r="F1972" s="2" t="s">
        <v>457</v>
      </c>
      <c r="G1972" s="2" t="s">
        <v>458</v>
      </c>
      <c r="H1972" s="2" t="s">
        <v>459</v>
      </c>
      <c r="I1972" s="2" t="n">
        <f aca="false">IF(F1972="Present",9,IF(F1972="Half Day",4,0))</f>
        <v>9</v>
      </c>
      <c r="J1972" s="2"/>
      <c r="K1972" s="2"/>
    </row>
    <row r="1973" customFormat="false" ht="15" hidden="false" customHeight="false" outlineLevel="0" collapsed="false">
      <c r="A1973" s="2" t="s">
        <v>174</v>
      </c>
      <c r="B1973" s="2" t="s">
        <v>175</v>
      </c>
      <c r="C1973" s="2" t="s">
        <v>32</v>
      </c>
      <c r="D1973" s="3" t="n">
        <v>46253</v>
      </c>
      <c r="E1973" s="2" t="str">
        <f aca="false">TEXT(D1973,"dddd")</f>
        <v>Wednesday</v>
      </c>
      <c r="F1973" s="2" t="s">
        <v>457</v>
      </c>
      <c r="G1973" s="2" t="s">
        <v>458</v>
      </c>
      <c r="H1973" s="2" t="s">
        <v>459</v>
      </c>
      <c r="I1973" s="2" t="n">
        <f aca="false">IF(F1973="Present",9,IF(F1973="Half Day",4,0))</f>
        <v>9</v>
      </c>
      <c r="J1973" s="2"/>
      <c r="K1973" s="2"/>
    </row>
    <row r="1974" customFormat="false" ht="15" hidden="false" customHeight="false" outlineLevel="0" collapsed="false">
      <c r="A1974" s="2" t="s">
        <v>174</v>
      </c>
      <c r="B1974" s="2" t="s">
        <v>175</v>
      </c>
      <c r="C1974" s="2" t="s">
        <v>32</v>
      </c>
      <c r="D1974" s="3" t="n">
        <v>46254</v>
      </c>
      <c r="E1974" s="2" t="str">
        <f aca="false">TEXT(D1974,"dddd")</f>
        <v>Thursday</v>
      </c>
      <c r="F1974" s="2" t="s">
        <v>457</v>
      </c>
      <c r="G1974" s="2" t="s">
        <v>458</v>
      </c>
      <c r="H1974" s="2" t="s">
        <v>459</v>
      </c>
      <c r="I1974" s="2" t="n">
        <f aca="false">IF(F1974="Present",9,IF(F1974="Half Day",4,0))</f>
        <v>9</v>
      </c>
      <c r="J1974" s="2"/>
      <c r="K1974" s="2"/>
    </row>
    <row r="1975" customFormat="false" ht="15" hidden="false" customHeight="false" outlineLevel="0" collapsed="false">
      <c r="A1975" s="2" t="s">
        <v>174</v>
      </c>
      <c r="B1975" s="2" t="s">
        <v>175</v>
      </c>
      <c r="C1975" s="2" t="s">
        <v>32</v>
      </c>
      <c r="D1975" s="3" t="n">
        <v>46255</v>
      </c>
      <c r="E1975" s="2" t="str">
        <f aca="false">TEXT(D1975,"dddd")</f>
        <v>Friday</v>
      </c>
      <c r="F1975" s="2" t="s">
        <v>457</v>
      </c>
      <c r="G1975" s="2" t="s">
        <v>458</v>
      </c>
      <c r="H1975" s="2" t="s">
        <v>459</v>
      </c>
      <c r="I1975" s="2" t="n">
        <f aca="false">IF(F1975="Present",9,IF(F1975="Half Day",4,0))</f>
        <v>9</v>
      </c>
      <c r="J1975" s="2"/>
      <c r="K1975" s="2"/>
    </row>
    <row r="1976" customFormat="false" ht="15" hidden="false" customHeight="false" outlineLevel="0" collapsed="false">
      <c r="A1976" s="2" t="s">
        <v>174</v>
      </c>
      <c r="B1976" s="2" t="s">
        <v>175</v>
      </c>
      <c r="C1976" s="2" t="s">
        <v>32</v>
      </c>
      <c r="D1976" s="3" t="n">
        <v>46256</v>
      </c>
      <c r="E1976" s="2" t="str">
        <f aca="false">TEXT(D1976,"dddd")</f>
        <v>Saturday</v>
      </c>
      <c r="F1976" s="2" t="s">
        <v>457</v>
      </c>
      <c r="G1976" s="2" t="s">
        <v>458</v>
      </c>
      <c r="H1976" s="2" t="s">
        <v>459</v>
      </c>
      <c r="I1976" s="2" t="n">
        <f aca="false">IF(F1976="Present",9,IF(F1976="Half Day",4,0))</f>
        <v>9</v>
      </c>
      <c r="J1976" s="2"/>
      <c r="K1976" s="2"/>
    </row>
    <row r="1977" customFormat="false" ht="15" hidden="false" customHeight="false" outlineLevel="0" collapsed="false">
      <c r="A1977" s="2" t="s">
        <v>174</v>
      </c>
      <c r="B1977" s="2" t="s">
        <v>175</v>
      </c>
      <c r="C1977" s="2" t="s">
        <v>32</v>
      </c>
      <c r="D1977" s="3" t="n">
        <v>46257</v>
      </c>
      <c r="E1977" s="2" t="str">
        <f aca="false">TEXT(D1977,"dddd")</f>
        <v>Sunday</v>
      </c>
      <c r="F1977" s="2" t="s">
        <v>460</v>
      </c>
      <c r="G1977" s="2"/>
      <c r="H1977" s="2"/>
      <c r="I1977" s="2" t="n">
        <f aca="false">IF(F1977="Present",9,IF(F1977="Half Day",4,0))</f>
        <v>0</v>
      </c>
      <c r="J1977" s="2"/>
      <c r="K1977" s="2" t="s">
        <v>460</v>
      </c>
    </row>
    <row r="1978" customFormat="false" ht="15" hidden="false" customHeight="false" outlineLevel="0" collapsed="false">
      <c r="A1978" s="2" t="s">
        <v>174</v>
      </c>
      <c r="B1978" s="2" t="s">
        <v>175</v>
      </c>
      <c r="C1978" s="2" t="s">
        <v>32</v>
      </c>
      <c r="D1978" s="3" t="n">
        <v>46258</v>
      </c>
      <c r="E1978" s="2" t="str">
        <f aca="false">TEXT(D1978,"dddd")</f>
        <v>Monday</v>
      </c>
      <c r="F1978" s="2" t="s">
        <v>457</v>
      </c>
      <c r="G1978" s="2" t="s">
        <v>458</v>
      </c>
      <c r="H1978" s="2" t="s">
        <v>459</v>
      </c>
      <c r="I1978" s="2" t="n">
        <f aca="false">IF(F1978="Present",9,IF(F1978="Half Day",4,0))</f>
        <v>9</v>
      </c>
      <c r="J1978" s="2"/>
      <c r="K1978" s="2"/>
    </row>
    <row r="1979" customFormat="false" ht="15" hidden="false" customHeight="false" outlineLevel="0" collapsed="false">
      <c r="A1979" s="2" t="s">
        <v>174</v>
      </c>
      <c r="B1979" s="2" t="s">
        <v>175</v>
      </c>
      <c r="C1979" s="2" t="s">
        <v>32</v>
      </c>
      <c r="D1979" s="3" t="n">
        <v>46259</v>
      </c>
      <c r="E1979" s="2" t="str">
        <f aca="false">TEXT(D1979,"dddd")</f>
        <v>Tuesday</v>
      </c>
      <c r="F1979" s="2" t="s">
        <v>457</v>
      </c>
      <c r="G1979" s="2" t="s">
        <v>458</v>
      </c>
      <c r="H1979" s="2" t="s">
        <v>459</v>
      </c>
      <c r="I1979" s="2" t="n">
        <f aca="false">IF(F1979="Present",9,IF(F1979="Half Day",4,0))</f>
        <v>9</v>
      </c>
      <c r="J1979" s="2"/>
      <c r="K1979" s="2"/>
    </row>
    <row r="1980" customFormat="false" ht="15" hidden="false" customHeight="false" outlineLevel="0" collapsed="false">
      <c r="A1980" s="2" t="s">
        <v>174</v>
      </c>
      <c r="B1980" s="2" t="s">
        <v>175</v>
      </c>
      <c r="C1980" s="2" t="s">
        <v>32</v>
      </c>
      <c r="D1980" s="3" t="n">
        <v>46260</v>
      </c>
      <c r="E1980" s="2" t="str">
        <f aca="false">TEXT(D1980,"dddd")</f>
        <v>Wednesday</v>
      </c>
      <c r="F1980" s="2" t="s">
        <v>457</v>
      </c>
      <c r="G1980" s="2" t="s">
        <v>458</v>
      </c>
      <c r="H1980" s="2" t="s">
        <v>459</v>
      </c>
      <c r="I1980" s="2" t="n">
        <f aca="false">IF(F1980="Present",9,IF(F1980="Half Day",4,0))</f>
        <v>9</v>
      </c>
      <c r="J1980" s="2"/>
      <c r="K1980" s="2"/>
    </row>
    <row r="1981" customFormat="false" ht="15" hidden="false" customHeight="false" outlineLevel="0" collapsed="false">
      <c r="A1981" s="2" t="s">
        <v>174</v>
      </c>
      <c r="B1981" s="2" t="s">
        <v>175</v>
      </c>
      <c r="C1981" s="2" t="s">
        <v>32</v>
      </c>
      <c r="D1981" s="3" t="n">
        <v>46261</v>
      </c>
      <c r="E1981" s="2" t="str">
        <f aca="false">TEXT(D1981,"dddd")</f>
        <v>Thursday</v>
      </c>
      <c r="F1981" s="2" t="s">
        <v>457</v>
      </c>
      <c r="G1981" s="2" t="s">
        <v>458</v>
      </c>
      <c r="H1981" s="2" t="s">
        <v>459</v>
      </c>
      <c r="I1981" s="2" t="n">
        <f aca="false">IF(F1981="Present",9,IF(F1981="Half Day",4,0))</f>
        <v>9</v>
      </c>
      <c r="J1981" s="2"/>
      <c r="K1981" s="2"/>
    </row>
    <row r="1982" customFormat="false" ht="15" hidden="false" customHeight="false" outlineLevel="0" collapsed="false">
      <c r="A1982" s="2" t="s">
        <v>174</v>
      </c>
      <c r="B1982" s="2" t="s">
        <v>175</v>
      </c>
      <c r="C1982" s="2" t="s">
        <v>32</v>
      </c>
      <c r="D1982" s="3" t="n">
        <v>46262</v>
      </c>
      <c r="E1982" s="2" t="str">
        <f aca="false">TEXT(D1982,"dddd")</f>
        <v>Friday</v>
      </c>
      <c r="F1982" s="2" t="s">
        <v>457</v>
      </c>
      <c r="G1982" s="2" t="s">
        <v>458</v>
      </c>
      <c r="H1982" s="2" t="s">
        <v>459</v>
      </c>
      <c r="I1982" s="2" t="n">
        <f aca="false">IF(F1982="Present",9,IF(F1982="Half Day",4,0))</f>
        <v>9</v>
      </c>
      <c r="J1982" s="2"/>
      <c r="K1982" s="2"/>
    </row>
    <row r="1983" customFormat="false" ht="15" hidden="false" customHeight="false" outlineLevel="0" collapsed="false">
      <c r="A1983" s="2" t="s">
        <v>174</v>
      </c>
      <c r="B1983" s="2" t="s">
        <v>175</v>
      </c>
      <c r="C1983" s="2" t="s">
        <v>32</v>
      </c>
      <c r="D1983" s="3" t="n">
        <v>46263</v>
      </c>
      <c r="E1983" s="2" t="str">
        <f aca="false">TEXT(D1983,"dddd")</f>
        <v>Saturday</v>
      </c>
      <c r="F1983" s="2" t="s">
        <v>457</v>
      </c>
      <c r="G1983" s="2" t="s">
        <v>458</v>
      </c>
      <c r="H1983" s="2" t="s">
        <v>459</v>
      </c>
      <c r="I1983" s="2" t="n">
        <f aca="false">IF(F1983="Present",9,IF(F1983="Half Day",4,0))</f>
        <v>9</v>
      </c>
      <c r="J1983" s="2"/>
      <c r="K1983" s="2"/>
    </row>
    <row r="1984" customFormat="false" ht="15" hidden="false" customHeight="false" outlineLevel="0" collapsed="false">
      <c r="A1984" s="2" t="s">
        <v>174</v>
      </c>
      <c r="B1984" s="2" t="s">
        <v>175</v>
      </c>
      <c r="C1984" s="2" t="s">
        <v>32</v>
      </c>
      <c r="D1984" s="3" t="n">
        <v>46264</v>
      </c>
      <c r="E1984" s="2" t="str">
        <f aca="false">TEXT(D1984,"dddd")</f>
        <v>Sunday</v>
      </c>
      <c r="F1984" s="2" t="s">
        <v>460</v>
      </c>
      <c r="G1984" s="2"/>
      <c r="H1984" s="2"/>
      <c r="I1984" s="2" t="n">
        <f aca="false">IF(F1984="Present",9,IF(F1984="Half Day",4,0))</f>
        <v>0</v>
      </c>
      <c r="J1984" s="2"/>
      <c r="K1984" s="2" t="s">
        <v>460</v>
      </c>
    </row>
    <row r="1985" customFormat="false" ht="15" hidden="false" customHeight="false" outlineLevel="0" collapsed="false">
      <c r="A1985" s="2" t="s">
        <v>174</v>
      </c>
      <c r="B1985" s="2" t="s">
        <v>175</v>
      </c>
      <c r="C1985" s="2" t="s">
        <v>32</v>
      </c>
      <c r="D1985" s="3" t="n">
        <v>46265</v>
      </c>
      <c r="E1985" s="2" t="str">
        <f aca="false">TEXT(D1985,"dddd")</f>
        <v>Monday</v>
      </c>
      <c r="F1985" s="2" t="s">
        <v>457</v>
      </c>
      <c r="G1985" s="2" t="s">
        <v>458</v>
      </c>
      <c r="H1985" s="2" t="s">
        <v>459</v>
      </c>
      <c r="I1985" s="2" t="n">
        <f aca="false">IF(F1985="Present",9,IF(F1985="Half Day",4,0))</f>
        <v>9</v>
      </c>
      <c r="J1985" s="2"/>
      <c r="K1985" s="2"/>
    </row>
    <row r="1986" customFormat="false" ht="15" hidden="false" customHeight="false" outlineLevel="0" collapsed="false">
      <c r="A1986" s="2" t="s">
        <v>176</v>
      </c>
      <c r="B1986" s="2" t="s">
        <v>177</v>
      </c>
      <c r="C1986" s="2" t="s">
        <v>36</v>
      </c>
      <c r="D1986" s="3" t="n">
        <v>46235</v>
      </c>
      <c r="E1986" s="2" t="str">
        <f aca="false">TEXT(D1986,"dddd")</f>
        <v>Saturday</v>
      </c>
      <c r="F1986" s="2" t="s">
        <v>457</v>
      </c>
      <c r="G1986" s="2" t="s">
        <v>458</v>
      </c>
      <c r="H1986" s="2" t="s">
        <v>459</v>
      </c>
      <c r="I1986" s="2" t="n">
        <f aca="false">IF(F1986="Present",9,IF(F1986="Half Day",4,0))</f>
        <v>9</v>
      </c>
      <c r="J1986" s="2"/>
      <c r="K1986" s="2"/>
    </row>
    <row r="1987" customFormat="false" ht="15" hidden="false" customHeight="false" outlineLevel="0" collapsed="false">
      <c r="A1987" s="2" t="s">
        <v>176</v>
      </c>
      <c r="B1987" s="2" t="s">
        <v>177</v>
      </c>
      <c r="C1987" s="2" t="s">
        <v>36</v>
      </c>
      <c r="D1987" s="3" t="n">
        <v>46236</v>
      </c>
      <c r="E1987" s="2" t="str">
        <f aca="false">TEXT(D1987,"dddd")</f>
        <v>Sunday</v>
      </c>
      <c r="F1987" s="2" t="s">
        <v>460</v>
      </c>
      <c r="G1987" s="2"/>
      <c r="H1987" s="2"/>
      <c r="I1987" s="2" t="n">
        <f aca="false">IF(F1987="Present",9,IF(F1987="Half Day",4,0))</f>
        <v>0</v>
      </c>
      <c r="J1987" s="2"/>
      <c r="K1987" s="2" t="s">
        <v>460</v>
      </c>
    </row>
    <row r="1988" customFormat="false" ht="15" hidden="false" customHeight="false" outlineLevel="0" collapsed="false">
      <c r="A1988" s="2" t="s">
        <v>176</v>
      </c>
      <c r="B1988" s="2" t="s">
        <v>177</v>
      </c>
      <c r="C1988" s="2" t="s">
        <v>36</v>
      </c>
      <c r="D1988" s="3" t="n">
        <v>46237</v>
      </c>
      <c r="E1988" s="2" t="str">
        <f aca="false">TEXT(D1988,"dddd")</f>
        <v>Monday</v>
      </c>
      <c r="F1988" s="2" t="s">
        <v>457</v>
      </c>
      <c r="G1988" s="2" t="s">
        <v>458</v>
      </c>
      <c r="H1988" s="2" t="s">
        <v>459</v>
      </c>
      <c r="I1988" s="2" t="n">
        <f aca="false">IF(F1988="Present",9,IF(F1988="Half Day",4,0))</f>
        <v>9</v>
      </c>
      <c r="J1988" s="2"/>
      <c r="K1988" s="2"/>
    </row>
    <row r="1989" customFormat="false" ht="15" hidden="false" customHeight="false" outlineLevel="0" collapsed="false">
      <c r="A1989" s="2" t="s">
        <v>176</v>
      </c>
      <c r="B1989" s="2" t="s">
        <v>177</v>
      </c>
      <c r="C1989" s="2" t="s">
        <v>36</v>
      </c>
      <c r="D1989" s="3" t="n">
        <v>46238</v>
      </c>
      <c r="E1989" s="2" t="str">
        <f aca="false">TEXT(D1989,"dddd")</f>
        <v>Tuesday</v>
      </c>
      <c r="F1989" s="2" t="s">
        <v>457</v>
      </c>
      <c r="G1989" s="2" t="s">
        <v>458</v>
      </c>
      <c r="H1989" s="2" t="s">
        <v>459</v>
      </c>
      <c r="I1989" s="2" t="n">
        <f aca="false">IF(F1989="Present",9,IF(F1989="Half Day",4,0))</f>
        <v>9</v>
      </c>
      <c r="J1989" s="2"/>
      <c r="K1989" s="2"/>
    </row>
    <row r="1990" customFormat="false" ht="15" hidden="false" customHeight="false" outlineLevel="0" collapsed="false">
      <c r="A1990" s="2" t="s">
        <v>176</v>
      </c>
      <c r="B1990" s="2" t="s">
        <v>177</v>
      </c>
      <c r="C1990" s="2" t="s">
        <v>36</v>
      </c>
      <c r="D1990" s="3" t="n">
        <v>46239</v>
      </c>
      <c r="E1990" s="2" t="str">
        <f aca="false">TEXT(D1990,"dddd")</f>
        <v>Wednesday</v>
      </c>
      <c r="F1990" s="2" t="s">
        <v>457</v>
      </c>
      <c r="G1990" s="2" t="s">
        <v>458</v>
      </c>
      <c r="H1990" s="2" t="s">
        <v>459</v>
      </c>
      <c r="I1990" s="2" t="n">
        <f aca="false">IF(F1990="Present",9,IF(F1990="Half Day",4,0))</f>
        <v>9</v>
      </c>
      <c r="J1990" s="2"/>
      <c r="K1990" s="2"/>
    </row>
    <row r="1991" customFormat="false" ht="15" hidden="false" customHeight="false" outlineLevel="0" collapsed="false">
      <c r="A1991" s="2" t="s">
        <v>176</v>
      </c>
      <c r="B1991" s="2" t="s">
        <v>177</v>
      </c>
      <c r="C1991" s="2" t="s">
        <v>36</v>
      </c>
      <c r="D1991" s="3" t="n">
        <v>46240</v>
      </c>
      <c r="E1991" s="2" t="str">
        <f aca="false">TEXT(D1991,"dddd")</f>
        <v>Thursday</v>
      </c>
      <c r="F1991" s="2" t="s">
        <v>461</v>
      </c>
      <c r="G1991" s="2"/>
      <c r="H1991" s="2"/>
      <c r="I1991" s="2" t="n">
        <f aca="false">IF(F1991="Present",9,IF(F1991="Half Day",4,0))</f>
        <v>0</v>
      </c>
      <c r="J1991" s="2"/>
      <c r="K1991" s="2" t="s">
        <v>462</v>
      </c>
    </row>
    <row r="1992" customFormat="false" ht="15" hidden="false" customHeight="false" outlineLevel="0" collapsed="false">
      <c r="A1992" s="2" t="s">
        <v>176</v>
      </c>
      <c r="B1992" s="2" t="s">
        <v>177</v>
      </c>
      <c r="C1992" s="2" t="s">
        <v>36</v>
      </c>
      <c r="D1992" s="3" t="n">
        <v>46241</v>
      </c>
      <c r="E1992" s="2" t="str">
        <f aca="false">TEXT(D1992,"dddd")</f>
        <v>Friday</v>
      </c>
      <c r="F1992" s="2" t="s">
        <v>457</v>
      </c>
      <c r="G1992" s="2" t="s">
        <v>458</v>
      </c>
      <c r="H1992" s="2" t="s">
        <v>459</v>
      </c>
      <c r="I1992" s="2" t="n">
        <f aca="false">IF(F1992="Present",9,IF(F1992="Half Day",4,0))</f>
        <v>9</v>
      </c>
      <c r="J1992" s="2"/>
      <c r="K1992" s="2"/>
    </row>
    <row r="1993" customFormat="false" ht="15" hidden="false" customHeight="false" outlineLevel="0" collapsed="false">
      <c r="A1993" s="2" t="s">
        <v>176</v>
      </c>
      <c r="B1993" s="2" t="s">
        <v>177</v>
      </c>
      <c r="C1993" s="2" t="s">
        <v>36</v>
      </c>
      <c r="D1993" s="3" t="n">
        <v>46242</v>
      </c>
      <c r="E1993" s="2" t="str">
        <f aca="false">TEXT(D1993,"dddd")</f>
        <v>Saturday</v>
      </c>
      <c r="F1993" s="2" t="s">
        <v>457</v>
      </c>
      <c r="G1993" s="2" t="s">
        <v>458</v>
      </c>
      <c r="H1993" s="2" t="s">
        <v>459</v>
      </c>
      <c r="I1993" s="2" t="n">
        <f aca="false">IF(F1993="Present",9,IF(F1993="Half Day",4,0))</f>
        <v>9</v>
      </c>
      <c r="J1993" s="2"/>
      <c r="K1993" s="2"/>
    </row>
    <row r="1994" customFormat="false" ht="15" hidden="false" customHeight="false" outlineLevel="0" collapsed="false">
      <c r="A1994" s="2" t="s">
        <v>176</v>
      </c>
      <c r="B1994" s="2" t="s">
        <v>177</v>
      </c>
      <c r="C1994" s="2" t="s">
        <v>36</v>
      </c>
      <c r="D1994" s="3" t="n">
        <v>46243</v>
      </c>
      <c r="E1994" s="2" t="str">
        <f aca="false">TEXT(D1994,"dddd")</f>
        <v>Sunday</v>
      </c>
      <c r="F1994" s="2" t="s">
        <v>460</v>
      </c>
      <c r="G1994" s="2"/>
      <c r="H1994" s="2"/>
      <c r="I1994" s="2" t="n">
        <f aca="false">IF(F1994="Present",9,IF(F1994="Half Day",4,0))</f>
        <v>0</v>
      </c>
      <c r="J1994" s="2"/>
      <c r="K1994" s="2" t="s">
        <v>460</v>
      </c>
    </row>
    <row r="1995" customFormat="false" ht="15" hidden="false" customHeight="false" outlineLevel="0" collapsed="false">
      <c r="A1995" s="2" t="s">
        <v>176</v>
      </c>
      <c r="B1995" s="2" t="s">
        <v>177</v>
      </c>
      <c r="C1995" s="2" t="s">
        <v>36</v>
      </c>
      <c r="D1995" s="3" t="n">
        <v>46244</v>
      </c>
      <c r="E1995" s="2" t="str">
        <f aca="false">TEXT(D1995,"dddd")</f>
        <v>Monday</v>
      </c>
      <c r="F1995" s="2" t="s">
        <v>461</v>
      </c>
      <c r="G1995" s="2"/>
      <c r="H1995" s="2"/>
      <c r="I1995" s="2" t="n">
        <f aca="false">IF(F1995="Present",9,IF(F1995="Half Day",4,0))</f>
        <v>0</v>
      </c>
      <c r="J1995" s="2"/>
      <c r="K1995" s="2" t="s">
        <v>462</v>
      </c>
    </row>
    <row r="1996" customFormat="false" ht="15" hidden="false" customHeight="false" outlineLevel="0" collapsed="false">
      <c r="A1996" s="2" t="s">
        <v>176</v>
      </c>
      <c r="B1996" s="2" t="s">
        <v>177</v>
      </c>
      <c r="C1996" s="2" t="s">
        <v>36</v>
      </c>
      <c r="D1996" s="3" t="n">
        <v>46245</v>
      </c>
      <c r="E1996" s="2" t="str">
        <f aca="false">TEXT(D1996,"dddd")</f>
        <v>Tuesday</v>
      </c>
      <c r="F1996" s="2" t="s">
        <v>463</v>
      </c>
      <c r="G1996" s="2"/>
      <c r="H1996" s="2"/>
      <c r="I1996" s="2" t="n">
        <f aca="false">IF(F1996="Present",9,IF(F1996="Half Day",4,0))</f>
        <v>0</v>
      </c>
      <c r="J1996" s="2" t="s">
        <v>474</v>
      </c>
      <c r="K1996" s="2" t="s">
        <v>475</v>
      </c>
    </row>
    <row r="1997" customFormat="false" ht="15" hidden="false" customHeight="false" outlineLevel="0" collapsed="false">
      <c r="A1997" s="2" t="s">
        <v>176</v>
      </c>
      <c r="B1997" s="2" t="s">
        <v>177</v>
      </c>
      <c r="C1997" s="2" t="s">
        <v>36</v>
      </c>
      <c r="D1997" s="3" t="n">
        <v>46246</v>
      </c>
      <c r="E1997" s="2" t="str">
        <f aca="false">TEXT(D1997,"dddd")</f>
        <v>Wednesday</v>
      </c>
      <c r="F1997" s="2" t="s">
        <v>457</v>
      </c>
      <c r="G1997" s="2" t="s">
        <v>458</v>
      </c>
      <c r="H1997" s="2" t="s">
        <v>459</v>
      </c>
      <c r="I1997" s="2" t="n">
        <f aca="false">IF(F1997="Present",9,IF(F1997="Half Day",4,0))</f>
        <v>9</v>
      </c>
      <c r="J1997" s="2"/>
      <c r="K1997" s="2"/>
    </row>
    <row r="1998" customFormat="false" ht="15" hidden="false" customHeight="false" outlineLevel="0" collapsed="false">
      <c r="A1998" s="2" t="s">
        <v>176</v>
      </c>
      <c r="B1998" s="2" t="s">
        <v>177</v>
      </c>
      <c r="C1998" s="2" t="s">
        <v>36</v>
      </c>
      <c r="D1998" s="3" t="n">
        <v>46247</v>
      </c>
      <c r="E1998" s="2" t="str">
        <f aca="false">TEXT(D1998,"dddd")</f>
        <v>Thursday</v>
      </c>
      <c r="F1998" s="2" t="s">
        <v>457</v>
      </c>
      <c r="G1998" s="2" t="s">
        <v>458</v>
      </c>
      <c r="H1998" s="2" t="s">
        <v>459</v>
      </c>
      <c r="I1998" s="2" t="n">
        <f aca="false">IF(F1998="Present",9,IF(F1998="Half Day",4,0))</f>
        <v>9</v>
      </c>
      <c r="J1998" s="2"/>
      <c r="K1998" s="2"/>
    </row>
    <row r="1999" customFormat="false" ht="15" hidden="false" customHeight="false" outlineLevel="0" collapsed="false">
      <c r="A1999" s="2" t="s">
        <v>176</v>
      </c>
      <c r="B1999" s="2" t="s">
        <v>177</v>
      </c>
      <c r="C1999" s="2" t="s">
        <v>36</v>
      </c>
      <c r="D1999" s="3" t="n">
        <v>46248</v>
      </c>
      <c r="E1999" s="2" t="str">
        <f aca="false">TEXT(D1999,"dddd")</f>
        <v>Friday</v>
      </c>
      <c r="F1999" s="2" t="s">
        <v>461</v>
      </c>
      <c r="G1999" s="2"/>
      <c r="H1999" s="2"/>
      <c r="I1999" s="2" t="n">
        <f aca="false">IF(F1999="Present",9,IF(F1999="Half Day",4,0))</f>
        <v>0</v>
      </c>
      <c r="J1999" s="2"/>
      <c r="K1999" s="2" t="s">
        <v>462</v>
      </c>
    </row>
    <row r="2000" customFormat="false" ht="15" hidden="false" customHeight="false" outlineLevel="0" collapsed="false">
      <c r="A2000" s="2" t="s">
        <v>176</v>
      </c>
      <c r="B2000" s="2" t="s">
        <v>177</v>
      </c>
      <c r="C2000" s="2" t="s">
        <v>36</v>
      </c>
      <c r="D2000" s="3" t="n">
        <v>46249</v>
      </c>
      <c r="E2000" s="2" t="str">
        <f aca="false">TEXT(D2000,"dddd")</f>
        <v>Saturday</v>
      </c>
      <c r="F2000" s="2" t="s">
        <v>461</v>
      </c>
      <c r="G2000" s="2"/>
      <c r="H2000" s="2"/>
      <c r="I2000" s="2" t="n">
        <f aca="false">IF(F2000="Present",9,IF(F2000="Half Day",4,0))</f>
        <v>0</v>
      </c>
      <c r="J2000" s="2"/>
      <c r="K2000" s="2" t="s">
        <v>462</v>
      </c>
    </row>
    <row r="2001" customFormat="false" ht="15" hidden="false" customHeight="false" outlineLevel="0" collapsed="false">
      <c r="A2001" s="2" t="s">
        <v>176</v>
      </c>
      <c r="B2001" s="2" t="s">
        <v>177</v>
      </c>
      <c r="C2001" s="2" t="s">
        <v>36</v>
      </c>
      <c r="D2001" s="3" t="n">
        <v>46250</v>
      </c>
      <c r="E2001" s="2" t="str">
        <f aca="false">TEXT(D2001,"dddd")</f>
        <v>Sunday</v>
      </c>
      <c r="F2001" s="2" t="s">
        <v>460</v>
      </c>
      <c r="G2001" s="2"/>
      <c r="H2001" s="2"/>
      <c r="I2001" s="2" t="n">
        <f aca="false">IF(F2001="Present",9,IF(F2001="Half Day",4,0))</f>
        <v>0</v>
      </c>
      <c r="J2001" s="2"/>
      <c r="K2001" s="2" t="s">
        <v>460</v>
      </c>
    </row>
    <row r="2002" customFormat="false" ht="15" hidden="false" customHeight="false" outlineLevel="0" collapsed="false">
      <c r="A2002" s="2" t="s">
        <v>176</v>
      </c>
      <c r="B2002" s="2" t="s">
        <v>177</v>
      </c>
      <c r="C2002" s="2" t="s">
        <v>36</v>
      </c>
      <c r="D2002" s="3" t="n">
        <v>46251</v>
      </c>
      <c r="E2002" s="2" t="str">
        <f aca="false">TEXT(D2002,"dddd")</f>
        <v>Monday</v>
      </c>
      <c r="F2002" s="2" t="s">
        <v>461</v>
      </c>
      <c r="G2002" s="2"/>
      <c r="H2002" s="2"/>
      <c r="I2002" s="2" t="n">
        <f aca="false">IF(F2002="Present",9,IF(F2002="Half Day",4,0))</f>
        <v>0</v>
      </c>
      <c r="J2002" s="2"/>
      <c r="K2002" s="2" t="s">
        <v>462</v>
      </c>
    </row>
    <row r="2003" customFormat="false" ht="15" hidden="false" customHeight="false" outlineLevel="0" collapsed="false">
      <c r="A2003" s="2" t="s">
        <v>176</v>
      </c>
      <c r="B2003" s="2" t="s">
        <v>177</v>
      </c>
      <c r="C2003" s="2" t="s">
        <v>36</v>
      </c>
      <c r="D2003" s="3" t="n">
        <v>46252</v>
      </c>
      <c r="E2003" s="2" t="str">
        <f aca="false">TEXT(D2003,"dddd")</f>
        <v>Tuesday</v>
      </c>
      <c r="F2003" s="2" t="s">
        <v>457</v>
      </c>
      <c r="G2003" s="2" t="s">
        <v>458</v>
      </c>
      <c r="H2003" s="2" t="s">
        <v>459</v>
      </c>
      <c r="I2003" s="2" t="n">
        <f aca="false">IF(F2003="Present",9,IF(F2003="Half Day",4,0))</f>
        <v>9</v>
      </c>
      <c r="J2003" s="2"/>
      <c r="K2003" s="2"/>
    </row>
    <row r="2004" customFormat="false" ht="15" hidden="false" customHeight="false" outlineLevel="0" collapsed="false">
      <c r="A2004" s="2" t="s">
        <v>176</v>
      </c>
      <c r="B2004" s="2" t="s">
        <v>177</v>
      </c>
      <c r="C2004" s="2" t="s">
        <v>36</v>
      </c>
      <c r="D2004" s="3" t="n">
        <v>46253</v>
      </c>
      <c r="E2004" s="2" t="str">
        <f aca="false">TEXT(D2004,"dddd")</f>
        <v>Wednesday</v>
      </c>
      <c r="F2004" s="2" t="s">
        <v>457</v>
      </c>
      <c r="G2004" s="2" t="s">
        <v>458</v>
      </c>
      <c r="H2004" s="2" t="s">
        <v>459</v>
      </c>
      <c r="I2004" s="2" t="n">
        <f aca="false">IF(F2004="Present",9,IF(F2004="Half Day",4,0))</f>
        <v>9</v>
      </c>
      <c r="J2004" s="2"/>
      <c r="K2004" s="2"/>
    </row>
    <row r="2005" customFormat="false" ht="15" hidden="false" customHeight="false" outlineLevel="0" collapsed="false">
      <c r="A2005" s="2" t="s">
        <v>176</v>
      </c>
      <c r="B2005" s="2" t="s">
        <v>177</v>
      </c>
      <c r="C2005" s="2" t="s">
        <v>36</v>
      </c>
      <c r="D2005" s="3" t="n">
        <v>46254</v>
      </c>
      <c r="E2005" s="2" t="str">
        <f aca="false">TEXT(D2005,"dddd")</f>
        <v>Thursday</v>
      </c>
      <c r="F2005" s="2" t="s">
        <v>461</v>
      </c>
      <c r="G2005" s="2"/>
      <c r="H2005" s="2"/>
      <c r="I2005" s="2" t="n">
        <f aca="false">IF(F2005="Present",9,IF(F2005="Half Day",4,0))</f>
        <v>0</v>
      </c>
      <c r="J2005" s="2"/>
      <c r="K2005" s="2" t="s">
        <v>462</v>
      </c>
    </row>
    <row r="2006" customFormat="false" ht="15" hidden="false" customHeight="false" outlineLevel="0" collapsed="false">
      <c r="A2006" s="2" t="s">
        <v>176</v>
      </c>
      <c r="B2006" s="2" t="s">
        <v>177</v>
      </c>
      <c r="C2006" s="2" t="s">
        <v>36</v>
      </c>
      <c r="D2006" s="3" t="n">
        <v>46255</v>
      </c>
      <c r="E2006" s="2" t="str">
        <f aca="false">TEXT(D2006,"dddd")</f>
        <v>Friday</v>
      </c>
      <c r="F2006" s="2" t="s">
        <v>461</v>
      </c>
      <c r="G2006" s="2"/>
      <c r="H2006" s="2"/>
      <c r="I2006" s="2" t="n">
        <f aca="false">IF(F2006="Present",9,IF(F2006="Half Day",4,0))</f>
        <v>0</v>
      </c>
      <c r="J2006" s="2"/>
      <c r="K2006" s="2" t="s">
        <v>462</v>
      </c>
    </row>
    <row r="2007" customFormat="false" ht="15" hidden="false" customHeight="false" outlineLevel="0" collapsed="false">
      <c r="A2007" s="2" t="s">
        <v>176</v>
      </c>
      <c r="B2007" s="2" t="s">
        <v>177</v>
      </c>
      <c r="C2007" s="2" t="s">
        <v>36</v>
      </c>
      <c r="D2007" s="3" t="n">
        <v>46256</v>
      </c>
      <c r="E2007" s="2" t="str">
        <f aca="false">TEXT(D2007,"dddd")</f>
        <v>Saturday</v>
      </c>
      <c r="F2007" s="2" t="s">
        <v>457</v>
      </c>
      <c r="G2007" s="2" t="s">
        <v>458</v>
      </c>
      <c r="H2007" s="2" t="s">
        <v>459</v>
      </c>
      <c r="I2007" s="2" t="n">
        <f aca="false">IF(F2007="Present",9,IF(F2007="Half Day",4,0))</f>
        <v>9</v>
      </c>
      <c r="J2007" s="2"/>
      <c r="K2007" s="2"/>
    </row>
    <row r="2008" customFormat="false" ht="15" hidden="false" customHeight="false" outlineLevel="0" collapsed="false">
      <c r="A2008" s="2" t="s">
        <v>176</v>
      </c>
      <c r="B2008" s="2" t="s">
        <v>177</v>
      </c>
      <c r="C2008" s="2" t="s">
        <v>36</v>
      </c>
      <c r="D2008" s="3" t="n">
        <v>46257</v>
      </c>
      <c r="E2008" s="2" t="str">
        <f aca="false">TEXT(D2008,"dddd")</f>
        <v>Sunday</v>
      </c>
      <c r="F2008" s="2" t="s">
        <v>460</v>
      </c>
      <c r="G2008" s="2"/>
      <c r="H2008" s="2"/>
      <c r="I2008" s="2" t="n">
        <f aca="false">IF(F2008="Present",9,IF(F2008="Half Day",4,0))</f>
        <v>0</v>
      </c>
      <c r="J2008" s="2"/>
      <c r="K2008" s="2" t="s">
        <v>460</v>
      </c>
    </row>
    <row r="2009" customFormat="false" ht="15" hidden="false" customHeight="false" outlineLevel="0" collapsed="false">
      <c r="A2009" s="2" t="s">
        <v>176</v>
      </c>
      <c r="B2009" s="2" t="s">
        <v>177</v>
      </c>
      <c r="C2009" s="2" t="s">
        <v>36</v>
      </c>
      <c r="D2009" s="3" t="n">
        <v>46258</v>
      </c>
      <c r="E2009" s="2" t="str">
        <f aca="false">TEXT(D2009,"dddd")</f>
        <v>Monday</v>
      </c>
      <c r="F2009" s="2" t="s">
        <v>457</v>
      </c>
      <c r="G2009" s="2" t="s">
        <v>458</v>
      </c>
      <c r="H2009" s="2" t="s">
        <v>459</v>
      </c>
      <c r="I2009" s="2" t="n">
        <f aca="false">IF(F2009="Present",9,IF(F2009="Half Day",4,0))</f>
        <v>9</v>
      </c>
      <c r="J2009" s="2"/>
      <c r="K2009" s="2"/>
    </row>
    <row r="2010" customFormat="false" ht="15" hidden="false" customHeight="false" outlineLevel="0" collapsed="false">
      <c r="A2010" s="2" t="s">
        <v>176</v>
      </c>
      <c r="B2010" s="2" t="s">
        <v>177</v>
      </c>
      <c r="C2010" s="2" t="s">
        <v>36</v>
      </c>
      <c r="D2010" s="3" t="n">
        <v>46259</v>
      </c>
      <c r="E2010" s="2" t="str">
        <f aca="false">TEXT(D2010,"dddd")</f>
        <v>Tuesday</v>
      </c>
      <c r="F2010" s="2" t="s">
        <v>457</v>
      </c>
      <c r="G2010" s="2" t="s">
        <v>458</v>
      </c>
      <c r="H2010" s="2" t="s">
        <v>459</v>
      </c>
      <c r="I2010" s="2" t="n">
        <f aca="false">IF(F2010="Present",9,IF(F2010="Half Day",4,0))</f>
        <v>9</v>
      </c>
      <c r="J2010" s="2"/>
      <c r="K2010" s="2"/>
    </row>
    <row r="2011" customFormat="false" ht="15" hidden="false" customHeight="false" outlineLevel="0" collapsed="false">
      <c r="A2011" s="2" t="s">
        <v>176</v>
      </c>
      <c r="B2011" s="2" t="s">
        <v>177</v>
      </c>
      <c r="C2011" s="2" t="s">
        <v>36</v>
      </c>
      <c r="D2011" s="3" t="n">
        <v>46260</v>
      </c>
      <c r="E2011" s="2" t="str">
        <f aca="false">TEXT(D2011,"dddd")</f>
        <v>Wednesday</v>
      </c>
      <c r="F2011" s="2" t="s">
        <v>457</v>
      </c>
      <c r="G2011" s="2" t="s">
        <v>458</v>
      </c>
      <c r="H2011" s="2" t="s">
        <v>459</v>
      </c>
      <c r="I2011" s="2" t="n">
        <f aca="false">IF(F2011="Present",9,IF(F2011="Half Day",4,0))</f>
        <v>9</v>
      </c>
      <c r="J2011" s="2"/>
      <c r="K2011" s="2"/>
    </row>
    <row r="2012" customFormat="false" ht="15" hidden="false" customHeight="false" outlineLevel="0" collapsed="false">
      <c r="A2012" s="2" t="s">
        <v>176</v>
      </c>
      <c r="B2012" s="2" t="s">
        <v>177</v>
      </c>
      <c r="C2012" s="2" t="s">
        <v>36</v>
      </c>
      <c r="D2012" s="3" t="n">
        <v>46261</v>
      </c>
      <c r="E2012" s="2" t="str">
        <f aca="false">TEXT(D2012,"dddd")</f>
        <v>Thursday</v>
      </c>
      <c r="F2012" s="2" t="s">
        <v>461</v>
      </c>
      <c r="G2012" s="2"/>
      <c r="H2012" s="2"/>
      <c r="I2012" s="2" t="n">
        <f aca="false">IF(F2012="Present",9,IF(F2012="Half Day",4,0))</f>
        <v>0</v>
      </c>
      <c r="J2012" s="2"/>
      <c r="K2012" s="2" t="s">
        <v>462</v>
      </c>
    </row>
    <row r="2013" customFormat="false" ht="15" hidden="false" customHeight="false" outlineLevel="0" collapsed="false">
      <c r="A2013" s="2" t="s">
        <v>176</v>
      </c>
      <c r="B2013" s="2" t="s">
        <v>177</v>
      </c>
      <c r="C2013" s="2" t="s">
        <v>36</v>
      </c>
      <c r="D2013" s="3" t="n">
        <v>46262</v>
      </c>
      <c r="E2013" s="2" t="str">
        <f aca="false">TEXT(D2013,"dddd")</f>
        <v>Friday</v>
      </c>
      <c r="F2013" s="2" t="s">
        <v>457</v>
      </c>
      <c r="G2013" s="2" t="s">
        <v>458</v>
      </c>
      <c r="H2013" s="2" t="s">
        <v>459</v>
      </c>
      <c r="I2013" s="2" t="n">
        <f aca="false">IF(F2013="Present",9,IF(F2013="Half Day",4,0))</f>
        <v>9</v>
      </c>
      <c r="J2013" s="2"/>
      <c r="K2013" s="2"/>
    </row>
    <row r="2014" customFormat="false" ht="15" hidden="false" customHeight="false" outlineLevel="0" collapsed="false">
      <c r="A2014" s="2" t="s">
        <v>176</v>
      </c>
      <c r="B2014" s="2" t="s">
        <v>177</v>
      </c>
      <c r="C2014" s="2" t="s">
        <v>36</v>
      </c>
      <c r="D2014" s="3" t="n">
        <v>46263</v>
      </c>
      <c r="E2014" s="2" t="str">
        <f aca="false">TEXT(D2014,"dddd")</f>
        <v>Saturday</v>
      </c>
      <c r="F2014" s="2" t="s">
        <v>466</v>
      </c>
      <c r="G2014" s="2" t="s">
        <v>458</v>
      </c>
      <c r="H2014" s="2" t="s">
        <v>467</v>
      </c>
      <c r="I2014" s="2" t="n">
        <f aca="false">IF(F2014="Present",9,IF(F2014="Half Day",4,0))</f>
        <v>4</v>
      </c>
      <c r="J2014" s="2"/>
      <c r="K2014" s="2" t="s">
        <v>466</v>
      </c>
    </row>
    <row r="2015" customFormat="false" ht="15" hidden="false" customHeight="false" outlineLevel="0" collapsed="false">
      <c r="A2015" s="2" t="s">
        <v>176</v>
      </c>
      <c r="B2015" s="2" t="s">
        <v>177</v>
      </c>
      <c r="C2015" s="2" t="s">
        <v>36</v>
      </c>
      <c r="D2015" s="3" t="n">
        <v>46264</v>
      </c>
      <c r="E2015" s="2" t="str">
        <f aca="false">TEXT(D2015,"dddd")</f>
        <v>Sunday</v>
      </c>
      <c r="F2015" s="2" t="s">
        <v>460</v>
      </c>
      <c r="G2015" s="2"/>
      <c r="H2015" s="2"/>
      <c r="I2015" s="2" t="n">
        <f aca="false">IF(F2015="Present",9,IF(F2015="Half Day",4,0))</f>
        <v>0</v>
      </c>
      <c r="J2015" s="2"/>
      <c r="K2015" s="2" t="s">
        <v>460</v>
      </c>
    </row>
    <row r="2016" customFormat="false" ht="15" hidden="false" customHeight="false" outlineLevel="0" collapsed="false">
      <c r="A2016" s="2" t="s">
        <v>176</v>
      </c>
      <c r="B2016" s="2" t="s">
        <v>177</v>
      </c>
      <c r="C2016" s="2" t="s">
        <v>36</v>
      </c>
      <c r="D2016" s="3" t="n">
        <v>46265</v>
      </c>
      <c r="E2016" s="2" t="str">
        <f aca="false">TEXT(D2016,"dddd")</f>
        <v>Monday</v>
      </c>
      <c r="F2016" s="2" t="s">
        <v>463</v>
      </c>
      <c r="G2016" s="2"/>
      <c r="H2016" s="2"/>
      <c r="I2016" s="2" t="n">
        <f aca="false">IF(F2016="Present",9,IF(F2016="Half Day",4,0))</f>
        <v>0</v>
      </c>
      <c r="J2016" s="2" t="s">
        <v>472</v>
      </c>
      <c r="K2016" s="2" t="s">
        <v>473</v>
      </c>
    </row>
    <row r="2017" customFormat="false" ht="15" hidden="false" customHeight="false" outlineLevel="0" collapsed="false">
      <c r="A2017" s="2" t="s">
        <v>178</v>
      </c>
      <c r="B2017" s="2" t="s">
        <v>179</v>
      </c>
      <c r="C2017" s="2" t="s">
        <v>41</v>
      </c>
      <c r="D2017" s="3" t="n">
        <v>46235</v>
      </c>
      <c r="E2017" s="2" t="str">
        <f aca="false">TEXT(D2017,"dddd")</f>
        <v>Saturday</v>
      </c>
      <c r="F2017" s="2" t="s">
        <v>457</v>
      </c>
      <c r="G2017" s="2" t="s">
        <v>458</v>
      </c>
      <c r="H2017" s="2" t="s">
        <v>459</v>
      </c>
      <c r="I2017" s="2" t="n">
        <f aca="false">IF(F2017="Present",9,IF(F2017="Half Day",4,0))</f>
        <v>9</v>
      </c>
      <c r="J2017" s="2"/>
      <c r="K2017" s="2"/>
    </row>
    <row r="2018" customFormat="false" ht="15" hidden="false" customHeight="false" outlineLevel="0" collapsed="false">
      <c r="A2018" s="2" t="s">
        <v>178</v>
      </c>
      <c r="B2018" s="2" t="s">
        <v>179</v>
      </c>
      <c r="C2018" s="2" t="s">
        <v>41</v>
      </c>
      <c r="D2018" s="3" t="n">
        <v>46236</v>
      </c>
      <c r="E2018" s="2" t="str">
        <f aca="false">TEXT(D2018,"dddd")</f>
        <v>Sunday</v>
      </c>
      <c r="F2018" s="2" t="s">
        <v>460</v>
      </c>
      <c r="G2018" s="2"/>
      <c r="H2018" s="2"/>
      <c r="I2018" s="2" t="n">
        <f aca="false">IF(F2018="Present",9,IF(F2018="Half Day",4,0))</f>
        <v>0</v>
      </c>
      <c r="J2018" s="2"/>
      <c r="K2018" s="2" t="s">
        <v>460</v>
      </c>
    </row>
    <row r="2019" customFormat="false" ht="15" hidden="false" customHeight="false" outlineLevel="0" collapsed="false">
      <c r="A2019" s="2" t="s">
        <v>178</v>
      </c>
      <c r="B2019" s="2" t="s">
        <v>179</v>
      </c>
      <c r="C2019" s="2" t="s">
        <v>41</v>
      </c>
      <c r="D2019" s="3" t="n">
        <v>46237</v>
      </c>
      <c r="E2019" s="2" t="str">
        <f aca="false">TEXT(D2019,"dddd")</f>
        <v>Monday</v>
      </c>
      <c r="F2019" s="2" t="s">
        <v>463</v>
      </c>
      <c r="G2019" s="2"/>
      <c r="H2019" s="2"/>
      <c r="I2019" s="2" t="n">
        <f aca="false">IF(F2019="Present",9,IF(F2019="Half Day",4,0))</f>
        <v>0</v>
      </c>
      <c r="J2019" s="2" t="s">
        <v>472</v>
      </c>
      <c r="K2019" s="2" t="s">
        <v>473</v>
      </c>
    </row>
    <row r="2020" customFormat="false" ht="15" hidden="false" customHeight="false" outlineLevel="0" collapsed="false">
      <c r="A2020" s="2" t="s">
        <v>178</v>
      </c>
      <c r="B2020" s="2" t="s">
        <v>179</v>
      </c>
      <c r="C2020" s="2" t="s">
        <v>41</v>
      </c>
      <c r="D2020" s="3" t="n">
        <v>46238</v>
      </c>
      <c r="E2020" s="2" t="str">
        <f aca="false">TEXT(D2020,"dddd")</f>
        <v>Tuesday</v>
      </c>
      <c r="F2020" s="2" t="s">
        <v>457</v>
      </c>
      <c r="G2020" s="2" t="s">
        <v>458</v>
      </c>
      <c r="H2020" s="2" t="s">
        <v>459</v>
      </c>
      <c r="I2020" s="2" t="n">
        <f aca="false">IF(F2020="Present",9,IF(F2020="Half Day",4,0))</f>
        <v>9</v>
      </c>
      <c r="J2020" s="2"/>
      <c r="K2020" s="2"/>
    </row>
    <row r="2021" customFormat="false" ht="15" hidden="false" customHeight="false" outlineLevel="0" collapsed="false">
      <c r="A2021" s="2" t="s">
        <v>178</v>
      </c>
      <c r="B2021" s="2" t="s">
        <v>179</v>
      </c>
      <c r="C2021" s="2" t="s">
        <v>41</v>
      </c>
      <c r="D2021" s="3" t="n">
        <v>46239</v>
      </c>
      <c r="E2021" s="2" t="str">
        <f aca="false">TEXT(D2021,"dddd")</f>
        <v>Wednesday</v>
      </c>
      <c r="F2021" s="2" t="s">
        <v>457</v>
      </c>
      <c r="G2021" s="2" t="s">
        <v>458</v>
      </c>
      <c r="H2021" s="2" t="s">
        <v>459</v>
      </c>
      <c r="I2021" s="2" t="n">
        <f aca="false">IF(F2021="Present",9,IF(F2021="Half Day",4,0))</f>
        <v>9</v>
      </c>
      <c r="J2021" s="2"/>
      <c r="K2021" s="2"/>
    </row>
    <row r="2022" customFormat="false" ht="15" hidden="false" customHeight="false" outlineLevel="0" collapsed="false">
      <c r="A2022" s="2" t="s">
        <v>178</v>
      </c>
      <c r="B2022" s="2" t="s">
        <v>179</v>
      </c>
      <c r="C2022" s="2" t="s">
        <v>41</v>
      </c>
      <c r="D2022" s="3" t="n">
        <v>46240</v>
      </c>
      <c r="E2022" s="2" t="str">
        <f aca="false">TEXT(D2022,"dddd")</f>
        <v>Thursday</v>
      </c>
      <c r="F2022" s="2" t="s">
        <v>457</v>
      </c>
      <c r="G2022" s="2" t="s">
        <v>458</v>
      </c>
      <c r="H2022" s="2" t="s">
        <v>459</v>
      </c>
      <c r="I2022" s="2" t="n">
        <f aca="false">IF(F2022="Present",9,IF(F2022="Half Day",4,0))</f>
        <v>9</v>
      </c>
      <c r="J2022" s="2"/>
      <c r="K2022" s="2"/>
    </row>
    <row r="2023" customFormat="false" ht="15" hidden="false" customHeight="false" outlineLevel="0" collapsed="false">
      <c r="A2023" s="2" t="s">
        <v>178</v>
      </c>
      <c r="B2023" s="2" t="s">
        <v>179</v>
      </c>
      <c r="C2023" s="2" t="s">
        <v>41</v>
      </c>
      <c r="D2023" s="3" t="n">
        <v>46241</v>
      </c>
      <c r="E2023" s="2" t="str">
        <f aca="false">TEXT(D2023,"dddd")</f>
        <v>Friday</v>
      </c>
      <c r="F2023" s="2" t="s">
        <v>457</v>
      </c>
      <c r="G2023" s="2" t="s">
        <v>458</v>
      </c>
      <c r="H2023" s="2" t="s">
        <v>459</v>
      </c>
      <c r="I2023" s="2" t="n">
        <f aca="false">IF(F2023="Present",9,IF(F2023="Half Day",4,0))</f>
        <v>9</v>
      </c>
      <c r="J2023" s="2"/>
      <c r="K2023" s="2"/>
    </row>
    <row r="2024" customFormat="false" ht="15" hidden="false" customHeight="false" outlineLevel="0" collapsed="false">
      <c r="A2024" s="2" t="s">
        <v>178</v>
      </c>
      <c r="B2024" s="2" t="s">
        <v>179</v>
      </c>
      <c r="C2024" s="2" t="s">
        <v>41</v>
      </c>
      <c r="D2024" s="3" t="n">
        <v>46242</v>
      </c>
      <c r="E2024" s="2" t="str">
        <f aca="false">TEXT(D2024,"dddd")</f>
        <v>Saturday</v>
      </c>
      <c r="F2024" s="2" t="s">
        <v>457</v>
      </c>
      <c r="G2024" s="2" t="s">
        <v>458</v>
      </c>
      <c r="H2024" s="2" t="s">
        <v>459</v>
      </c>
      <c r="I2024" s="2" t="n">
        <f aca="false">IF(F2024="Present",9,IF(F2024="Half Day",4,0))</f>
        <v>9</v>
      </c>
      <c r="J2024" s="2"/>
      <c r="K2024" s="2"/>
    </row>
    <row r="2025" customFormat="false" ht="15" hidden="false" customHeight="false" outlineLevel="0" collapsed="false">
      <c r="A2025" s="2" t="s">
        <v>178</v>
      </c>
      <c r="B2025" s="2" t="s">
        <v>179</v>
      </c>
      <c r="C2025" s="2" t="s">
        <v>41</v>
      </c>
      <c r="D2025" s="3" t="n">
        <v>46243</v>
      </c>
      <c r="E2025" s="2" t="str">
        <f aca="false">TEXT(D2025,"dddd")</f>
        <v>Sunday</v>
      </c>
      <c r="F2025" s="2" t="s">
        <v>460</v>
      </c>
      <c r="G2025" s="2"/>
      <c r="H2025" s="2"/>
      <c r="I2025" s="2" t="n">
        <f aca="false">IF(F2025="Present",9,IF(F2025="Half Day",4,0))</f>
        <v>0</v>
      </c>
      <c r="J2025" s="2"/>
      <c r="K2025" s="2" t="s">
        <v>460</v>
      </c>
    </row>
    <row r="2026" customFormat="false" ht="15" hidden="false" customHeight="false" outlineLevel="0" collapsed="false">
      <c r="A2026" s="2" t="s">
        <v>178</v>
      </c>
      <c r="B2026" s="2" t="s">
        <v>179</v>
      </c>
      <c r="C2026" s="2" t="s">
        <v>41</v>
      </c>
      <c r="D2026" s="3" t="n">
        <v>46244</v>
      </c>
      <c r="E2026" s="2" t="str">
        <f aca="false">TEXT(D2026,"dddd")</f>
        <v>Monday</v>
      </c>
      <c r="F2026" s="2" t="s">
        <v>463</v>
      </c>
      <c r="G2026" s="2"/>
      <c r="H2026" s="2"/>
      <c r="I2026" s="2" t="n">
        <f aca="false">IF(F2026="Present",9,IF(F2026="Half Day",4,0))</f>
        <v>0</v>
      </c>
      <c r="J2026" s="2" t="s">
        <v>474</v>
      </c>
      <c r="K2026" s="2" t="s">
        <v>475</v>
      </c>
    </row>
    <row r="2027" customFormat="false" ht="15" hidden="false" customHeight="false" outlineLevel="0" collapsed="false">
      <c r="A2027" s="2" t="s">
        <v>178</v>
      </c>
      <c r="B2027" s="2" t="s">
        <v>179</v>
      </c>
      <c r="C2027" s="2" t="s">
        <v>41</v>
      </c>
      <c r="D2027" s="3" t="n">
        <v>46245</v>
      </c>
      <c r="E2027" s="2" t="str">
        <f aca="false">TEXT(D2027,"dddd")</f>
        <v>Tuesday</v>
      </c>
      <c r="F2027" s="2" t="s">
        <v>457</v>
      </c>
      <c r="G2027" s="2" t="s">
        <v>458</v>
      </c>
      <c r="H2027" s="2" t="s">
        <v>459</v>
      </c>
      <c r="I2027" s="2" t="n">
        <f aca="false">IF(F2027="Present",9,IF(F2027="Half Day",4,0))</f>
        <v>9</v>
      </c>
      <c r="J2027" s="2"/>
      <c r="K2027" s="2"/>
    </row>
    <row r="2028" customFormat="false" ht="15" hidden="false" customHeight="false" outlineLevel="0" collapsed="false">
      <c r="A2028" s="2" t="s">
        <v>178</v>
      </c>
      <c r="B2028" s="2" t="s">
        <v>179</v>
      </c>
      <c r="C2028" s="2" t="s">
        <v>41</v>
      </c>
      <c r="D2028" s="3" t="n">
        <v>46246</v>
      </c>
      <c r="E2028" s="2" t="str">
        <f aca="false">TEXT(D2028,"dddd")</f>
        <v>Wednesday</v>
      </c>
      <c r="F2028" s="2" t="s">
        <v>457</v>
      </c>
      <c r="G2028" s="2" t="s">
        <v>458</v>
      </c>
      <c r="H2028" s="2" t="s">
        <v>459</v>
      </c>
      <c r="I2028" s="2" t="n">
        <f aca="false">IF(F2028="Present",9,IF(F2028="Half Day",4,0))</f>
        <v>9</v>
      </c>
      <c r="J2028" s="2"/>
      <c r="K2028" s="2"/>
    </row>
    <row r="2029" customFormat="false" ht="15" hidden="false" customHeight="false" outlineLevel="0" collapsed="false">
      <c r="A2029" s="2" t="s">
        <v>178</v>
      </c>
      <c r="B2029" s="2" t="s">
        <v>179</v>
      </c>
      <c r="C2029" s="2" t="s">
        <v>41</v>
      </c>
      <c r="D2029" s="3" t="n">
        <v>46247</v>
      </c>
      <c r="E2029" s="2" t="str">
        <f aca="false">TEXT(D2029,"dddd")</f>
        <v>Thursday</v>
      </c>
      <c r="F2029" s="2" t="s">
        <v>457</v>
      </c>
      <c r="G2029" s="2" t="s">
        <v>458</v>
      </c>
      <c r="H2029" s="2" t="s">
        <v>459</v>
      </c>
      <c r="I2029" s="2" t="n">
        <f aca="false">IF(F2029="Present",9,IF(F2029="Half Day",4,0))</f>
        <v>9</v>
      </c>
      <c r="J2029" s="2"/>
      <c r="K2029" s="2"/>
    </row>
    <row r="2030" customFormat="false" ht="15" hidden="false" customHeight="false" outlineLevel="0" collapsed="false">
      <c r="A2030" s="2" t="s">
        <v>178</v>
      </c>
      <c r="B2030" s="2" t="s">
        <v>179</v>
      </c>
      <c r="C2030" s="2" t="s">
        <v>41</v>
      </c>
      <c r="D2030" s="3" t="n">
        <v>46248</v>
      </c>
      <c r="E2030" s="2" t="str">
        <f aca="false">TEXT(D2030,"dddd")</f>
        <v>Friday</v>
      </c>
      <c r="F2030" s="2" t="s">
        <v>457</v>
      </c>
      <c r="G2030" s="2" t="s">
        <v>458</v>
      </c>
      <c r="H2030" s="2" t="s">
        <v>459</v>
      </c>
      <c r="I2030" s="2" t="n">
        <f aca="false">IF(F2030="Present",9,IF(F2030="Half Day",4,0))</f>
        <v>9</v>
      </c>
      <c r="J2030" s="2"/>
      <c r="K2030" s="2"/>
    </row>
    <row r="2031" customFormat="false" ht="15" hidden="false" customHeight="false" outlineLevel="0" collapsed="false">
      <c r="A2031" s="2" t="s">
        <v>178</v>
      </c>
      <c r="B2031" s="2" t="s">
        <v>179</v>
      </c>
      <c r="C2031" s="2" t="s">
        <v>41</v>
      </c>
      <c r="D2031" s="3" t="n">
        <v>46249</v>
      </c>
      <c r="E2031" s="2" t="str">
        <f aca="false">TEXT(D2031,"dddd")</f>
        <v>Saturday</v>
      </c>
      <c r="F2031" s="2" t="s">
        <v>457</v>
      </c>
      <c r="G2031" s="2" t="s">
        <v>458</v>
      </c>
      <c r="H2031" s="2" t="s">
        <v>459</v>
      </c>
      <c r="I2031" s="2" t="n">
        <f aca="false">IF(F2031="Present",9,IF(F2031="Half Day",4,0))</f>
        <v>9</v>
      </c>
      <c r="J2031" s="2"/>
      <c r="K2031" s="2"/>
    </row>
    <row r="2032" customFormat="false" ht="15" hidden="false" customHeight="false" outlineLevel="0" collapsed="false">
      <c r="A2032" s="2" t="s">
        <v>178</v>
      </c>
      <c r="B2032" s="2" t="s">
        <v>179</v>
      </c>
      <c r="C2032" s="2" t="s">
        <v>41</v>
      </c>
      <c r="D2032" s="3" t="n">
        <v>46250</v>
      </c>
      <c r="E2032" s="2" t="str">
        <f aca="false">TEXT(D2032,"dddd")</f>
        <v>Sunday</v>
      </c>
      <c r="F2032" s="2" t="s">
        <v>460</v>
      </c>
      <c r="G2032" s="2"/>
      <c r="H2032" s="2"/>
      <c r="I2032" s="2" t="n">
        <f aca="false">IF(F2032="Present",9,IF(F2032="Half Day",4,0))</f>
        <v>0</v>
      </c>
      <c r="J2032" s="2"/>
      <c r="K2032" s="2" t="s">
        <v>460</v>
      </c>
    </row>
    <row r="2033" customFormat="false" ht="15" hidden="false" customHeight="false" outlineLevel="0" collapsed="false">
      <c r="A2033" s="2" t="s">
        <v>178</v>
      </c>
      <c r="B2033" s="2" t="s">
        <v>179</v>
      </c>
      <c r="C2033" s="2" t="s">
        <v>41</v>
      </c>
      <c r="D2033" s="3" t="n">
        <v>46251</v>
      </c>
      <c r="E2033" s="2" t="str">
        <f aca="false">TEXT(D2033,"dddd")</f>
        <v>Monday</v>
      </c>
      <c r="F2033" s="2" t="s">
        <v>457</v>
      </c>
      <c r="G2033" s="2" t="s">
        <v>458</v>
      </c>
      <c r="H2033" s="2" t="s">
        <v>459</v>
      </c>
      <c r="I2033" s="2" t="n">
        <f aca="false">IF(F2033="Present",9,IF(F2033="Half Day",4,0))</f>
        <v>9</v>
      </c>
      <c r="J2033" s="2"/>
      <c r="K2033" s="2"/>
    </row>
    <row r="2034" customFormat="false" ht="15" hidden="false" customHeight="false" outlineLevel="0" collapsed="false">
      <c r="A2034" s="2" t="s">
        <v>178</v>
      </c>
      <c r="B2034" s="2" t="s">
        <v>179</v>
      </c>
      <c r="C2034" s="2" t="s">
        <v>41</v>
      </c>
      <c r="D2034" s="3" t="n">
        <v>46252</v>
      </c>
      <c r="E2034" s="2" t="str">
        <f aca="false">TEXT(D2034,"dddd")</f>
        <v>Tuesday</v>
      </c>
      <c r="F2034" s="2" t="s">
        <v>457</v>
      </c>
      <c r="G2034" s="2" t="s">
        <v>458</v>
      </c>
      <c r="H2034" s="2" t="s">
        <v>459</v>
      </c>
      <c r="I2034" s="2" t="n">
        <f aca="false">IF(F2034="Present",9,IF(F2034="Half Day",4,0))</f>
        <v>9</v>
      </c>
      <c r="J2034" s="2"/>
      <c r="K2034" s="2"/>
    </row>
    <row r="2035" customFormat="false" ht="15" hidden="false" customHeight="false" outlineLevel="0" collapsed="false">
      <c r="A2035" s="2" t="s">
        <v>178</v>
      </c>
      <c r="B2035" s="2" t="s">
        <v>179</v>
      </c>
      <c r="C2035" s="2" t="s">
        <v>41</v>
      </c>
      <c r="D2035" s="3" t="n">
        <v>46253</v>
      </c>
      <c r="E2035" s="2" t="str">
        <f aca="false">TEXT(D2035,"dddd")</f>
        <v>Wednesday</v>
      </c>
      <c r="F2035" s="2" t="s">
        <v>457</v>
      </c>
      <c r="G2035" s="2" t="s">
        <v>458</v>
      </c>
      <c r="H2035" s="2" t="s">
        <v>459</v>
      </c>
      <c r="I2035" s="2" t="n">
        <f aca="false">IF(F2035="Present",9,IF(F2035="Half Day",4,0))</f>
        <v>9</v>
      </c>
      <c r="J2035" s="2"/>
      <c r="K2035" s="2"/>
    </row>
    <row r="2036" customFormat="false" ht="15" hidden="false" customHeight="false" outlineLevel="0" collapsed="false">
      <c r="A2036" s="2" t="s">
        <v>178</v>
      </c>
      <c r="B2036" s="2" t="s">
        <v>179</v>
      </c>
      <c r="C2036" s="2" t="s">
        <v>41</v>
      </c>
      <c r="D2036" s="3" t="n">
        <v>46254</v>
      </c>
      <c r="E2036" s="2" t="str">
        <f aca="false">TEXT(D2036,"dddd")</f>
        <v>Thursday</v>
      </c>
      <c r="F2036" s="2" t="s">
        <v>466</v>
      </c>
      <c r="G2036" s="2" t="s">
        <v>458</v>
      </c>
      <c r="H2036" s="2" t="s">
        <v>467</v>
      </c>
      <c r="I2036" s="2" t="n">
        <f aca="false">IF(F2036="Present",9,IF(F2036="Half Day",4,0))</f>
        <v>4</v>
      </c>
      <c r="J2036" s="2"/>
      <c r="K2036" s="2" t="s">
        <v>466</v>
      </c>
    </row>
    <row r="2037" customFormat="false" ht="15" hidden="false" customHeight="false" outlineLevel="0" collapsed="false">
      <c r="A2037" s="2" t="s">
        <v>178</v>
      </c>
      <c r="B2037" s="2" t="s">
        <v>179</v>
      </c>
      <c r="C2037" s="2" t="s">
        <v>41</v>
      </c>
      <c r="D2037" s="3" t="n">
        <v>46255</v>
      </c>
      <c r="E2037" s="2" t="str">
        <f aca="false">TEXT(D2037,"dddd")</f>
        <v>Friday</v>
      </c>
      <c r="F2037" s="2" t="s">
        <v>457</v>
      </c>
      <c r="G2037" s="2" t="s">
        <v>458</v>
      </c>
      <c r="H2037" s="2" t="s">
        <v>459</v>
      </c>
      <c r="I2037" s="2" t="n">
        <f aca="false">IF(F2037="Present",9,IF(F2037="Half Day",4,0))</f>
        <v>9</v>
      </c>
      <c r="J2037" s="2"/>
      <c r="K2037" s="2"/>
    </row>
    <row r="2038" customFormat="false" ht="15" hidden="false" customHeight="false" outlineLevel="0" collapsed="false">
      <c r="A2038" s="2" t="s">
        <v>178</v>
      </c>
      <c r="B2038" s="2" t="s">
        <v>179</v>
      </c>
      <c r="C2038" s="2" t="s">
        <v>41</v>
      </c>
      <c r="D2038" s="3" t="n">
        <v>46256</v>
      </c>
      <c r="E2038" s="2" t="str">
        <f aca="false">TEXT(D2038,"dddd")</f>
        <v>Saturday</v>
      </c>
      <c r="F2038" s="2" t="s">
        <v>457</v>
      </c>
      <c r="G2038" s="2" t="s">
        <v>458</v>
      </c>
      <c r="H2038" s="2" t="s">
        <v>459</v>
      </c>
      <c r="I2038" s="2" t="n">
        <f aca="false">IF(F2038="Present",9,IF(F2038="Half Day",4,0))</f>
        <v>9</v>
      </c>
      <c r="J2038" s="2"/>
      <c r="K2038" s="2"/>
    </row>
    <row r="2039" customFormat="false" ht="15" hidden="false" customHeight="false" outlineLevel="0" collapsed="false">
      <c r="A2039" s="2" t="s">
        <v>178</v>
      </c>
      <c r="B2039" s="2" t="s">
        <v>179</v>
      </c>
      <c r="C2039" s="2" t="s">
        <v>41</v>
      </c>
      <c r="D2039" s="3" t="n">
        <v>46257</v>
      </c>
      <c r="E2039" s="2" t="str">
        <f aca="false">TEXT(D2039,"dddd")</f>
        <v>Sunday</v>
      </c>
      <c r="F2039" s="2" t="s">
        <v>460</v>
      </c>
      <c r="G2039" s="2"/>
      <c r="H2039" s="2"/>
      <c r="I2039" s="2" t="n">
        <f aca="false">IF(F2039="Present",9,IF(F2039="Half Day",4,0))</f>
        <v>0</v>
      </c>
      <c r="J2039" s="2"/>
      <c r="K2039" s="2" t="s">
        <v>460</v>
      </c>
    </row>
    <row r="2040" customFormat="false" ht="15" hidden="false" customHeight="false" outlineLevel="0" collapsed="false">
      <c r="A2040" s="2" t="s">
        <v>178</v>
      </c>
      <c r="B2040" s="2" t="s">
        <v>179</v>
      </c>
      <c r="C2040" s="2" t="s">
        <v>41</v>
      </c>
      <c r="D2040" s="3" t="n">
        <v>46258</v>
      </c>
      <c r="E2040" s="2" t="str">
        <f aca="false">TEXT(D2040,"dddd")</f>
        <v>Monday</v>
      </c>
      <c r="F2040" s="2" t="s">
        <v>457</v>
      </c>
      <c r="G2040" s="2" t="s">
        <v>458</v>
      </c>
      <c r="H2040" s="2" t="s">
        <v>459</v>
      </c>
      <c r="I2040" s="2" t="n">
        <f aca="false">IF(F2040="Present",9,IF(F2040="Half Day",4,0))</f>
        <v>9</v>
      </c>
      <c r="J2040" s="2"/>
      <c r="K2040" s="2"/>
    </row>
    <row r="2041" customFormat="false" ht="15" hidden="false" customHeight="false" outlineLevel="0" collapsed="false">
      <c r="A2041" s="2" t="s">
        <v>178</v>
      </c>
      <c r="B2041" s="2" t="s">
        <v>179</v>
      </c>
      <c r="C2041" s="2" t="s">
        <v>41</v>
      </c>
      <c r="D2041" s="3" t="n">
        <v>46259</v>
      </c>
      <c r="E2041" s="2" t="str">
        <f aca="false">TEXT(D2041,"dddd")</f>
        <v>Tuesday</v>
      </c>
      <c r="F2041" s="2" t="s">
        <v>457</v>
      </c>
      <c r="G2041" s="2" t="s">
        <v>458</v>
      </c>
      <c r="H2041" s="2" t="s">
        <v>459</v>
      </c>
      <c r="I2041" s="2" t="n">
        <f aca="false">IF(F2041="Present",9,IF(F2041="Half Day",4,0))</f>
        <v>9</v>
      </c>
      <c r="J2041" s="2"/>
      <c r="K2041" s="2"/>
    </row>
    <row r="2042" customFormat="false" ht="15" hidden="false" customHeight="false" outlineLevel="0" collapsed="false">
      <c r="A2042" s="2" t="s">
        <v>178</v>
      </c>
      <c r="B2042" s="2" t="s">
        <v>179</v>
      </c>
      <c r="C2042" s="2" t="s">
        <v>41</v>
      </c>
      <c r="D2042" s="3" t="n">
        <v>46260</v>
      </c>
      <c r="E2042" s="2" t="str">
        <f aca="false">TEXT(D2042,"dddd")</f>
        <v>Wednesday</v>
      </c>
      <c r="F2042" s="2" t="s">
        <v>457</v>
      </c>
      <c r="G2042" s="2" t="s">
        <v>458</v>
      </c>
      <c r="H2042" s="2" t="s">
        <v>459</v>
      </c>
      <c r="I2042" s="2" t="n">
        <f aca="false">IF(F2042="Present",9,IF(F2042="Half Day",4,0))</f>
        <v>9</v>
      </c>
      <c r="J2042" s="2"/>
      <c r="K2042" s="2"/>
    </row>
    <row r="2043" customFormat="false" ht="15" hidden="false" customHeight="false" outlineLevel="0" collapsed="false">
      <c r="A2043" s="2" t="s">
        <v>178</v>
      </c>
      <c r="B2043" s="2" t="s">
        <v>179</v>
      </c>
      <c r="C2043" s="2" t="s">
        <v>41</v>
      </c>
      <c r="D2043" s="3" t="n">
        <v>46261</v>
      </c>
      <c r="E2043" s="2" t="str">
        <f aca="false">TEXT(D2043,"dddd")</f>
        <v>Thursday</v>
      </c>
      <c r="F2043" s="2" t="s">
        <v>457</v>
      </c>
      <c r="G2043" s="2" t="s">
        <v>458</v>
      </c>
      <c r="H2043" s="2" t="s">
        <v>459</v>
      </c>
      <c r="I2043" s="2" t="n">
        <f aca="false">IF(F2043="Present",9,IF(F2043="Half Day",4,0))</f>
        <v>9</v>
      </c>
      <c r="J2043" s="2"/>
      <c r="K2043" s="2"/>
    </row>
    <row r="2044" customFormat="false" ht="15" hidden="false" customHeight="false" outlineLevel="0" collapsed="false">
      <c r="A2044" s="2" t="s">
        <v>178</v>
      </c>
      <c r="B2044" s="2" t="s">
        <v>179</v>
      </c>
      <c r="C2044" s="2" t="s">
        <v>41</v>
      </c>
      <c r="D2044" s="3" t="n">
        <v>46262</v>
      </c>
      <c r="E2044" s="2" t="str">
        <f aca="false">TEXT(D2044,"dddd")</f>
        <v>Friday</v>
      </c>
      <c r="F2044" s="2" t="s">
        <v>457</v>
      </c>
      <c r="G2044" s="2" t="s">
        <v>458</v>
      </c>
      <c r="H2044" s="2" t="s">
        <v>459</v>
      </c>
      <c r="I2044" s="2" t="n">
        <f aca="false">IF(F2044="Present",9,IF(F2044="Half Day",4,0))</f>
        <v>9</v>
      </c>
      <c r="J2044" s="2"/>
      <c r="K2044" s="2"/>
    </row>
    <row r="2045" customFormat="false" ht="15" hidden="false" customHeight="false" outlineLevel="0" collapsed="false">
      <c r="A2045" s="2" t="s">
        <v>178</v>
      </c>
      <c r="B2045" s="2" t="s">
        <v>179</v>
      </c>
      <c r="C2045" s="2" t="s">
        <v>41</v>
      </c>
      <c r="D2045" s="3" t="n">
        <v>46263</v>
      </c>
      <c r="E2045" s="2" t="str">
        <f aca="false">TEXT(D2045,"dddd")</f>
        <v>Saturday</v>
      </c>
      <c r="F2045" s="2" t="s">
        <v>457</v>
      </c>
      <c r="G2045" s="2" t="s">
        <v>458</v>
      </c>
      <c r="H2045" s="2" t="s">
        <v>459</v>
      </c>
      <c r="I2045" s="2" t="n">
        <f aca="false">IF(F2045="Present",9,IF(F2045="Half Day",4,0))</f>
        <v>9</v>
      </c>
      <c r="J2045" s="2"/>
      <c r="K2045" s="2"/>
    </row>
    <row r="2046" customFormat="false" ht="15" hidden="false" customHeight="false" outlineLevel="0" collapsed="false">
      <c r="A2046" s="2" t="s">
        <v>178</v>
      </c>
      <c r="B2046" s="2" t="s">
        <v>179</v>
      </c>
      <c r="C2046" s="2" t="s">
        <v>41</v>
      </c>
      <c r="D2046" s="3" t="n">
        <v>46264</v>
      </c>
      <c r="E2046" s="2" t="str">
        <f aca="false">TEXT(D2046,"dddd")</f>
        <v>Sunday</v>
      </c>
      <c r="F2046" s="2" t="s">
        <v>460</v>
      </c>
      <c r="G2046" s="2"/>
      <c r="H2046" s="2"/>
      <c r="I2046" s="2" t="n">
        <f aca="false">IF(F2046="Present",9,IF(F2046="Half Day",4,0))</f>
        <v>0</v>
      </c>
      <c r="J2046" s="2"/>
      <c r="K2046" s="2" t="s">
        <v>460</v>
      </c>
    </row>
    <row r="2047" customFormat="false" ht="15" hidden="false" customHeight="false" outlineLevel="0" collapsed="false">
      <c r="A2047" s="2" t="s">
        <v>178</v>
      </c>
      <c r="B2047" s="2" t="s">
        <v>179</v>
      </c>
      <c r="C2047" s="2" t="s">
        <v>41</v>
      </c>
      <c r="D2047" s="3" t="n">
        <v>46265</v>
      </c>
      <c r="E2047" s="2" t="str">
        <f aca="false">TEXT(D2047,"dddd")</f>
        <v>Monday</v>
      </c>
      <c r="F2047" s="2" t="s">
        <v>461</v>
      </c>
      <c r="G2047" s="2"/>
      <c r="H2047" s="2"/>
      <c r="I2047" s="2" t="n">
        <f aca="false">IF(F2047="Present",9,IF(F2047="Half Day",4,0))</f>
        <v>0</v>
      </c>
      <c r="J2047" s="2"/>
      <c r="K2047" s="2" t="s">
        <v>462</v>
      </c>
    </row>
    <row r="2048" customFormat="false" ht="15" hidden="false" customHeight="false" outlineLevel="0" collapsed="false">
      <c r="A2048" s="2" t="s">
        <v>180</v>
      </c>
      <c r="B2048" s="2" t="s">
        <v>181</v>
      </c>
      <c r="C2048" s="2" t="s">
        <v>45</v>
      </c>
      <c r="D2048" s="3" t="n">
        <v>46235</v>
      </c>
      <c r="E2048" s="2" t="str">
        <f aca="false">TEXT(D2048,"dddd")</f>
        <v>Saturday</v>
      </c>
      <c r="F2048" s="2" t="s">
        <v>457</v>
      </c>
      <c r="G2048" s="2" t="s">
        <v>458</v>
      </c>
      <c r="H2048" s="2" t="s">
        <v>459</v>
      </c>
      <c r="I2048" s="2" t="n">
        <f aca="false">IF(F2048="Present",9,IF(F2048="Half Day",4,0))</f>
        <v>9</v>
      </c>
      <c r="J2048" s="2"/>
      <c r="K2048" s="2"/>
    </row>
    <row r="2049" customFormat="false" ht="15" hidden="false" customHeight="false" outlineLevel="0" collapsed="false">
      <c r="A2049" s="2" t="s">
        <v>180</v>
      </c>
      <c r="B2049" s="2" t="s">
        <v>181</v>
      </c>
      <c r="C2049" s="2" t="s">
        <v>45</v>
      </c>
      <c r="D2049" s="3" t="n">
        <v>46236</v>
      </c>
      <c r="E2049" s="2" t="str">
        <f aca="false">TEXT(D2049,"dddd")</f>
        <v>Sunday</v>
      </c>
      <c r="F2049" s="2" t="s">
        <v>460</v>
      </c>
      <c r="G2049" s="2"/>
      <c r="H2049" s="2"/>
      <c r="I2049" s="2" t="n">
        <f aca="false">IF(F2049="Present",9,IF(F2049="Half Day",4,0))</f>
        <v>0</v>
      </c>
      <c r="J2049" s="2"/>
      <c r="K2049" s="2" t="s">
        <v>460</v>
      </c>
    </row>
    <row r="2050" customFormat="false" ht="15" hidden="false" customHeight="false" outlineLevel="0" collapsed="false">
      <c r="A2050" s="2" t="s">
        <v>180</v>
      </c>
      <c r="B2050" s="2" t="s">
        <v>181</v>
      </c>
      <c r="C2050" s="2" t="s">
        <v>45</v>
      </c>
      <c r="D2050" s="3" t="n">
        <v>46237</v>
      </c>
      <c r="E2050" s="2" t="str">
        <f aca="false">TEXT(D2050,"dddd")</f>
        <v>Monday</v>
      </c>
      <c r="F2050" s="2" t="s">
        <v>457</v>
      </c>
      <c r="G2050" s="2" t="s">
        <v>458</v>
      </c>
      <c r="H2050" s="2" t="s">
        <v>459</v>
      </c>
      <c r="I2050" s="2" t="n">
        <f aca="false">IF(F2050="Present",9,IF(F2050="Half Day",4,0))</f>
        <v>9</v>
      </c>
      <c r="J2050" s="2"/>
      <c r="K2050" s="2"/>
    </row>
    <row r="2051" customFormat="false" ht="15" hidden="false" customHeight="false" outlineLevel="0" collapsed="false">
      <c r="A2051" s="2" t="s">
        <v>180</v>
      </c>
      <c r="B2051" s="2" t="s">
        <v>181</v>
      </c>
      <c r="C2051" s="2" t="s">
        <v>45</v>
      </c>
      <c r="D2051" s="3" t="n">
        <v>46238</v>
      </c>
      <c r="E2051" s="2" t="str">
        <f aca="false">TEXT(D2051,"dddd")</f>
        <v>Tuesday</v>
      </c>
      <c r="F2051" s="2" t="s">
        <v>457</v>
      </c>
      <c r="G2051" s="2" t="s">
        <v>458</v>
      </c>
      <c r="H2051" s="2" t="s">
        <v>459</v>
      </c>
      <c r="I2051" s="2" t="n">
        <f aca="false">IF(F2051="Present",9,IF(F2051="Half Day",4,0))</f>
        <v>9</v>
      </c>
      <c r="J2051" s="2"/>
      <c r="K2051" s="2"/>
    </row>
    <row r="2052" customFormat="false" ht="15" hidden="false" customHeight="false" outlineLevel="0" collapsed="false">
      <c r="A2052" s="2" t="s">
        <v>180</v>
      </c>
      <c r="B2052" s="2" t="s">
        <v>181</v>
      </c>
      <c r="C2052" s="2" t="s">
        <v>45</v>
      </c>
      <c r="D2052" s="3" t="n">
        <v>46239</v>
      </c>
      <c r="E2052" s="2" t="str">
        <f aca="false">TEXT(D2052,"dddd")</f>
        <v>Wednesday</v>
      </c>
      <c r="F2052" s="2" t="s">
        <v>457</v>
      </c>
      <c r="G2052" s="2" t="s">
        <v>458</v>
      </c>
      <c r="H2052" s="2" t="s">
        <v>459</v>
      </c>
      <c r="I2052" s="2" t="n">
        <f aca="false">IF(F2052="Present",9,IF(F2052="Half Day",4,0))</f>
        <v>9</v>
      </c>
      <c r="J2052" s="2"/>
      <c r="K2052" s="2"/>
    </row>
    <row r="2053" customFormat="false" ht="15" hidden="false" customHeight="false" outlineLevel="0" collapsed="false">
      <c r="A2053" s="2" t="s">
        <v>180</v>
      </c>
      <c r="B2053" s="2" t="s">
        <v>181</v>
      </c>
      <c r="C2053" s="2" t="s">
        <v>45</v>
      </c>
      <c r="D2053" s="3" t="n">
        <v>46240</v>
      </c>
      <c r="E2053" s="2" t="str">
        <f aca="false">TEXT(D2053,"dddd")</f>
        <v>Thursday</v>
      </c>
      <c r="F2053" s="2" t="s">
        <v>457</v>
      </c>
      <c r="G2053" s="2" t="s">
        <v>458</v>
      </c>
      <c r="H2053" s="2" t="s">
        <v>459</v>
      </c>
      <c r="I2053" s="2" t="n">
        <f aca="false">IF(F2053="Present",9,IF(F2053="Half Day",4,0))</f>
        <v>9</v>
      </c>
      <c r="J2053" s="2"/>
      <c r="K2053" s="2"/>
    </row>
    <row r="2054" customFormat="false" ht="15" hidden="false" customHeight="false" outlineLevel="0" collapsed="false">
      <c r="A2054" s="2" t="s">
        <v>180</v>
      </c>
      <c r="B2054" s="2" t="s">
        <v>181</v>
      </c>
      <c r="C2054" s="2" t="s">
        <v>45</v>
      </c>
      <c r="D2054" s="3" t="n">
        <v>46241</v>
      </c>
      <c r="E2054" s="2" t="str">
        <f aca="false">TEXT(D2054,"dddd")</f>
        <v>Friday</v>
      </c>
      <c r="F2054" s="2" t="s">
        <v>457</v>
      </c>
      <c r="G2054" s="2" t="s">
        <v>458</v>
      </c>
      <c r="H2054" s="2" t="s">
        <v>459</v>
      </c>
      <c r="I2054" s="2" t="n">
        <f aca="false">IF(F2054="Present",9,IF(F2054="Half Day",4,0))</f>
        <v>9</v>
      </c>
      <c r="J2054" s="2"/>
      <c r="K2054" s="2"/>
    </row>
    <row r="2055" customFormat="false" ht="15" hidden="false" customHeight="false" outlineLevel="0" collapsed="false">
      <c r="A2055" s="2" t="s">
        <v>180</v>
      </c>
      <c r="B2055" s="2" t="s">
        <v>181</v>
      </c>
      <c r="C2055" s="2" t="s">
        <v>45</v>
      </c>
      <c r="D2055" s="3" t="n">
        <v>46242</v>
      </c>
      <c r="E2055" s="2" t="str">
        <f aca="false">TEXT(D2055,"dddd")</f>
        <v>Saturday</v>
      </c>
      <c r="F2055" s="2" t="s">
        <v>457</v>
      </c>
      <c r="G2055" s="2" t="s">
        <v>458</v>
      </c>
      <c r="H2055" s="2" t="s">
        <v>459</v>
      </c>
      <c r="I2055" s="2" t="n">
        <f aca="false">IF(F2055="Present",9,IF(F2055="Half Day",4,0))</f>
        <v>9</v>
      </c>
      <c r="J2055" s="2"/>
      <c r="K2055" s="2"/>
    </row>
    <row r="2056" customFormat="false" ht="15" hidden="false" customHeight="false" outlineLevel="0" collapsed="false">
      <c r="A2056" s="2" t="s">
        <v>180</v>
      </c>
      <c r="B2056" s="2" t="s">
        <v>181</v>
      </c>
      <c r="C2056" s="2" t="s">
        <v>45</v>
      </c>
      <c r="D2056" s="3" t="n">
        <v>46243</v>
      </c>
      <c r="E2056" s="2" t="str">
        <f aca="false">TEXT(D2056,"dddd")</f>
        <v>Sunday</v>
      </c>
      <c r="F2056" s="2" t="s">
        <v>460</v>
      </c>
      <c r="G2056" s="2"/>
      <c r="H2056" s="2"/>
      <c r="I2056" s="2" t="n">
        <f aca="false">IF(F2056="Present",9,IF(F2056="Half Day",4,0))</f>
        <v>0</v>
      </c>
      <c r="J2056" s="2"/>
      <c r="K2056" s="2" t="s">
        <v>460</v>
      </c>
    </row>
    <row r="2057" customFormat="false" ht="15" hidden="false" customHeight="false" outlineLevel="0" collapsed="false">
      <c r="A2057" s="2" t="s">
        <v>180</v>
      </c>
      <c r="B2057" s="2" t="s">
        <v>181</v>
      </c>
      <c r="C2057" s="2" t="s">
        <v>45</v>
      </c>
      <c r="D2057" s="3" t="n">
        <v>46244</v>
      </c>
      <c r="E2057" s="2" t="str">
        <f aca="false">TEXT(D2057,"dddd")</f>
        <v>Monday</v>
      </c>
      <c r="F2057" s="2" t="s">
        <v>457</v>
      </c>
      <c r="G2057" s="2" t="s">
        <v>458</v>
      </c>
      <c r="H2057" s="2" t="s">
        <v>459</v>
      </c>
      <c r="I2057" s="2" t="n">
        <f aca="false">IF(F2057="Present",9,IF(F2057="Half Day",4,0))</f>
        <v>9</v>
      </c>
      <c r="J2057" s="2"/>
      <c r="K2057" s="2"/>
    </row>
    <row r="2058" customFormat="false" ht="15" hidden="false" customHeight="false" outlineLevel="0" collapsed="false">
      <c r="A2058" s="2" t="s">
        <v>180</v>
      </c>
      <c r="B2058" s="2" t="s">
        <v>181</v>
      </c>
      <c r="C2058" s="2" t="s">
        <v>45</v>
      </c>
      <c r="D2058" s="3" t="n">
        <v>46245</v>
      </c>
      <c r="E2058" s="2" t="str">
        <f aca="false">TEXT(D2058,"dddd")</f>
        <v>Tuesday</v>
      </c>
      <c r="F2058" s="2" t="s">
        <v>457</v>
      </c>
      <c r="G2058" s="2" t="s">
        <v>458</v>
      </c>
      <c r="H2058" s="2" t="s">
        <v>459</v>
      </c>
      <c r="I2058" s="2" t="n">
        <f aca="false">IF(F2058="Present",9,IF(F2058="Half Day",4,0))</f>
        <v>9</v>
      </c>
      <c r="J2058" s="2"/>
      <c r="K2058" s="2"/>
    </row>
    <row r="2059" customFormat="false" ht="15" hidden="false" customHeight="false" outlineLevel="0" collapsed="false">
      <c r="A2059" s="2" t="s">
        <v>180</v>
      </c>
      <c r="B2059" s="2" t="s">
        <v>181</v>
      </c>
      <c r="C2059" s="2" t="s">
        <v>45</v>
      </c>
      <c r="D2059" s="3" t="n">
        <v>46246</v>
      </c>
      <c r="E2059" s="2" t="str">
        <f aca="false">TEXT(D2059,"dddd")</f>
        <v>Wednesday</v>
      </c>
      <c r="F2059" s="2" t="s">
        <v>457</v>
      </c>
      <c r="G2059" s="2" t="s">
        <v>458</v>
      </c>
      <c r="H2059" s="2" t="s">
        <v>459</v>
      </c>
      <c r="I2059" s="2" t="n">
        <f aca="false">IF(F2059="Present",9,IF(F2059="Half Day",4,0))</f>
        <v>9</v>
      </c>
      <c r="J2059" s="2"/>
      <c r="K2059" s="2"/>
    </row>
    <row r="2060" customFormat="false" ht="15" hidden="false" customHeight="false" outlineLevel="0" collapsed="false">
      <c r="A2060" s="2" t="s">
        <v>180</v>
      </c>
      <c r="B2060" s="2" t="s">
        <v>181</v>
      </c>
      <c r="C2060" s="2" t="s">
        <v>45</v>
      </c>
      <c r="D2060" s="3" t="n">
        <v>46247</v>
      </c>
      <c r="E2060" s="2" t="str">
        <f aca="false">TEXT(D2060,"dddd")</f>
        <v>Thursday</v>
      </c>
      <c r="F2060" s="2" t="s">
        <v>457</v>
      </c>
      <c r="G2060" s="2" t="s">
        <v>458</v>
      </c>
      <c r="H2060" s="2" t="s">
        <v>459</v>
      </c>
      <c r="I2060" s="2" t="n">
        <f aca="false">IF(F2060="Present",9,IF(F2060="Half Day",4,0))</f>
        <v>9</v>
      </c>
      <c r="J2060" s="2"/>
      <c r="K2060" s="2"/>
    </row>
    <row r="2061" customFormat="false" ht="15" hidden="false" customHeight="false" outlineLevel="0" collapsed="false">
      <c r="A2061" s="2" t="s">
        <v>180</v>
      </c>
      <c r="B2061" s="2" t="s">
        <v>181</v>
      </c>
      <c r="C2061" s="2" t="s">
        <v>45</v>
      </c>
      <c r="D2061" s="3" t="n">
        <v>46248</v>
      </c>
      <c r="E2061" s="2" t="str">
        <f aca="false">TEXT(D2061,"dddd")</f>
        <v>Friday</v>
      </c>
      <c r="F2061" s="2" t="s">
        <v>457</v>
      </c>
      <c r="G2061" s="2" t="s">
        <v>458</v>
      </c>
      <c r="H2061" s="2" t="s">
        <v>459</v>
      </c>
      <c r="I2061" s="2" t="n">
        <f aca="false">IF(F2061="Present",9,IF(F2061="Half Day",4,0))</f>
        <v>9</v>
      </c>
      <c r="J2061" s="2"/>
      <c r="K2061" s="2"/>
    </row>
    <row r="2062" customFormat="false" ht="15" hidden="false" customHeight="false" outlineLevel="0" collapsed="false">
      <c r="A2062" s="2" t="s">
        <v>180</v>
      </c>
      <c r="B2062" s="2" t="s">
        <v>181</v>
      </c>
      <c r="C2062" s="2" t="s">
        <v>45</v>
      </c>
      <c r="D2062" s="3" t="n">
        <v>46249</v>
      </c>
      <c r="E2062" s="2" t="str">
        <f aca="false">TEXT(D2062,"dddd")</f>
        <v>Saturday</v>
      </c>
      <c r="F2062" s="2" t="s">
        <v>457</v>
      </c>
      <c r="G2062" s="2" t="s">
        <v>458</v>
      </c>
      <c r="H2062" s="2" t="s">
        <v>459</v>
      </c>
      <c r="I2062" s="2" t="n">
        <f aca="false">IF(F2062="Present",9,IF(F2062="Half Day",4,0))</f>
        <v>9</v>
      </c>
      <c r="J2062" s="2"/>
      <c r="K2062" s="2"/>
    </row>
    <row r="2063" customFormat="false" ht="15" hidden="false" customHeight="false" outlineLevel="0" collapsed="false">
      <c r="A2063" s="2" t="s">
        <v>180</v>
      </c>
      <c r="B2063" s="2" t="s">
        <v>181</v>
      </c>
      <c r="C2063" s="2" t="s">
        <v>45</v>
      </c>
      <c r="D2063" s="3" t="n">
        <v>46250</v>
      </c>
      <c r="E2063" s="2" t="str">
        <f aca="false">TEXT(D2063,"dddd")</f>
        <v>Sunday</v>
      </c>
      <c r="F2063" s="2" t="s">
        <v>460</v>
      </c>
      <c r="G2063" s="2"/>
      <c r="H2063" s="2"/>
      <c r="I2063" s="2" t="n">
        <f aca="false">IF(F2063="Present",9,IF(F2063="Half Day",4,0))</f>
        <v>0</v>
      </c>
      <c r="J2063" s="2"/>
      <c r="K2063" s="2" t="s">
        <v>460</v>
      </c>
    </row>
    <row r="2064" customFormat="false" ht="15" hidden="false" customHeight="false" outlineLevel="0" collapsed="false">
      <c r="A2064" s="2" t="s">
        <v>180</v>
      </c>
      <c r="B2064" s="2" t="s">
        <v>181</v>
      </c>
      <c r="C2064" s="2" t="s">
        <v>45</v>
      </c>
      <c r="D2064" s="3" t="n">
        <v>46251</v>
      </c>
      <c r="E2064" s="2" t="str">
        <f aca="false">TEXT(D2064,"dddd")</f>
        <v>Monday</v>
      </c>
      <c r="F2064" s="2" t="s">
        <v>466</v>
      </c>
      <c r="G2064" s="2" t="s">
        <v>458</v>
      </c>
      <c r="H2064" s="2" t="s">
        <v>467</v>
      </c>
      <c r="I2064" s="2" t="n">
        <f aca="false">IF(F2064="Present",9,IF(F2064="Half Day",4,0))</f>
        <v>4</v>
      </c>
      <c r="J2064" s="2"/>
      <c r="K2064" s="2" t="s">
        <v>466</v>
      </c>
    </row>
    <row r="2065" customFormat="false" ht="15" hidden="false" customHeight="false" outlineLevel="0" collapsed="false">
      <c r="A2065" s="2" t="s">
        <v>180</v>
      </c>
      <c r="B2065" s="2" t="s">
        <v>181</v>
      </c>
      <c r="C2065" s="2" t="s">
        <v>45</v>
      </c>
      <c r="D2065" s="3" t="n">
        <v>46252</v>
      </c>
      <c r="E2065" s="2" t="str">
        <f aca="false">TEXT(D2065,"dddd")</f>
        <v>Tuesday</v>
      </c>
      <c r="F2065" s="2" t="s">
        <v>457</v>
      </c>
      <c r="G2065" s="2" t="s">
        <v>458</v>
      </c>
      <c r="H2065" s="2" t="s">
        <v>459</v>
      </c>
      <c r="I2065" s="2" t="n">
        <f aca="false">IF(F2065="Present",9,IF(F2065="Half Day",4,0))</f>
        <v>9</v>
      </c>
      <c r="J2065" s="2"/>
      <c r="K2065" s="2"/>
    </row>
    <row r="2066" customFormat="false" ht="15" hidden="false" customHeight="false" outlineLevel="0" collapsed="false">
      <c r="A2066" s="2" t="s">
        <v>180</v>
      </c>
      <c r="B2066" s="2" t="s">
        <v>181</v>
      </c>
      <c r="C2066" s="2" t="s">
        <v>45</v>
      </c>
      <c r="D2066" s="3" t="n">
        <v>46253</v>
      </c>
      <c r="E2066" s="2" t="str">
        <f aca="false">TEXT(D2066,"dddd")</f>
        <v>Wednesday</v>
      </c>
      <c r="F2066" s="2" t="s">
        <v>457</v>
      </c>
      <c r="G2066" s="2" t="s">
        <v>458</v>
      </c>
      <c r="H2066" s="2" t="s">
        <v>459</v>
      </c>
      <c r="I2066" s="2" t="n">
        <f aca="false">IF(F2066="Present",9,IF(F2066="Half Day",4,0))</f>
        <v>9</v>
      </c>
      <c r="J2066" s="2"/>
      <c r="K2066" s="2"/>
    </row>
    <row r="2067" customFormat="false" ht="15" hidden="false" customHeight="false" outlineLevel="0" collapsed="false">
      <c r="A2067" s="2" t="s">
        <v>180</v>
      </c>
      <c r="B2067" s="2" t="s">
        <v>181</v>
      </c>
      <c r="C2067" s="2" t="s">
        <v>45</v>
      </c>
      <c r="D2067" s="3" t="n">
        <v>46254</v>
      </c>
      <c r="E2067" s="2" t="str">
        <f aca="false">TEXT(D2067,"dddd")</f>
        <v>Thursday</v>
      </c>
      <c r="F2067" s="2" t="s">
        <v>457</v>
      </c>
      <c r="G2067" s="2" t="s">
        <v>458</v>
      </c>
      <c r="H2067" s="2" t="s">
        <v>459</v>
      </c>
      <c r="I2067" s="2" t="n">
        <f aca="false">IF(F2067="Present",9,IF(F2067="Half Day",4,0))</f>
        <v>9</v>
      </c>
      <c r="J2067" s="2"/>
      <c r="K2067" s="2"/>
    </row>
    <row r="2068" customFormat="false" ht="15" hidden="false" customHeight="false" outlineLevel="0" collapsed="false">
      <c r="A2068" s="2" t="s">
        <v>180</v>
      </c>
      <c r="B2068" s="2" t="s">
        <v>181</v>
      </c>
      <c r="C2068" s="2" t="s">
        <v>45</v>
      </c>
      <c r="D2068" s="3" t="n">
        <v>46255</v>
      </c>
      <c r="E2068" s="2" t="str">
        <f aca="false">TEXT(D2068,"dddd")</f>
        <v>Friday</v>
      </c>
      <c r="F2068" s="2" t="s">
        <v>457</v>
      </c>
      <c r="G2068" s="2" t="s">
        <v>458</v>
      </c>
      <c r="H2068" s="2" t="s">
        <v>459</v>
      </c>
      <c r="I2068" s="2" t="n">
        <f aca="false">IF(F2068="Present",9,IF(F2068="Half Day",4,0))</f>
        <v>9</v>
      </c>
      <c r="J2068" s="2"/>
      <c r="K2068" s="2"/>
    </row>
    <row r="2069" customFormat="false" ht="15" hidden="false" customHeight="false" outlineLevel="0" collapsed="false">
      <c r="A2069" s="2" t="s">
        <v>180</v>
      </c>
      <c r="B2069" s="2" t="s">
        <v>181</v>
      </c>
      <c r="C2069" s="2" t="s">
        <v>45</v>
      </c>
      <c r="D2069" s="3" t="n">
        <v>46256</v>
      </c>
      <c r="E2069" s="2" t="str">
        <f aca="false">TEXT(D2069,"dddd")</f>
        <v>Saturday</v>
      </c>
      <c r="F2069" s="2" t="s">
        <v>457</v>
      </c>
      <c r="G2069" s="2" t="s">
        <v>458</v>
      </c>
      <c r="H2069" s="2" t="s">
        <v>459</v>
      </c>
      <c r="I2069" s="2" t="n">
        <f aca="false">IF(F2069="Present",9,IF(F2069="Half Day",4,0))</f>
        <v>9</v>
      </c>
      <c r="J2069" s="2"/>
      <c r="K2069" s="2"/>
    </row>
    <row r="2070" customFormat="false" ht="15" hidden="false" customHeight="false" outlineLevel="0" collapsed="false">
      <c r="A2070" s="2" t="s">
        <v>180</v>
      </c>
      <c r="B2070" s="2" t="s">
        <v>181</v>
      </c>
      <c r="C2070" s="2" t="s">
        <v>45</v>
      </c>
      <c r="D2070" s="3" t="n">
        <v>46257</v>
      </c>
      <c r="E2070" s="2" t="str">
        <f aca="false">TEXT(D2070,"dddd")</f>
        <v>Sunday</v>
      </c>
      <c r="F2070" s="2" t="s">
        <v>460</v>
      </c>
      <c r="G2070" s="2"/>
      <c r="H2070" s="2"/>
      <c r="I2070" s="2" t="n">
        <f aca="false">IF(F2070="Present",9,IF(F2070="Half Day",4,0))</f>
        <v>0</v>
      </c>
      <c r="J2070" s="2"/>
      <c r="K2070" s="2" t="s">
        <v>460</v>
      </c>
    </row>
    <row r="2071" customFormat="false" ht="15" hidden="false" customHeight="false" outlineLevel="0" collapsed="false">
      <c r="A2071" s="2" t="s">
        <v>180</v>
      </c>
      <c r="B2071" s="2" t="s">
        <v>181</v>
      </c>
      <c r="C2071" s="2" t="s">
        <v>45</v>
      </c>
      <c r="D2071" s="3" t="n">
        <v>46258</v>
      </c>
      <c r="E2071" s="2" t="str">
        <f aca="false">TEXT(D2071,"dddd")</f>
        <v>Monday</v>
      </c>
      <c r="F2071" s="2" t="s">
        <v>457</v>
      </c>
      <c r="G2071" s="2" t="s">
        <v>458</v>
      </c>
      <c r="H2071" s="2" t="s">
        <v>459</v>
      </c>
      <c r="I2071" s="2" t="n">
        <f aca="false">IF(F2071="Present",9,IF(F2071="Half Day",4,0))</f>
        <v>9</v>
      </c>
      <c r="J2071" s="2"/>
      <c r="K2071" s="2"/>
    </row>
    <row r="2072" customFormat="false" ht="15" hidden="false" customHeight="false" outlineLevel="0" collapsed="false">
      <c r="A2072" s="2" t="s">
        <v>180</v>
      </c>
      <c r="B2072" s="2" t="s">
        <v>181</v>
      </c>
      <c r="C2072" s="2" t="s">
        <v>45</v>
      </c>
      <c r="D2072" s="3" t="n">
        <v>46259</v>
      </c>
      <c r="E2072" s="2" t="str">
        <f aca="false">TEXT(D2072,"dddd")</f>
        <v>Tuesday</v>
      </c>
      <c r="F2072" s="2" t="s">
        <v>457</v>
      </c>
      <c r="G2072" s="2" t="s">
        <v>458</v>
      </c>
      <c r="H2072" s="2" t="s">
        <v>459</v>
      </c>
      <c r="I2072" s="2" t="n">
        <f aca="false">IF(F2072="Present",9,IF(F2072="Half Day",4,0))</f>
        <v>9</v>
      </c>
      <c r="J2072" s="2"/>
      <c r="K2072" s="2"/>
    </row>
    <row r="2073" customFormat="false" ht="15" hidden="false" customHeight="false" outlineLevel="0" collapsed="false">
      <c r="A2073" s="2" t="s">
        <v>180</v>
      </c>
      <c r="B2073" s="2" t="s">
        <v>181</v>
      </c>
      <c r="C2073" s="2" t="s">
        <v>45</v>
      </c>
      <c r="D2073" s="3" t="n">
        <v>46260</v>
      </c>
      <c r="E2073" s="2" t="str">
        <f aca="false">TEXT(D2073,"dddd")</f>
        <v>Wednesday</v>
      </c>
      <c r="F2073" s="2" t="s">
        <v>457</v>
      </c>
      <c r="G2073" s="2" t="s">
        <v>458</v>
      </c>
      <c r="H2073" s="2" t="s">
        <v>459</v>
      </c>
      <c r="I2073" s="2" t="n">
        <f aca="false">IF(F2073="Present",9,IF(F2073="Half Day",4,0))</f>
        <v>9</v>
      </c>
      <c r="J2073" s="2"/>
      <c r="K2073" s="2"/>
    </row>
    <row r="2074" customFormat="false" ht="15" hidden="false" customHeight="false" outlineLevel="0" collapsed="false">
      <c r="A2074" s="2" t="s">
        <v>180</v>
      </c>
      <c r="B2074" s="2" t="s">
        <v>181</v>
      </c>
      <c r="C2074" s="2" t="s">
        <v>45</v>
      </c>
      <c r="D2074" s="3" t="n">
        <v>46261</v>
      </c>
      <c r="E2074" s="2" t="str">
        <f aca="false">TEXT(D2074,"dddd")</f>
        <v>Thursday</v>
      </c>
      <c r="F2074" s="2" t="s">
        <v>457</v>
      </c>
      <c r="G2074" s="2" t="s">
        <v>458</v>
      </c>
      <c r="H2074" s="2" t="s">
        <v>459</v>
      </c>
      <c r="I2074" s="2" t="n">
        <f aca="false">IF(F2074="Present",9,IF(F2074="Half Day",4,0))</f>
        <v>9</v>
      </c>
      <c r="J2074" s="2"/>
      <c r="K2074" s="2"/>
    </row>
    <row r="2075" customFormat="false" ht="15" hidden="false" customHeight="false" outlineLevel="0" collapsed="false">
      <c r="A2075" s="2" t="s">
        <v>180</v>
      </c>
      <c r="B2075" s="2" t="s">
        <v>181</v>
      </c>
      <c r="C2075" s="2" t="s">
        <v>45</v>
      </c>
      <c r="D2075" s="3" t="n">
        <v>46262</v>
      </c>
      <c r="E2075" s="2" t="str">
        <f aca="false">TEXT(D2075,"dddd")</f>
        <v>Friday</v>
      </c>
      <c r="F2075" s="2" t="s">
        <v>466</v>
      </c>
      <c r="G2075" s="2" t="s">
        <v>458</v>
      </c>
      <c r="H2075" s="2" t="s">
        <v>467</v>
      </c>
      <c r="I2075" s="2" t="n">
        <f aca="false">IF(F2075="Present",9,IF(F2075="Half Day",4,0))</f>
        <v>4</v>
      </c>
      <c r="J2075" s="2"/>
      <c r="K2075" s="2" t="s">
        <v>466</v>
      </c>
    </row>
    <row r="2076" customFormat="false" ht="15" hidden="false" customHeight="false" outlineLevel="0" collapsed="false">
      <c r="A2076" s="2" t="s">
        <v>180</v>
      </c>
      <c r="B2076" s="2" t="s">
        <v>181</v>
      </c>
      <c r="C2076" s="2" t="s">
        <v>45</v>
      </c>
      <c r="D2076" s="3" t="n">
        <v>46263</v>
      </c>
      <c r="E2076" s="2" t="str">
        <f aca="false">TEXT(D2076,"dddd")</f>
        <v>Saturday</v>
      </c>
      <c r="F2076" s="2" t="s">
        <v>457</v>
      </c>
      <c r="G2076" s="2" t="s">
        <v>458</v>
      </c>
      <c r="H2076" s="2" t="s">
        <v>459</v>
      </c>
      <c r="I2076" s="2" t="n">
        <f aca="false">IF(F2076="Present",9,IF(F2076="Half Day",4,0))</f>
        <v>9</v>
      </c>
      <c r="J2076" s="2"/>
      <c r="K2076" s="2"/>
    </row>
    <row r="2077" customFormat="false" ht="15" hidden="false" customHeight="false" outlineLevel="0" collapsed="false">
      <c r="A2077" s="2" t="s">
        <v>180</v>
      </c>
      <c r="B2077" s="2" t="s">
        <v>181</v>
      </c>
      <c r="C2077" s="2" t="s">
        <v>45</v>
      </c>
      <c r="D2077" s="3" t="n">
        <v>46264</v>
      </c>
      <c r="E2077" s="2" t="str">
        <f aca="false">TEXT(D2077,"dddd")</f>
        <v>Sunday</v>
      </c>
      <c r="F2077" s="2" t="s">
        <v>460</v>
      </c>
      <c r="G2077" s="2"/>
      <c r="H2077" s="2"/>
      <c r="I2077" s="2" t="n">
        <f aca="false">IF(F2077="Present",9,IF(F2077="Half Day",4,0))</f>
        <v>0</v>
      </c>
      <c r="J2077" s="2"/>
      <c r="K2077" s="2" t="s">
        <v>460</v>
      </c>
    </row>
    <row r="2078" customFormat="false" ht="15" hidden="false" customHeight="false" outlineLevel="0" collapsed="false">
      <c r="A2078" s="2" t="s">
        <v>180</v>
      </c>
      <c r="B2078" s="2" t="s">
        <v>181</v>
      </c>
      <c r="C2078" s="2" t="s">
        <v>45</v>
      </c>
      <c r="D2078" s="3" t="n">
        <v>46265</v>
      </c>
      <c r="E2078" s="2" t="str">
        <f aca="false">TEXT(D2078,"dddd")</f>
        <v>Monday</v>
      </c>
      <c r="F2078" s="2" t="s">
        <v>457</v>
      </c>
      <c r="G2078" s="2" t="s">
        <v>458</v>
      </c>
      <c r="H2078" s="2" t="s">
        <v>459</v>
      </c>
      <c r="I2078" s="2" t="n">
        <f aca="false">IF(F2078="Present",9,IF(F2078="Half Day",4,0))</f>
        <v>9</v>
      </c>
      <c r="J2078" s="2"/>
      <c r="K2078" s="2"/>
    </row>
    <row r="2079" customFormat="false" ht="15" hidden="false" customHeight="false" outlineLevel="0" collapsed="false">
      <c r="A2079" s="2" t="s">
        <v>182</v>
      </c>
      <c r="B2079" s="2" t="s">
        <v>183</v>
      </c>
      <c r="C2079" s="2" t="s">
        <v>49</v>
      </c>
      <c r="D2079" s="3" t="n">
        <v>46235</v>
      </c>
      <c r="E2079" s="2" t="str">
        <f aca="false">TEXT(D2079,"dddd")</f>
        <v>Saturday</v>
      </c>
      <c r="F2079" s="2" t="s">
        <v>457</v>
      </c>
      <c r="G2079" s="2" t="s">
        <v>458</v>
      </c>
      <c r="H2079" s="2" t="s">
        <v>459</v>
      </c>
      <c r="I2079" s="2" t="n">
        <f aca="false">IF(F2079="Present",9,IF(F2079="Half Day",4,0))</f>
        <v>9</v>
      </c>
      <c r="J2079" s="2"/>
      <c r="K2079" s="2"/>
    </row>
    <row r="2080" customFormat="false" ht="15" hidden="false" customHeight="false" outlineLevel="0" collapsed="false">
      <c r="A2080" s="2" t="s">
        <v>182</v>
      </c>
      <c r="B2080" s="2" t="s">
        <v>183</v>
      </c>
      <c r="C2080" s="2" t="s">
        <v>49</v>
      </c>
      <c r="D2080" s="3" t="n">
        <v>46236</v>
      </c>
      <c r="E2080" s="2" t="str">
        <f aca="false">TEXT(D2080,"dddd")</f>
        <v>Sunday</v>
      </c>
      <c r="F2080" s="2" t="s">
        <v>460</v>
      </c>
      <c r="G2080" s="2"/>
      <c r="H2080" s="2"/>
      <c r="I2080" s="2" t="n">
        <f aca="false">IF(F2080="Present",9,IF(F2080="Half Day",4,0))</f>
        <v>0</v>
      </c>
      <c r="J2080" s="2"/>
      <c r="K2080" s="2" t="s">
        <v>460</v>
      </c>
    </row>
    <row r="2081" customFormat="false" ht="15" hidden="false" customHeight="false" outlineLevel="0" collapsed="false">
      <c r="A2081" s="2" t="s">
        <v>182</v>
      </c>
      <c r="B2081" s="2" t="s">
        <v>183</v>
      </c>
      <c r="C2081" s="2" t="s">
        <v>49</v>
      </c>
      <c r="D2081" s="3" t="n">
        <v>46237</v>
      </c>
      <c r="E2081" s="2" t="str">
        <f aca="false">TEXT(D2081,"dddd")</f>
        <v>Monday</v>
      </c>
      <c r="F2081" s="2" t="s">
        <v>457</v>
      </c>
      <c r="G2081" s="2" t="s">
        <v>458</v>
      </c>
      <c r="H2081" s="2" t="s">
        <v>459</v>
      </c>
      <c r="I2081" s="2" t="n">
        <f aca="false">IF(F2081="Present",9,IF(F2081="Half Day",4,0))</f>
        <v>9</v>
      </c>
      <c r="J2081" s="2"/>
      <c r="K2081" s="2"/>
    </row>
    <row r="2082" customFormat="false" ht="15" hidden="false" customHeight="false" outlineLevel="0" collapsed="false">
      <c r="A2082" s="2" t="s">
        <v>182</v>
      </c>
      <c r="B2082" s="2" t="s">
        <v>183</v>
      </c>
      <c r="C2082" s="2" t="s">
        <v>49</v>
      </c>
      <c r="D2082" s="3" t="n">
        <v>46238</v>
      </c>
      <c r="E2082" s="2" t="str">
        <f aca="false">TEXT(D2082,"dddd")</f>
        <v>Tuesday</v>
      </c>
      <c r="F2082" s="2" t="s">
        <v>457</v>
      </c>
      <c r="G2082" s="2" t="s">
        <v>458</v>
      </c>
      <c r="H2082" s="2" t="s">
        <v>459</v>
      </c>
      <c r="I2082" s="2" t="n">
        <f aca="false">IF(F2082="Present",9,IF(F2082="Half Day",4,0))</f>
        <v>9</v>
      </c>
      <c r="J2082" s="2"/>
      <c r="K2082" s="2"/>
    </row>
    <row r="2083" customFormat="false" ht="15" hidden="false" customHeight="false" outlineLevel="0" collapsed="false">
      <c r="A2083" s="2" t="s">
        <v>182</v>
      </c>
      <c r="B2083" s="2" t="s">
        <v>183</v>
      </c>
      <c r="C2083" s="2" t="s">
        <v>49</v>
      </c>
      <c r="D2083" s="3" t="n">
        <v>46239</v>
      </c>
      <c r="E2083" s="2" t="str">
        <f aca="false">TEXT(D2083,"dddd")</f>
        <v>Wednesday</v>
      </c>
      <c r="F2083" s="2" t="s">
        <v>457</v>
      </c>
      <c r="G2083" s="2" t="s">
        <v>458</v>
      </c>
      <c r="H2083" s="2" t="s">
        <v>459</v>
      </c>
      <c r="I2083" s="2" t="n">
        <f aca="false">IF(F2083="Present",9,IF(F2083="Half Day",4,0))</f>
        <v>9</v>
      </c>
      <c r="J2083" s="2"/>
      <c r="K2083" s="2"/>
    </row>
    <row r="2084" customFormat="false" ht="15" hidden="false" customHeight="false" outlineLevel="0" collapsed="false">
      <c r="A2084" s="2" t="s">
        <v>182</v>
      </c>
      <c r="B2084" s="2" t="s">
        <v>183</v>
      </c>
      <c r="C2084" s="2" t="s">
        <v>49</v>
      </c>
      <c r="D2084" s="3" t="n">
        <v>46240</v>
      </c>
      <c r="E2084" s="2" t="str">
        <f aca="false">TEXT(D2084,"dddd")</f>
        <v>Thursday</v>
      </c>
      <c r="F2084" s="2" t="s">
        <v>457</v>
      </c>
      <c r="G2084" s="2" t="s">
        <v>458</v>
      </c>
      <c r="H2084" s="2" t="s">
        <v>459</v>
      </c>
      <c r="I2084" s="2" t="n">
        <f aca="false">IF(F2084="Present",9,IF(F2084="Half Day",4,0))</f>
        <v>9</v>
      </c>
      <c r="J2084" s="2"/>
      <c r="K2084" s="2"/>
    </row>
    <row r="2085" customFormat="false" ht="15" hidden="false" customHeight="false" outlineLevel="0" collapsed="false">
      <c r="A2085" s="2" t="s">
        <v>182</v>
      </c>
      <c r="B2085" s="2" t="s">
        <v>183</v>
      </c>
      <c r="C2085" s="2" t="s">
        <v>49</v>
      </c>
      <c r="D2085" s="3" t="n">
        <v>46241</v>
      </c>
      <c r="E2085" s="2" t="str">
        <f aca="false">TEXT(D2085,"dddd")</f>
        <v>Friday</v>
      </c>
      <c r="F2085" s="2" t="s">
        <v>457</v>
      </c>
      <c r="G2085" s="2" t="s">
        <v>458</v>
      </c>
      <c r="H2085" s="2" t="s">
        <v>459</v>
      </c>
      <c r="I2085" s="2" t="n">
        <f aca="false">IF(F2085="Present",9,IF(F2085="Half Day",4,0))</f>
        <v>9</v>
      </c>
      <c r="J2085" s="2"/>
      <c r="K2085" s="2"/>
    </row>
    <row r="2086" customFormat="false" ht="15" hidden="false" customHeight="false" outlineLevel="0" collapsed="false">
      <c r="A2086" s="2" t="s">
        <v>182</v>
      </c>
      <c r="B2086" s="2" t="s">
        <v>183</v>
      </c>
      <c r="C2086" s="2" t="s">
        <v>49</v>
      </c>
      <c r="D2086" s="3" t="n">
        <v>46242</v>
      </c>
      <c r="E2086" s="2" t="str">
        <f aca="false">TEXT(D2086,"dddd")</f>
        <v>Saturday</v>
      </c>
      <c r="F2086" s="2" t="s">
        <v>457</v>
      </c>
      <c r="G2086" s="2" t="s">
        <v>458</v>
      </c>
      <c r="H2086" s="2" t="s">
        <v>459</v>
      </c>
      <c r="I2086" s="2" t="n">
        <f aca="false">IF(F2086="Present",9,IF(F2086="Half Day",4,0))</f>
        <v>9</v>
      </c>
      <c r="J2086" s="2"/>
      <c r="K2086" s="2"/>
    </row>
    <row r="2087" customFormat="false" ht="15" hidden="false" customHeight="false" outlineLevel="0" collapsed="false">
      <c r="A2087" s="2" t="s">
        <v>182</v>
      </c>
      <c r="B2087" s="2" t="s">
        <v>183</v>
      </c>
      <c r="C2087" s="2" t="s">
        <v>49</v>
      </c>
      <c r="D2087" s="3" t="n">
        <v>46243</v>
      </c>
      <c r="E2087" s="2" t="str">
        <f aca="false">TEXT(D2087,"dddd")</f>
        <v>Sunday</v>
      </c>
      <c r="F2087" s="2" t="s">
        <v>460</v>
      </c>
      <c r="G2087" s="2"/>
      <c r="H2087" s="2"/>
      <c r="I2087" s="2" t="n">
        <f aca="false">IF(F2087="Present",9,IF(F2087="Half Day",4,0))</f>
        <v>0</v>
      </c>
      <c r="J2087" s="2"/>
      <c r="K2087" s="2" t="s">
        <v>460</v>
      </c>
    </row>
    <row r="2088" customFormat="false" ht="15" hidden="false" customHeight="false" outlineLevel="0" collapsed="false">
      <c r="A2088" s="2" t="s">
        <v>182</v>
      </c>
      <c r="B2088" s="2" t="s">
        <v>183</v>
      </c>
      <c r="C2088" s="2" t="s">
        <v>49</v>
      </c>
      <c r="D2088" s="3" t="n">
        <v>46244</v>
      </c>
      <c r="E2088" s="2" t="str">
        <f aca="false">TEXT(D2088,"dddd")</f>
        <v>Monday</v>
      </c>
      <c r="F2088" s="2" t="s">
        <v>457</v>
      </c>
      <c r="G2088" s="2" t="s">
        <v>458</v>
      </c>
      <c r="H2088" s="2" t="s">
        <v>459</v>
      </c>
      <c r="I2088" s="2" t="n">
        <f aca="false">IF(F2088="Present",9,IF(F2088="Half Day",4,0))</f>
        <v>9</v>
      </c>
      <c r="J2088" s="2"/>
      <c r="K2088" s="2"/>
    </row>
    <row r="2089" customFormat="false" ht="15" hidden="false" customHeight="false" outlineLevel="0" collapsed="false">
      <c r="A2089" s="2" t="s">
        <v>182</v>
      </c>
      <c r="B2089" s="2" t="s">
        <v>183</v>
      </c>
      <c r="C2089" s="2" t="s">
        <v>49</v>
      </c>
      <c r="D2089" s="3" t="n">
        <v>46245</v>
      </c>
      <c r="E2089" s="2" t="str">
        <f aca="false">TEXT(D2089,"dddd")</f>
        <v>Tuesday</v>
      </c>
      <c r="F2089" s="2" t="s">
        <v>457</v>
      </c>
      <c r="G2089" s="2" t="s">
        <v>458</v>
      </c>
      <c r="H2089" s="2" t="s">
        <v>459</v>
      </c>
      <c r="I2089" s="2" t="n">
        <f aca="false">IF(F2089="Present",9,IF(F2089="Half Day",4,0))</f>
        <v>9</v>
      </c>
      <c r="J2089" s="2"/>
      <c r="K2089" s="2"/>
    </row>
    <row r="2090" customFormat="false" ht="15" hidden="false" customHeight="false" outlineLevel="0" collapsed="false">
      <c r="A2090" s="2" t="s">
        <v>182</v>
      </c>
      <c r="B2090" s="2" t="s">
        <v>183</v>
      </c>
      <c r="C2090" s="2" t="s">
        <v>49</v>
      </c>
      <c r="D2090" s="3" t="n">
        <v>46246</v>
      </c>
      <c r="E2090" s="2" t="str">
        <f aca="false">TEXT(D2090,"dddd")</f>
        <v>Wednesday</v>
      </c>
      <c r="F2090" s="2" t="s">
        <v>457</v>
      </c>
      <c r="G2090" s="2" t="s">
        <v>458</v>
      </c>
      <c r="H2090" s="2" t="s">
        <v>459</v>
      </c>
      <c r="I2090" s="2" t="n">
        <f aca="false">IF(F2090="Present",9,IF(F2090="Half Day",4,0))</f>
        <v>9</v>
      </c>
      <c r="J2090" s="2"/>
      <c r="K2090" s="2"/>
    </row>
    <row r="2091" customFormat="false" ht="15" hidden="false" customHeight="false" outlineLevel="0" collapsed="false">
      <c r="A2091" s="2" t="s">
        <v>182</v>
      </c>
      <c r="B2091" s="2" t="s">
        <v>183</v>
      </c>
      <c r="C2091" s="2" t="s">
        <v>49</v>
      </c>
      <c r="D2091" s="3" t="n">
        <v>46247</v>
      </c>
      <c r="E2091" s="2" t="str">
        <f aca="false">TEXT(D2091,"dddd")</f>
        <v>Thursday</v>
      </c>
      <c r="F2091" s="2" t="s">
        <v>457</v>
      </c>
      <c r="G2091" s="2" t="s">
        <v>458</v>
      </c>
      <c r="H2091" s="2" t="s">
        <v>459</v>
      </c>
      <c r="I2091" s="2" t="n">
        <f aca="false">IF(F2091="Present",9,IF(F2091="Half Day",4,0))</f>
        <v>9</v>
      </c>
      <c r="J2091" s="2"/>
      <c r="K2091" s="2"/>
    </row>
    <row r="2092" customFormat="false" ht="15" hidden="false" customHeight="false" outlineLevel="0" collapsed="false">
      <c r="A2092" s="2" t="s">
        <v>182</v>
      </c>
      <c r="B2092" s="2" t="s">
        <v>183</v>
      </c>
      <c r="C2092" s="2" t="s">
        <v>49</v>
      </c>
      <c r="D2092" s="3" t="n">
        <v>46248</v>
      </c>
      <c r="E2092" s="2" t="str">
        <f aca="false">TEXT(D2092,"dddd")</f>
        <v>Friday</v>
      </c>
      <c r="F2092" s="2" t="s">
        <v>457</v>
      </c>
      <c r="G2092" s="2" t="s">
        <v>458</v>
      </c>
      <c r="H2092" s="2" t="s">
        <v>459</v>
      </c>
      <c r="I2092" s="2" t="n">
        <f aca="false">IF(F2092="Present",9,IF(F2092="Half Day",4,0))</f>
        <v>9</v>
      </c>
      <c r="J2092" s="2"/>
      <c r="K2092" s="2"/>
    </row>
    <row r="2093" customFormat="false" ht="15" hidden="false" customHeight="false" outlineLevel="0" collapsed="false">
      <c r="A2093" s="2" t="s">
        <v>182</v>
      </c>
      <c r="B2093" s="2" t="s">
        <v>183</v>
      </c>
      <c r="C2093" s="2" t="s">
        <v>49</v>
      </c>
      <c r="D2093" s="3" t="n">
        <v>46249</v>
      </c>
      <c r="E2093" s="2" t="str">
        <f aca="false">TEXT(D2093,"dddd")</f>
        <v>Saturday</v>
      </c>
      <c r="F2093" s="2" t="s">
        <v>457</v>
      </c>
      <c r="G2093" s="2" t="s">
        <v>458</v>
      </c>
      <c r="H2093" s="2" t="s">
        <v>459</v>
      </c>
      <c r="I2093" s="2" t="n">
        <f aca="false">IF(F2093="Present",9,IF(F2093="Half Day",4,0))</f>
        <v>9</v>
      </c>
      <c r="J2093" s="2"/>
      <c r="K2093" s="2"/>
    </row>
    <row r="2094" customFormat="false" ht="15" hidden="false" customHeight="false" outlineLevel="0" collapsed="false">
      <c r="A2094" s="2" t="s">
        <v>182</v>
      </c>
      <c r="B2094" s="2" t="s">
        <v>183</v>
      </c>
      <c r="C2094" s="2" t="s">
        <v>49</v>
      </c>
      <c r="D2094" s="3" t="n">
        <v>46250</v>
      </c>
      <c r="E2094" s="2" t="str">
        <f aca="false">TEXT(D2094,"dddd")</f>
        <v>Sunday</v>
      </c>
      <c r="F2094" s="2" t="s">
        <v>460</v>
      </c>
      <c r="G2094" s="2"/>
      <c r="H2094" s="2"/>
      <c r="I2094" s="2" t="n">
        <f aca="false">IF(F2094="Present",9,IF(F2094="Half Day",4,0))</f>
        <v>0</v>
      </c>
      <c r="J2094" s="2"/>
      <c r="K2094" s="2" t="s">
        <v>460</v>
      </c>
    </row>
    <row r="2095" customFormat="false" ht="15" hidden="false" customHeight="false" outlineLevel="0" collapsed="false">
      <c r="A2095" s="2" t="s">
        <v>182</v>
      </c>
      <c r="B2095" s="2" t="s">
        <v>183</v>
      </c>
      <c r="C2095" s="2" t="s">
        <v>49</v>
      </c>
      <c r="D2095" s="3" t="n">
        <v>46251</v>
      </c>
      <c r="E2095" s="2" t="str">
        <f aca="false">TEXT(D2095,"dddd")</f>
        <v>Monday</v>
      </c>
      <c r="F2095" s="2" t="s">
        <v>461</v>
      </c>
      <c r="G2095" s="2"/>
      <c r="H2095" s="2"/>
      <c r="I2095" s="2" t="n">
        <f aca="false">IF(F2095="Present",9,IF(F2095="Half Day",4,0))</f>
        <v>0</v>
      </c>
      <c r="J2095" s="2"/>
      <c r="K2095" s="2" t="s">
        <v>462</v>
      </c>
    </row>
    <row r="2096" customFormat="false" ht="15" hidden="false" customHeight="false" outlineLevel="0" collapsed="false">
      <c r="A2096" s="2" t="s">
        <v>182</v>
      </c>
      <c r="B2096" s="2" t="s">
        <v>183</v>
      </c>
      <c r="C2096" s="2" t="s">
        <v>49</v>
      </c>
      <c r="D2096" s="3" t="n">
        <v>46252</v>
      </c>
      <c r="E2096" s="2" t="str">
        <f aca="false">TEXT(D2096,"dddd")</f>
        <v>Tuesday</v>
      </c>
      <c r="F2096" s="2" t="s">
        <v>457</v>
      </c>
      <c r="G2096" s="2" t="s">
        <v>458</v>
      </c>
      <c r="H2096" s="2" t="s">
        <v>459</v>
      </c>
      <c r="I2096" s="2" t="n">
        <f aca="false">IF(F2096="Present",9,IF(F2096="Half Day",4,0))</f>
        <v>9</v>
      </c>
      <c r="J2096" s="2"/>
      <c r="K2096" s="2"/>
    </row>
    <row r="2097" customFormat="false" ht="15" hidden="false" customHeight="false" outlineLevel="0" collapsed="false">
      <c r="A2097" s="2" t="s">
        <v>182</v>
      </c>
      <c r="B2097" s="2" t="s">
        <v>183</v>
      </c>
      <c r="C2097" s="2" t="s">
        <v>49</v>
      </c>
      <c r="D2097" s="3" t="n">
        <v>46253</v>
      </c>
      <c r="E2097" s="2" t="str">
        <f aca="false">TEXT(D2097,"dddd")</f>
        <v>Wednesday</v>
      </c>
      <c r="F2097" s="2" t="s">
        <v>457</v>
      </c>
      <c r="G2097" s="2" t="s">
        <v>458</v>
      </c>
      <c r="H2097" s="2" t="s">
        <v>459</v>
      </c>
      <c r="I2097" s="2" t="n">
        <f aca="false">IF(F2097="Present",9,IF(F2097="Half Day",4,0))</f>
        <v>9</v>
      </c>
      <c r="J2097" s="2"/>
      <c r="K2097" s="2"/>
    </row>
    <row r="2098" customFormat="false" ht="15" hidden="false" customHeight="false" outlineLevel="0" collapsed="false">
      <c r="A2098" s="2" t="s">
        <v>182</v>
      </c>
      <c r="B2098" s="2" t="s">
        <v>183</v>
      </c>
      <c r="C2098" s="2" t="s">
        <v>49</v>
      </c>
      <c r="D2098" s="3" t="n">
        <v>46254</v>
      </c>
      <c r="E2098" s="2" t="str">
        <f aca="false">TEXT(D2098,"dddd")</f>
        <v>Thursday</v>
      </c>
      <c r="F2098" s="2" t="s">
        <v>457</v>
      </c>
      <c r="G2098" s="2" t="s">
        <v>458</v>
      </c>
      <c r="H2098" s="2" t="s">
        <v>459</v>
      </c>
      <c r="I2098" s="2" t="n">
        <f aca="false">IF(F2098="Present",9,IF(F2098="Half Day",4,0))</f>
        <v>9</v>
      </c>
      <c r="J2098" s="2"/>
      <c r="K2098" s="2"/>
    </row>
    <row r="2099" customFormat="false" ht="15" hidden="false" customHeight="false" outlineLevel="0" collapsed="false">
      <c r="A2099" s="2" t="s">
        <v>182</v>
      </c>
      <c r="B2099" s="2" t="s">
        <v>183</v>
      </c>
      <c r="C2099" s="2" t="s">
        <v>49</v>
      </c>
      <c r="D2099" s="3" t="n">
        <v>46255</v>
      </c>
      <c r="E2099" s="2" t="str">
        <f aca="false">TEXT(D2099,"dddd")</f>
        <v>Friday</v>
      </c>
      <c r="F2099" s="2" t="s">
        <v>457</v>
      </c>
      <c r="G2099" s="2" t="s">
        <v>458</v>
      </c>
      <c r="H2099" s="2" t="s">
        <v>459</v>
      </c>
      <c r="I2099" s="2" t="n">
        <f aca="false">IF(F2099="Present",9,IF(F2099="Half Day",4,0))</f>
        <v>9</v>
      </c>
      <c r="J2099" s="2"/>
      <c r="K2099" s="2"/>
    </row>
    <row r="2100" customFormat="false" ht="15" hidden="false" customHeight="false" outlineLevel="0" collapsed="false">
      <c r="A2100" s="2" t="s">
        <v>182</v>
      </c>
      <c r="B2100" s="2" t="s">
        <v>183</v>
      </c>
      <c r="C2100" s="2" t="s">
        <v>49</v>
      </c>
      <c r="D2100" s="3" t="n">
        <v>46256</v>
      </c>
      <c r="E2100" s="2" t="str">
        <f aca="false">TEXT(D2100,"dddd")</f>
        <v>Saturday</v>
      </c>
      <c r="F2100" s="2" t="s">
        <v>457</v>
      </c>
      <c r="G2100" s="2" t="s">
        <v>458</v>
      </c>
      <c r="H2100" s="2" t="s">
        <v>459</v>
      </c>
      <c r="I2100" s="2" t="n">
        <f aca="false">IF(F2100="Present",9,IF(F2100="Half Day",4,0))</f>
        <v>9</v>
      </c>
      <c r="J2100" s="2"/>
      <c r="K2100" s="2"/>
    </row>
    <row r="2101" customFormat="false" ht="15" hidden="false" customHeight="false" outlineLevel="0" collapsed="false">
      <c r="A2101" s="2" t="s">
        <v>182</v>
      </c>
      <c r="B2101" s="2" t="s">
        <v>183</v>
      </c>
      <c r="C2101" s="2" t="s">
        <v>49</v>
      </c>
      <c r="D2101" s="3" t="n">
        <v>46257</v>
      </c>
      <c r="E2101" s="2" t="str">
        <f aca="false">TEXT(D2101,"dddd")</f>
        <v>Sunday</v>
      </c>
      <c r="F2101" s="2" t="s">
        <v>460</v>
      </c>
      <c r="G2101" s="2"/>
      <c r="H2101" s="2"/>
      <c r="I2101" s="2" t="n">
        <f aca="false">IF(F2101="Present",9,IF(F2101="Half Day",4,0))</f>
        <v>0</v>
      </c>
      <c r="J2101" s="2"/>
      <c r="K2101" s="2" t="s">
        <v>460</v>
      </c>
    </row>
    <row r="2102" customFormat="false" ht="15" hidden="false" customHeight="false" outlineLevel="0" collapsed="false">
      <c r="A2102" s="2" t="s">
        <v>182</v>
      </c>
      <c r="B2102" s="2" t="s">
        <v>183</v>
      </c>
      <c r="C2102" s="2" t="s">
        <v>49</v>
      </c>
      <c r="D2102" s="3" t="n">
        <v>46258</v>
      </c>
      <c r="E2102" s="2" t="str">
        <f aca="false">TEXT(D2102,"dddd")</f>
        <v>Monday</v>
      </c>
      <c r="F2102" s="2" t="s">
        <v>457</v>
      </c>
      <c r="G2102" s="2" t="s">
        <v>458</v>
      </c>
      <c r="H2102" s="2" t="s">
        <v>459</v>
      </c>
      <c r="I2102" s="2" t="n">
        <f aca="false">IF(F2102="Present",9,IF(F2102="Half Day",4,0))</f>
        <v>9</v>
      </c>
      <c r="J2102" s="2"/>
      <c r="K2102" s="2"/>
    </row>
    <row r="2103" customFormat="false" ht="15" hidden="false" customHeight="false" outlineLevel="0" collapsed="false">
      <c r="A2103" s="2" t="s">
        <v>182</v>
      </c>
      <c r="B2103" s="2" t="s">
        <v>183</v>
      </c>
      <c r="C2103" s="2" t="s">
        <v>49</v>
      </c>
      <c r="D2103" s="3" t="n">
        <v>46259</v>
      </c>
      <c r="E2103" s="2" t="str">
        <f aca="false">TEXT(D2103,"dddd")</f>
        <v>Tuesday</v>
      </c>
      <c r="F2103" s="2" t="s">
        <v>457</v>
      </c>
      <c r="G2103" s="2" t="s">
        <v>458</v>
      </c>
      <c r="H2103" s="2" t="s">
        <v>459</v>
      </c>
      <c r="I2103" s="2" t="n">
        <f aca="false">IF(F2103="Present",9,IF(F2103="Half Day",4,0))</f>
        <v>9</v>
      </c>
      <c r="J2103" s="2"/>
      <c r="K2103" s="2"/>
    </row>
    <row r="2104" customFormat="false" ht="15" hidden="false" customHeight="false" outlineLevel="0" collapsed="false">
      <c r="A2104" s="2" t="s">
        <v>182</v>
      </c>
      <c r="B2104" s="2" t="s">
        <v>183</v>
      </c>
      <c r="C2104" s="2" t="s">
        <v>49</v>
      </c>
      <c r="D2104" s="3" t="n">
        <v>46260</v>
      </c>
      <c r="E2104" s="2" t="str">
        <f aca="false">TEXT(D2104,"dddd")</f>
        <v>Wednesday</v>
      </c>
      <c r="F2104" s="2" t="s">
        <v>457</v>
      </c>
      <c r="G2104" s="2" t="s">
        <v>458</v>
      </c>
      <c r="H2104" s="2" t="s">
        <v>459</v>
      </c>
      <c r="I2104" s="2" t="n">
        <f aca="false">IF(F2104="Present",9,IF(F2104="Half Day",4,0))</f>
        <v>9</v>
      </c>
      <c r="J2104" s="2"/>
      <c r="K2104" s="2"/>
    </row>
    <row r="2105" customFormat="false" ht="15" hidden="false" customHeight="false" outlineLevel="0" collapsed="false">
      <c r="A2105" s="2" t="s">
        <v>182</v>
      </c>
      <c r="B2105" s="2" t="s">
        <v>183</v>
      </c>
      <c r="C2105" s="2" t="s">
        <v>49</v>
      </c>
      <c r="D2105" s="3" t="n">
        <v>46261</v>
      </c>
      <c r="E2105" s="2" t="str">
        <f aca="false">TEXT(D2105,"dddd")</f>
        <v>Thursday</v>
      </c>
      <c r="F2105" s="2" t="s">
        <v>457</v>
      </c>
      <c r="G2105" s="2" t="s">
        <v>458</v>
      </c>
      <c r="H2105" s="2" t="s">
        <v>459</v>
      </c>
      <c r="I2105" s="2" t="n">
        <f aca="false">IF(F2105="Present",9,IF(F2105="Half Day",4,0))</f>
        <v>9</v>
      </c>
      <c r="J2105" s="2"/>
      <c r="K2105" s="2"/>
    </row>
    <row r="2106" customFormat="false" ht="15" hidden="false" customHeight="false" outlineLevel="0" collapsed="false">
      <c r="A2106" s="2" t="s">
        <v>182</v>
      </c>
      <c r="B2106" s="2" t="s">
        <v>183</v>
      </c>
      <c r="C2106" s="2" t="s">
        <v>49</v>
      </c>
      <c r="D2106" s="3" t="n">
        <v>46262</v>
      </c>
      <c r="E2106" s="2" t="str">
        <f aca="false">TEXT(D2106,"dddd")</f>
        <v>Friday</v>
      </c>
      <c r="F2106" s="2" t="s">
        <v>457</v>
      </c>
      <c r="G2106" s="2" t="s">
        <v>458</v>
      </c>
      <c r="H2106" s="2" t="s">
        <v>459</v>
      </c>
      <c r="I2106" s="2" t="n">
        <f aca="false">IF(F2106="Present",9,IF(F2106="Half Day",4,0))</f>
        <v>9</v>
      </c>
      <c r="J2106" s="2"/>
      <c r="K2106" s="2"/>
    </row>
    <row r="2107" customFormat="false" ht="15" hidden="false" customHeight="false" outlineLevel="0" collapsed="false">
      <c r="A2107" s="2" t="s">
        <v>182</v>
      </c>
      <c r="B2107" s="2" t="s">
        <v>183</v>
      </c>
      <c r="C2107" s="2" t="s">
        <v>49</v>
      </c>
      <c r="D2107" s="3" t="n">
        <v>46263</v>
      </c>
      <c r="E2107" s="2" t="str">
        <f aca="false">TEXT(D2107,"dddd")</f>
        <v>Saturday</v>
      </c>
      <c r="F2107" s="2" t="s">
        <v>457</v>
      </c>
      <c r="G2107" s="2" t="s">
        <v>458</v>
      </c>
      <c r="H2107" s="2" t="s">
        <v>459</v>
      </c>
      <c r="I2107" s="2" t="n">
        <f aca="false">IF(F2107="Present",9,IF(F2107="Half Day",4,0))</f>
        <v>9</v>
      </c>
      <c r="J2107" s="2"/>
      <c r="K2107" s="2"/>
    </row>
    <row r="2108" customFormat="false" ht="15" hidden="false" customHeight="false" outlineLevel="0" collapsed="false">
      <c r="A2108" s="2" t="s">
        <v>182</v>
      </c>
      <c r="B2108" s="2" t="s">
        <v>183</v>
      </c>
      <c r="C2108" s="2" t="s">
        <v>49</v>
      </c>
      <c r="D2108" s="3" t="n">
        <v>46264</v>
      </c>
      <c r="E2108" s="2" t="str">
        <f aca="false">TEXT(D2108,"dddd")</f>
        <v>Sunday</v>
      </c>
      <c r="F2108" s="2" t="s">
        <v>460</v>
      </c>
      <c r="G2108" s="2"/>
      <c r="H2108" s="2"/>
      <c r="I2108" s="2" t="n">
        <f aca="false">IF(F2108="Present",9,IF(F2108="Half Day",4,0))</f>
        <v>0</v>
      </c>
      <c r="J2108" s="2"/>
      <c r="K2108" s="2" t="s">
        <v>460</v>
      </c>
    </row>
    <row r="2109" customFormat="false" ht="15" hidden="false" customHeight="false" outlineLevel="0" collapsed="false">
      <c r="A2109" s="2" t="s">
        <v>182</v>
      </c>
      <c r="B2109" s="2" t="s">
        <v>183</v>
      </c>
      <c r="C2109" s="2" t="s">
        <v>49</v>
      </c>
      <c r="D2109" s="3" t="n">
        <v>46265</v>
      </c>
      <c r="E2109" s="2" t="str">
        <f aca="false">TEXT(D2109,"dddd")</f>
        <v>Monday</v>
      </c>
      <c r="F2109" s="2" t="s">
        <v>457</v>
      </c>
      <c r="G2109" s="2" t="s">
        <v>458</v>
      </c>
      <c r="H2109" s="2" t="s">
        <v>459</v>
      </c>
      <c r="I2109" s="2" t="n">
        <f aca="false">IF(F2109="Present",9,IF(F2109="Half Day",4,0))</f>
        <v>9</v>
      </c>
      <c r="J2109" s="2"/>
      <c r="K2109" s="2"/>
    </row>
    <row r="2110" customFormat="false" ht="15" hidden="false" customHeight="false" outlineLevel="0" collapsed="false">
      <c r="A2110" s="2" t="s">
        <v>184</v>
      </c>
      <c r="B2110" s="2" t="s">
        <v>185</v>
      </c>
      <c r="C2110" s="2" t="s">
        <v>53</v>
      </c>
      <c r="D2110" s="3" t="n">
        <v>46235</v>
      </c>
      <c r="E2110" s="2" t="str">
        <f aca="false">TEXT(D2110,"dddd")</f>
        <v>Saturday</v>
      </c>
      <c r="F2110" s="2" t="s">
        <v>457</v>
      </c>
      <c r="G2110" s="2" t="s">
        <v>458</v>
      </c>
      <c r="H2110" s="2" t="s">
        <v>459</v>
      </c>
      <c r="I2110" s="2" t="n">
        <f aca="false">IF(F2110="Present",9,IF(F2110="Half Day",4,0))</f>
        <v>9</v>
      </c>
      <c r="J2110" s="2"/>
      <c r="K2110" s="2"/>
    </row>
    <row r="2111" customFormat="false" ht="15" hidden="false" customHeight="false" outlineLevel="0" collapsed="false">
      <c r="A2111" s="2" t="s">
        <v>184</v>
      </c>
      <c r="B2111" s="2" t="s">
        <v>185</v>
      </c>
      <c r="C2111" s="2" t="s">
        <v>53</v>
      </c>
      <c r="D2111" s="3" t="n">
        <v>46236</v>
      </c>
      <c r="E2111" s="2" t="str">
        <f aca="false">TEXT(D2111,"dddd")</f>
        <v>Sunday</v>
      </c>
      <c r="F2111" s="2" t="s">
        <v>460</v>
      </c>
      <c r="G2111" s="2"/>
      <c r="H2111" s="2"/>
      <c r="I2111" s="2" t="n">
        <f aca="false">IF(F2111="Present",9,IF(F2111="Half Day",4,0))</f>
        <v>0</v>
      </c>
      <c r="J2111" s="2"/>
      <c r="K2111" s="2" t="s">
        <v>460</v>
      </c>
    </row>
    <row r="2112" customFormat="false" ht="15" hidden="false" customHeight="false" outlineLevel="0" collapsed="false">
      <c r="A2112" s="2" t="s">
        <v>184</v>
      </c>
      <c r="B2112" s="2" t="s">
        <v>185</v>
      </c>
      <c r="C2112" s="2" t="s">
        <v>53</v>
      </c>
      <c r="D2112" s="3" t="n">
        <v>46237</v>
      </c>
      <c r="E2112" s="2" t="str">
        <f aca="false">TEXT(D2112,"dddd")</f>
        <v>Monday</v>
      </c>
      <c r="F2112" s="2" t="s">
        <v>461</v>
      </c>
      <c r="G2112" s="2"/>
      <c r="H2112" s="2"/>
      <c r="I2112" s="2" t="n">
        <f aca="false">IF(F2112="Present",9,IF(F2112="Half Day",4,0))</f>
        <v>0</v>
      </c>
      <c r="J2112" s="2"/>
      <c r="K2112" s="2" t="s">
        <v>462</v>
      </c>
    </row>
    <row r="2113" customFormat="false" ht="15" hidden="false" customHeight="false" outlineLevel="0" collapsed="false">
      <c r="A2113" s="2" t="s">
        <v>184</v>
      </c>
      <c r="B2113" s="2" t="s">
        <v>185</v>
      </c>
      <c r="C2113" s="2" t="s">
        <v>53</v>
      </c>
      <c r="D2113" s="3" t="n">
        <v>46238</v>
      </c>
      <c r="E2113" s="2" t="str">
        <f aca="false">TEXT(D2113,"dddd")</f>
        <v>Tuesday</v>
      </c>
      <c r="F2113" s="2" t="s">
        <v>457</v>
      </c>
      <c r="G2113" s="2" t="s">
        <v>458</v>
      </c>
      <c r="H2113" s="2" t="s">
        <v>459</v>
      </c>
      <c r="I2113" s="2" t="n">
        <f aca="false">IF(F2113="Present",9,IF(F2113="Half Day",4,0))</f>
        <v>9</v>
      </c>
      <c r="J2113" s="2"/>
      <c r="K2113" s="2"/>
    </row>
    <row r="2114" customFormat="false" ht="15" hidden="false" customHeight="false" outlineLevel="0" collapsed="false">
      <c r="A2114" s="2" t="s">
        <v>184</v>
      </c>
      <c r="B2114" s="2" t="s">
        <v>185</v>
      </c>
      <c r="C2114" s="2" t="s">
        <v>53</v>
      </c>
      <c r="D2114" s="3" t="n">
        <v>46239</v>
      </c>
      <c r="E2114" s="2" t="str">
        <f aca="false">TEXT(D2114,"dddd")</f>
        <v>Wednesday</v>
      </c>
      <c r="F2114" s="2" t="s">
        <v>457</v>
      </c>
      <c r="G2114" s="2" t="s">
        <v>458</v>
      </c>
      <c r="H2114" s="2" t="s">
        <v>459</v>
      </c>
      <c r="I2114" s="2" t="n">
        <f aca="false">IF(F2114="Present",9,IF(F2114="Half Day",4,0))</f>
        <v>9</v>
      </c>
      <c r="J2114" s="2"/>
      <c r="K2114" s="2"/>
    </row>
    <row r="2115" customFormat="false" ht="15" hidden="false" customHeight="false" outlineLevel="0" collapsed="false">
      <c r="A2115" s="2" t="s">
        <v>184</v>
      </c>
      <c r="B2115" s="2" t="s">
        <v>185</v>
      </c>
      <c r="C2115" s="2" t="s">
        <v>53</v>
      </c>
      <c r="D2115" s="3" t="n">
        <v>46240</v>
      </c>
      <c r="E2115" s="2" t="str">
        <f aca="false">TEXT(D2115,"dddd")</f>
        <v>Thursday</v>
      </c>
      <c r="F2115" s="2" t="s">
        <v>457</v>
      </c>
      <c r="G2115" s="2" t="s">
        <v>458</v>
      </c>
      <c r="H2115" s="2" t="s">
        <v>459</v>
      </c>
      <c r="I2115" s="2" t="n">
        <f aca="false">IF(F2115="Present",9,IF(F2115="Half Day",4,0))</f>
        <v>9</v>
      </c>
      <c r="J2115" s="2"/>
      <c r="K2115" s="2"/>
    </row>
    <row r="2116" customFormat="false" ht="15" hidden="false" customHeight="false" outlineLevel="0" collapsed="false">
      <c r="A2116" s="2" t="s">
        <v>184</v>
      </c>
      <c r="B2116" s="2" t="s">
        <v>185</v>
      </c>
      <c r="C2116" s="2" t="s">
        <v>53</v>
      </c>
      <c r="D2116" s="3" t="n">
        <v>46241</v>
      </c>
      <c r="E2116" s="2" t="str">
        <f aca="false">TEXT(D2116,"dddd")</f>
        <v>Friday</v>
      </c>
      <c r="F2116" s="2" t="s">
        <v>457</v>
      </c>
      <c r="G2116" s="2" t="s">
        <v>458</v>
      </c>
      <c r="H2116" s="2" t="s">
        <v>459</v>
      </c>
      <c r="I2116" s="2" t="n">
        <f aca="false">IF(F2116="Present",9,IF(F2116="Half Day",4,0))</f>
        <v>9</v>
      </c>
      <c r="J2116" s="2"/>
      <c r="K2116" s="2"/>
    </row>
    <row r="2117" customFormat="false" ht="15" hidden="false" customHeight="false" outlineLevel="0" collapsed="false">
      <c r="A2117" s="2" t="s">
        <v>184</v>
      </c>
      <c r="B2117" s="2" t="s">
        <v>185</v>
      </c>
      <c r="C2117" s="2" t="s">
        <v>53</v>
      </c>
      <c r="D2117" s="3" t="n">
        <v>46242</v>
      </c>
      <c r="E2117" s="2" t="str">
        <f aca="false">TEXT(D2117,"dddd")</f>
        <v>Saturday</v>
      </c>
      <c r="F2117" s="2" t="s">
        <v>457</v>
      </c>
      <c r="G2117" s="2" t="s">
        <v>458</v>
      </c>
      <c r="H2117" s="2" t="s">
        <v>459</v>
      </c>
      <c r="I2117" s="2" t="n">
        <f aca="false">IF(F2117="Present",9,IF(F2117="Half Day",4,0))</f>
        <v>9</v>
      </c>
      <c r="J2117" s="2"/>
      <c r="K2117" s="2"/>
    </row>
    <row r="2118" customFormat="false" ht="15" hidden="false" customHeight="false" outlineLevel="0" collapsed="false">
      <c r="A2118" s="2" t="s">
        <v>184</v>
      </c>
      <c r="B2118" s="2" t="s">
        <v>185</v>
      </c>
      <c r="C2118" s="2" t="s">
        <v>53</v>
      </c>
      <c r="D2118" s="3" t="n">
        <v>46243</v>
      </c>
      <c r="E2118" s="2" t="str">
        <f aca="false">TEXT(D2118,"dddd")</f>
        <v>Sunday</v>
      </c>
      <c r="F2118" s="2" t="s">
        <v>460</v>
      </c>
      <c r="G2118" s="2"/>
      <c r="H2118" s="2"/>
      <c r="I2118" s="2" t="n">
        <f aca="false">IF(F2118="Present",9,IF(F2118="Half Day",4,0))</f>
        <v>0</v>
      </c>
      <c r="J2118" s="2"/>
      <c r="K2118" s="2" t="s">
        <v>460</v>
      </c>
    </row>
    <row r="2119" customFormat="false" ht="15" hidden="false" customHeight="false" outlineLevel="0" collapsed="false">
      <c r="A2119" s="2" t="s">
        <v>184</v>
      </c>
      <c r="B2119" s="2" t="s">
        <v>185</v>
      </c>
      <c r="C2119" s="2" t="s">
        <v>53</v>
      </c>
      <c r="D2119" s="3" t="n">
        <v>46244</v>
      </c>
      <c r="E2119" s="2" t="str">
        <f aca="false">TEXT(D2119,"dddd")</f>
        <v>Monday</v>
      </c>
      <c r="F2119" s="2" t="s">
        <v>461</v>
      </c>
      <c r="G2119" s="2"/>
      <c r="H2119" s="2"/>
      <c r="I2119" s="2" t="n">
        <f aca="false">IF(F2119="Present",9,IF(F2119="Half Day",4,0))</f>
        <v>0</v>
      </c>
      <c r="J2119" s="2"/>
      <c r="K2119" s="2" t="s">
        <v>462</v>
      </c>
    </row>
    <row r="2120" customFormat="false" ht="15" hidden="false" customHeight="false" outlineLevel="0" collapsed="false">
      <c r="A2120" s="2" t="s">
        <v>184</v>
      </c>
      <c r="B2120" s="2" t="s">
        <v>185</v>
      </c>
      <c r="C2120" s="2" t="s">
        <v>53</v>
      </c>
      <c r="D2120" s="3" t="n">
        <v>46245</v>
      </c>
      <c r="E2120" s="2" t="str">
        <f aca="false">TEXT(D2120,"dddd")</f>
        <v>Tuesday</v>
      </c>
      <c r="F2120" s="2" t="s">
        <v>457</v>
      </c>
      <c r="G2120" s="2" t="s">
        <v>458</v>
      </c>
      <c r="H2120" s="2" t="s">
        <v>459</v>
      </c>
      <c r="I2120" s="2" t="n">
        <f aca="false">IF(F2120="Present",9,IF(F2120="Half Day",4,0))</f>
        <v>9</v>
      </c>
      <c r="J2120" s="2"/>
      <c r="K2120" s="2"/>
    </row>
    <row r="2121" customFormat="false" ht="15" hidden="false" customHeight="false" outlineLevel="0" collapsed="false">
      <c r="A2121" s="2" t="s">
        <v>184</v>
      </c>
      <c r="B2121" s="2" t="s">
        <v>185</v>
      </c>
      <c r="C2121" s="2" t="s">
        <v>53</v>
      </c>
      <c r="D2121" s="3" t="n">
        <v>46246</v>
      </c>
      <c r="E2121" s="2" t="str">
        <f aca="false">TEXT(D2121,"dddd")</f>
        <v>Wednesday</v>
      </c>
      <c r="F2121" s="2" t="s">
        <v>457</v>
      </c>
      <c r="G2121" s="2" t="s">
        <v>458</v>
      </c>
      <c r="H2121" s="2" t="s">
        <v>459</v>
      </c>
      <c r="I2121" s="2" t="n">
        <f aca="false">IF(F2121="Present",9,IF(F2121="Half Day",4,0))</f>
        <v>9</v>
      </c>
      <c r="J2121" s="2"/>
      <c r="K2121" s="2"/>
    </row>
    <row r="2122" customFormat="false" ht="15" hidden="false" customHeight="false" outlineLevel="0" collapsed="false">
      <c r="A2122" s="2" t="s">
        <v>184</v>
      </c>
      <c r="B2122" s="2" t="s">
        <v>185</v>
      </c>
      <c r="C2122" s="2" t="s">
        <v>53</v>
      </c>
      <c r="D2122" s="3" t="n">
        <v>46247</v>
      </c>
      <c r="E2122" s="2" t="str">
        <f aca="false">TEXT(D2122,"dddd")</f>
        <v>Thursday</v>
      </c>
      <c r="F2122" s="2" t="s">
        <v>457</v>
      </c>
      <c r="G2122" s="2" t="s">
        <v>458</v>
      </c>
      <c r="H2122" s="2" t="s">
        <v>459</v>
      </c>
      <c r="I2122" s="2" t="n">
        <f aca="false">IF(F2122="Present",9,IF(F2122="Half Day",4,0))</f>
        <v>9</v>
      </c>
      <c r="J2122" s="2"/>
      <c r="K2122" s="2"/>
    </row>
    <row r="2123" customFormat="false" ht="15" hidden="false" customHeight="false" outlineLevel="0" collapsed="false">
      <c r="A2123" s="2" t="s">
        <v>184</v>
      </c>
      <c r="B2123" s="2" t="s">
        <v>185</v>
      </c>
      <c r="C2123" s="2" t="s">
        <v>53</v>
      </c>
      <c r="D2123" s="3" t="n">
        <v>46248</v>
      </c>
      <c r="E2123" s="2" t="str">
        <f aca="false">TEXT(D2123,"dddd")</f>
        <v>Friday</v>
      </c>
      <c r="F2123" s="2" t="s">
        <v>457</v>
      </c>
      <c r="G2123" s="2" t="s">
        <v>458</v>
      </c>
      <c r="H2123" s="2" t="s">
        <v>459</v>
      </c>
      <c r="I2123" s="2" t="n">
        <f aca="false">IF(F2123="Present",9,IF(F2123="Half Day",4,0))</f>
        <v>9</v>
      </c>
      <c r="J2123" s="2"/>
      <c r="K2123" s="2"/>
    </row>
    <row r="2124" customFormat="false" ht="15" hidden="false" customHeight="false" outlineLevel="0" collapsed="false">
      <c r="A2124" s="2" t="s">
        <v>184</v>
      </c>
      <c r="B2124" s="2" t="s">
        <v>185</v>
      </c>
      <c r="C2124" s="2" t="s">
        <v>53</v>
      </c>
      <c r="D2124" s="3" t="n">
        <v>46249</v>
      </c>
      <c r="E2124" s="2" t="str">
        <f aca="false">TEXT(D2124,"dddd")</f>
        <v>Saturday</v>
      </c>
      <c r="F2124" s="2" t="s">
        <v>457</v>
      </c>
      <c r="G2124" s="2" t="s">
        <v>458</v>
      </c>
      <c r="H2124" s="2" t="s">
        <v>459</v>
      </c>
      <c r="I2124" s="2" t="n">
        <f aca="false">IF(F2124="Present",9,IF(F2124="Half Day",4,0))</f>
        <v>9</v>
      </c>
      <c r="J2124" s="2"/>
      <c r="K2124" s="2"/>
    </row>
    <row r="2125" customFormat="false" ht="15" hidden="false" customHeight="false" outlineLevel="0" collapsed="false">
      <c r="A2125" s="2" t="s">
        <v>184</v>
      </c>
      <c r="B2125" s="2" t="s">
        <v>185</v>
      </c>
      <c r="C2125" s="2" t="s">
        <v>53</v>
      </c>
      <c r="D2125" s="3" t="n">
        <v>46250</v>
      </c>
      <c r="E2125" s="2" t="str">
        <f aca="false">TEXT(D2125,"dddd")</f>
        <v>Sunday</v>
      </c>
      <c r="F2125" s="2" t="s">
        <v>460</v>
      </c>
      <c r="G2125" s="2"/>
      <c r="H2125" s="2"/>
      <c r="I2125" s="2" t="n">
        <f aca="false">IF(F2125="Present",9,IF(F2125="Half Day",4,0))</f>
        <v>0</v>
      </c>
      <c r="J2125" s="2"/>
      <c r="K2125" s="2" t="s">
        <v>460</v>
      </c>
    </row>
    <row r="2126" customFormat="false" ht="15" hidden="false" customHeight="false" outlineLevel="0" collapsed="false">
      <c r="A2126" s="2" t="s">
        <v>184</v>
      </c>
      <c r="B2126" s="2" t="s">
        <v>185</v>
      </c>
      <c r="C2126" s="2" t="s">
        <v>53</v>
      </c>
      <c r="D2126" s="3" t="n">
        <v>46251</v>
      </c>
      <c r="E2126" s="2" t="str">
        <f aca="false">TEXT(D2126,"dddd")</f>
        <v>Monday</v>
      </c>
      <c r="F2126" s="2" t="s">
        <v>457</v>
      </c>
      <c r="G2126" s="2" t="s">
        <v>458</v>
      </c>
      <c r="H2126" s="2" t="s">
        <v>459</v>
      </c>
      <c r="I2126" s="2" t="n">
        <f aca="false">IF(F2126="Present",9,IF(F2126="Half Day",4,0))</f>
        <v>9</v>
      </c>
      <c r="J2126" s="2"/>
      <c r="K2126" s="2"/>
    </row>
    <row r="2127" customFormat="false" ht="15" hidden="false" customHeight="false" outlineLevel="0" collapsed="false">
      <c r="A2127" s="2" t="s">
        <v>184</v>
      </c>
      <c r="B2127" s="2" t="s">
        <v>185</v>
      </c>
      <c r="C2127" s="2" t="s">
        <v>53</v>
      </c>
      <c r="D2127" s="3" t="n">
        <v>46252</v>
      </c>
      <c r="E2127" s="2" t="str">
        <f aca="false">TEXT(D2127,"dddd")</f>
        <v>Tuesday</v>
      </c>
      <c r="F2127" s="2" t="s">
        <v>457</v>
      </c>
      <c r="G2127" s="2" t="s">
        <v>458</v>
      </c>
      <c r="H2127" s="2" t="s">
        <v>459</v>
      </c>
      <c r="I2127" s="2" t="n">
        <f aca="false">IF(F2127="Present",9,IF(F2127="Half Day",4,0))</f>
        <v>9</v>
      </c>
      <c r="J2127" s="2"/>
      <c r="K2127" s="2"/>
    </row>
    <row r="2128" customFormat="false" ht="15" hidden="false" customHeight="false" outlineLevel="0" collapsed="false">
      <c r="A2128" s="2" t="s">
        <v>184</v>
      </c>
      <c r="B2128" s="2" t="s">
        <v>185</v>
      </c>
      <c r="C2128" s="2" t="s">
        <v>53</v>
      </c>
      <c r="D2128" s="3" t="n">
        <v>46253</v>
      </c>
      <c r="E2128" s="2" t="str">
        <f aca="false">TEXT(D2128,"dddd")</f>
        <v>Wednesday</v>
      </c>
      <c r="F2128" s="2" t="s">
        <v>457</v>
      </c>
      <c r="G2128" s="2" t="s">
        <v>458</v>
      </c>
      <c r="H2128" s="2" t="s">
        <v>459</v>
      </c>
      <c r="I2128" s="2" t="n">
        <f aca="false">IF(F2128="Present",9,IF(F2128="Half Day",4,0))</f>
        <v>9</v>
      </c>
      <c r="J2128" s="2"/>
      <c r="K2128" s="2"/>
    </row>
    <row r="2129" customFormat="false" ht="15" hidden="false" customHeight="false" outlineLevel="0" collapsed="false">
      <c r="A2129" s="2" t="s">
        <v>184</v>
      </c>
      <c r="B2129" s="2" t="s">
        <v>185</v>
      </c>
      <c r="C2129" s="2" t="s">
        <v>53</v>
      </c>
      <c r="D2129" s="3" t="n">
        <v>46254</v>
      </c>
      <c r="E2129" s="2" t="str">
        <f aca="false">TEXT(D2129,"dddd")</f>
        <v>Thursday</v>
      </c>
      <c r="F2129" s="2" t="s">
        <v>457</v>
      </c>
      <c r="G2129" s="2" t="s">
        <v>458</v>
      </c>
      <c r="H2129" s="2" t="s">
        <v>459</v>
      </c>
      <c r="I2129" s="2" t="n">
        <f aca="false">IF(F2129="Present",9,IF(F2129="Half Day",4,0))</f>
        <v>9</v>
      </c>
      <c r="J2129" s="2"/>
      <c r="K2129" s="2"/>
    </row>
    <row r="2130" customFormat="false" ht="15" hidden="false" customHeight="false" outlineLevel="0" collapsed="false">
      <c r="A2130" s="2" t="s">
        <v>184</v>
      </c>
      <c r="B2130" s="2" t="s">
        <v>185</v>
      </c>
      <c r="C2130" s="2" t="s">
        <v>53</v>
      </c>
      <c r="D2130" s="3" t="n">
        <v>46255</v>
      </c>
      <c r="E2130" s="2" t="str">
        <f aca="false">TEXT(D2130,"dddd")</f>
        <v>Friday</v>
      </c>
      <c r="F2130" s="2" t="s">
        <v>457</v>
      </c>
      <c r="G2130" s="2" t="s">
        <v>458</v>
      </c>
      <c r="H2130" s="2" t="s">
        <v>459</v>
      </c>
      <c r="I2130" s="2" t="n">
        <f aca="false">IF(F2130="Present",9,IF(F2130="Half Day",4,0))</f>
        <v>9</v>
      </c>
      <c r="J2130" s="2"/>
      <c r="K2130" s="2"/>
    </row>
    <row r="2131" customFormat="false" ht="15" hidden="false" customHeight="false" outlineLevel="0" collapsed="false">
      <c r="A2131" s="2" t="s">
        <v>184</v>
      </c>
      <c r="B2131" s="2" t="s">
        <v>185</v>
      </c>
      <c r="C2131" s="2" t="s">
        <v>53</v>
      </c>
      <c r="D2131" s="3" t="n">
        <v>46256</v>
      </c>
      <c r="E2131" s="2" t="str">
        <f aca="false">TEXT(D2131,"dddd")</f>
        <v>Saturday</v>
      </c>
      <c r="F2131" s="2" t="s">
        <v>457</v>
      </c>
      <c r="G2131" s="2" t="s">
        <v>458</v>
      </c>
      <c r="H2131" s="2" t="s">
        <v>459</v>
      </c>
      <c r="I2131" s="2" t="n">
        <f aca="false">IF(F2131="Present",9,IF(F2131="Half Day",4,0))</f>
        <v>9</v>
      </c>
      <c r="J2131" s="2"/>
      <c r="K2131" s="2"/>
    </row>
    <row r="2132" customFormat="false" ht="15" hidden="false" customHeight="false" outlineLevel="0" collapsed="false">
      <c r="A2132" s="2" t="s">
        <v>184</v>
      </c>
      <c r="B2132" s="2" t="s">
        <v>185</v>
      </c>
      <c r="C2132" s="2" t="s">
        <v>53</v>
      </c>
      <c r="D2132" s="3" t="n">
        <v>46257</v>
      </c>
      <c r="E2132" s="2" t="str">
        <f aca="false">TEXT(D2132,"dddd")</f>
        <v>Sunday</v>
      </c>
      <c r="F2132" s="2" t="s">
        <v>460</v>
      </c>
      <c r="G2132" s="2"/>
      <c r="H2132" s="2"/>
      <c r="I2132" s="2" t="n">
        <f aca="false">IF(F2132="Present",9,IF(F2132="Half Day",4,0))</f>
        <v>0</v>
      </c>
      <c r="J2132" s="2"/>
      <c r="K2132" s="2" t="s">
        <v>460</v>
      </c>
    </row>
    <row r="2133" customFormat="false" ht="15" hidden="false" customHeight="false" outlineLevel="0" collapsed="false">
      <c r="A2133" s="2" t="s">
        <v>184</v>
      </c>
      <c r="B2133" s="2" t="s">
        <v>185</v>
      </c>
      <c r="C2133" s="2" t="s">
        <v>53</v>
      </c>
      <c r="D2133" s="3" t="n">
        <v>46258</v>
      </c>
      <c r="E2133" s="2" t="str">
        <f aca="false">TEXT(D2133,"dddd")</f>
        <v>Monday</v>
      </c>
      <c r="F2133" s="2" t="s">
        <v>457</v>
      </c>
      <c r="G2133" s="2" t="s">
        <v>458</v>
      </c>
      <c r="H2133" s="2" t="s">
        <v>459</v>
      </c>
      <c r="I2133" s="2" t="n">
        <f aca="false">IF(F2133="Present",9,IF(F2133="Half Day",4,0))</f>
        <v>9</v>
      </c>
      <c r="J2133" s="2"/>
      <c r="K2133" s="2"/>
    </row>
    <row r="2134" customFormat="false" ht="15" hidden="false" customHeight="false" outlineLevel="0" collapsed="false">
      <c r="A2134" s="2" t="s">
        <v>184</v>
      </c>
      <c r="B2134" s="2" t="s">
        <v>185</v>
      </c>
      <c r="C2134" s="2" t="s">
        <v>53</v>
      </c>
      <c r="D2134" s="3" t="n">
        <v>46259</v>
      </c>
      <c r="E2134" s="2" t="str">
        <f aca="false">TEXT(D2134,"dddd")</f>
        <v>Tuesday</v>
      </c>
      <c r="F2134" s="2" t="s">
        <v>457</v>
      </c>
      <c r="G2134" s="2" t="s">
        <v>458</v>
      </c>
      <c r="H2134" s="2" t="s">
        <v>459</v>
      </c>
      <c r="I2134" s="2" t="n">
        <f aca="false">IF(F2134="Present",9,IF(F2134="Half Day",4,0))</f>
        <v>9</v>
      </c>
      <c r="J2134" s="2"/>
      <c r="K2134" s="2"/>
    </row>
    <row r="2135" customFormat="false" ht="15" hidden="false" customHeight="false" outlineLevel="0" collapsed="false">
      <c r="A2135" s="2" t="s">
        <v>184</v>
      </c>
      <c r="B2135" s="2" t="s">
        <v>185</v>
      </c>
      <c r="C2135" s="2" t="s">
        <v>53</v>
      </c>
      <c r="D2135" s="3" t="n">
        <v>46260</v>
      </c>
      <c r="E2135" s="2" t="str">
        <f aca="false">TEXT(D2135,"dddd")</f>
        <v>Wednesday</v>
      </c>
      <c r="F2135" s="2" t="s">
        <v>457</v>
      </c>
      <c r="G2135" s="2" t="s">
        <v>458</v>
      </c>
      <c r="H2135" s="2" t="s">
        <v>459</v>
      </c>
      <c r="I2135" s="2" t="n">
        <f aca="false">IF(F2135="Present",9,IF(F2135="Half Day",4,0))</f>
        <v>9</v>
      </c>
      <c r="J2135" s="2"/>
      <c r="K2135" s="2"/>
    </row>
    <row r="2136" customFormat="false" ht="15" hidden="false" customHeight="false" outlineLevel="0" collapsed="false">
      <c r="A2136" s="2" t="s">
        <v>184</v>
      </c>
      <c r="B2136" s="2" t="s">
        <v>185</v>
      </c>
      <c r="C2136" s="2" t="s">
        <v>53</v>
      </c>
      <c r="D2136" s="3" t="n">
        <v>46261</v>
      </c>
      <c r="E2136" s="2" t="str">
        <f aca="false">TEXT(D2136,"dddd")</f>
        <v>Thursday</v>
      </c>
      <c r="F2136" s="2" t="s">
        <v>457</v>
      </c>
      <c r="G2136" s="2" t="s">
        <v>458</v>
      </c>
      <c r="H2136" s="2" t="s">
        <v>459</v>
      </c>
      <c r="I2136" s="2" t="n">
        <f aca="false">IF(F2136="Present",9,IF(F2136="Half Day",4,0))</f>
        <v>9</v>
      </c>
      <c r="J2136" s="2"/>
      <c r="K2136" s="2"/>
    </row>
    <row r="2137" customFormat="false" ht="15" hidden="false" customHeight="false" outlineLevel="0" collapsed="false">
      <c r="A2137" s="2" t="s">
        <v>184</v>
      </c>
      <c r="B2137" s="2" t="s">
        <v>185</v>
      </c>
      <c r="C2137" s="2" t="s">
        <v>53</v>
      </c>
      <c r="D2137" s="3" t="n">
        <v>46262</v>
      </c>
      <c r="E2137" s="2" t="str">
        <f aca="false">TEXT(D2137,"dddd")</f>
        <v>Friday</v>
      </c>
      <c r="F2137" s="2" t="s">
        <v>457</v>
      </c>
      <c r="G2137" s="2" t="s">
        <v>458</v>
      </c>
      <c r="H2137" s="2" t="s">
        <v>459</v>
      </c>
      <c r="I2137" s="2" t="n">
        <f aca="false">IF(F2137="Present",9,IF(F2137="Half Day",4,0))</f>
        <v>9</v>
      </c>
      <c r="J2137" s="2"/>
      <c r="K2137" s="2"/>
    </row>
    <row r="2138" customFormat="false" ht="15" hidden="false" customHeight="false" outlineLevel="0" collapsed="false">
      <c r="A2138" s="2" t="s">
        <v>184</v>
      </c>
      <c r="B2138" s="2" t="s">
        <v>185</v>
      </c>
      <c r="C2138" s="2" t="s">
        <v>53</v>
      </c>
      <c r="D2138" s="3" t="n">
        <v>46263</v>
      </c>
      <c r="E2138" s="2" t="str">
        <f aca="false">TEXT(D2138,"dddd")</f>
        <v>Saturday</v>
      </c>
      <c r="F2138" s="2" t="s">
        <v>463</v>
      </c>
      <c r="G2138" s="2"/>
      <c r="H2138" s="2"/>
      <c r="I2138" s="2" t="n">
        <f aca="false">IF(F2138="Present",9,IF(F2138="Half Day",4,0))</f>
        <v>0</v>
      </c>
      <c r="J2138" s="2" t="s">
        <v>472</v>
      </c>
      <c r="K2138" s="2" t="s">
        <v>473</v>
      </c>
    </row>
    <row r="2139" customFormat="false" ht="15" hidden="false" customHeight="false" outlineLevel="0" collapsed="false">
      <c r="A2139" s="2" t="s">
        <v>184</v>
      </c>
      <c r="B2139" s="2" t="s">
        <v>185</v>
      </c>
      <c r="C2139" s="2" t="s">
        <v>53</v>
      </c>
      <c r="D2139" s="3" t="n">
        <v>46264</v>
      </c>
      <c r="E2139" s="2" t="str">
        <f aca="false">TEXT(D2139,"dddd")</f>
        <v>Sunday</v>
      </c>
      <c r="F2139" s="2" t="s">
        <v>460</v>
      </c>
      <c r="G2139" s="2"/>
      <c r="H2139" s="2"/>
      <c r="I2139" s="2" t="n">
        <f aca="false">IF(F2139="Present",9,IF(F2139="Half Day",4,0))</f>
        <v>0</v>
      </c>
      <c r="J2139" s="2"/>
      <c r="K2139" s="2" t="s">
        <v>460</v>
      </c>
    </row>
    <row r="2140" customFormat="false" ht="15" hidden="false" customHeight="false" outlineLevel="0" collapsed="false">
      <c r="A2140" s="2" t="s">
        <v>184</v>
      </c>
      <c r="B2140" s="2" t="s">
        <v>185</v>
      </c>
      <c r="C2140" s="2" t="s">
        <v>53</v>
      </c>
      <c r="D2140" s="3" t="n">
        <v>46265</v>
      </c>
      <c r="E2140" s="2" t="str">
        <f aca="false">TEXT(D2140,"dddd")</f>
        <v>Monday</v>
      </c>
      <c r="F2140" s="2" t="s">
        <v>457</v>
      </c>
      <c r="G2140" s="2" t="s">
        <v>458</v>
      </c>
      <c r="H2140" s="2" t="s">
        <v>459</v>
      </c>
      <c r="I2140" s="2" t="n">
        <f aca="false">IF(F2140="Present",9,IF(F2140="Half Day",4,0))</f>
        <v>9</v>
      </c>
      <c r="J2140" s="2"/>
      <c r="K2140" s="2"/>
    </row>
    <row r="2141" customFormat="false" ht="15" hidden="false" customHeight="false" outlineLevel="0" collapsed="false">
      <c r="A2141" s="2" t="s">
        <v>186</v>
      </c>
      <c r="B2141" s="2" t="s">
        <v>187</v>
      </c>
      <c r="C2141" s="2" t="s">
        <v>57</v>
      </c>
      <c r="D2141" s="3" t="n">
        <v>46235</v>
      </c>
      <c r="E2141" s="2" t="str">
        <f aca="false">TEXT(D2141,"dddd")</f>
        <v>Saturday</v>
      </c>
      <c r="F2141" s="2" t="s">
        <v>457</v>
      </c>
      <c r="G2141" s="2" t="s">
        <v>458</v>
      </c>
      <c r="H2141" s="2" t="s">
        <v>459</v>
      </c>
      <c r="I2141" s="2" t="n">
        <f aca="false">IF(F2141="Present",9,IF(F2141="Half Day",4,0))</f>
        <v>9</v>
      </c>
      <c r="J2141" s="2"/>
      <c r="K2141" s="2"/>
    </row>
    <row r="2142" customFormat="false" ht="15" hidden="false" customHeight="false" outlineLevel="0" collapsed="false">
      <c r="A2142" s="2" t="s">
        <v>186</v>
      </c>
      <c r="B2142" s="2" t="s">
        <v>187</v>
      </c>
      <c r="C2142" s="2" t="s">
        <v>57</v>
      </c>
      <c r="D2142" s="3" t="n">
        <v>46236</v>
      </c>
      <c r="E2142" s="2" t="str">
        <f aca="false">TEXT(D2142,"dddd")</f>
        <v>Sunday</v>
      </c>
      <c r="F2142" s="2" t="s">
        <v>460</v>
      </c>
      <c r="G2142" s="2"/>
      <c r="H2142" s="2"/>
      <c r="I2142" s="2" t="n">
        <f aca="false">IF(F2142="Present",9,IF(F2142="Half Day",4,0))</f>
        <v>0</v>
      </c>
      <c r="J2142" s="2"/>
      <c r="K2142" s="2" t="s">
        <v>460</v>
      </c>
    </row>
    <row r="2143" customFormat="false" ht="15" hidden="false" customHeight="false" outlineLevel="0" collapsed="false">
      <c r="A2143" s="2" t="s">
        <v>186</v>
      </c>
      <c r="B2143" s="2" t="s">
        <v>187</v>
      </c>
      <c r="C2143" s="2" t="s">
        <v>57</v>
      </c>
      <c r="D2143" s="3" t="n">
        <v>46237</v>
      </c>
      <c r="E2143" s="2" t="str">
        <f aca="false">TEXT(D2143,"dddd")</f>
        <v>Monday</v>
      </c>
      <c r="F2143" s="2" t="s">
        <v>457</v>
      </c>
      <c r="G2143" s="2" t="s">
        <v>458</v>
      </c>
      <c r="H2143" s="2" t="s">
        <v>459</v>
      </c>
      <c r="I2143" s="2" t="n">
        <f aca="false">IF(F2143="Present",9,IF(F2143="Half Day",4,0))</f>
        <v>9</v>
      </c>
      <c r="J2143" s="2"/>
      <c r="K2143" s="2"/>
    </row>
    <row r="2144" customFormat="false" ht="15" hidden="false" customHeight="false" outlineLevel="0" collapsed="false">
      <c r="A2144" s="2" t="s">
        <v>186</v>
      </c>
      <c r="B2144" s="2" t="s">
        <v>187</v>
      </c>
      <c r="C2144" s="2" t="s">
        <v>57</v>
      </c>
      <c r="D2144" s="3" t="n">
        <v>46238</v>
      </c>
      <c r="E2144" s="2" t="str">
        <f aca="false">TEXT(D2144,"dddd")</f>
        <v>Tuesday</v>
      </c>
      <c r="F2144" s="2" t="s">
        <v>457</v>
      </c>
      <c r="G2144" s="2" t="s">
        <v>458</v>
      </c>
      <c r="H2144" s="2" t="s">
        <v>459</v>
      </c>
      <c r="I2144" s="2" t="n">
        <f aca="false">IF(F2144="Present",9,IF(F2144="Half Day",4,0))</f>
        <v>9</v>
      </c>
      <c r="J2144" s="2"/>
      <c r="K2144" s="2"/>
    </row>
    <row r="2145" customFormat="false" ht="15" hidden="false" customHeight="false" outlineLevel="0" collapsed="false">
      <c r="A2145" s="2" t="s">
        <v>186</v>
      </c>
      <c r="B2145" s="2" t="s">
        <v>187</v>
      </c>
      <c r="C2145" s="2" t="s">
        <v>57</v>
      </c>
      <c r="D2145" s="3" t="n">
        <v>46239</v>
      </c>
      <c r="E2145" s="2" t="str">
        <f aca="false">TEXT(D2145,"dddd")</f>
        <v>Wednesday</v>
      </c>
      <c r="F2145" s="2" t="s">
        <v>461</v>
      </c>
      <c r="G2145" s="2"/>
      <c r="H2145" s="2"/>
      <c r="I2145" s="2" t="n">
        <f aca="false">IF(F2145="Present",9,IF(F2145="Half Day",4,0))</f>
        <v>0</v>
      </c>
      <c r="J2145" s="2"/>
      <c r="K2145" s="2" t="s">
        <v>462</v>
      </c>
    </row>
    <row r="2146" customFormat="false" ht="15" hidden="false" customHeight="false" outlineLevel="0" collapsed="false">
      <c r="A2146" s="2" t="s">
        <v>186</v>
      </c>
      <c r="B2146" s="2" t="s">
        <v>187</v>
      </c>
      <c r="C2146" s="2" t="s">
        <v>57</v>
      </c>
      <c r="D2146" s="3" t="n">
        <v>46240</v>
      </c>
      <c r="E2146" s="2" t="str">
        <f aca="false">TEXT(D2146,"dddd")</f>
        <v>Thursday</v>
      </c>
      <c r="F2146" s="2" t="s">
        <v>457</v>
      </c>
      <c r="G2146" s="2" t="s">
        <v>458</v>
      </c>
      <c r="H2146" s="2" t="s">
        <v>459</v>
      </c>
      <c r="I2146" s="2" t="n">
        <f aca="false">IF(F2146="Present",9,IF(F2146="Half Day",4,0))</f>
        <v>9</v>
      </c>
      <c r="J2146" s="2"/>
      <c r="K2146" s="2"/>
    </row>
    <row r="2147" customFormat="false" ht="15" hidden="false" customHeight="false" outlineLevel="0" collapsed="false">
      <c r="A2147" s="2" t="s">
        <v>186</v>
      </c>
      <c r="B2147" s="2" t="s">
        <v>187</v>
      </c>
      <c r="C2147" s="2" t="s">
        <v>57</v>
      </c>
      <c r="D2147" s="3" t="n">
        <v>46241</v>
      </c>
      <c r="E2147" s="2" t="str">
        <f aca="false">TEXT(D2147,"dddd")</f>
        <v>Friday</v>
      </c>
      <c r="F2147" s="2" t="s">
        <v>457</v>
      </c>
      <c r="G2147" s="2" t="s">
        <v>458</v>
      </c>
      <c r="H2147" s="2" t="s">
        <v>459</v>
      </c>
      <c r="I2147" s="2" t="n">
        <f aca="false">IF(F2147="Present",9,IF(F2147="Half Day",4,0))</f>
        <v>9</v>
      </c>
      <c r="J2147" s="2"/>
      <c r="K2147" s="2"/>
    </row>
    <row r="2148" customFormat="false" ht="15" hidden="false" customHeight="false" outlineLevel="0" collapsed="false">
      <c r="A2148" s="2" t="s">
        <v>186</v>
      </c>
      <c r="B2148" s="2" t="s">
        <v>187</v>
      </c>
      <c r="C2148" s="2" t="s">
        <v>57</v>
      </c>
      <c r="D2148" s="3" t="n">
        <v>46242</v>
      </c>
      <c r="E2148" s="2" t="str">
        <f aca="false">TEXT(D2148,"dddd")</f>
        <v>Saturday</v>
      </c>
      <c r="F2148" s="2" t="s">
        <v>457</v>
      </c>
      <c r="G2148" s="2" t="s">
        <v>458</v>
      </c>
      <c r="H2148" s="2" t="s">
        <v>459</v>
      </c>
      <c r="I2148" s="2" t="n">
        <f aca="false">IF(F2148="Present",9,IF(F2148="Half Day",4,0))</f>
        <v>9</v>
      </c>
      <c r="J2148" s="2"/>
      <c r="K2148" s="2"/>
    </row>
    <row r="2149" customFormat="false" ht="15" hidden="false" customHeight="false" outlineLevel="0" collapsed="false">
      <c r="A2149" s="2" t="s">
        <v>186</v>
      </c>
      <c r="B2149" s="2" t="s">
        <v>187</v>
      </c>
      <c r="C2149" s="2" t="s">
        <v>57</v>
      </c>
      <c r="D2149" s="3" t="n">
        <v>46243</v>
      </c>
      <c r="E2149" s="2" t="str">
        <f aca="false">TEXT(D2149,"dddd")</f>
        <v>Sunday</v>
      </c>
      <c r="F2149" s="2" t="s">
        <v>460</v>
      </c>
      <c r="G2149" s="2"/>
      <c r="H2149" s="2"/>
      <c r="I2149" s="2" t="n">
        <f aca="false">IF(F2149="Present",9,IF(F2149="Half Day",4,0))</f>
        <v>0</v>
      </c>
      <c r="J2149" s="2"/>
      <c r="K2149" s="2" t="s">
        <v>460</v>
      </c>
    </row>
    <row r="2150" customFormat="false" ht="15" hidden="false" customHeight="false" outlineLevel="0" collapsed="false">
      <c r="A2150" s="2" t="s">
        <v>186</v>
      </c>
      <c r="B2150" s="2" t="s">
        <v>187</v>
      </c>
      <c r="C2150" s="2" t="s">
        <v>57</v>
      </c>
      <c r="D2150" s="3" t="n">
        <v>46244</v>
      </c>
      <c r="E2150" s="2" t="str">
        <f aca="false">TEXT(D2150,"dddd")</f>
        <v>Monday</v>
      </c>
      <c r="F2150" s="2" t="s">
        <v>461</v>
      </c>
      <c r="G2150" s="2"/>
      <c r="H2150" s="2"/>
      <c r="I2150" s="2" t="n">
        <f aca="false">IF(F2150="Present",9,IF(F2150="Half Day",4,0))</f>
        <v>0</v>
      </c>
      <c r="J2150" s="2"/>
      <c r="K2150" s="2" t="s">
        <v>462</v>
      </c>
    </row>
    <row r="2151" customFormat="false" ht="15" hidden="false" customHeight="false" outlineLevel="0" collapsed="false">
      <c r="A2151" s="2" t="s">
        <v>186</v>
      </c>
      <c r="B2151" s="2" t="s">
        <v>187</v>
      </c>
      <c r="C2151" s="2" t="s">
        <v>57</v>
      </c>
      <c r="D2151" s="3" t="n">
        <v>46245</v>
      </c>
      <c r="E2151" s="2" t="str">
        <f aca="false">TEXT(D2151,"dddd")</f>
        <v>Tuesday</v>
      </c>
      <c r="F2151" s="2" t="s">
        <v>457</v>
      </c>
      <c r="G2151" s="2" t="s">
        <v>458</v>
      </c>
      <c r="H2151" s="2" t="s">
        <v>459</v>
      </c>
      <c r="I2151" s="2" t="n">
        <f aca="false">IF(F2151="Present",9,IF(F2151="Half Day",4,0))</f>
        <v>9</v>
      </c>
      <c r="J2151" s="2"/>
      <c r="K2151" s="2"/>
    </row>
    <row r="2152" customFormat="false" ht="15" hidden="false" customHeight="false" outlineLevel="0" collapsed="false">
      <c r="A2152" s="2" t="s">
        <v>186</v>
      </c>
      <c r="B2152" s="2" t="s">
        <v>187</v>
      </c>
      <c r="C2152" s="2" t="s">
        <v>57</v>
      </c>
      <c r="D2152" s="3" t="n">
        <v>46246</v>
      </c>
      <c r="E2152" s="2" t="str">
        <f aca="false">TEXT(D2152,"dddd")</f>
        <v>Wednesday</v>
      </c>
      <c r="F2152" s="2" t="s">
        <v>457</v>
      </c>
      <c r="G2152" s="2" t="s">
        <v>458</v>
      </c>
      <c r="H2152" s="2" t="s">
        <v>459</v>
      </c>
      <c r="I2152" s="2" t="n">
        <f aca="false">IF(F2152="Present",9,IF(F2152="Half Day",4,0))</f>
        <v>9</v>
      </c>
      <c r="J2152" s="2"/>
      <c r="K2152" s="2"/>
    </row>
    <row r="2153" customFormat="false" ht="15" hidden="false" customHeight="false" outlineLevel="0" collapsed="false">
      <c r="A2153" s="2" t="s">
        <v>186</v>
      </c>
      <c r="B2153" s="2" t="s">
        <v>187</v>
      </c>
      <c r="C2153" s="2" t="s">
        <v>57</v>
      </c>
      <c r="D2153" s="3" t="n">
        <v>46247</v>
      </c>
      <c r="E2153" s="2" t="str">
        <f aca="false">TEXT(D2153,"dddd")</f>
        <v>Thursday</v>
      </c>
      <c r="F2153" s="2" t="s">
        <v>457</v>
      </c>
      <c r="G2153" s="2" t="s">
        <v>458</v>
      </c>
      <c r="H2153" s="2" t="s">
        <v>459</v>
      </c>
      <c r="I2153" s="2" t="n">
        <f aca="false">IF(F2153="Present",9,IF(F2153="Half Day",4,0))</f>
        <v>9</v>
      </c>
      <c r="J2153" s="2"/>
      <c r="K2153" s="2"/>
    </row>
    <row r="2154" customFormat="false" ht="15" hidden="false" customHeight="false" outlineLevel="0" collapsed="false">
      <c r="A2154" s="2" t="s">
        <v>186</v>
      </c>
      <c r="B2154" s="2" t="s">
        <v>187</v>
      </c>
      <c r="C2154" s="2" t="s">
        <v>57</v>
      </c>
      <c r="D2154" s="3" t="n">
        <v>46248</v>
      </c>
      <c r="E2154" s="2" t="str">
        <f aca="false">TEXT(D2154,"dddd")</f>
        <v>Friday</v>
      </c>
      <c r="F2154" s="2" t="s">
        <v>457</v>
      </c>
      <c r="G2154" s="2" t="s">
        <v>458</v>
      </c>
      <c r="H2154" s="2" t="s">
        <v>459</v>
      </c>
      <c r="I2154" s="2" t="n">
        <f aca="false">IF(F2154="Present",9,IF(F2154="Half Day",4,0))</f>
        <v>9</v>
      </c>
      <c r="J2154" s="2"/>
      <c r="K2154" s="2"/>
    </row>
    <row r="2155" customFormat="false" ht="15" hidden="false" customHeight="false" outlineLevel="0" collapsed="false">
      <c r="A2155" s="2" t="s">
        <v>186</v>
      </c>
      <c r="B2155" s="2" t="s">
        <v>187</v>
      </c>
      <c r="C2155" s="2" t="s">
        <v>57</v>
      </c>
      <c r="D2155" s="3" t="n">
        <v>46249</v>
      </c>
      <c r="E2155" s="2" t="str">
        <f aca="false">TEXT(D2155,"dddd")</f>
        <v>Saturday</v>
      </c>
      <c r="F2155" s="2" t="s">
        <v>457</v>
      </c>
      <c r="G2155" s="2" t="s">
        <v>458</v>
      </c>
      <c r="H2155" s="2" t="s">
        <v>459</v>
      </c>
      <c r="I2155" s="2" t="n">
        <f aca="false">IF(F2155="Present",9,IF(F2155="Half Day",4,0))</f>
        <v>9</v>
      </c>
      <c r="J2155" s="2"/>
      <c r="K2155" s="2"/>
    </row>
    <row r="2156" customFormat="false" ht="15" hidden="false" customHeight="false" outlineLevel="0" collapsed="false">
      <c r="A2156" s="2" t="s">
        <v>186</v>
      </c>
      <c r="B2156" s="2" t="s">
        <v>187</v>
      </c>
      <c r="C2156" s="2" t="s">
        <v>57</v>
      </c>
      <c r="D2156" s="3" t="n">
        <v>46250</v>
      </c>
      <c r="E2156" s="2" t="str">
        <f aca="false">TEXT(D2156,"dddd")</f>
        <v>Sunday</v>
      </c>
      <c r="F2156" s="2" t="s">
        <v>460</v>
      </c>
      <c r="G2156" s="2"/>
      <c r="H2156" s="2"/>
      <c r="I2156" s="2" t="n">
        <f aca="false">IF(F2156="Present",9,IF(F2156="Half Day",4,0))</f>
        <v>0</v>
      </c>
      <c r="J2156" s="2"/>
      <c r="K2156" s="2" t="s">
        <v>460</v>
      </c>
    </row>
    <row r="2157" customFormat="false" ht="15" hidden="false" customHeight="false" outlineLevel="0" collapsed="false">
      <c r="A2157" s="2" t="s">
        <v>186</v>
      </c>
      <c r="B2157" s="2" t="s">
        <v>187</v>
      </c>
      <c r="C2157" s="2" t="s">
        <v>57</v>
      </c>
      <c r="D2157" s="3" t="n">
        <v>46251</v>
      </c>
      <c r="E2157" s="2" t="str">
        <f aca="false">TEXT(D2157,"dddd")</f>
        <v>Monday</v>
      </c>
      <c r="F2157" s="2" t="s">
        <v>466</v>
      </c>
      <c r="G2157" s="2" t="s">
        <v>458</v>
      </c>
      <c r="H2157" s="2" t="s">
        <v>467</v>
      </c>
      <c r="I2157" s="2" t="n">
        <f aca="false">IF(F2157="Present",9,IF(F2157="Half Day",4,0))</f>
        <v>4</v>
      </c>
      <c r="J2157" s="2"/>
      <c r="K2157" s="2" t="s">
        <v>466</v>
      </c>
    </row>
    <row r="2158" customFormat="false" ht="15" hidden="false" customHeight="false" outlineLevel="0" collapsed="false">
      <c r="A2158" s="2" t="s">
        <v>186</v>
      </c>
      <c r="B2158" s="2" t="s">
        <v>187</v>
      </c>
      <c r="C2158" s="2" t="s">
        <v>57</v>
      </c>
      <c r="D2158" s="3" t="n">
        <v>46252</v>
      </c>
      <c r="E2158" s="2" t="str">
        <f aca="false">TEXT(D2158,"dddd")</f>
        <v>Tuesday</v>
      </c>
      <c r="F2158" s="2" t="s">
        <v>457</v>
      </c>
      <c r="G2158" s="2" t="s">
        <v>458</v>
      </c>
      <c r="H2158" s="2" t="s">
        <v>459</v>
      </c>
      <c r="I2158" s="2" t="n">
        <f aca="false">IF(F2158="Present",9,IF(F2158="Half Day",4,0))</f>
        <v>9</v>
      </c>
      <c r="J2158" s="2"/>
      <c r="K2158" s="2"/>
    </row>
    <row r="2159" customFormat="false" ht="15" hidden="false" customHeight="false" outlineLevel="0" collapsed="false">
      <c r="A2159" s="2" t="s">
        <v>186</v>
      </c>
      <c r="B2159" s="2" t="s">
        <v>187</v>
      </c>
      <c r="C2159" s="2" t="s">
        <v>57</v>
      </c>
      <c r="D2159" s="3" t="n">
        <v>46253</v>
      </c>
      <c r="E2159" s="2" t="str">
        <f aca="false">TEXT(D2159,"dddd")</f>
        <v>Wednesday</v>
      </c>
      <c r="F2159" s="2" t="s">
        <v>463</v>
      </c>
      <c r="G2159" s="2"/>
      <c r="H2159" s="2"/>
      <c r="I2159" s="2" t="n">
        <f aca="false">IF(F2159="Present",9,IF(F2159="Half Day",4,0))</f>
        <v>0</v>
      </c>
      <c r="J2159" s="2" t="s">
        <v>468</v>
      </c>
      <c r="K2159" s="2" t="s">
        <v>469</v>
      </c>
    </row>
    <row r="2160" customFormat="false" ht="15" hidden="false" customHeight="false" outlineLevel="0" collapsed="false">
      <c r="A2160" s="2" t="s">
        <v>186</v>
      </c>
      <c r="B2160" s="2" t="s">
        <v>187</v>
      </c>
      <c r="C2160" s="2" t="s">
        <v>57</v>
      </c>
      <c r="D2160" s="3" t="n">
        <v>46254</v>
      </c>
      <c r="E2160" s="2" t="str">
        <f aca="false">TEXT(D2160,"dddd")</f>
        <v>Thursday</v>
      </c>
      <c r="F2160" s="2" t="s">
        <v>457</v>
      </c>
      <c r="G2160" s="2" t="s">
        <v>458</v>
      </c>
      <c r="H2160" s="2" t="s">
        <v>459</v>
      </c>
      <c r="I2160" s="2" t="n">
        <f aca="false">IF(F2160="Present",9,IF(F2160="Half Day",4,0))</f>
        <v>9</v>
      </c>
      <c r="J2160" s="2"/>
      <c r="K2160" s="2"/>
    </row>
    <row r="2161" customFormat="false" ht="15" hidden="false" customHeight="false" outlineLevel="0" collapsed="false">
      <c r="A2161" s="2" t="s">
        <v>186</v>
      </c>
      <c r="B2161" s="2" t="s">
        <v>187</v>
      </c>
      <c r="C2161" s="2" t="s">
        <v>57</v>
      </c>
      <c r="D2161" s="3" t="n">
        <v>46255</v>
      </c>
      <c r="E2161" s="2" t="str">
        <f aca="false">TEXT(D2161,"dddd")</f>
        <v>Friday</v>
      </c>
      <c r="F2161" s="2" t="s">
        <v>457</v>
      </c>
      <c r="G2161" s="2" t="s">
        <v>458</v>
      </c>
      <c r="H2161" s="2" t="s">
        <v>459</v>
      </c>
      <c r="I2161" s="2" t="n">
        <f aca="false">IF(F2161="Present",9,IF(F2161="Half Day",4,0))</f>
        <v>9</v>
      </c>
      <c r="J2161" s="2"/>
      <c r="K2161" s="2"/>
    </row>
    <row r="2162" customFormat="false" ht="15" hidden="false" customHeight="false" outlineLevel="0" collapsed="false">
      <c r="A2162" s="2" t="s">
        <v>186</v>
      </c>
      <c r="B2162" s="2" t="s">
        <v>187</v>
      </c>
      <c r="C2162" s="2" t="s">
        <v>57</v>
      </c>
      <c r="D2162" s="3" t="n">
        <v>46256</v>
      </c>
      <c r="E2162" s="2" t="str">
        <f aca="false">TEXT(D2162,"dddd")</f>
        <v>Saturday</v>
      </c>
      <c r="F2162" s="2" t="s">
        <v>457</v>
      </c>
      <c r="G2162" s="2" t="s">
        <v>458</v>
      </c>
      <c r="H2162" s="2" t="s">
        <v>459</v>
      </c>
      <c r="I2162" s="2" t="n">
        <f aca="false">IF(F2162="Present",9,IF(F2162="Half Day",4,0))</f>
        <v>9</v>
      </c>
      <c r="J2162" s="2"/>
      <c r="K2162" s="2"/>
    </row>
    <row r="2163" customFormat="false" ht="15" hidden="false" customHeight="false" outlineLevel="0" collapsed="false">
      <c r="A2163" s="2" t="s">
        <v>186</v>
      </c>
      <c r="B2163" s="2" t="s">
        <v>187</v>
      </c>
      <c r="C2163" s="2" t="s">
        <v>57</v>
      </c>
      <c r="D2163" s="3" t="n">
        <v>46257</v>
      </c>
      <c r="E2163" s="2" t="str">
        <f aca="false">TEXT(D2163,"dddd")</f>
        <v>Sunday</v>
      </c>
      <c r="F2163" s="2" t="s">
        <v>460</v>
      </c>
      <c r="G2163" s="2"/>
      <c r="H2163" s="2"/>
      <c r="I2163" s="2" t="n">
        <f aca="false">IF(F2163="Present",9,IF(F2163="Half Day",4,0))</f>
        <v>0</v>
      </c>
      <c r="J2163" s="2"/>
      <c r="K2163" s="2" t="s">
        <v>460</v>
      </c>
    </row>
    <row r="2164" customFormat="false" ht="15" hidden="false" customHeight="false" outlineLevel="0" collapsed="false">
      <c r="A2164" s="2" t="s">
        <v>186</v>
      </c>
      <c r="B2164" s="2" t="s">
        <v>187</v>
      </c>
      <c r="C2164" s="2" t="s">
        <v>57</v>
      </c>
      <c r="D2164" s="3" t="n">
        <v>46258</v>
      </c>
      <c r="E2164" s="2" t="str">
        <f aca="false">TEXT(D2164,"dddd")</f>
        <v>Monday</v>
      </c>
      <c r="F2164" s="2" t="s">
        <v>457</v>
      </c>
      <c r="G2164" s="2" t="s">
        <v>458</v>
      </c>
      <c r="H2164" s="2" t="s">
        <v>459</v>
      </c>
      <c r="I2164" s="2" t="n">
        <f aca="false">IF(F2164="Present",9,IF(F2164="Half Day",4,0))</f>
        <v>9</v>
      </c>
      <c r="J2164" s="2"/>
      <c r="K2164" s="2"/>
    </row>
    <row r="2165" customFormat="false" ht="15" hidden="false" customHeight="false" outlineLevel="0" collapsed="false">
      <c r="A2165" s="2" t="s">
        <v>186</v>
      </c>
      <c r="B2165" s="2" t="s">
        <v>187</v>
      </c>
      <c r="C2165" s="2" t="s">
        <v>57</v>
      </c>
      <c r="D2165" s="3" t="n">
        <v>46259</v>
      </c>
      <c r="E2165" s="2" t="str">
        <f aca="false">TEXT(D2165,"dddd")</f>
        <v>Tuesday</v>
      </c>
      <c r="F2165" s="2" t="s">
        <v>457</v>
      </c>
      <c r="G2165" s="2" t="s">
        <v>458</v>
      </c>
      <c r="H2165" s="2" t="s">
        <v>459</v>
      </c>
      <c r="I2165" s="2" t="n">
        <f aca="false">IF(F2165="Present",9,IF(F2165="Half Day",4,0))</f>
        <v>9</v>
      </c>
      <c r="J2165" s="2"/>
      <c r="K2165" s="2"/>
    </row>
    <row r="2166" customFormat="false" ht="15" hidden="false" customHeight="false" outlineLevel="0" collapsed="false">
      <c r="A2166" s="2" t="s">
        <v>186</v>
      </c>
      <c r="B2166" s="2" t="s">
        <v>187</v>
      </c>
      <c r="C2166" s="2" t="s">
        <v>57</v>
      </c>
      <c r="D2166" s="3" t="n">
        <v>46260</v>
      </c>
      <c r="E2166" s="2" t="str">
        <f aca="false">TEXT(D2166,"dddd")</f>
        <v>Wednesday</v>
      </c>
      <c r="F2166" s="2" t="s">
        <v>461</v>
      </c>
      <c r="G2166" s="2"/>
      <c r="H2166" s="2"/>
      <c r="I2166" s="2" t="n">
        <f aca="false">IF(F2166="Present",9,IF(F2166="Half Day",4,0))</f>
        <v>0</v>
      </c>
      <c r="J2166" s="2"/>
      <c r="K2166" s="2" t="s">
        <v>462</v>
      </c>
    </row>
    <row r="2167" customFormat="false" ht="15" hidden="false" customHeight="false" outlineLevel="0" collapsed="false">
      <c r="A2167" s="2" t="s">
        <v>186</v>
      </c>
      <c r="B2167" s="2" t="s">
        <v>187</v>
      </c>
      <c r="C2167" s="2" t="s">
        <v>57</v>
      </c>
      <c r="D2167" s="3" t="n">
        <v>46261</v>
      </c>
      <c r="E2167" s="2" t="str">
        <f aca="false">TEXT(D2167,"dddd")</f>
        <v>Thursday</v>
      </c>
      <c r="F2167" s="2" t="s">
        <v>461</v>
      </c>
      <c r="G2167" s="2"/>
      <c r="H2167" s="2"/>
      <c r="I2167" s="2" t="n">
        <f aca="false">IF(F2167="Present",9,IF(F2167="Half Day",4,0))</f>
        <v>0</v>
      </c>
      <c r="J2167" s="2"/>
      <c r="K2167" s="2" t="s">
        <v>462</v>
      </c>
    </row>
    <row r="2168" customFormat="false" ht="15" hidden="false" customHeight="false" outlineLevel="0" collapsed="false">
      <c r="A2168" s="2" t="s">
        <v>186</v>
      </c>
      <c r="B2168" s="2" t="s">
        <v>187</v>
      </c>
      <c r="C2168" s="2" t="s">
        <v>57</v>
      </c>
      <c r="D2168" s="3" t="n">
        <v>46262</v>
      </c>
      <c r="E2168" s="2" t="str">
        <f aca="false">TEXT(D2168,"dddd")</f>
        <v>Friday</v>
      </c>
      <c r="F2168" s="2" t="s">
        <v>457</v>
      </c>
      <c r="G2168" s="2" t="s">
        <v>458</v>
      </c>
      <c r="H2168" s="2" t="s">
        <v>459</v>
      </c>
      <c r="I2168" s="2" t="n">
        <f aca="false">IF(F2168="Present",9,IF(F2168="Half Day",4,0))</f>
        <v>9</v>
      </c>
      <c r="J2168" s="2"/>
      <c r="K2168" s="2"/>
    </row>
    <row r="2169" customFormat="false" ht="15" hidden="false" customHeight="false" outlineLevel="0" collapsed="false">
      <c r="A2169" s="2" t="s">
        <v>186</v>
      </c>
      <c r="B2169" s="2" t="s">
        <v>187</v>
      </c>
      <c r="C2169" s="2" t="s">
        <v>57</v>
      </c>
      <c r="D2169" s="3" t="n">
        <v>46263</v>
      </c>
      <c r="E2169" s="2" t="str">
        <f aca="false">TEXT(D2169,"dddd")</f>
        <v>Saturday</v>
      </c>
      <c r="F2169" s="2" t="s">
        <v>457</v>
      </c>
      <c r="G2169" s="2" t="s">
        <v>458</v>
      </c>
      <c r="H2169" s="2" t="s">
        <v>459</v>
      </c>
      <c r="I2169" s="2" t="n">
        <f aca="false">IF(F2169="Present",9,IF(F2169="Half Day",4,0))</f>
        <v>9</v>
      </c>
      <c r="J2169" s="2"/>
      <c r="K2169" s="2"/>
    </row>
    <row r="2170" customFormat="false" ht="15" hidden="false" customHeight="false" outlineLevel="0" collapsed="false">
      <c r="A2170" s="2" t="s">
        <v>186</v>
      </c>
      <c r="B2170" s="2" t="s">
        <v>187</v>
      </c>
      <c r="C2170" s="2" t="s">
        <v>57</v>
      </c>
      <c r="D2170" s="3" t="n">
        <v>46264</v>
      </c>
      <c r="E2170" s="2" t="str">
        <f aca="false">TEXT(D2170,"dddd")</f>
        <v>Sunday</v>
      </c>
      <c r="F2170" s="2" t="s">
        <v>460</v>
      </c>
      <c r="G2170" s="2"/>
      <c r="H2170" s="2"/>
      <c r="I2170" s="2" t="n">
        <f aca="false">IF(F2170="Present",9,IF(F2170="Half Day",4,0))</f>
        <v>0</v>
      </c>
      <c r="J2170" s="2"/>
      <c r="K2170" s="2" t="s">
        <v>460</v>
      </c>
    </row>
    <row r="2171" customFormat="false" ht="15" hidden="false" customHeight="false" outlineLevel="0" collapsed="false">
      <c r="A2171" s="2" t="s">
        <v>186</v>
      </c>
      <c r="B2171" s="2" t="s">
        <v>187</v>
      </c>
      <c r="C2171" s="2" t="s">
        <v>57</v>
      </c>
      <c r="D2171" s="3" t="n">
        <v>46265</v>
      </c>
      <c r="E2171" s="2" t="str">
        <f aca="false">TEXT(D2171,"dddd")</f>
        <v>Monday</v>
      </c>
      <c r="F2171" s="2" t="s">
        <v>457</v>
      </c>
      <c r="G2171" s="2" t="s">
        <v>458</v>
      </c>
      <c r="H2171" s="2" t="s">
        <v>459</v>
      </c>
      <c r="I2171" s="2" t="n">
        <f aca="false">IF(F2171="Present",9,IF(F2171="Half Day",4,0))</f>
        <v>9</v>
      </c>
      <c r="J2171" s="2"/>
      <c r="K2171" s="2"/>
    </row>
    <row r="2172" customFormat="false" ht="15" hidden="false" customHeight="false" outlineLevel="0" collapsed="false">
      <c r="A2172" s="2" t="s">
        <v>188</v>
      </c>
      <c r="B2172" s="2" t="s">
        <v>189</v>
      </c>
      <c r="C2172" s="2" t="s">
        <v>17</v>
      </c>
      <c r="D2172" s="3" t="n">
        <v>46235</v>
      </c>
      <c r="E2172" s="2" t="str">
        <f aca="false">TEXT(D2172,"dddd")</f>
        <v>Saturday</v>
      </c>
      <c r="F2172" s="2" t="s">
        <v>457</v>
      </c>
      <c r="G2172" s="2" t="s">
        <v>458</v>
      </c>
      <c r="H2172" s="2" t="s">
        <v>459</v>
      </c>
      <c r="I2172" s="2" t="n">
        <f aca="false">IF(F2172="Present",9,IF(F2172="Half Day",4,0))</f>
        <v>9</v>
      </c>
      <c r="J2172" s="2"/>
      <c r="K2172" s="2"/>
    </row>
    <row r="2173" customFormat="false" ht="15" hidden="false" customHeight="false" outlineLevel="0" collapsed="false">
      <c r="A2173" s="2" t="s">
        <v>188</v>
      </c>
      <c r="B2173" s="2" t="s">
        <v>189</v>
      </c>
      <c r="C2173" s="2" t="s">
        <v>17</v>
      </c>
      <c r="D2173" s="3" t="n">
        <v>46236</v>
      </c>
      <c r="E2173" s="2" t="str">
        <f aca="false">TEXT(D2173,"dddd")</f>
        <v>Sunday</v>
      </c>
      <c r="F2173" s="2" t="s">
        <v>460</v>
      </c>
      <c r="G2173" s="2"/>
      <c r="H2173" s="2"/>
      <c r="I2173" s="2" t="n">
        <f aca="false">IF(F2173="Present",9,IF(F2173="Half Day",4,0))</f>
        <v>0</v>
      </c>
      <c r="J2173" s="2"/>
      <c r="K2173" s="2" t="s">
        <v>460</v>
      </c>
    </row>
    <row r="2174" customFormat="false" ht="15" hidden="false" customHeight="false" outlineLevel="0" collapsed="false">
      <c r="A2174" s="2" t="s">
        <v>188</v>
      </c>
      <c r="B2174" s="2" t="s">
        <v>189</v>
      </c>
      <c r="C2174" s="2" t="s">
        <v>17</v>
      </c>
      <c r="D2174" s="3" t="n">
        <v>46237</v>
      </c>
      <c r="E2174" s="2" t="str">
        <f aca="false">TEXT(D2174,"dddd")</f>
        <v>Monday</v>
      </c>
      <c r="F2174" s="2" t="s">
        <v>457</v>
      </c>
      <c r="G2174" s="2" t="s">
        <v>458</v>
      </c>
      <c r="H2174" s="2" t="s">
        <v>459</v>
      </c>
      <c r="I2174" s="2" t="n">
        <f aca="false">IF(F2174="Present",9,IF(F2174="Half Day",4,0))</f>
        <v>9</v>
      </c>
      <c r="J2174" s="2"/>
      <c r="K2174" s="2"/>
    </row>
    <row r="2175" customFormat="false" ht="15" hidden="false" customHeight="false" outlineLevel="0" collapsed="false">
      <c r="A2175" s="2" t="s">
        <v>188</v>
      </c>
      <c r="B2175" s="2" t="s">
        <v>189</v>
      </c>
      <c r="C2175" s="2" t="s">
        <v>17</v>
      </c>
      <c r="D2175" s="3" t="n">
        <v>46238</v>
      </c>
      <c r="E2175" s="2" t="str">
        <f aca="false">TEXT(D2175,"dddd")</f>
        <v>Tuesday</v>
      </c>
      <c r="F2175" s="2" t="s">
        <v>457</v>
      </c>
      <c r="G2175" s="2" t="s">
        <v>458</v>
      </c>
      <c r="H2175" s="2" t="s">
        <v>459</v>
      </c>
      <c r="I2175" s="2" t="n">
        <f aca="false">IF(F2175="Present",9,IF(F2175="Half Day",4,0))</f>
        <v>9</v>
      </c>
      <c r="J2175" s="2"/>
      <c r="K2175" s="2"/>
    </row>
    <row r="2176" customFormat="false" ht="15" hidden="false" customHeight="false" outlineLevel="0" collapsed="false">
      <c r="A2176" s="2" t="s">
        <v>188</v>
      </c>
      <c r="B2176" s="2" t="s">
        <v>189</v>
      </c>
      <c r="C2176" s="2" t="s">
        <v>17</v>
      </c>
      <c r="D2176" s="3" t="n">
        <v>46239</v>
      </c>
      <c r="E2176" s="2" t="str">
        <f aca="false">TEXT(D2176,"dddd")</f>
        <v>Wednesday</v>
      </c>
      <c r="F2176" s="2" t="s">
        <v>457</v>
      </c>
      <c r="G2176" s="2" t="s">
        <v>458</v>
      </c>
      <c r="H2176" s="2" t="s">
        <v>459</v>
      </c>
      <c r="I2176" s="2" t="n">
        <f aca="false">IF(F2176="Present",9,IF(F2176="Half Day",4,0))</f>
        <v>9</v>
      </c>
      <c r="J2176" s="2"/>
      <c r="K2176" s="2"/>
    </row>
    <row r="2177" customFormat="false" ht="15" hidden="false" customHeight="false" outlineLevel="0" collapsed="false">
      <c r="A2177" s="2" t="s">
        <v>188</v>
      </c>
      <c r="B2177" s="2" t="s">
        <v>189</v>
      </c>
      <c r="C2177" s="2" t="s">
        <v>17</v>
      </c>
      <c r="D2177" s="3" t="n">
        <v>46240</v>
      </c>
      <c r="E2177" s="2" t="str">
        <f aca="false">TEXT(D2177,"dddd")</f>
        <v>Thursday</v>
      </c>
      <c r="F2177" s="2" t="s">
        <v>457</v>
      </c>
      <c r="G2177" s="2" t="s">
        <v>458</v>
      </c>
      <c r="H2177" s="2" t="s">
        <v>459</v>
      </c>
      <c r="I2177" s="2" t="n">
        <f aca="false">IF(F2177="Present",9,IF(F2177="Half Day",4,0))</f>
        <v>9</v>
      </c>
      <c r="J2177" s="2"/>
      <c r="K2177" s="2"/>
    </row>
    <row r="2178" customFormat="false" ht="15" hidden="false" customHeight="false" outlineLevel="0" collapsed="false">
      <c r="A2178" s="2" t="s">
        <v>188</v>
      </c>
      <c r="B2178" s="2" t="s">
        <v>189</v>
      </c>
      <c r="C2178" s="2" t="s">
        <v>17</v>
      </c>
      <c r="D2178" s="3" t="n">
        <v>46241</v>
      </c>
      <c r="E2178" s="2" t="str">
        <f aca="false">TEXT(D2178,"dddd")</f>
        <v>Friday</v>
      </c>
      <c r="F2178" s="2" t="s">
        <v>457</v>
      </c>
      <c r="G2178" s="2" t="s">
        <v>458</v>
      </c>
      <c r="H2178" s="2" t="s">
        <v>459</v>
      </c>
      <c r="I2178" s="2" t="n">
        <f aca="false">IF(F2178="Present",9,IF(F2178="Half Day",4,0))</f>
        <v>9</v>
      </c>
      <c r="J2178" s="2"/>
      <c r="K2178" s="2"/>
    </row>
    <row r="2179" customFormat="false" ht="15" hidden="false" customHeight="false" outlineLevel="0" collapsed="false">
      <c r="A2179" s="2" t="s">
        <v>188</v>
      </c>
      <c r="B2179" s="2" t="s">
        <v>189</v>
      </c>
      <c r="C2179" s="2" t="s">
        <v>17</v>
      </c>
      <c r="D2179" s="3" t="n">
        <v>46242</v>
      </c>
      <c r="E2179" s="2" t="str">
        <f aca="false">TEXT(D2179,"dddd")</f>
        <v>Saturday</v>
      </c>
      <c r="F2179" s="2" t="s">
        <v>457</v>
      </c>
      <c r="G2179" s="2" t="s">
        <v>458</v>
      </c>
      <c r="H2179" s="2" t="s">
        <v>459</v>
      </c>
      <c r="I2179" s="2" t="n">
        <f aca="false">IF(F2179="Present",9,IF(F2179="Half Day",4,0))</f>
        <v>9</v>
      </c>
      <c r="J2179" s="2"/>
      <c r="K2179" s="2"/>
    </row>
    <row r="2180" customFormat="false" ht="15" hidden="false" customHeight="false" outlineLevel="0" collapsed="false">
      <c r="A2180" s="2" t="s">
        <v>188</v>
      </c>
      <c r="B2180" s="2" t="s">
        <v>189</v>
      </c>
      <c r="C2180" s="2" t="s">
        <v>17</v>
      </c>
      <c r="D2180" s="3" t="n">
        <v>46243</v>
      </c>
      <c r="E2180" s="2" t="str">
        <f aca="false">TEXT(D2180,"dddd")</f>
        <v>Sunday</v>
      </c>
      <c r="F2180" s="2" t="s">
        <v>460</v>
      </c>
      <c r="G2180" s="2"/>
      <c r="H2180" s="2"/>
      <c r="I2180" s="2" t="n">
        <f aca="false">IF(F2180="Present",9,IF(F2180="Half Day",4,0))</f>
        <v>0</v>
      </c>
      <c r="J2180" s="2"/>
      <c r="K2180" s="2" t="s">
        <v>460</v>
      </c>
    </row>
    <row r="2181" customFormat="false" ht="15" hidden="false" customHeight="false" outlineLevel="0" collapsed="false">
      <c r="A2181" s="2" t="s">
        <v>188</v>
      </c>
      <c r="B2181" s="2" t="s">
        <v>189</v>
      </c>
      <c r="C2181" s="2" t="s">
        <v>17</v>
      </c>
      <c r="D2181" s="3" t="n">
        <v>46244</v>
      </c>
      <c r="E2181" s="2" t="str">
        <f aca="false">TEXT(D2181,"dddd")</f>
        <v>Monday</v>
      </c>
      <c r="F2181" s="2" t="s">
        <v>457</v>
      </c>
      <c r="G2181" s="2" t="s">
        <v>458</v>
      </c>
      <c r="H2181" s="2" t="s">
        <v>459</v>
      </c>
      <c r="I2181" s="2" t="n">
        <f aca="false">IF(F2181="Present",9,IF(F2181="Half Day",4,0))</f>
        <v>9</v>
      </c>
      <c r="J2181" s="2"/>
      <c r="K2181" s="2"/>
    </row>
    <row r="2182" customFormat="false" ht="15" hidden="false" customHeight="false" outlineLevel="0" collapsed="false">
      <c r="A2182" s="2" t="s">
        <v>188</v>
      </c>
      <c r="B2182" s="2" t="s">
        <v>189</v>
      </c>
      <c r="C2182" s="2" t="s">
        <v>17</v>
      </c>
      <c r="D2182" s="3" t="n">
        <v>46245</v>
      </c>
      <c r="E2182" s="2" t="str">
        <f aca="false">TEXT(D2182,"dddd")</f>
        <v>Tuesday</v>
      </c>
      <c r="F2182" s="2" t="s">
        <v>457</v>
      </c>
      <c r="G2182" s="2" t="s">
        <v>458</v>
      </c>
      <c r="H2182" s="2" t="s">
        <v>459</v>
      </c>
      <c r="I2182" s="2" t="n">
        <f aca="false">IF(F2182="Present",9,IF(F2182="Half Day",4,0))</f>
        <v>9</v>
      </c>
      <c r="J2182" s="2"/>
      <c r="K2182" s="2"/>
    </row>
    <row r="2183" customFormat="false" ht="15" hidden="false" customHeight="false" outlineLevel="0" collapsed="false">
      <c r="A2183" s="2" t="s">
        <v>188</v>
      </c>
      <c r="B2183" s="2" t="s">
        <v>189</v>
      </c>
      <c r="C2183" s="2" t="s">
        <v>17</v>
      </c>
      <c r="D2183" s="3" t="n">
        <v>46246</v>
      </c>
      <c r="E2183" s="2" t="str">
        <f aca="false">TEXT(D2183,"dddd")</f>
        <v>Wednesday</v>
      </c>
      <c r="F2183" s="2" t="s">
        <v>457</v>
      </c>
      <c r="G2183" s="2" t="s">
        <v>458</v>
      </c>
      <c r="H2183" s="2" t="s">
        <v>459</v>
      </c>
      <c r="I2183" s="2" t="n">
        <f aca="false">IF(F2183="Present",9,IF(F2183="Half Day",4,0))</f>
        <v>9</v>
      </c>
      <c r="J2183" s="2"/>
      <c r="K2183" s="2"/>
    </row>
    <row r="2184" customFormat="false" ht="15" hidden="false" customHeight="false" outlineLevel="0" collapsed="false">
      <c r="A2184" s="2" t="s">
        <v>188</v>
      </c>
      <c r="B2184" s="2" t="s">
        <v>189</v>
      </c>
      <c r="C2184" s="2" t="s">
        <v>17</v>
      </c>
      <c r="D2184" s="3" t="n">
        <v>46247</v>
      </c>
      <c r="E2184" s="2" t="str">
        <f aca="false">TEXT(D2184,"dddd")</f>
        <v>Thursday</v>
      </c>
      <c r="F2184" s="2" t="s">
        <v>457</v>
      </c>
      <c r="G2184" s="2" t="s">
        <v>458</v>
      </c>
      <c r="H2184" s="2" t="s">
        <v>459</v>
      </c>
      <c r="I2184" s="2" t="n">
        <f aca="false">IF(F2184="Present",9,IF(F2184="Half Day",4,0))</f>
        <v>9</v>
      </c>
      <c r="J2184" s="2"/>
      <c r="K2184" s="2"/>
    </row>
    <row r="2185" customFormat="false" ht="15" hidden="false" customHeight="false" outlineLevel="0" collapsed="false">
      <c r="A2185" s="2" t="s">
        <v>188</v>
      </c>
      <c r="B2185" s="2" t="s">
        <v>189</v>
      </c>
      <c r="C2185" s="2" t="s">
        <v>17</v>
      </c>
      <c r="D2185" s="3" t="n">
        <v>46248</v>
      </c>
      <c r="E2185" s="2" t="str">
        <f aca="false">TEXT(D2185,"dddd")</f>
        <v>Friday</v>
      </c>
      <c r="F2185" s="2" t="s">
        <v>461</v>
      </c>
      <c r="G2185" s="2"/>
      <c r="H2185" s="2"/>
      <c r="I2185" s="2" t="n">
        <f aca="false">IF(F2185="Present",9,IF(F2185="Half Day",4,0))</f>
        <v>0</v>
      </c>
      <c r="J2185" s="2"/>
      <c r="K2185" s="2" t="s">
        <v>462</v>
      </c>
    </row>
    <row r="2186" customFormat="false" ht="15" hidden="false" customHeight="false" outlineLevel="0" collapsed="false">
      <c r="A2186" s="2" t="s">
        <v>188</v>
      </c>
      <c r="B2186" s="2" t="s">
        <v>189</v>
      </c>
      <c r="C2186" s="2" t="s">
        <v>17</v>
      </c>
      <c r="D2186" s="3" t="n">
        <v>46249</v>
      </c>
      <c r="E2186" s="2" t="str">
        <f aca="false">TEXT(D2186,"dddd")</f>
        <v>Saturday</v>
      </c>
      <c r="F2186" s="2" t="s">
        <v>466</v>
      </c>
      <c r="G2186" s="2" t="s">
        <v>458</v>
      </c>
      <c r="H2186" s="2" t="s">
        <v>467</v>
      </c>
      <c r="I2186" s="2" t="n">
        <f aca="false">IF(F2186="Present",9,IF(F2186="Half Day",4,0))</f>
        <v>4</v>
      </c>
      <c r="J2186" s="2"/>
      <c r="K2186" s="2" t="s">
        <v>466</v>
      </c>
    </row>
    <row r="2187" customFormat="false" ht="15" hidden="false" customHeight="false" outlineLevel="0" collapsed="false">
      <c r="A2187" s="2" t="s">
        <v>188</v>
      </c>
      <c r="B2187" s="2" t="s">
        <v>189</v>
      </c>
      <c r="C2187" s="2" t="s">
        <v>17</v>
      </c>
      <c r="D2187" s="3" t="n">
        <v>46250</v>
      </c>
      <c r="E2187" s="2" t="str">
        <f aca="false">TEXT(D2187,"dddd")</f>
        <v>Sunday</v>
      </c>
      <c r="F2187" s="2" t="s">
        <v>460</v>
      </c>
      <c r="G2187" s="2"/>
      <c r="H2187" s="2"/>
      <c r="I2187" s="2" t="n">
        <f aca="false">IF(F2187="Present",9,IF(F2187="Half Day",4,0))</f>
        <v>0</v>
      </c>
      <c r="J2187" s="2"/>
      <c r="K2187" s="2" t="s">
        <v>460</v>
      </c>
    </row>
    <row r="2188" customFormat="false" ht="15" hidden="false" customHeight="false" outlineLevel="0" collapsed="false">
      <c r="A2188" s="2" t="s">
        <v>188</v>
      </c>
      <c r="B2188" s="2" t="s">
        <v>189</v>
      </c>
      <c r="C2188" s="2" t="s">
        <v>17</v>
      </c>
      <c r="D2188" s="3" t="n">
        <v>46251</v>
      </c>
      <c r="E2188" s="2" t="str">
        <f aca="false">TEXT(D2188,"dddd")</f>
        <v>Monday</v>
      </c>
      <c r="F2188" s="2" t="s">
        <v>457</v>
      </c>
      <c r="G2188" s="2" t="s">
        <v>458</v>
      </c>
      <c r="H2188" s="2" t="s">
        <v>459</v>
      </c>
      <c r="I2188" s="2" t="n">
        <f aca="false">IF(F2188="Present",9,IF(F2188="Half Day",4,0))</f>
        <v>9</v>
      </c>
      <c r="J2188" s="2"/>
      <c r="K2188" s="2"/>
    </row>
    <row r="2189" customFormat="false" ht="15" hidden="false" customHeight="false" outlineLevel="0" collapsed="false">
      <c r="A2189" s="2" t="s">
        <v>188</v>
      </c>
      <c r="B2189" s="2" t="s">
        <v>189</v>
      </c>
      <c r="C2189" s="2" t="s">
        <v>17</v>
      </c>
      <c r="D2189" s="3" t="n">
        <v>46252</v>
      </c>
      <c r="E2189" s="2" t="str">
        <f aca="false">TEXT(D2189,"dddd")</f>
        <v>Tuesday</v>
      </c>
      <c r="F2189" s="2" t="s">
        <v>463</v>
      </c>
      <c r="G2189" s="2"/>
      <c r="H2189" s="2"/>
      <c r="I2189" s="2" t="n">
        <f aca="false">IF(F2189="Present",9,IF(F2189="Half Day",4,0))</f>
        <v>0</v>
      </c>
      <c r="J2189" s="2" t="s">
        <v>472</v>
      </c>
      <c r="K2189" s="2" t="s">
        <v>473</v>
      </c>
    </row>
    <row r="2190" customFormat="false" ht="15" hidden="false" customHeight="false" outlineLevel="0" collapsed="false">
      <c r="A2190" s="2" t="s">
        <v>188</v>
      </c>
      <c r="B2190" s="2" t="s">
        <v>189</v>
      </c>
      <c r="C2190" s="2" t="s">
        <v>17</v>
      </c>
      <c r="D2190" s="3" t="n">
        <v>46253</v>
      </c>
      <c r="E2190" s="2" t="str">
        <f aca="false">TEXT(D2190,"dddd")</f>
        <v>Wednesday</v>
      </c>
      <c r="F2190" s="2" t="s">
        <v>457</v>
      </c>
      <c r="G2190" s="2" t="s">
        <v>458</v>
      </c>
      <c r="H2190" s="2" t="s">
        <v>459</v>
      </c>
      <c r="I2190" s="2" t="n">
        <f aca="false">IF(F2190="Present",9,IF(F2190="Half Day",4,0))</f>
        <v>9</v>
      </c>
      <c r="J2190" s="2"/>
      <c r="K2190" s="2"/>
    </row>
    <row r="2191" customFormat="false" ht="15" hidden="false" customHeight="false" outlineLevel="0" collapsed="false">
      <c r="A2191" s="2" t="s">
        <v>188</v>
      </c>
      <c r="B2191" s="2" t="s">
        <v>189</v>
      </c>
      <c r="C2191" s="2" t="s">
        <v>17</v>
      </c>
      <c r="D2191" s="3" t="n">
        <v>46254</v>
      </c>
      <c r="E2191" s="2" t="str">
        <f aca="false">TEXT(D2191,"dddd")</f>
        <v>Thursday</v>
      </c>
      <c r="F2191" s="2" t="s">
        <v>461</v>
      </c>
      <c r="G2191" s="2"/>
      <c r="H2191" s="2"/>
      <c r="I2191" s="2" t="n">
        <f aca="false">IF(F2191="Present",9,IF(F2191="Half Day",4,0))</f>
        <v>0</v>
      </c>
      <c r="J2191" s="2"/>
      <c r="K2191" s="2" t="s">
        <v>462</v>
      </c>
    </row>
    <row r="2192" customFormat="false" ht="15" hidden="false" customHeight="false" outlineLevel="0" collapsed="false">
      <c r="A2192" s="2" t="s">
        <v>188</v>
      </c>
      <c r="B2192" s="2" t="s">
        <v>189</v>
      </c>
      <c r="C2192" s="2" t="s">
        <v>17</v>
      </c>
      <c r="D2192" s="3" t="n">
        <v>46255</v>
      </c>
      <c r="E2192" s="2" t="str">
        <f aca="false">TEXT(D2192,"dddd")</f>
        <v>Friday</v>
      </c>
      <c r="F2192" s="2" t="s">
        <v>457</v>
      </c>
      <c r="G2192" s="2" t="s">
        <v>458</v>
      </c>
      <c r="H2192" s="2" t="s">
        <v>459</v>
      </c>
      <c r="I2192" s="2" t="n">
        <f aca="false">IF(F2192="Present",9,IF(F2192="Half Day",4,0))</f>
        <v>9</v>
      </c>
      <c r="J2192" s="2"/>
      <c r="K2192" s="2"/>
    </row>
    <row r="2193" customFormat="false" ht="15" hidden="false" customHeight="false" outlineLevel="0" collapsed="false">
      <c r="A2193" s="2" t="s">
        <v>188</v>
      </c>
      <c r="B2193" s="2" t="s">
        <v>189</v>
      </c>
      <c r="C2193" s="2" t="s">
        <v>17</v>
      </c>
      <c r="D2193" s="3" t="n">
        <v>46256</v>
      </c>
      <c r="E2193" s="2" t="str">
        <f aca="false">TEXT(D2193,"dddd")</f>
        <v>Saturday</v>
      </c>
      <c r="F2193" s="2" t="s">
        <v>457</v>
      </c>
      <c r="G2193" s="2" t="s">
        <v>458</v>
      </c>
      <c r="H2193" s="2" t="s">
        <v>459</v>
      </c>
      <c r="I2193" s="2" t="n">
        <f aca="false">IF(F2193="Present",9,IF(F2193="Half Day",4,0))</f>
        <v>9</v>
      </c>
      <c r="J2193" s="2"/>
      <c r="K2193" s="2"/>
    </row>
    <row r="2194" customFormat="false" ht="15" hidden="false" customHeight="false" outlineLevel="0" collapsed="false">
      <c r="A2194" s="2" t="s">
        <v>188</v>
      </c>
      <c r="B2194" s="2" t="s">
        <v>189</v>
      </c>
      <c r="C2194" s="2" t="s">
        <v>17</v>
      </c>
      <c r="D2194" s="3" t="n">
        <v>46257</v>
      </c>
      <c r="E2194" s="2" t="str">
        <f aca="false">TEXT(D2194,"dddd")</f>
        <v>Sunday</v>
      </c>
      <c r="F2194" s="2" t="s">
        <v>460</v>
      </c>
      <c r="G2194" s="2"/>
      <c r="H2194" s="2"/>
      <c r="I2194" s="2" t="n">
        <f aca="false">IF(F2194="Present",9,IF(F2194="Half Day",4,0))</f>
        <v>0</v>
      </c>
      <c r="J2194" s="2"/>
      <c r="K2194" s="2" t="s">
        <v>460</v>
      </c>
    </row>
    <row r="2195" customFormat="false" ht="15" hidden="false" customHeight="false" outlineLevel="0" collapsed="false">
      <c r="A2195" s="2" t="s">
        <v>188</v>
      </c>
      <c r="B2195" s="2" t="s">
        <v>189</v>
      </c>
      <c r="C2195" s="2" t="s">
        <v>17</v>
      </c>
      <c r="D2195" s="3" t="n">
        <v>46258</v>
      </c>
      <c r="E2195" s="2" t="str">
        <f aca="false">TEXT(D2195,"dddd")</f>
        <v>Monday</v>
      </c>
      <c r="F2195" s="2" t="s">
        <v>466</v>
      </c>
      <c r="G2195" s="2" t="s">
        <v>458</v>
      </c>
      <c r="H2195" s="2" t="s">
        <v>467</v>
      </c>
      <c r="I2195" s="2" t="n">
        <f aca="false">IF(F2195="Present",9,IF(F2195="Half Day",4,0))</f>
        <v>4</v>
      </c>
      <c r="J2195" s="2"/>
      <c r="K2195" s="2" t="s">
        <v>466</v>
      </c>
    </row>
    <row r="2196" customFormat="false" ht="15" hidden="false" customHeight="false" outlineLevel="0" collapsed="false">
      <c r="A2196" s="2" t="s">
        <v>188</v>
      </c>
      <c r="B2196" s="2" t="s">
        <v>189</v>
      </c>
      <c r="C2196" s="2" t="s">
        <v>17</v>
      </c>
      <c r="D2196" s="3" t="n">
        <v>46259</v>
      </c>
      <c r="E2196" s="2" t="str">
        <f aca="false">TEXT(D2196,"dddd")</f>
        <v>Tuesday</v>
      </c>
      <c r="F2196" s="2" t="s">
        <v>457</v>
      </c>
      <c r="G2196" s="2" t="s">
        <v>458</v>
      </c>
      <c r="H2196" s="2" t="s">
        <v>459</v>
      </c>
      <c r="I2196" s="2" t="n">
        <f aca="false">IF(F2196="Present",9,IF(F2196="Half Day",4,0))</f>
        <v>9</v>
      </c>
      <c r="J2196" s="2"/>
      <c r="K2196" s="2"/>
    </row>
    <row r="2197" customFormat="false" ht="15" hidden="false" customHeight="false" outlineLevel="0" collapsed="false">
      <c r="A2197" s="2" t="s">
        <v>188</v>
      </c>
      <c r="B2197" s="2" t="s">
        <v>189</v>
      </c>
      <c r="C2197" s="2" t="s">
        <v>17</v>
      </c>
      <c r="D2197" s="3" t="n">
        <v>46260</v>
      </c>
      <c r="E2197" s="2" t="str">
        <f aca="false">TEXT(D2197,"dddd")</f>
        <v>Wednesday</v>
      </c>
      <c r="F2197" s="2" t="s">
        <v>457</v>
      </c>
      <c r="G2197" s="2" t="s">
        <v>458</v>
      </c>
      <c r="H2197" s="2" t="s">
        <v>459</v>
      </c>
      <c r="I2197" s="2" t="n">
        <f aca="false">IF(F2197="Present",9,IF(F2197="Half Day",4,0))</f>
        <v>9</v>
      </c>
      <c r="J2197" s="2"/>
      <c r="K2197" s="2"/>
    </row>
    <row r="2198" customFormat="false" ht="15" hidden="false" customHeight="false" outlineLevel="0" collapsed="false">
      <c r="A2198" s="2" t="s">
        <v>188</v>
      </c>
      <c r="B2198" s="2" t="s">
        <v>189</v>
      </c>
      <c r="C2198" s="2" t="s">
        <v>17</v>
      </c>
      <c r="D2198" s="3" t="n">
        <v>46261</v>
      </c>
      <c r="E2198" s="2" t="str">
        <f aca="false">TEXT(D2198,"dddd")</f>
        <v>Thursday</v>
      </c>
      <c r="F2198" s="2" t="s">
        <v>457</v>
      </c>
      <c r="G2198" s="2" t="s">
        <v>458</v>
      </c>
      <c r="H2198" s="2" t="s">
        <v>459</v>
      </c>
      <c r="I2198" s="2" t="n">
        <f aca="false">IF(F2198="Present",9,IF(F2198="Half Day",4,0))</f>
        <v>9</v>
      </c>
      <c r="J2198" s="2"/>
      <c r="K2198" s="2"/>
    </row>
    <row r="2199" customFormat="false" ht="15" hidden="false" customHeight="false" outlineLevel="0" collapsed="false">
      <c r="A2199" s="2" t="s">
        <v>188</v>
      </c>
      <c r="B2199" s="2" t="s">
        <v>189</v>
      </c>
      <c r="C2199" s="2" t="s">
        <v>17</v>
      </c>
      <c r="D2199" s="3" t="n">
        <v>46262</v>
      </c>
      <c r="E2199" s="2" t="str">
        <f aca="false">TEXT(D2199,"dddd")</f>
        <v>Friday</v>
      </c>
      <c r="F2199" s="2" t="s">
        <v>457</v>
      </c>
      <c r="G2199" s="2" t="s">
        <v>458</v>
      </c>
      <c r="H2199" s="2" t="s">
        <v>459</v>
      </c>
      <c r="I2199" s="2" t="n">
        <f aca="false">IF(F2199="Present",9,IF(F2199="Half Day",4,0))</f>
        <v>9</v>
      </c>
      <c r="J2199" s="2"/>
      <c r="K2199" s="2"/>
    </row>
    <row r="2200" customFormat="false" ht="15" hidden="false" customHeight="false" outlineLevel="0" collapsed="false">
      <c r="A2200" s="2" t="s">
        <v>188</v>
      </c>
      <c r="B2200" s="2" t="s">
        <v>189</v>
      </c>
      <c r="C2200" s="2" t="s">
        <v>17</v>
      </c>
      <c r="D2200" s="3" t="n">
        <v>46263</v>
      </c>
      <c r="E2200" s="2" t="str">
        <f aca="false">TEXT(D2200,"dddd")</f>
        <v>Saturday</v>
      </c>
      <c r="F2200" s="2" t="s">
        <v>457</v>
      </c>
      <c r="G2200" s="2" t="s">
        <v>458</v>
      </c>
      <c r="H2200" s="2" t="s">
        <v>459</v>
      </c>
      <c r="I2200" s="2" t="n">
        <f aca="false">IF(F2200="Present",9,IF(F2200="Half Day",4,0))</f>
        <v>9</v>
      </c>
      <c r="J2200" s="2"/>
      <c r="K2200" s="2"/>
    </row>
    <row r="2201" customFormat="false" ht="15" hidden="false" customHeight="false" outlineLevel="0" collapsed="false">
      <c r="A2201" s="2" t="s">
        <v>188</v>
      </c>
      <c r="B2201" s="2" t="s">
        <v>189</v>
      </c>
      <c r="C2201" s="2" t="s">
        <v>17</v>
      </c>
      <c r="D2201" s="3" t="n">
        <v>46264</v>
      </c>
      <c r="E2201" s="2" t="str">
        <f aca="false">TEXT(D2201,"dddd")</f>
        <v>Sunday</v>
      </c>
      <c r="F2201" s="2" t="s">
        <v>460</v>
      </c>
      <c r="G2201" s="2"/>
      <c r="H2201" s="2"/>
      <c r="I2201" s="2" t="n">
        <f aca="false">IF(F2201="Present",9,IF(F2201="Half Day",4,0))</f>
        <v>0</v>
      </c>
      <c r="J2201" s="2"/>
      <c r="K2201" s="2" t="s">
        <v>460</v>
      </c>
    </row>
    <row r="2202" customFormat="false" ht="15" hidden="false" customHeight="false" outlineLevel="0" collapsed="false">
      <c r="A2202" s="2" t="s">
        <v>188</v>
      </c>
      <c r="B2202" s="2" t="s">
        <v>189</v>
      </c>
      <c r="C2202" s="2" t="s">
        <v>17</v>
      </c>
      <c r="D2202" s="3" t="n">
        <v>46265</v>
      </c>
      <c r="E2202" s="2" t="str">
        <f aca="false">TEXT(D2202,"dddd")</f>
        <v>Monday</v>
      </c>
      <c r="F2202" s="2" t="s">
        <v>457</v>
      </c>
      <c r="G2202" s="2" t="s">
        <v>458</v>
      </c>
      <c r="H2202" s="2" t="s">
        <v>459</v>
      </c>
      <c r="I2202" s="2" t="n">
        <f aca="false">IF(F2202="Present",9,IF(F2202="Half Day",4,0))</f>
        <v>9</v>
      </c>
      <c r="J2202" s="2"/>
      <c r="K2202" s="2"/>
    </row>
    <row r="2203" customFormat="false" ht="15" hidden="false" customHeight="false" outlineLevel="0" collapsed="false">
      <c r="A2203" s="2" t="s">
        <v>191</v>
      </c>
      <c r="B2203" s="2" t="s">
        <v>192</v>
      </c>
      <c r="C2203" s="2" t="s">
        <v>24</v>
      </c>
      <c r="D2203" s="3" t="n">
        <v>46235</v>
      </c>
      <c r="E2203" s="2" t="str">
        <f aca="false">TEXT(D2203,"dddd")</f>
        <v>Saturday</v>
      </c>
      <c r="F2203" s="2" t="s">
        <v>457</v>
      </c>
      <c r="G2203" s="2" t="s">
        <v>458</v>
      </c>
      <c r="H2203" s="2" t="s">
        <v>459</v>
      </c>
      <c r="I2203" s="2" t="n">
        <f aca="false">IF(F2203="Present",9,IF(F2203="Half Day",4,0))</f>
        <v>9</v>
      </c>
      <c r="J2203" s="2"/>
      <c r="K2203" s="2"/>
    </row>
    <row r="2204" customFormat="false" ht="15" hidden="false" customHeight="false" outlineLevel="0" collapsed="false">
      <c r="A2204" s="2" t="s">
        <v>191</v>
      </c>
      <c r="B2204" s="2" t="s">
        <v>192</v>
      </c>
      <c r="C2204" s="2" t="s">
        <v>24</v>
      </c>
      <c r="D2204" s="3" t="n">
        <v>46236</v>
      </c>
      <c r="E2204" s="2" t="str">
        <f aca="false">TEXT(D2204,"dddd")</f>
        <v>Sunday</v>
      </c>
      <c r="F2204" s="2" t="s">
        <v>460</v>
      </c>
      <c r="G2204" s="2"/>
      <c r="H2204" s="2"/>
      <c r="I2204" s="2" t="n">
        <f aca="false">IF(F2204="Present",9,IF(F2204="Half Day",4,0))</f>
        <v>0</v>
      </c>
      <c r="J2204" s="2"/>
      <c r="K2204" s="2" t="s">
        <v>460</v>
      </c>
    </row>
    <row r="2205" customFormat="false" ht="15" hidden="false" customHeight="false" outlineLevel="0" collapsed="false">
      <c r="A2205" s="2" t="s">
        <v>191</v>
      </c>
      <c r="B2205" s="2" t="s">
        <v>192</v>
      </c>
      <c r="C2205" s="2" t="s">
        <v>24</v>
      </c>
      <c r="D2205" s="3" t="n">
        <v>46237</v>
      </c>
      <c r="E2205" s="2" t="str">
        <f aca="false">TEXT(D2205,"dddd")</f>
        <v>Monday</v>
      </c>
      <c r="F2205" s="2" t="s">
        <v>463</v>
      </c>
      <c r="G2205" s="2"/>
      <c r="H2205" s="2"/>
      <c r="I2205" s="2" t="n">
        <f aca="false">IF(F2205="Present",9,IF(F2205="Half Day",4,0))</f>
        <v>0</v>
      </c>
      <c r="J2205" s="2" t="s">
        <v>464</v>
      </c>
      <c r="K2205" s="2" t="s">
        <v>465</v>
      </c>
    </row>
    <row r="2206" customFormat="false" ht="15" hidden="false" customHeight="false" outlineLevel="0" collapsed="false">
      <c r="A2206" s="2" t="s">
        <v>191</v>
      </c>
      <c r="B2206" s="2" t="s">
        <v>192</v>
      </c>
      <c r="C2206" s="2" t="s">
        <v>24</v>
      </c>
      <c r="D2206" s="3" t="n">
        <v>46238</v>
      </c>
      <c r="E2206" s="2" t="str">
        <f aca="false">TEXT(D2206,"dddd")</f>
        <v>Tuesday</v>
      </c>
      <c r="F2206" s="2" t="s">
        <v>461</v>
      </c>
      <c r="G2206" s="2"/>
      <c r="H2206" s="2"/>
      <c r="I2206" s="2" t="n">
        <f aca="false">IF(F2206="Present",9,IF(F2206="Half Day",4,0))</f>
        <v>0</v>
      </c>
      <c r="J2206" s="2"/>
      <c r="K2206" s="2" t="s">
        <v>462</v>
      </c>
    </row>
    <row r="2207" customFormat="false" ht="15" hidden="false" customHeight="false" outlineLevel="0" collapsed="false">
      <c r="A2207" s="2" t="s">
        <v>191</v>
      </c>
      <c r="B2207" s="2" t="s">
        <v>192</v>
      </c>
      <c r="C2207" s="2" t="s">
        <v>24</v>
      </c>
      <c r="D2207" s="3" t="n">
        <v>46239</v>
      </c>
      <c r="E2207" s="2" t="str">
        <f aca="false">TEXT(D2207,"dddd")</f>
        <v>Wednesday</v>
      </c>
      <c r="F2207" s="2" t="s">
        <v>461</v>
      </c>
      <c r="G2207" s="2"/>
      <c r="H2207" s="2"/>
      <c r="I2207" s="2" t="n">
        <f aca="false">IF(F2207="Present",9,IF(F2207="Half Day",4,0))</f>
        <v>0</v>
      </c>
      <c r="J2207" s="2"/>
      <c r="K2207" s="2" t="s">
        <v>462</v>
      </c>
    </row>
    <row r="2208" customFormat="false" ht="15" hidden="false" customHeight="false" outlineLevel="0" collapsed="false">
      <c r="A2208" s="2" t="s">
        <v>191</v>
      </c>
      <c r="B2208" s="2" t="s">
        <v>192</v>
      </c>
      <c r="C2208" s="2" t="s">
        <v>24</v>
      </c>
      <c r="D2208" s="3" t="n">
        <v>46240</v>
      </c>
      <c r="E2208" s="2" t="str">
        <f aca="false">TEXT(D2208,"dddd")</f>
        <v>Thursday</v>
      </c>
      <c r="F2208" s="2" t="s">
        <v>457</v>
      </c>
      <c r="G2208" s="2" t="s">
        <v>458</v>
      </c>
      <c r="H2208" s="2" t="s">
        <v>459</v>
      </c>
      <c r="I2208" s="2" t="n">
        <f aca="false">IF(F2208="Present",9,IF(F2208="Half Day",4,0))</f>
        <v>9</v>
      </c>
      <c r="J2208" s="2"/>
      <c r="K2208" s="2"/>
    </row>
    <row r="2209" customFormat="false" ht="15" hidden="false" customHeight="false" outlineLevel="0" collapsed="false">
      <c r="A2209" s="2" t="s">
        <v>191</v>
      </c>
      <c r="B2209" s="2" t="s">
        <v>192</v>
      </c>
      <c r="C2209" s="2" t="s">
        <v>24</v>
      </c>
      <c r="D2209" s="3" t="n">
        <v>46241</v>
      </c>
      <c r="E2209" s="2" t="str">
        <f aca="false">TEXT(D2209,"dddd")</f>
        <v>Friday</v>
      </c>
      <c r="F2209" s="2" t="s">
        <v>457</v>
      </c>
      <c r="G2209" s="2" t="s">
        <v>458</v>
      </c>
      <c r="H2209" s="2" t="s">
        <v>459</v>
      </c>
      <c r="I2209" s="2" t="n">
        <f aca="false">IF(F2209="Present",9,IF(F2209="Half Day",4,0))</f>
        <v>9</v>
      </c>
      <c r="J2209" s="2"/>
      <c r="K2209" s="2"/>
    </row>
    <row r="2210" customFormat="false" ht="15" hidden="false" customHeight="false" outlineLevel="0" collapsed="false">
      <c r="A2210" s="2" t="s">
        <v>191</v>
      </c>
      <c r="B2210" s="2" t="s">
        <v>192</v>
      </c>
      <c r="C2210" s="2" t="s">
        <v>24</v>
      </c>
      <c r="D2210" s="3" t="n">
        <v>46242</v>
      </c>
      <c r="E2210" s="2" t="str">
        <f aca="false">TEXT(D2210,"dddd")</f>
        <v>Saturday</v>
      </c>
      <c r="F2210" s="2" t="s">
        <v>457</v>
      </c>
      <c r="G2210" s="2" t="s">
        <v>458</v>
      </c>
      <c r="H2210" s="2" t="s">
        <v>459</v>
      </c>
      <c r="I2210" s="2" t="n">
        <f aca="false">IF(F2210="Present",9,IF(F2210="Half Day",4,0))</f>
        <v>9</v>
      </c>
      <c r="J2210" s="2"/>
      <c r="K2210" s="2"/>
    </row>
    <row r="2211" customFormat="false" ht="15" hidden="false" customHeight="false" outlineLevel="0" collapsed="false">
      <c r="A2211" s="2" t="s">
        <v>191</v>
      </c>
      <c r="B2211" s="2" t="s">
        <v>192</v>
      </c>
      <c r="C2211" s="2" t="s">
        <v>24</v>
      </c>
      <c r="D2211" s="3" t="n">
        <v>46243</v>
      </c>
      <c r="E2211" s="2" t="str">
        <f aca="false">TEXT(D2211,"dddd")</f>
        <v>Sunday</v>
      </c>
      <c r="F2211" s="2" t="s">
        <v>460</v>
      </c>
      <c r="G2211" s="2"/>
      <c r="H2211" s="2"/>
      <c r="I2211" s="2" t="n">
        <f aca="false">IF(F2211="Present",9,IF(F2211="Half Day",4,0))</f>
        <v>0</v>
      </c>
      <c r="J2211" s="2"/>
      <c r="K2211" s="2" t="s">
        <v>460</v>
      </c>
    </row>
    <row r="2212" customFormat="false" ht="15" hidden="false" customHeight="false" outlineLevel="0" collapsed="false">
      <c r="A2212" s="2" t="s">
        <v>191</v>
      </c>
      <c r="B2212" s="2" t="s">
        <v>192</v>
      </c>
      <c r="C2212" s="2" t="s">
        <v>24</v>
      </c>
      <c r="D2212" s="3" t="n">
        <v>46244</v>
      </c>
      <c r="E2212" s="2" t="str">
        <f aca="false">TEXT(D2212,"dddd")</f>
        <v>Monday</v>
      </c>
      <c r="F2212" s="2" t="s">
        <v>457</v>
      </c>
      <c r="G2212" s="2" t="s">
        <v>458</v>
      </c>
      <c r="H2212" s="2" t="s">
        <v>459</v>
      </c>
      <c r="I2212" s="2" t="n">
        <f aca="false">IF(F2212="Present",9,IF(F2212="Half Day",4,0))</f>
        <v>9</v>
      </c>
      <c r="J2212" s="2"/>
      <c r="K2212" s="2"/>
    </row>
    <row r="2213" customFormat="false" ht="15" hidden="false" customHeight="false" outlineLevel="0" collapsed="false">
      <c r="A2213" s="2" t="s">
        <v>191</v>
      </c>
      <c r="B2213" s="2" t="s">
        <v>192</v>
      </c>
      <c r="C2213" s="2" t="s">
        <v>24</v>
      </c>
      <c r="D2213" s="3" t="n">
        <v>46245</v>
      </c>
      <c r="E2213" s="2" t="str">
        <f aca="false">TEXT(D2213,"dddd")</f>
        <v>Tuesday</v>
      </c>
      <c r="F2213" s="2" t="s">
        <v>461</v>
      </c>
      <c r="G2213" s="2"/>
      <c r="H2213" s="2"/>
      <c r="I2213" s="2" t="n">
        <f aca="false">IF(F2213="Present",9,IF(F2213="Half Day",4,0))</f>
        <v>0</v>
      </c>
      <c r="J2213" s="2"/>
      <c r="K2213" s="2" t="s">
        <v>462</v>
      </c>
    </row>
    <row r="2214" customFormat="false" ht="15" hidden="false" customHeight="false" outlineLevel="0" collapsed="false">
      <c r="A2214" s="2" t="s">
        <v>191</v>
      </c>
      <c r="B2214" s="2" t="s">
        <v>192</v>
      </c>
      <c r="C2214" s="2" t="s">
        <v>24</v>
      </c>
      <c r="D2214" s="3" t="n">
        <v>46246</v>
      </c>
      <c r="E2214" s="2" t="str">
        <f aca="false">TEXT(D2214,"dddd")</f>
        <v>Wednesday</v>
      </c>
      <c r="F2214" s="2" t="s">
        <v>457</v>
      </c>
      <c r="G2214" s="2" t="s">
        <v>458</v>
      </c>
      <c r="H2214" s="2" t="s">
        <v>459</v>
      </c>
      <c r="I2214" s="2" t="n">
        <f aca="false">IF(F2214="Present",9,IF(F2214="Half Day",4,0))</f>
        <v>9</v>
      </c>
      <c r="J2214" s="2"/>
      <c r="K2214" s="2"/>
    </row>
    <row r="2215" customFormat="false" ht="15" hidden="false" customHeight="false" outlineLevel="0" collapsed="false">
      <c r="A2215" s="2" t="s">
        <v>191</v>
      </c>
      <c r="B2215" s="2" t="s">
        <v>192</v>
      </c>
      <c r="C2215" s="2" t="s">
        <v>24</v>
      </c>
      <c r="D2215" s="3" t="n">
        <v>46247</v>
      </c>
      <c r="E2215" s="2" t="str">
        <f aca="false">TEXT(D2215,"dddd")</f>
        <v>Thursday</v>
      </c>
      <c r="F2215" s="2" t="s">
        <v>461</v>
      </c>
      <c r="G2215" s="2"/>
      <c r="H2215" s="2"/>
      <c r="I2215" s="2" t="n">
        <f aca="false">IF(F2215="Present",9,IF(F2215="Half Day",4,0))</f>
        <v>0</v>
      </c>
      <c r="J2215" s="2"/>
      <c r="K2215" s="2" t="s">
        <v>462</v>
      </c>
    </row>
    <row r="2216" customFormat="false" ht="15" hidden="false" customHeight="false" outlineLevel="0" collapsed="false">
      <c r="A2216" s="2" t="s">
        <v>191</v>
      </c>
      <c r="B2216" s="2" t="s">
        <v>192</v>
      </c>
      <c r="C2216" s="2" t="s">
        <v>24</v>
      </c>
      <c r="D2216" s="3" t="n">
        <v>46248</v>
      </c>
      <c r="E2216" s="2" t="str">
        <f aca="false">TEXT(D2216,"dddd")</f>
        <v>Friday</v>
      </c>
      <c r="F2216" s="2" t="s">
        <v>461</v>
      </c>
      <c r="G2216" s="2"/>
      <c r="H2216" s="2"/>
      <c r="I2216" s="2" t="n">
        <f aca="false">IF(F2216="Present",9,IF(F2216="Half Day",4,0))</f>
        <v>0</v>
      </c>
      <c r="J2216" s="2"/>
      <c r="K2216" s="2" t="s">
        <v>462</v>
      </c>
    </row>
    <row r="2217" customFormat="false" ht="15" hidden="false" customHeight="false" outlineLevel="0" collapsed="false">
      <c r="A2217" s="2" t="s">
        <v>191</v>
      </c>
      <c r="B2217" s="2" t="s">
        <v>192</v>
      </c>
      <c r="C2217" s="2" t="s">
        <v>24</v>
      </c>
      <c r="D2217" s="3" t="n">
        <v>46249</v>
      </c>
      <c r="E2217" s="2" t="str">
        <f aca="false">TEXT(D2217,"dddd")</f>
        <v>Saturday</v>
      </c>
      <c r="F2217" s="2" t="s">
        <v>457</v>
      </c>
      <c r="G2217" s="2" t="s">
        <v>458</v>
      </c>
      <c r="H2217" s="2" t="s">
        <v>459</v>
      </c>
      <c r="I2217" s="2" t="n">
        <f aca="false">IF(F2217="Present",9,IF(F2217="Half Day",4,0))</f>
        <v>9</v>
      </c>
      <c r="J2217" s="2"/>
      <c r="K2217" s="2"/>
    </row>
    <row r="2218" customFormat="false" ht="15" hidden="false" customHeight="false" outlineLevel="0" collapsed="false">
      <c r="A2218" s="2" t="s">
        <v>191</v>
      </c>
      <c r="B2218" s="2" t="s">
        <v>192</v>
      </c>
      <c r="C2218" s="2" t="s">
        <v>24</v>
      </c>
      <c r="D2218" s="3" t="n">
        <v>46250</v>
      </c>
      <c r="E2218" s="2" t="str">
        <f aca="false">TEXT(D2218,"dddd")</f>
        <v>Sunday</v>
      </c>
      <c r="F2218" s="2" t="s">
        <v>460</v>
      </c>
      <c r="G2218" s="2"/>
      <c r="H2218" s="2"/>
      <c r="I2218" s="2" t="n">
        <f aca="false">IF(F2218="Present",9,IF(F2218="Half Day",4,0))</f>
        <v>0</v>
      </c>
      <c r="J2218" s="2"/>
      <c r="K2218" s="2" t="s">
        <v>460</v>
      </c>
    </row>
    <row r="2219" customFormat="false" ht="15" hidden="false" customHeight="false" outlineLevel="0" collapsed="false">
      <c r="A2219" s="2" t="s">
        <v>191</v>
      </c>
      <c r="B2219" s="2" t="s">
        <v>192</v>
      </c>
      <c r="C2219" s="2" t="s">
        <v>24</v>
      </c>
      <c r="D2219" s="3" t="n">
        <v>46251</v>
      </c>
      <c r="E2219" s="2" t="str">
        <f aca="false">TEXT(D2219,"dddd")</f>
        <v>Monday</v>
      </c>
      <c r="F2219" s="2" t="s">
        <v>461</v>
      </c>
      <c r="G2219" s="2"/>
      <c r="H2219" s="2"/>
      <c r="I2219" s="2" t="n">
        <f aca="false">IF(F2219="Present",9,IF(F2219="Half Day",4,0))</f>
        <v>0</v>
      </c>
      <c r="J2219" s="2"/>
      <c r="K2219" s="2" t="s">
        <v>462</v>
      </c>
    </row>
    <row r="2220" customFormat="false" ht="15" hidden="false" customHeight="false" outlineLevel="0" collapsed="false">
      <c r="A2220" s="2" t="s">
        <v>191</v>
      </c>
      <c r="B2220" s="2" t="s">
        <v>192</v>
      </c>
      <c r="C2220" s="2" t="s">
        <v>24</v>
      </c>
      <c r="D2220" s="3" t="n">
        <v>46252</v>
      </c>
      <c r="E2220" s="2" t="str">
        <f aca="false">TEXT(D2220,"dddd")</f>
        <v>Tuesday</v>
      </c>
      <c r="F2220" s="2" t="s">
        <v>457</v>
      </c>
      <c r="G2220" s="2" t="s">
        <v>458</v>
      </c>
      <c r="H2220" s="2" t="s">
        <v>459</v>
      </c>
      <c r="I2220" s="2" t="n">
        <f aca="false">IF(F2220="Present",9,IF(F2220="Half Day",4,0))</f>
        <v>9</v>
      </c>
      <c r="J2220" s="2"/>
      <c r="K2220" s="2"/>
    </row>
    <row r="2221" customFormat="false" ht="15" hidden="false" customHeight="false" outlineLevel="0" collapsed="false">
      <c r="A2221" s="2" t="s">
        <v>191</v>
      </c>
      <c r="B2221" s="2" t="s">
        <v>192</v>
      </c>
      <c r="C2221" s="2" t="s">
        <v>24</v>
      </c>
      <c r="D2221" s="3" t="n">
        <v>46253</v>
      </c>
      <c r="E2221" s="2" t="str">
        <f aca="false">TEXT(D2221,"dddd")</f>
        <v>Wednesday</v>
      </c>
      <c r="F2221" s="2" t="s">
        <v>457</v>
      </c>
      <c r="G2221" s="2" t="s">
        <v>458</v>
      </c>
      <c r="H2221" s="2" t="s">
        <v>459</v>
      </c>
      <c r="I2221" s="2" t="n">
        <f aca="false">IF(F2221="Present",9,IF(F2221="Half Day",4,0))</f>
        <v>9</v>
      </c>
      <c r="J2221" s="2"/>
      <c r="K2221" s="2"/>
    </row>
    <row r="2222" customFormat="false" ht="15" hidden="false" customHeight="false" outlineLevel="0" collapsed="false">
      <c r="A2222" s="2" t="s">
        <v>191</v>
      </c>
      <c r="B2222" s="2" t="s">
        <v>192</v>
      </c>
      <c r="C2222" s="2" t="s">
        <v>24</v>
      </c>
      <c r="D2222" s="3" t="n">
        <v>46254</v>
      </c>
      <c r="E2222" s="2" t="str">
        <f aca="false">TEXT(D2222,"dddd")</f>
        <v>Thursday</v>
      </c>
      <c r="F2222" s="2" t="s">
        <v>457</v>
      </c>
      <c r="G2222" s="2" t="s">
        <v>458</v>
      </c>
      <c r="H2222" s="2" t="s">
        <v>459</v>
      </c>
      <c r="I2222" s="2" t="n">
        <f aca="false">IF(F2222="Present",9,IF(F2222="Half Day",4,0))</f>
        <v>9</v>
      </c>
      <c r="J2222" s="2"/>
      <c r="K2222" s="2"/>
    </row>
    <row r="2223" customFormat="false" ht="15" hidden="false" customHeight="false" outlineLevel="0" collapsed="false">
      <c r="A2223" s="2" t="s">
        <v>191</v>
      </c>
      <c r="B2223" s="2" t="s">
        <v>192</v>
      </c>
      <c r="C2223" s="2" t="s">
        <v>24</v>
      </c>
      <c r="D2223" s="3" t="n">
        <v>46255</v>
      </c>
      <c r="E2223" s="2" t="str">
        <f aca="false">TEXT(D2223,"dddd")</f>
        <v>Friday</v>
      </c>
      <c r="F2223" s="2" t="s">
        <v>457</v>
      </c>
      <c r="G2223" s="2" t="s">
        <v>458</v>
      </c>
      <c r="H2223" s="2" t="s">
        <v>459</v>
      </c>
      <c r="I2223" s="2" t="n">
        <f aca="false">IF(F2223="Present",9,IF(F2223="Half Day",4,0))</f>
        <v>9</v>
      </c>
      <c r="J2223" s="2"/>
      <c r="K2223" s="2"/>
    </row>
    <row r="2224" customFormat="false" ht="15" hidden="false" customHeight="false" outlineLevel="0" collapsed="false">
      <c r="A2224" s="2" t="s">
        <v>191</v>
      </c>
      <c r="B2224" s="2" t="s">
        <v>192</v>
      </c>
      <c r="C2224" s="2" t="s">
        <v>24</v>
      </c>
      <c r="D2224" s="3" t="n">
        <v>46256</v>
      </c>
      <c r="E2224" s="2" t="str">
        <f aca="false">TEXT(D2224,"dddd")</f>
        <v>Saturday</v>
      </c>
      <c r="F2224" s="2" t="s">
        <v>461</v>
      </c>
      <c r="G2224" s="2"/>
      <c r="H2224" s="2"/>
      <c r="I2224" s="2" t="n">
        <f aca="false">IF(F2224="Present",9,IF(F2224="Half Day",4,0))</f>
        <v>0</v>
      </c>
      <c r="J2224" s="2"/>
      <c r="K2224" s="2" t="s">
        <v>462</v>
      </c>
    </row>
    <row r="2225" customFormat="false" ht="15" hidden="false" customHeight="false" outlineLevel="0" collapsed="false">
      <c r="A2225" s="2" t="s">
        <v>191</v>
      </c>
      <c r="B2225" s="2" t="s">
        <v>192</v>
      </c>
      <c r="C2225" s="2" t="s">
        <v>24</v>
      </c>
      <c r="D2225" s="3" t="n">
        <v>46257</v>
      </c>
      <c r="E2225" s="2" t="str">
        <f aca="false">TEXT(D2225,"dddd")</f>
        <v>Sunday</v>
      </c>
      <c r="F2225" s="2" t="s">
        <v>460</v>
      </c>
      <c r="G2225" s="2"/>
      <c r="H2225" s="2"/>
      <c r="I2225" s="2" t="n">
        <f aca="false">IF(F2225="Present",9,IF(F2225="Half Day",4,0))</f>
        <v>0</v>
      </c>
      <c r="J2225" s="2"/>
      <c r="K2225" s="2" t="s">
        <v>460</v>
      </c>
    </row>
    <row r="2226" customFormat="false" ht="15" hidden="false" customHeight="false" outlineLevel="0" collapsed="false">
      <c r="A2226" s="2" t="s">
        <v>191</v>
      </c>
      <c r="B2226" s="2" t="s">
        <v>192</v>
      </c>
      <c r="C2226" s="2" t="s">
        <v>24</v>
      </c>
      <c r="D2226" s="3" t="n">
        <v>46258</v>
      </c>
      <c r="E2226" s="2" t="str">
        <f aca="false">TEXT(D2226,"dddd")</f>
        <v>Monday</v>
      </c>
      <c r="F2226" s="2" t="s">
        <v>457</v>
      </c>
      <c r="G2226" s="2" t="s">
        <v>458</v>
      </c>
      <c r="H2226" s="2" t="s">
        <v>459</v>
      </c>
      <c r="I2226" s="2" t="n">
        <f aca="false">IF(F2226="Present",9,IF(F2226="Half Day",4,0))</f>
        <v>9</v>
      </c>
      <c r="J2226" s="2"/>
      <c r="K2226" s="2"/>
    </row>
    <row r="2227" customFormat="false" ht="15" hidden="false" customHeight="false" outlineLevel="0" collapsed="false">
      <c r="A2227" s="2" t="s">
        <v>191</v>
      </c>
      <c r="B2227" s="2" t="s">
        <v>192</v>
      </c>
      <c r="C2227" s="2" t="s">
        <v>24</v>
      </c>
      <c r="D2227" s="3" t="n">
        <v>46259</v>
      </c>
      <c r="E2227" s="2" t="str">
        <f aca="false">TEXT(D2227,"dddd")</f>
        <v>Tuesday</v>
      </c>
      <c r="F2227" s="2" t="s">
        <v>461</v>
      </c>
      <c r="G2227" s="2"/>
      <c r="H2227" s="2"/>
      <c r="I2227" s="2" t="n">
        <f aca="false">IF(F2227="Present",9,IF(F2227="Half Day",4,0))</f>
        <v>0</v>
      </c>
      <c r="J2227" s="2"/>
      <c r="K2227" s="2" t="s">
        <v>462</v>
      </c>
    </row>
    <row r="2228" customFormat="false" ht="15" hidden="false" customHeight="false" outlineLevel="0" collapsed="false">
      <c r="A2228" s="2" t="s">
        <v>191</v>
      </c>
      <c r="B2228" s="2" t="s">
        <v>192</v>
      </c>
      <c r="C2228" s="2" t="s">
        <v>24</v>
      </c>
      <c r="D2228" s="3" t="n">
        <v>46260</v>
      </c>
      <c r="E2228" s="2" t="str">
        <f aca="false">TEXT(D2228,"dddd")</f>
        <v>Wednesday</v>
      </c>
      <c r="F2228" s="2" t="s">
        <v>457</v>
      </c>
      <c r="G2228" s="2" t="s">
        <v>458</v>
      </c>
      <c r="H2228" s="2" t="s">
        <v>459</v>
      </c>
      <c r="I2228" s="2" t="n">
        <f aca="false">IF(F2228="Present",9,IF(F2228="Half Day",4,0))</f>
        <v>9</v>
      </c>
      <c r="J2228" s="2"/>
      <c r="K2228" s="2"/>
    </row>
    <row r="2229" customFormat="false" ht="15" hidden="false" customHeight="false" outlineLevel="0" collapsed="false">
      <c r="A2229" s="2" t="s">
        <v>191</v>
      </c>
      <c r="B2229" s="2" t="s">
        <v>192</v>
      </c>
      <c r="C2229" s="2" t="s">
        <v>24</v>
      </c>
      <c r="D2229" s="3" t="n">
        <v>46261</v>
      </c>
      <c r="E2229" s="2" t="str">
        <f aca="false">TEXT(D2229,"dddd")</f>
        <v>Thursday</v>
      </c>
      <c r="F2229" s="2" t="s">
        <v>457</v>
      </c>
      <c r="G2229" s="2" t="s">
        <v>458</v>
      </c>
      <c r="H2229" s="2" t="s">
        <v>459</v>
      </c>
      <c r="I2229" s="2" t="n">
        <f aca="false">IF(F2229="Present",9,IF(F2229="Half Day",4,0))</f>
        <v>9</v>
      </c>
      <c r="J2229" s="2"/>
      <c r="K2229" s="2"/>
    </row>
    <row r="2230" customFormat="false" ht="15" hidden="false" customHeight="false" outlineLevel="0" collapsed="false">
      <c r="A2230" s="2" t="s">
        <v>191</v>
      </c>
      <c r="B2230" s="2" t="s">
        <v>192</v>
      </c>
      <c r="C2230" s="2" t="s">
        <v>24</v>
      </c>
      <c r="D2230" s="3" t="n">
        <v>46262</v>
      </c>
      <c r="E2230" s="2" t="str">
        <f aca="false">TEXT(D2230,"dddd")</f>
        <v>Friday</v>
      </c>
      <c r="F2230" s="2" t="s">
        <v>461</v>
      </c>
      <c r="G2230" s="2"/>
      <c r="H2230" s="2"/>
      <c r="I2230" s="2" t="n">
        <f aca="false">IF(F2230="Present",9,IF(F2230="Half Day",4,0))</f>
        <v>0</v>
      </c>
      <c r="J2230" s="2"/>
      <c r="K2230" s="2" t="s">
        <v>462</v>
      </c>
    </row>
    <row r="2231" customFormat="false" ht="15" hidden="false" customHeight="false" outlineLevel="0" collapsed="false">
      <c r="A2231" s="2" t="s">
        <v>191</v>
      </c>
      <c r="B2231" s="2" t="s">
        <v>192</v>
      </c>
      <c r="C2231" s="2" t="s">
        <v>24</v>
      </c>
      <c r="D2231" s="3" t="n">
        <v>46263</v>
      </c>
      <c r="E2231" s="2" t="str">
        <f aca="false">TEXT(D2231,"dddd")</f>
        <v>Saturday</v>
      </c>
      <c r="F2231" s="2" t="s">
        <v>457</v>
      </c>
      <c r="G2231" s="2" t="s">
        <v>458</v>
      </c>
      <c r="H2231" s="2" t="s">
        <v>459</v>
      </c>
      <c r="I2231" s="2" t="n">
        <f aca="false">IF(F2231="Present",9,IF(F2231="Half Day",4,0))</f>
        <v>9</v>
      </c>
      <c r="J2231" s="2"/>
      <c r="K2231" s="2"/>
    </row>
    <row r="2232" customFormat="false" ht="15" hidden="false" customHeight="false" outlineLevel="0" collapsed="false">
      <c r="A2232" s="2" t="s">
        <v>191</v>
      </c>
      <c r="B2232" s="2" t="s">
        <v>192</v>
      </c>
      <c r="C2232" s="2" t="s">
        <v>24</v>
      </c>
      <c r="D2232" s="3" t="n">
        <v>46264</v>
      </c>
      <c r="E2232" s="2" t="str">
        <f aca="false">TEXT(D2232,"dddd")</f>
        <v>Sunday</v>
      </c>
      <c r="F2232" s="2" t="s">
        <v>460</v>
      </c>
      <c r="G2232" s="2"/>
      <c r="H2232" s="2"/>
      <c r="I2232" s="2" t="n">
        <f aca="false">IF(F2232="Present",9,IF(F2232="Half Day",4,0))</f>
        <v>0</v>
      </c>
      <c r="J2232" s="2"/>
      <c r="K2232" s="2" t="s">
        <v>460</v>
      </c>
    </row>
    <row r="2233" customFormat="false" ht="15" hidden="false" customHeight="false" outlineLevel="0" collapsed="false">
      <c r="A2233" s="2" t="s">
        <v>191</v>
      </c>
      <c r="B2233" s="2" t="s">
        <v>192</v>
      </c>
      <c r="C2233" s="2" t="s">
        <v>24</v>
      </c>
      <c r="D2233" s="3" t="n">
        <v>46265</v>
      </c>
      <c r="E2233" s="2" t="str">
        <f aca="false">TEXT(D2233,"dddd")</f>
        <v>Monday</v>
      </c>
      <c r="F2233" s="2" t="s">
        <v>457</v>
      </c>
      <c r="G2233" s="2" t="s">
        <v>458</v>
      </c>
      <c r="H2233" s="2" t="s">
        <v>459</v>
      </c>
      <c r="I2233" s="2" t="n">
        <f aca="false">IF(F2233="Present",9,IF(F2233="Half Day",4,0))</f>
        <v>9</v>
      </c>
      <c r="J2233" s="2"/>
      <c r="K2233" s="2"/>
    </row>
    <row r="2234" customFormat="false" ht="15" hidden="false" customHeight="false" outlineLevel="0" collapsed="false">
      <c r="A2234" s="2" t="s">
        <v>193</v>
      </c>
      <c r="B2234" s="2" t="s">
        <v>194</v>
      </c>
      <c r="C2234" s="2" t="s">
        <v>28</v>
      </c>
      <c r="D2234" s="3" t="n">
        <v>46235</v>
      </c>
      <c r="E2234" s="2" t="str">
        <f aca="false">TEXT(D2234,"dddd")</f>
        <v>Saturday</v>
      </c>
      <c r="F2234" s="2" t="s">
        <v>457</v>
      </c>
      <c r="G2234" s="2" t="s">
        <v>458</v>
      </c>
      <c r="H2234" s="2" t="s">
        <v>459</v>
      </c>
      <c r="I2234" s="2" t="n">
        <f aca="false">IF(F2234="Present",9,IF(F2234="Half Day",4,0))</f>
        <v>9</v>
      </c>
      <c r="J2234" s="2"/>
      <c r="K2234" s="2"/>
    </row>
    <row r="2235" customFormat="false" ht="15" hidden="false" customHeight="false" outlineLevel="0" collapsed="false">
      <c r="A2235" s="2" t="s">
        <v>193</v>
      </c>
      <c r="B2235" s="2" t="s">
        <v>194</v>
      </c>
      <c r="C2235" s="2" t="s">
        <v>28</v>
      </c>
      <c r="D2235" s="3" t="n">
        <v>46236</v>
      </c>
      <c r="E2235" s="2" t="str">
        <f aca="false">TEXT(D2235,"dddd")</f>
        <v>Sunday</v>
      </c>
      <c r="F2235" s="2" t="s">
        <v>460</v>
      </c>
      <c r="G2235" s="2"/>
      <c r="H2235" s="2"/>
      <c r="I2235" s="2" t="n">
        <f aca="false">IF(F2235="Present",9,IF(F2235="Half Day",4,0))</f>
        <v>0</v>
      </c>
      <c r="J2235" s="2"/>
      <c r="K2235" s="2" t="s">
        <v>460</v>
      </c>
    </row>
    <row r="2236" customFormat="false" ht="15" hidden="false" customHeight="false" outlineLevel="0" collapsed="false">
      <c r="A2236" s="2" t="s">
        <v>193</v>
      </c>
      <c r="B2236" s="2" t="s">
        <v>194</v>
      </c>
      <c r="C2236" s="2" t="s">
        <v>28</v>
      </c>
      <c r="D2236" s="3" t="n">
        <v>46237</v>
      </c>
      <c r="E2236" s="2" t="str">
        <f aca="false">TEXT(D2236,"dddd")</f>
        <v>Monday</v>
      </c>
      <c r="F2236" s="2" t="s">
        <v>457</v>
      </c>
      <c r="G2236" s="2" t="s">
        <v>458</v>
      </c>
      <c r="H2236" s="2" t="s">
        <v>459</v>
      </c>
      <c r="I2236" s="2" t="n">
        <f aca="false">IF(F2236="Present",9,IF(F2236="Half Day",4,0))</f>
        <v>9</v>
      </c>
      <c r="J2236" s="2"/>
      <c r="K2236" s="2"/>
    </row>
    <row r="2237" customFormat="false" ht="15" hidden="false" customHeight="false" outlineLevel="0" collapsed="false">
      <c r="A2237" s="2" t="s">
        <v>193</v>
      </c>
      <c r="B2237" s="2" t="s">
        <v>194</v>
      </c>
      <c r="C2237" s="2" t="s">
        <v>28</v>
      </c>
      <c r="D2237" s="3" t="n">
        <v>46238</v>
      </c>
      <c r="E2237" s="2" t="str">
        <f aca="false">TEXT(D2237,"dddd")</f>
        <v>Tuesday</v>
      </c>
      <c r="F2237" s="2" t="s">
        <v>457</v>
      </c>
      <c r="G2237" s="2" t="s">
        <v>458</v>
      </c>
      <c r="H2237" s="2" t="s">
        <v>459</v>
      </c>
      <c r="I2237" s="2" t="n">
        <f aca="false">IF(F2237="Present",9,IF(F2237="Half Day",4,0))</f>
        <v>9</v>
      </c>
      <c r="J2237" s="2"/>
      <c r="K2237" s="2"/>
    </row>
    <row r="2238" customFormat="false" ht="15" hidden="false" customHeight="false" outlineLevel="0" collapsed="false">
      <c r="A2238" s="2" t="s">
        <v>193</v>
      </c>
      <c r="B2238" s="2" t="s">
        <v>194</v>
      </c>
      <c r="C2238" s="2" t="s">
        <v>28</v>
      </c>
      <c r="D2238" s="3" t="n">
        <v>46239</v>
      </c>
      <c r="E2238" s="2" t="str">
        <f aca="false">TEXT(D2238,"dddd")</f>
        <v>Wednesday</v>
      </c>
      <c r="F2238" s="2" t="s">
        <v>457</v>
      </c>
      <c r="G2238" s="2" t="s">
        <v>458</v>
      </c>
      <c r="H2238" s="2" t="s">
        <v>459</v>
      </c>
      <c r="I2238" s="2" t="n">
        <f aca="false">IF(F2238="Present",9,IF(F2238="Half Day",4,0))</f>
        <v>9</v>
      </c>
      <c r="J2238" s="2"/>
      <c r="K2238" s="2"/>
    </row>
    <row r="2239" customFormat="false" ht="15" hidden="false" customHeight="false" outlineLevel="0" collapsed="false">
      <c r="A2239" s="2" t="s">
        <v>193</v>
      </c>
      <c r="B2239" s="2" t="s">
        <v>194</v>
      </c>
      <c r="C2239" s="2" t="s">
        <v>28</v>
      </c>
      <c r="D2239" s="3" t="n">
        <v>46240</v>
      </c>
      <c r="E2239" s="2" t="str">
        <f aca="false">TEXT(D2239,"dddd")</f>
        <v>Thursday</v>
      </c>
      <c r="F2239" s="2" t="s">
        <v>457</v>
      </c>
      <c r="G2239" s="2" t="s">
        <v>458</v>
      </c>
      <c r="H2239" s="2" t="s">
        <v>459</v>
      </c>
      <c r="I2239" s="2" t="n">
        <f aca="false">IF(F2239="Present",9,IF(F2239="Half Day",4,0))</f>
        <v>9</v>
      </c>
      <c r="J2239" s="2"/>
      <c r="K2239" s="2"/>
    </row>
    <row r="2240" customFormat="false" ht="15" hidden="false" customHeight="false" outlineLevel="0" collapsed="false">
      <c r="A2240" s="2" t="s">
        <v>193</v>
      </c>
      <c r="B2240" s="2" t="s">
        <v>194</v>
      </c>
      <c r="C2240" s="2" t="s">
        <v>28</v>
      </c>
      <c r="D2240" s="3" t="n">
        <v>46241</v>
      </c>
      <c r="E2240" s="2" t="str">
        <f aca="false">TEXT(D2240,"dddd")</f>
        <v>Friday</v>
      </c>
      <c r="F2240" s="2" t="s">
        <v>457</v>
      </c>
      <c r="G2240" s="2" t="s">
        <v>458</v>
      </c>
      <c r="H2240" s="2" t="s">
        <v>459</v>
      </c>
      <c r="I2240" s="2" t="n">
        <f aca="false">IF(F2240="Present",9,IF(F2240="Half Day",4,0))</f>
        <v>9</v>
      </c>
      <c r="J2240" s="2"/>
      <c r="K2240" s="2"/>
    </row>
    <row r="2241" customFormat="false" ht="15" hidden="false" customHeight="false" outlineLevel="0" collapsed="false">
      <c r="A2241" s="2" t="s">
        <v>193</v>
      </c>
      <c r="B2241" s="2" t="s">
        <v>194</v>
      </c>
      <c r="C2241" s="2" t="s">
        <v>28</v>
      </c>
      <c r="D2241" s="3" t="n">
        <v>46242</v>
      </c>
      <c r="E2241" s="2" t="str">
        <f aca="false">TEXT(D2241,"dddd")</f>
        <v>Saturday</v>
      </c>
      <c r="F2241" s="2" t="s">
        <v>457</v>
      </c>
      <c r="G2241" s="2" t="s">
        <v>458</v>
      </c>
      <c r="H2241" s="2" t="s">
        <v>459</v>
      </c>
      <c r="I2241" s="2" t="n">
        <f aca="false">IF(F2241="Present",9,IF(F2241="Half Day",4,0))</f>
        <v>9</v>
      </c>
      <c r="J2241" s="2"/>
      <c r="K2241" s="2"/>
    </row>
    <row r="2242" customFormat="false" ht="15" hidden="false" customHeight="false" outlineLevel="0" collapsed="false">
      <c r="A2242" s="2" t="s">
        <v>193</v>
      </c>
      <c r="B2242" s="2" t="s">
        <v>194</v>
      </c>
      <c r="C2242" s="2" t="s">
        <v>28</v>
      </c>
      <c r="D2242" s="3" t="n">
        <v>46243</v>
      </c>
      <c r="E2242" s="2" t="str">
        <f aca="false">TEXT(D2242,"dddd")</f>
        <v>Sunday</v>
      </c>
      <c r="F2242" s="2" t="s">
        <v>460</v>
      </c>
      <c r="G2242" s="2"/>
      <c r="H2242" s="2"/>
      <c r="I2242" s="2" t="n">
        <f aca="false">IF(F2242="Present",9,IF(F2242="Half Day",4,0))</f>
        <v>0</v>
      </c>
      <c r="J2242" s="2"/>
      <c r="K2242" s="2" t="s">
        <v>460</v>
      </c>
    </row>
    <row r="2243" customFormat="false" ht="15" hidden="false" customHeight="false" outlineLevel="0" collapsed="false">
      <c r="A2243" s="2" t="s">
        <v>193</v>
      </c>
      <c r="B2243" s="2" t="s">
        <v>194</v>
      </c>
      <c r="C2243" s="2" t="s">
        <v>28</v>
      </c>
      <c r="D2243" s="3" t="n">
        <v>46244</v>
      </c>
      <c r="E2243" s="2" t="str">
        <f aca="false">TEXT(D2243,"dddd")</f>
        <v>Monday</v>
      </c>
      <c r="F2243" s="2" t="s">
        <v>457</v>
      </c>
      <c r="G2243" s="2" t="s">
        <v>458</v>
      </c>
      <c r="H2243" s="2" t="s">
        <v>459</v>
      </c>
      <c r="I2243" s="2" t="n">
        <f aca="false">IF(F2243="Present",9,IF(F2243="Half Day",4,0))</f>
        <v>9</v>
      </c>
      <c r="J2243" s="2"/>
      <c r="K2243" s="2"/>
    </row>
    <row r="2244" customFormat="false" ht="15" hidden="false" customHeight="false" outlineLevel="0" collapsed="false">
      <c r="A2244" s="2" t="s">
        <v>193</v>
      </c>
      <c r="B2244" s="2" t="s">
        <v>194</v>
      </c>
      <c r="C2244" s="2" t="s">
        <v>28</v>
      </c>
      <c r="D2244" s="3" t="n">
        <v>46245</v>
      </c>
      <c r="E2244" s="2" t="str">
        <f aca="false">TEXT(D2244,"dddd")</f>
        <v>Tuesday</v>
      </c>
      <c r="F2244" s="2" t="s">
        <v>457</v>
      </c>
      <c r="G2244" s="2" t="s">
        <v>458</v>
      </c>
      <c r="H2244" s="2" t="s">
        <v>459</v>
      </c>
      <c r="I2244" s="2" t="n">
        <f aca="false">IF(F2244="Present",9,IF(F2244="Half Day",4,0))</f>
        <v>9</v>
      </c>
      <c r="J2244" s="2"/>
      <c r="K2244" s="2"/>
    </row>
    <row r="2245" customFormat="false" ht="15" hidden="false" customHeight="false" outlineLevel="0" collapsed="false">
      <c r="A2245" s="2" t="s">
        <v>193</v>
      </c>
      <c r="B2245" s="2" t="s">
        <v>194</v>
      </c>
      <c r="C2245" s="2" t="s">
        <v>28</v>
      </c>
      <c r="D2245" s="3" t="n">
        <v>46246</v>
      </c>
      <c r="E2245" s="2" t="str">
        <f aca="false">TEXT(D2245,"dddd")</f>
        <v>Wednesday</v>
      </c>
      <c r="F2245" s="2" t="s">
        <v>457</v>
      </c>
      <c r="G2245" s="2" t="s">
        <v>458</v>
      </c>
      <c r="H2245" s="2" t="s">
        <v>459</v>
      </c>
      <c r="I2245" s="2" t="n">
        <f aca="false">IF(F2245="Present",9,IF(F2245="Half Day",4,0))</f>
        <v>9</v>
      </c>
      <c r="J2245" s="2"/>
      <c r="K2245" s="2"/>
    </row>
    <row r="2246" customFormat="false" ht="15" hidden="false" customHeight="false" outlineLevel="0" collapsed="false">
      <c r="A2246" s="2" t="s">
        <v>193</v>
      </c>
      <c r="B2246" s="2" t="s">
        <v>194</v>
      </c>
      <c r="C2246" s="2" t="s">
        <v>28</v>
      </c>
      <c r="D2246" s="3" t="n">
        <v>46247</v>
      </c>
      <c r="E2246" s="2" t="str">
        <f aca="false">TEXT(D2246,"dddd")</f>
        <v>Thursday</v>
      </c>
      <c r="F2246" s="2" t="s">
        <v>457</v>
      </c>
      <c r="G2246" s="2" t="s">
        <v>458</v>
      </c>
      <c r="H2246" s="2" t="s">
        <v>459</v>
      </c>
      <c r="I2246" s="2" t="n">
        <f aca="false">IF(F2246="Present",9,IF(F2246="Half Day",4,0))</f>
        <v>9</v>
      </c>
      <c r="J2246" s="2"/>
      <c r="K2246" s="2"/>
    </row>
    <row r="2247" customFormat="false" ht="15" hidden="false" customHeight="false" outlineLevel="0" collapsed="false">
      <c r="A2247" s="2" t="s">
        <v>193</v>
      </c>
      <c r="B2247" s="2" t="s">
        <v>194</v>
      </c>
      <c r="C2247" s="2" t="s">
        <v>28</v>
      </c>
      <c r="D2247" s="3" t="n">
        <v>46248</v>
      </c>
      <c r="E2247" s="2" t="str">
        <f aca="false">TEXT(D2247,"dddd")</f>
        <v>Friday</v>
      </c>
      <c r="F2247" s="2" t="s">
        <v>457</v>
      </c>
      <c r="G2247" s="2" t="s">
        <v>458</v>
      </c>
      <c r="H2247" s="2" t="s">
        <v>459</v>
      </c>
      <c r="I2247" s="2" t="n">
        <f aca="false">IF(F2247="Present",9,IF(F2247="Half Day",4,0))</f>
        <v>9</v>
      </c>
      <c r="J2247" s="2"/>
      <c r="K2247" s="2"/>
    </row>
    <row r="2248" customFormat="false" ht="15" hidden="false" customHeight="false" outlineLevel="0" collapsed="false">
      <c r="A2248" s="2" t="s">
        <v>193</v>
      </c>
      <c r="B2248" s="2" t="s">
        <v>194</v>
      </c>
      <c r="C2248" s="2" t="s">
        <v>28</v>
      </c>
      <c r="D2248" s="3" t="n">
        <v>46249</v>
      </c>
      <c r="E2248" s="2" t="str">
        <f aca="false">TEXT(D2248,"dddd")</f>
        <v>Saturday</v>
      </c>
      <c r="F2248" s="2" t="s">
        <v>457</v>
      </c>
      <c r="G2248" s="2" t="s">
        <v>458</v>
      </c>
      <c r="H2248" s="2" t="s">
        <v>459</v>
      </c>
      <c r="I2248" s="2" t="n">
        <f aca="false">IF(F2248="Present",9,IF(F2248="Half Day",4,0))</f>
        <v>9</v>
      </c>
      <c r="J2248" s="2"/>
      <c r="K2248" s="2"/>
    </row>
    <row r="2249" customFormat="false" ht="15" hidden="false" customHeight="false" outlineLevel="0" collapsed="false">
      <c r="A2249" s="2" t="s">
        <v>193</v>
      </c>
      <c r="B2249" s="2" t="s">
        <v>194</v>
      </c>
      <c r="C2249" s="2" t="s">
        <v>28</v>
      </c>
      <c r="D2249" s="3" t="n">
        <v>46250</v>
      </c>
      <c r="E2249" s="2" t="str">
        <f aca="false">TEXT(D2249,"dddd")</f>
        <v>Sunday</v>
      </c>
      <c r="F2249" s="2" t="s">
        <v>460</v>
      </c>
      <c r="G2249" s="2"/>
      <c r="H2249" s="2"/>
      <c r="I2249" s="2" t="n">
        <f aca="false">IF(F2249="Present",9,IF(F2249="Half Day",4,0))</f>
        <v>0</v>
      </c>
      <c r="J2249" s="2"/>
      <c r="K2249" s="2" t="s">
        <v>460</v>
      </c>
    </row>
    <row r="2250" customFormat="false" ht="15" hidden="false" customHeight="false" outlineLevel="0" collapsed="false">
      <c r="A2250" s="2" t="s">
        <v>193</v>
      </c>
      <c r="B2250" s="2" t="s">
        <v>194</v>
      </c>
      <c r="C2250" s="2" t="s">
        <v>28</v>
      </c>
      <c r="D2250" s="3" t="n">
        <v>46251</v>
      </c>
      <c r="E2250" s="2" t="str">
        <f aca="false">TEXT(D2250,"dddd")</f>
        <v>Monday</v>
      </c>
      <c r="F2250" s="2" t="s">
        <v>457</v>
      </c>
      <c r="G2250" s="2" t="s">
        <v>458</v>
      </c>
      <c r="H2250" s="2" t="s">
        <v>459</v>
      </c>
      <c r="I2250" s="2" t="n">
        <f aca="false">IF(F2250="Present",9,IF(F2250="Half Day",4,0))</f>
        <v>9</v>
      </c>
      <c r="J2250" s="2"/>
      <c r="K2250" s="2"/>
    </row>
    <row r="2251" customFormat="false" ht="15" hidden="false" customHeight="false" outlineLevel="0" collapsed="false">
      <c r="A2251" s="2" t="s">
        <v>193</v>
      </c>
      <c r="B2251" s="2" t="s">
        <v>194</v>
      </c>
      <c r="C2251" s="2" t="s">
        <v>28</v>
      </c>
      <c r="D2251" s="3" t="n">
        <v>46252</v>
      </c>
      <c r="E2251" s="2" t="str">
        <f aca="false">TEXT(D2251,"dddd")</f>
        <v>Tuesday</v>
      </c>
      <c r="F2251" s="2" t="s">
        <v>457</v>
      </c>
      <c r="G2251" s="2" t="s">
        <v>458</v>
      </c>
      <c r="H2251" s="2" t="s">
        <v>459</v>
      </c>
      <c r="I2251" s="2" t="n">
        <f aca="false">IF(F2251="Present",9,IF(F2251="Half Day",4,0))</f>
        <v>9</v>
      </c>
      <c r="J2251" s="2"/>
      <c r="K2251" s="2"/>
    </row>
    <row r="2252" customFormat="false" ht="15" hidden="false" customHeight="false" outlineLevel="0" collapsed="false">
      <c r="A2252" s="2" t="s">
        <v>193</v>
      </c>
      <c r="B2252" s="2" t="s">
        <v>194</v>
      </c>
      <c r="C2252" s="2" t="s">
        <v>28</v>
      </c>
      <c r="D2252" s="3" t="n">
        <v>46253</v>
      </c>
      <c r="E2252" s="2" t="str">
        <f aca="false">TEXT(D2252,"dddd")</f>
        <v>Wednesday</v>
      </c>
      <c r="F2252" s="2" t="s">
        <v>457</v>
      </c>
      <c r="G2252" s="2" t="s">
        <v>458</v>
      </c>
      <c r="H2252" s="2" t="s">
        <v>459</v>
      </c>
      <c r="I2252" s="2" t="n">
        <f aca="false">IF(F2252="Present",9,IF(F2252="Half Day",4,0))</f>
        <v>9</v>
      </c>
      <c r="J2252" s="2"/>
      <c r="K2252" s="2"/>
    </row>
    <row r="2253" customFormat="false" ht="15" hidden="false" customHeight="false" outlineLevel="0" collapsed="false">
      <c r="A2253" s="2" t="s">
        <v>193</v>
      </c>
      <c r="B2253" s="2" t="s">
        <v>194</v>
      </c>
      <c r="C2253" s="2" t="s">
        <v>28</v>
      </c>
      <c r="D2253" s="3" t="n">
        <v>46254</v>
      </c>
      <c r="E2253" s="2" t="str">
        <f aca="false">TEXT(D2253,"dddd")</f>
        <v>Thursday</v>
      </c>
      <c r="F2253" s="2" t="s">
        <v>457</v>
      </c>
      <c r="G2253" s="2" t="s">
        <v>458</v>
      </c>
      <c r="H2253" s="2" t="s">
        <v>459</v>
      </c>
      <c r="I2253" s="2" t="n">
        <f aca="false">IF(F2253="Present",9,IF(F2253="Half Day",4,0))</f>
        <v>9</v>
      </c>
      <c r="J2253" s="2"/>
      <c r="K2253" s="2"/>
    </row>
    <row r="2254" customFormat="false" ht="15" hidden="false" customHeight="false" outlineLevel="0" collapsed="false">
      <c r="A2254" s="2" t="s">
        <v>193</v>
      </c>
      <c r="B2254" s="2" t="s">
        <v>194</v>
      </c>
      <c r="C2254" s="2" t="s">
        <v>28</v>
      </c>
      <c r="D2254" s="3" t="n">
        <v>46255</v>
      </c>
      <c r="E2254" s="2" t="str">
        <f aca="false">TEXT(D2254,"dddd")</f>
        <v>Friday</v>
      </c>
      <c r="F2254" s="2" t="s">
        <v>457</v>
      </c>
      <c r="G2254" s="2" t="s">
        <v>458</v>
      </c>
      <c r="H2254" s="2" t="s">
        <v>459</v>
      </c>
      <c r="I2254" s="2" t="n">
        <f aca="false">IF(F2254="Present",9,IF(F2254="Half Day",4,0))</f>
        <v>9</v>
      </c>
      <c r="J2254" s="2"/>
      <c r="K2254" s="2"/>
    </row>
    <row r="2255" customFormat="false" ht="15" hidden="false" customHeight="false" outlineLevel="0" collapsed="false">
      <c r="A2255" s="2" t="s">
        <v>193</v>
      </c>
      <c r="B2255" s="2" t="s">
        <v>194</v>
      </c>
      <c r="C2255" s="2" t="s">
        <v>28</v>
      </c>
      <c r="D2255" s="3" t="n">
        <v>46256</v>
      </c>
      <c r="E2255" s="2" t="str">
        <f aca="false">TEXT(D2255,"dddd")</f>
        <v>Saturday</v>
      </c>
      <c r="F2255" s="2" t="s">
        <v>457</v>
      </c>
      <c r="G2255" s="2" t="s">
        <v>458</v>
      </c>
      <c r="H2255" s="2" t="s">
        <v>459</v>
      </c>
      <c r="I2255" s="2" t="n">
        <f aca="false">IF(F2255="Present",9,IF(F2255="Half Day",4,0))</f>
        <v>9</v>
      </c>
      <c r="J2255" s="2"/>
      <c r="K2255" s="2"/>
    </row>
    <row r="2256" customFormat="false" ht="15" hidden="false" customHeight="false" outlineLevel="0" collapsed="false">
      <c r="A2256" s="2" t="s">
        <v>193</v>
      </c>
      <c r="B2256" s="2" t="s">
        <v>194</v>
      </c>
      <c r="C2256" s="2" t="s">
        <v>28</v>
      </c>
      <c r="D2256" s="3" t="n">
        <v>46257</v>
      </c>
      <c r="E2256" s="2" t="str">
        <f aca="false">TEXT(D2256,"dddd")</f>
        <v>Sunday</v>
      </c>
      <c r="F2256" s="2" t="s">
        <v>460</v>
      </c>
      <c r="G2256" s="2"/>
      <c r="H2256" s="2"/>
      <c r="I2256" s="2" t="n">
        <f aca="false">IF(F2256="Present",9,IF(F2256="Half Day",4,0))</f>
        <v>0</v>
      </c>
      <c r="J2256" s="2"/>
      <c r="K2256" s="2" t="s">
        <v>460</v>
      </c>
    </row>
    <row r="2257" customFormat="false" ht="15" hidden="false" customHeight="false" outlineLevel="0" collapsed="false">
      <c r="A2257" s="2" t="s">
        <v>193</v>
      </c>
      <c r="B2257" s="2" t="s">
        <v>194</v>
      </c>
      <c r="C2257" s="2" t="s">
        <v>28</v>
      </c>
      <c r="D2257" s="3" t="n">
        <v>46258</v>
      </c>
      <c r="E2257" s="2" t="str">
        <f aca="false">TEXT(D2257,"dddd")</f>
        <v>Monday</v>
      </c>
      <c r="F2257" s="2" t="s">
        <v>457</v>
      </c>
      <c r="G2257" s="2" t="s">
        <v>458</v>
      </c>
      <c r="H2257" s="2" t="s">
        <v>459</v>
      </c>
      <c r="I2257" s="2" t="n">
        <f aca="false">IF(F2257="Present",9,IF(F2257="Half Day",4,0))</f>
        <v>9</v>
      </c>
      <c r="J2257" s="2"/>
      <c r="K2257" s="2"/>
    </row>
    <row r="2258" customFormat="false" ht="15" hidden="false" customHeight="false" outlineLevel="0" collapsed="false">
      <c r="A2258" s="2" t="s">
        <v>193</v>
      </c>
      <c r="B2258" s="2" t="s">
        <v>194</v>
      </c>
      <c r="C2258" s="2" t="s">
        <v>28</v>
      </c>
      <c r="D2258" s="3" t="n">
        <v>46259</v>
      </c>
      <c r="E2258" s="2" t="str">
        <f aca="false">TEXT(D2258,"dddd")</f>
        <v>Tuesday</v>
      </c>
      <c r="F2258" s="2" t="s">
        <v>457</v>
      </c>
      <c r="G2258" s="2" t="s">
        <v>458</v>
      </c>
      <c r="H2258" s="2" t="s">
        <v>459</v>
      </c>
      <c r="I2258" s="2" t="n">
        <f aca="false">IF(F2258="Present",9,IF(F2258="Half Day",4,0))</f>
        <v>9</v>
      </c>
      <c r="J2258" s="2"/>
      <c r="K2258" s="2"/>
    </row>
    <row r="2259" customFormat="false" ht="15" hidden="false" customHeight="false" outlineLevel="0" collapsed="false">
      <c r="A2259" s="2" t="s">
        <v>193</v>
      </c>
      <c r="B2259" s="2" t="s">
        <v>194</v>
      </c>
      <c r="C2259" s="2" t="s">
        <v>28</v>
      </c>
      <c r="D2259" s="3" t="n">
        <v>46260</v>
      </c>
      <c r="E2259" s="2" t="str">
        <f aca="false">TEXT(D2259,"dddd")</f>
        <v>Wednesday</v>
      </c>
      <c r="F2259" s="2" t="s">
        <v>457</v>
      </c>
      <c r="G2259" s="2" t="s">
        <v>458</v>
      </c>
      <c r="H2259" s="2" t="s">
        <v>459</v>
      </c>
      <c r="I2259" s="2" t="n">
        <f aca="false">IF(F2259="Present",9,IF(F2259="Half Day",4,0))</f>
        <v>9</v>
      </c>
      <c r="J2259" s="2"/>
      <c r="K2259" s="2"/>
    </row>
    <row r="2260" customFormat="false" ht="15" hidden="false" customHeight="false" outlineLevel="0" collapsed="false">
      <c r="A2260" s="2" t="s">
        <v>193</v>
      </c>
      <c r="B2260" s="2" t="s">
        <v>194</v>
      </c>
      <c r="C2260" s="2" t="s">
        <v>28</v>
      </c>
      <c r="D2260" s="3" t="n">
        <v>46261</v>
      </c>
      <c r="E2260" s="2" t="str">
        <f aca="false">TEXT(D2260,"dddd")</f>
        <v>Thursday</v>
      </c>
      <c r="F2260" s="2" t="s">
        <v>457</v>
      </c>
      <c r="G2260" s="2" t="s">
        <v>458</v>
      </c>
      <c r="H2260" s="2" t="s">
        <v>459</v>
      </c>
      <c r="I2260" s="2" t="n">
        <f aca="false">IF(F2260="Present",9,IF(F2260="Half Day",4,0))</f>
        <v>9</v>
      </c>
      <c r="J2260" s="2"/>
      <c r="K2260" s="2"/>
    </row>
    <row r="2261" customFormat="false" ht="15" hidden="false" customHeight="false" outlineLevel="0" collapsed="false">
      <c r="A2261" s="2" t="s">
        <v>193</v>
      </c>
      <c r="B2261" s="2" t="s">
        <v>194</v>
      </c>
      <c r="C2261" s="2" t="s">
        <v>28</v>
      </c>
      <c r="D2261" s="3" t="n">
        <v>46262</v>
      </c>
      <c r="E2261" s="2" t="str">
        <f aca="false">TEXT(D2261,"dddd")</f>
        <v>Friday</v>
      </c>
      <c r="F2261" s="2" t="s">
        <v>457</v>
      </c>
      <c r="G2261" s="2" t="s">
        <v>458</v>
      </c>
      <c r="H2261" s="2" t="s">
        <v>459</v>
      </c>
      <c r="I2261" s="2" t="n">
        <f aca="false">IF(F2261="Present",9,IF(F2261="Half Day",4,0))</f>
        <v>9</v>
      </c>
      <c r="J2261" s="2"/>
      <c r="K2261" s="2"/>
    </row>
    <row r="2262" customFormat="false" ht="15" hidden="false" customHeight="false" outlineLevel="0" collapsed="false">
      <c r="A2262" s="2" t="s">
        <v>193</v>
      </c>
      <c r="B2262" s="2" t="s">
        <v>194</v>
      </c>
      <c r="C2262" s="2" t="s">
        <v>28</v>
      </c>
      <c r="D2262" s="3" t="n">
        <v>46263</v>
      </c>
      <c r="E2262" s="2" t="str">
        <f aca="false">TEXT(D2262,"dddd")</f>
        <v>Saturday</v>
      </c>
      <c r="F2262" s="2" t="s">
        <v>457</v>
      </c>
      <c r="G2262" s="2" t="s">
        <v>458</v>
      </c>
      <c r="H2262" s="2" t="s">
        <v>459</v>
      </c>
      <c r="I2262" s="2" t="n">
        <f aca="false">IF(F2262="Present",9,IF(F2262="Half Day",4,0))</f>
        <v>9</v>
      </c>
      <c r="J2262" s="2"/>
      <c r="K2262" s="2"/>
    </row>
    <row r="2263" customFormat="false" ht="15" hidden="false" customHeight="false" outlineLevel="0" collapsed="false">
      <c r="A2263" s="2" t="s">
        <v>193</v>
      </c>
      <c r="B2263" s="2" t="s">
        <v>194</v>
      </c>
      <c r="C2263" s="2" t="s">
        <v>28</v>
      </c>
      <c r="D2263" s="3" t="n">
        <v>46264</v>
      </c>
      <c r="E2263" s="2" t="str">
        <f aca="false">TEXT(D2263,"dddd")</f>
        <v>Sunday</v>
      </c>
      <c r="F2263" s="2" t="s">
        <v>460</v>
      </c>
      <c r="G2263" s="2"/>
      <c r="H2263" s="2"/>
      <c r="I2263" s="2" t="n">
        <f aca="false">IF(F2263="Present",9,IF(F2263="Half Day",4,0))</f>
        <v>0</v>
      </c>
      <c r="J2263" s="2"/>
      <c r="K2263" s="2" t="s">
        <v>460</v>
      </c>
    </row>
    <row r="2264" customFormat="false" ht="15" hidden="false" customHeight="false" outlineLevel="0" collapsed="false">
      <c r="A2264" s="2" t="s">
        <v>193</v>
      </c>
      <c r="B2264" s="2" t="s">
        <v>194</v>
      </c>
      <c r="C2264" s="2" t="s">
        <v>28</v>
      </c>
      <c r="D2264" s="3" t="n">
        <v>46265</v>
      </c>
      <c r="E2264" s="2" t="str">
        <f aca="false">TEXT(D2264,"dddd")</f>
        <v>Monday</v>
      </c>
      <c r="F2264" s="2" t="s">
        <v>457</v>
      </c>
      <c r="G2264" s="2" t="s">
        <v>458</v>
      </c>
      <c r="H2264" s="2" t="s">
        <v>459</v>
      </c>
      <c r="I2264" s="2" t="n">
        <f aca="false">IF(F2264="Present",9,IF(F2264="Half Day",4,0))</f>
        <v>9</v>
      </c>
      <c r="J2264" s="2"/>
      <c r="K2264" s="2"/>
    </row>
    <row r="2265" customFormat="false" ht="15" hidden="false" customHeight="false" outlineLevel="0" collapsed="false">
      <c r="A2265" s="2" t="s">
        <v>195</v>
      </c>
      <c r="B2265" s="2" t="s">
        <v>196</v>
      </c>
      <c r="C2265" s="2" t="s">
        <v>32</v>
      </c>
      <c r="D2265" s="3" t="n">
        <v>46235</v>
      </c>
      <c r="E2265" s="2" t="str">
        <f aca="false">TEXT(D2265,"dddd")</f>
        <v>Saturday</v>
      </c>
      <c r="F2265" s="2" t="s">
        <v>457</v>
      </c>
      <c r="G2265" s="2" t="s">
        <v>458</v>
      </c>
      <c r="H2265" s="2" t="s">
        <v>459</v>
      </c>
      <c r="I2265" s="2" t="n">
        <f aca="false">IF(F2265="Present",9,IF(F2265="Half Day",4,0))</f>
        <v>9</v>
      </c>
      <c r="J2265" s="2"/>
      <c r="K2265" s="2"/>
    </row>
    <row r="2266" customFormat="false" ht="15" hidden="false" customHeight="false" outlineLevel="0" collapsed="false">
      <c r="A2266" s="2" t="s">
        <v>195</v>
      </c>
      <c r="B2266" s="2" t="s">
        <v>196</v>
      </c>
      <c r="C2266" s="2" t="s">
        <v>32</v>
      </c>
      <c r="D2266" s="3" t="n">
        <v>46236</v>
      </c>
      <c r="E2266" s="2" t="str">
        <f aca="false">TEXT(D2266,"dddd")</f>
        <v>Sunday</v>
      </c>
      <c r="F2266" s="2" t="s">
        <v>460</v>
      </c>
      <c r="G2266" s="2"/>
      <c r="H2266" s="2"/>
      <c r="I2266" s="2" t="n">
        <f aca="false">IF(F2266="Present",9,IF(F2266="Half Day",4,0))</f>
        <v>0</v>
      </c>
      <c r="J2266" s="2"/>
      <c r="K2266" s="2" t="s">
        <v>460</v>
      </c>
    </row>
    <row r="2267" customFormat="false" ht="15" hidden="false" customHeight="false" outlineLevel="0" collapsed="false">
      <c r="A2267" s="2" t="s">
        <v>195</v>
      </c>
      <c r="B2267" s="2" t="s">
        <v>196</v>
      </c>
      <c r="C2267" s="2" t="s">
        <v>32</v>
      </c>
      <c r="D2267" s="3" t="n">
        <v>46237</v>
      </c>
      <c r="E2267" s="2" t="str">
        <f aca="false">TEXT(D2267,"dddd")</f>
        <v>Monday</v>
      </c>
      <c r="F2267" s="2" t="s">
        <v>461</v>
      </c>
      <c r="G2267" s="2"/>
      <c r="H2267" s="2"/>
      <c r="I2267" s="2" t="n">
        <f aca="false">IF(F2267="Present",9,IF(F2267="Half Day",4,0))</f>
        <v>0</v>
      </c>
      <c r="J2267" s="2"/>
      <c r="K2267" s="2" t="s">
        <v>462</v>
      </c>
    </row>
    <row r="2268" customFormat="false" ht="15" hidden="false" customHeight="false" outlineLevel="0" collapsed="false">
      <c r="A2268" s="2" t="s">
        <v>195</v>
      </c>
      <c r="B2268" s="2" t="s">
        <v>196</v>
      </c>
      <c r="C2268" s="2" t="s">
        <v>32</v>
      </c>
      <c r="D2268" s="3" t="n">
        <v>46238</v>
      </c>
      <c r="E2268" s="2" t="str">
        <f aca="false">TEXT(D2268,"dddd")</f>
        <v>Tuesday</v>
      </c>
      <c r="F2268" s="2" t="s">
        <v>461</v>
      </c>
      <c r="G2268" s="2"/>
      <c r="H2268" s="2"/>
      <c r="I2268" s="2" t="n">
        <f aca="false">IF(F2268="Present",9,IF(F2268="Half Day",4,0))</f>
        <v>0</v>
      </c>
      <c r="J2268" s="2"/>
      <c r="K2268" s="2" t="s">
        <v>462</v>
      </c>
    </row>
    <row r="2269" customFormat="false" ht="15" hidden="false" customHeight="false" outlineLevel="0" collapsed="false">
      <c r="A2269" s="2" t="s">
        <v>195</v>
      </c>
      <c r="B2269" s="2" t="s">
        <v>196</v>
      </c>
      <c r="C2269" s="2" t="s">
        <v>32</v>
      </c>
      <c r="D2269" s="3" t="n">
        <v>46239</v>
      </c>
      <c r="E2269" s="2" t="str">
        <f aca="false">TEXT(D2269,"dddd")</f>
        <v>Wednesday</v>
      </c>
      <c r="F2269" s="2" t="s">
        <v>457</v>
      </c>
      <c r="G2269" s="2" t="s">
        <v>458</v>
      </c>
      <c r="H2269" s="2" t="s">
        <v>459</v>
      </c>
      <c r="I2269" s="2" t="n">
        <f aca="false">IF(F2269="Present",9,IF(F2269="Half Day",4,0))</f>
        <v>9</v>
      </c>
      <c r="J2269" s="2"/>
      <c r="K2269" s="2"/>
    </row>
    <row r="2270" customFormat="false" ht="15" hidden="false" customHeight="false" outlineLevel="0" collapsed="false">
      <c r="A2270" s="2" t="s">
        <v>195</v>
      </c>
      <c r="B2270" s="2" t="s">
        <v>196</v>
      </c>
      <c r="C2270" s="2" t="s">
        <v>32</v>
      </c>
      <c r="D2270" s="3" t="n">
        <v>46240</v>
      </c>
      <c r="E2270" s="2" t="str">
        <f aca="false">TEXT(D2270,"dddd")</f>
        <v>Thursday</v>
      </c>
      <c r="F2270" s="2" t="s">
        <v>457</v>
      </c>
      <c r="G2270" s="2" t="s">
        <v>458</v>
      </c>
      <c r="H2270" s="2" t="s">
        <v>459</v>
      </c>
      <c r="I2270" s="2" t="n">
        <f aca="false">IF(F2270="Present",9,IF(F2270="Half Day",4,0))</f>
        <v>9</v>
      </c>
      <c r="J2270" s="2"/>
      <c r="K2270" s="2"/>
    </row>
    <row r="2271" customFormat="false" ht="15" hidden="false" customHeight="false" outlineLevel="0" collapsed="false">
      <c r="A2271" s="2" t="s">
        <v>195</v>
      </c>
      <c r="B2271" s="2" t="s">
        <v>196</v>
      </c>
      <c r="C2271" s="2" t="s">
        <v>32</v>
      </c>
      <c r="D2271" s="3" t="n">
        <v>46241</v>
      </c>
      <c r="E2271" s="2" t="str">
        <f aca="false">TEXT(D2271,"dddd")</f>
        <v>Friday</v>
      </c>
      <c r="F2271" s="2" t="s">
        <v>457</v>
      </c>
      <c r="G2271" s="2" t="s">
        <v>458</v>
      </c>
      <c r="H2271" s="2" t="s">
        <v>459</v>
      </c>
      <c r="I2271" s="2" t="n">
        <f aca="false">IF(F2271="Present",9,IF(F2271="Half Day",4,0))</f>
        <v>9</v>
      </c>
      <c r="J2271" s="2"/>
      <c r="K2271" s="2"/>
    </row>
    <row r="2272" customFormat="false" ht="15" hidden="false" customHeight="false" outlineLevel="0" collapsed="false">
      <c r="A2272" s="2" t="s">
        <v>195</v>
      </c>
      <c r="B2272" s="2" t="s">
        <v>196</v>
      </c>
      <c r="C2272" s="2" t="s">
        <v>32</v>
      </c>
      <c r="D2272" s="3" t="n">
        <v>46242</v>
      </c>
      <c r="E2272" s="2" t="str">
        <f aca="false">TEXT(D2272,"dddd")</f>
        <v>Saturday</v>
      </c>
      <c r="F2272" s="2" t="s">
        <v>457</v>
      </c>
      <c r="G2272" s="2" t="s">
        <v>458</v>
      </c>
      <c r="H2272" s="2" t="s">
        <v>459</v>
      </c>
      <c r="I2272" s="2" t="n">
        <f aca="false">IF(F2272="Present",9,IF(F2272="Half Day",4,0))</f>
        <v>9</v>
      </c>
      <c r="J2272" s="2"/>
      <c r="K2272" s="2"/>
    </row>
    <row r="2273" customFormat="false" ht="15" hidden="false" customHeight="false" outlineLevel="0" collapsed="false">
      <c r="A2273" s="2" t="s">
        <v>195</v>
      </c>
      <c r="B2273" s="2" t="s">
        <v>196</v>
      </c>
      <c r="C2273" s="2" t="s">
        <v>32</v>
      </c>
      <c r="D2273" s="3" t="n">
        <v>46243</v>
      </c>
      <c r="E2273" s="2" t="str">
        <f aca="false">TEXT(D2273,"dddd")</f>
        <v>Sunday</v>
      </c>
      <c r="F2273" s="2" t="s">
        <v>460</v>
      </c>
      <c r="G2273" s="2"/>
      <c r="H2273" s="2"/>
      <c r="I2273" s="2" t="n">
        <f aca="false">IF(F2273="Present",9,IF(F2273="Half Day",4,0))</f>
        <v>0</v>
      </c>
      <c r="J2273" s="2"/>
      <c r="K2273" s="2" t="s">
        <v>460</v>
      </c>
    </row>
    <row r="2274" customFormat="false" ht="15" hidden="false" customHeight="false" outlineLevel="0" collapsed="false">
      <c r="A2274" s="2" t="s">
        <v>195</v>
      </c>
      <c r="B2274" s="2" t="s">
        <v>196</v>
      </c>
      <c r="C2274" s="2" t="s">
        <v>32</v>
      </c>
      <c r="D2274" s="3" t="n">
        <v>46244</v>
      </c>
      <c r="E2274" s="2" t="str">
        <f aca="false">TEXT(D2274,"dddd")</f>
        <v>Monday</v>
      </c>
      <c r="F2274" s="2" t="s">
        <v>457</v>
      </c>
      <c r="G2274" s="2" t="s">
        <v>458</v>
      </c>
      <c r="H2274" s="2" t="s">
        <v>459</v>
      </c>
      <c r="I2274" s="2" t="n">
        <f aca="false">IF(F2274="Present",9,IF(F2274="Half Day",4,0))</f>
        <v>9</v>
      </c>
      <c r="J2274" s="2"/>
      <c r="K2274" s="2"/>
    </row>
    <row r="2275" customFormat="false" ht="15" hidden="false" customHeight="false" outlineLevel="0" collapsed="false">
      <c r="A2275" s="2" t="s">
        <v>195</v>
      </c>
      <c r="B2275" s="2" t="s">
        <v>196</v>
      </c>
      <c r="C2275" s="2" t="s">
        <v>32</v>
      </c>
      <c r="D2275" s="3" t="n">
        <v>46245</v>
      </c>
      <c r="E2275" s="2" t="str">
        <f aca="false">TEXT(D2275,"dddd")</f>
        <v>Tuesday</v>
      </c>
      <c r="F2275" s="2" t="s">
        <v>457</v>
      </c>
      <c r="G2275" s="2" t="s">
        <v>458</v>
      </c>
      <c r="H2275" s="2" t="s">
        <v>459</v>
      </c>
      <c r="I2275" s="2" t="n">
        <f aca="false">IF(F2275="Present",9,IF(F2275="Half Day",4,0))</f>
        <v>9</v>
      </c>
      <c r="J2275" s="2"/>
      <c r="K2275" s="2"/>
    </row>
    <row r="2276" customFormat="false" ht="15" hidden="false" customHeight="false" outlineLevel="0" collapsed="false">
      <c r="A2276" s="2" t="s">
        <v>195</v>
      </c>
      <c r="B2276" s="2" t="s">
        <v>196</v>
      </c>
      <c r="C2276" s="2" t="s">
        <v>32</v>
      </c>
      <c r="D2276" s="3" t="n">
        <v>46246</v>
      </c>
      <c r="E2276" s="2" t="str">
        <f aca="false">TEXT(D2276,"dddd")</f>
        <v>Wednesday</v>
      </c>
      <c r="F2276" s="2" t="s">
        <v>457</v>
      </c>
      <c r="G2276" s="2" t="s">
        <v>458</v>
      </c>
      <c r="H2276" s="2" t="s">
        <v>459</v>
      </c>
      <c r="I2276" s="2" t="n">
        <f aca="false">IF(F2276="Present",9,IF(F2276="Half Day",4,0))</f>
        <v>9</v>
      </c>
      <c r="J2276" s="2"/>
      <c r="K2276" s="2"/>
    </row>
    <row r="2277" customFormat="false" ht="15" hidden="false" customHeight="false" outlineLevel="0" collapsed="false">
      <c r="A2277" s="2" t="s">
        <v>195</v>
      </c>
      <c r="B2277" s="2" t="s">
        <v>196</v>
      </c>
      <c r="C2277" s="2" t="s">
        <v>32</v>
      </c>
      <c r="D2277" s="3" t="n">
        <v>46247</v>
      </c>
      <c r="E2277" s="2" t="str">
        <f aca="false">TEXT(D2277,"dddd")</f>
        <v>Thursday</v>
      </c>
      <c r="F2277" s="2" t="s">
        <v>457</v>
      </c>
      <c r="G2277" s="2" t="s">
        <v>458</v>
      </c>
      <c r="H2277" s="2" t="s">
        <v>459</v>
      </c>
      <c r="I2277" s="2" t="n">
        <f aca="false">IF(F2277="Present",9,IF(F2277="Half Day",4,0))</f>
        <v>9</v>
      </c>
      <c r="J2277" s="2"/>
      <c r="K2277" s="2"/>
    </row>
    <row r="2278" customFormat="false" ht="15" hidden="false" customHeight="false" outlineLevel="0" collapsed="false">
      <c r="A2278" s="2" t="s">
        <v>195</v>
      </c>
      <c r="B2278" s="2" t="s">
        <v>196</v>
      </c>
      <c r="C2278" s="2" t="s">
        <v>32</v>
      </c>
      <c r="D2278" s="3" t="n">
        <v>46248</v>
      </c>
      <c r="E2278" s="2" t="str">
        <f aca="false">TEXT(D2278,"dddd")</f>
        <v>Friday</v>
      </c>
      <c r="F2278" s="2" t="s">
        <v>457</v>
      </c>
      <c r="G2278" s="2" t="s">
        <v>458</v>
      </c>
      <c r="H2278" s="2" t="s">
        <v>459</v>
      </c>
      <c r="I2278" s="2" t="n">
        <f aca="false">IF(F2278="Present",9,IF(F2278="Half Day",4,0))</f>
        <v>9</v>
      </c>
      <c r="J2278" s="2"/>
      <c r="K2278" s="2"/>
    </row>
    <row r="2279" customFormat="false" ht="15" hidden="false" customHeight="false" outlineLevel="0" collapsed="false">
      <c r="A2279" s="2" t="s">
        <v>195</v>
      </c>
      <c r="B2279" s="2" t="s">
        <v>196</v>
      </c>
      <c r="C2279" s="2" t="s">
        <v>32</v>
      </c>
      <c r="D2279" s="3" t="n">
        <v>46249</v>
      </c>
      <c r="E2279" s="2" t="str">
        <f aca="false">TEXT(D2279,"dddd")</f>
        <v>Saturday</v>
      </c>
      <c r="F2279" s="2" t="s">
        <v>457</v>
      </c>
      <c r="G2279" s="2" t="s">
        <v>458</v>
      </c>
      <c r="H2279" s="2" t="s">
        <v>459</v>
      </c>
      <c r="I2279" s="2" t="n">
        <f aca="false">IF(F2279="Present",9,IF(F2279="Half Day",4,0))</f>
        <v>9</v>
      </c>
      <c r="J2279" s="2"/>
      <c r="K2279" s="2"/>
    </row>
    <row r="2280" customFormat="false" ht="15" hidden="false" customHeight="false" outlineLevel="0" collapsed="false">
      <c r="A2280" s="2" t="s">
        <v>195</v>
      </c>
      <c r="B2280" s="2" t="s">
        <v>196</v>
      </c>
      <c r="C2280" s="2" t="s">
        <v>32</v>
      </c>
      <c r="D2280" s="3" t="n">
        <v>46250</v>
      </c>
      <c r="E2280" s="2" t="str">
        <f aca="false">TEXT(D2280,"dddd")</f>
        <v>Sunday</v>
      </c>
      <c r="F2280" s="2" t="s">
        <v>460</v>
      </c>
      <c r="G2280" s="2"/>
      <c r="H2280" s="2"/>
      <c r="I2280" s="2" t="n">
        <f aca="false">IF(F2280="Present",9,IF(F2280="Half Day",4,0))</f>
        <v>0</v>
      </c>
      <c r="J2280" s="2"/>
      <c r="K2280" s="2" t="s">
        <v>460</v>
      </c>
    </row>
    <row r="2281" customFormat="false" ht="15" hidden="false" customHeight="false" outlineLevel="0" collapsed="false">
      <c r="A2281" s="2" t="s">
        <v>195</v>
      </c>
      <c r="B2281" s="2" t="s">
        <v>196</v>
      </c>
      <c r="C2281" s="2" t="s">
        <v>32</v>
      </c>
      <c r="D2281" s="3" t="n">
        <v>46251</v>
      </c>
      <c r="E2281" s="2" t="str">
        <f aca="false">TEXT(D2281,"dddd")</f>
        <v>Monday</v>
      </c>
      <c r="F2281" s="2" t="s">
        <v>457</v>
      </c>
      <c r="G2281" s="2" t="s">
        <v>458</v>
      </c>
      <c r="H2281" s="2" t="s">
        <v>459</v>
      </c>
      <c r="I2281" s="2" t="n">
        <f aca="false">IF(F2281="Present",9,IF(F2281="Half Day",4,0))</f>
        <v>9</v>
      </c>
      <c r="J2281" s="2"/>
      <c r="K2281" s="2"/>
    </row>
    <row r="2282" customFormat="false" ht="15" hidden="false" customHeight="false" outlineLevel="0" collapsed="false">
      <c r="A2282" s="2" t="s">
        <v>195</v>
      </c>
      <c r="B2282" s="2" t="s">
        <v>196</v>
      </c>
      <c r="C2282" s="2" t="s">
        <v>32</v>
      </c>
      <c r="D2282" s="3" t="n">
        <v>46252</v>
      </c>
      <c r="E2282" s="2" t="str">
        <f aca="false">TEXT(D2282,"dddd")</f>
        <v>Tuesday</v>
      </c>
      <c r="F2282" s="2" t="s">
        <v>461</v>
      </c>
      <c r="G2282" s="2"/>
      <c r="H2282" s="2"/>
      <c r="I2282" s="2" t="n">
        <f aca="false">IF(F2282="Present",9,IF(F2282="Half Day",4,0))</f>
        <v>0</v>
      </c>
      <c r="J2282" s="2"/>
      <c r="K2282" s="2" t="s">
        <v>462</v>
      </c>
    </row>
    <row r="2283" customFormat="false" ht="15" hidden="false" customHeight="false" outlineLevel="0" collapsed="false">
      <c r="A2283" s="2" t="s">
        <v>195</v>
      </c>
      <c r="B2283" s="2" t="s">
        <v>196</v>
      </c>
      <c r="C2283" s="2" t="s">
        <v>32</v>
      </c>
      <c r="D2283" s="3" t="n">
        <v>46253</v>
      </c>
      <c r="E2283" s="2" t="str">
        <f aca="false">TEXT(D2283,"dddd")</f>
        <v>Wednesday</v>
      </c>
      <c r="F2283" s="2" t="s">
        <v>457</v>
      </c>
      <c r="G2283" s="2" t="s">
        <v>458</v>
      </c>
      <c r="H2283" s="2" t="s">
        <v>459</v>
      </c>
      <c r="I2283" s="2" t="n">
        <f aca="false">IF(F2283="Present",9,IF(F2283="Half Day",4,0))</f>
        <v>9</v>
      </c>
      <c r="J2283" s="2"/>
      <c r="K2283" s="2"/>
    </row>
    <row r="2284" customFormat="false" ht="15" hidden="false" customHeight="false" outlineLevel="0" collapsed="false">
      <c r="A2284" s="2" t="s">
        <v>195</v>
      </c>
      <c r="B2284" s="2" t="s">
        <v>196</v>
      </c>
      <c r="C2284" s="2" t="s">
        <v>32</v>
      </c>
      <c r="D2284" s="3" t="n">
        <v>46254</v>
      </c>
      <c r="E2284" s="2" t="str">
        <f aca="false">TEXT(D2284,"dddd")</f>
        <v>Thursday</v>
      </c>
      <c r="F2284" s="2" t="s">
        <v>457</v>
      </c>
      <c r="G2284" s="2" t="s">
        <v>458</v>
      </c>
      <c r="H2284" s="2" t="s">
        <v>459</v>
      </c>
      <c r="I2284" s="2" t="n">
        <f aca="false">IF(F2284="Present",9,IF(F2284="Half Day",4,0))</f>
        <v>9</v>
      </c>
      <c r="J2284" s="2"/>
      <c r="K2284" s="2"/>
    </row>
    <row r="2285" customFormat="false" ht="15" hidden="false" customHeight="false" outlineLevel="0" collapsed="false">
      <c r="A2285" s="2" t="s">
        <v>195</v>
      </c>
      <c r="B2285" s="2" t="s">
        <v>196</v>
      </c>
      <c r="C2285" s="2" t="s">
        <v>32</v>
      </c>
      <c r="D2285" s="3" t="n">
        <v>46255</v>
      </c>
      <c r="E2285" s="2" t="str">
        <f aca="false">TEXT(D2285,"dddd")</f>
        <v>Friday</v>
      </c>
      <c r="F2285" s="2" t="s">
        <v>463</v>
      </c>
      <c r="G2285" s="2"/>
      <c r="H2285" s="2"/>
      <c r="I2285" s="2" t="n">
        <f aca="false">IF(F2285="Present",9,IF(F2285="Half Day",4,0))</f>
        <v>0</v>
      </c>
      <c r="J2285" s="2" t="s">
        <v>468</v>
      </c>
      <c r="K2285" s="2" t="s">
        <v>469</v>
      </c>
    </row>
    <row r="2286" customFormat="false" ht="15" hidden="false" customHeight="false" outlineLevel="0" collapsed="false">
      <c r="A2286" s="2" t="s">
        <v>195</v>
      </c>
      <c r="B2286" s="2" t="s">
        <v>196</v>
      </c>
      <c r="C2286" s="2" t="s">
        <v>32</v>
      </c>
      <c r="D2286" s="3" t="n">
        <v>46256</v>
      </c>
      <c r="E2286" s="2" t="str">
        <f aca="false">TEXT(D2286,"dddd")</f>
        <v>Saturday</v>
      </c>
      <c r="F2286" s="2" t="s">
        <v>457</v>
      </c>
      <c r="G2286" s="2" t="s">
        <v>458</v>
      </c>
      <c r="H2286" s="2" t="s">
        <v>459</v>
      </c>
      <c r="I2286" s="2" t="n">
        <f aca="false">IF(F2286="Present",9,IF(F2286="Half Day",4,0))</f>
        <v>9</v>
      </c>
      <c r="J2286" s="2"/>
      <c r="K2286" s="2"/>
    </row>
    <row r="2287" customFormat="false" ht="15" hidden="false" customHeight="false" outlineLevel="0" collapsed="false">
      <c r="A2287" s="2" t="s">
        <v>195</v>
      </c>
      <c r="B2287" s="2" t="s">
        <v>196</v>
      </c>
      <c r="C2287" s="2" t="s">
        <v>32</v>
      </c>
      <c r="D2287" s="3" t="n">
        <v>46257</v>
      </c>
      <c r="E2287" s="2" t="str">
        <f aca="false">TEXT(D2287,"dddd")</f>
        <v>Sunday</v>
      </c>
      <c r="F2287" s="2" t="s">
        <v>460</v>
      </c>
      <c r="G2287" s="2"/>
      <c r="H2287" s="2"/>
      <c r="I2287" s="2" t="n">
        <f aca="false">IF(F2287="Present",9,IF(F2287="Half Day",4,0))</f>
        <v>0</v>
      </c>
      <c r="J2287" s="2"/>
      <c r="K2287" s="2" t="s">
        <v>460</v>
      </c>
    </row>
    <row r="2288" customFormat="false" ht="15" hidden="false" customHeight="false" outlineLevel="0" collapsed="false">
      <c r="A2288" s="2" t="s">
        <v>195</v>
      </c>
      <c r="B2288" s="2" t="s">
        <v>196</v>
      </c>
      <c r="C2288" s="2" t="s">
        <v>32</v>
      </c>
      <c r="D2288" s="3" t="n">
        <v>46258</v>
      </c>
      <c r="E2288" s="2" t="str">
        <f aca="false">TEXT(D2288,"dddd")</f>
        <v>Monday</v>
      </c>
      <c r="F2288" s="2" t="s">
        <v>457</v>
      </c>
      <c r="G2288" s="2" t="s">
        <v>458</v>
      </c>
      <c r="H2288" s="2" t="s">
        <v>459</v>
      </c>
      <c r="I2288" s="2" t="n">
        <f aca="false">IF(F2288="Present",9,IF(F2288="Half Day",4,0))</f>
        <v>9</v>
      </c>
      <c r="J2288" s="2"/>
      <c r="K2288" s="2"/>
    </row>
    <row r="2289" customFormat="false" ht="15" hidden="false" customHeight="false" outlineLevel="0" collapsed="false">
      <c r="A2289" s="2" t="s">
        <v>195</v>
      </c>
      <c r="B2289" s="2" t="s">
        <v>196</v>
      </c>
      <c r="C2289" s="2" t="s">
        <v>32</v>
      </c>
      <c r="D2289" s="3" t="n">
        <v>46259</v>
      </c>
      <c r="E2289" s="2" t="str">
        <f aca="false">TEXT(D2289,"dddd")</f>
        <v>Tuesday</v>
      </c>
      <c r="F2289" s="2" t="s">
        <v>457</v>
      </c>
      <c r="G2289" s="2" t="s">
        <v>458</v>
      </c>
      <c r="H2289" s="2" t="s">
        <v>459</v>
      </c>
      <c r="I2289" s="2" t="n">
        <f aca="false">IF(F2289="Present",9,IF(F2289="Half Day",4,0))</f>
        <v>9</v>
      </c>
      <c r="J2289" s="2"/>
      <c r="K2289" s="2"/>
    </row>
    <row r="2290" customFormat="false" ht="15" hidden="false" customHeight="false" outlineLevel="0" collapsed="false">
      <c r="A2290" s="2" t="s">
        <v>195</v>
      </c>
      <c r="B2290" s="2" t="s">
        <v>196</v>
      </c>
      <c r="C2290" s="2" t="s">
        <v>32</v>
      </c>
      <c r="D2290" s="3" t="n">
        <v>46260</v>
      </c>
      <c r="E2290" s="2" t="str">
        <f aca="false">TEXT(D2290,"dddd")</f>
        <v>Wednesday</v>
      </c>
      <c r="F2290" s="2" t="s">
        <v>457</v>
      </c>
      <c r="G2290" s="2" t="s">
        <v>458</v>
      </c>
      <c r="H2290" s="2" t="s">
        <v>459</v>
      </c>
      <c r="I2290" s="2" t="n">
        <f aca="false">IF(F2290="Present",9,IF(F2290="Half Day",4,0))</f>
        <v>9</v>
      </c>
      <c r="J2290" s="2"/>
      <c r="K2290" s="2"/>
    </row>
    <row r="2291" customFormat="false" ht="15" hidden="false" customHeight="false" outlineLevel="0" collapsed="false">
      <c r="A2291" s="2" t="s">
        <v>195</v>
      </c>
      <c r="B2291" s="2" t="s">
        <v>196</v>
      </c>
      <c r="C2291" s="2" t="s">
        <v>32</v>
      </c>
      <c r="D2291" s="3" t="n">
        <v>46261</v>
      </c>
      <c r="E2291" s="2" t="str">
        <f aca="false">TEXT(D2291,"dddd")</f>
        <v>Thursday</v>
      </c>
      <c r="F2291" s="2" t="s">
        <v>461</v>
      </c>
      <c r="G2291" s="2"/>
      <c r="H2291" s="2"/>
      <c r="I2291" s="2" t="n">
        <f aca="false">IF(F2291="Present",9,IF(F2291="Half Day",4,0))</f>
        <v>0</v>
      </c>
      <c r="J2291" s="2"/>
      <c r="K2291" s="2" t="s">
        <v>462</v>
      </c>
    </row>
    <row r="2292" customFormat="false" ht="15" hidden="false" customHeight="false" outlineLevel="0" collapsed="false">
      <c r="A2292" s="2" t="s">
        <v>195</v>
      </c>
      <c r="B2292" s="2" t="s">
        <v>196</v>
      </c>
      <c r="C2292" s="2" t="s">
        <v>32</v>
      </c>
      <c r="D2292" s="3" t="n">
        <v>46262</v>
      </c>
      <c r="E2292" s="2" t="str">
        <f aca="false">TEXT(D2292,"dddd")</f>
        <v>Friday</v>
      </c>
      <c r="F2292" s="2" t="s">
        <v>457</v>
      </c>
      <c r="G2292" s="2" t="s">
        <v>458</v>
      </c>
      <c r="H2292" s="2" t="s">
        <v>459</v>
      </c>
      <c r="I2292" s="2" t="n">
        <f aca="false">IF(F2292="Present",9,IF(F2292="Half Day",4,0))</f>
        <v>9</v>
      </c>
      <c r="J2292" s="2"/>
      <c r="K2292" s="2"/>
    </row>
    <row r="2293" customFormat="false" ht="15" hidden="false" customHeight="false" outlineLevel="0" collapsed="false">
      <c r="A2293" s="2" t="s">
        <v>195</v>
      </c>
      <c r="B2293" s="2" t="s">
        <v>196</v>
      </c>
      <c r="C2293" s="2" t="s">
        <v>32</v>
      </c>
      <c r="D2293" s="3" t="n">
        <v>46263</v>
      </c>
      <c r="E2293" s="2" t="str">
        <f aca="false">TEXT(D2293,"dddd")</f>
        <v>Saturday</v>
      </c>
      <c r="F2293" s="2" t="s">
        <v>461</v>
      </c>
      <c r="G2293" s="2"/>
      <c r="H2293" s="2"/>
      <c r="I2293" s="2" t="n">
        <f aca="false">IF(F2293="Present",9,IF(F2293="Half Day",4,0))</f>
        <v>0</v>
      </c>
      <c r="J2293" s="2"/>
      <c r="K2293" s="2" t="s">
        <v>462</v>
      </c>
    </row>
    <row r="2294" customFormat="false" ht="15" hidden="false" customHeight="false" outlineLevel="0" collapsed="false">
      <c r="A2294" s="2" t="s">
        <v>195</v>
      </c>
      <c r="B2294" s="2" t="s">
        <v>196</v>
      </c>
      <c r="C2294" s="2" t="s">
        <v>32</v>
      </c>
      <c r="D2294" s="3" t="n">
        <v>46264</v>
      </c>
      <c r="E2294" s="2" t="str">
        <f aca="false">TEXT(D2294,"dddd")</f>
        <v>Sunday</v>
      </c>
      <c r="F2294" s="2" t="s">
        <v>460</v>
      </c>
      <c r="G2294" s="2"/>
      <c r="H2294" s="2"/>
      <c r="I2294" s="2" t="n">
        <f aca="false">IF(F2294="Present",9,IF(F2294="Half Day",4,0))</f>
        <v>0</v>
      </c>
      <c r="J2294" s="2"/>
      <c r="K2294" s="2" t="s">
        <v>460</v>
      </c>
    </row>
    <row r="2295" customFormat="false" ht="15" hidden="false" customHeight="false" outlineLevel="0" collapsed="false">
      <c r="A2295" s="2" t="s">
        <v>195</v>
      </c>
      <c r="B2295" s="2" t="s">
        <v>196</v>
      </c>
      <c r="C2295" s="2" t="s">
        <v>32</v>
      </c>
      <c r="D2295" s="3" t="n">
        <v>46265</v>
      </c>
      <c r="E2295" s="2" t="str">
        <f aca="false">TEXT(D2295,"dddd")</f>
        <v>Monday</v>
      </c>
      <c r="F2295" s="2" t="s">
        <v>457</v>
      </c>
      <c r="G2295" s="2" t="s">
        <v>458</v>
      </c>
      <c r="H2295" s="2" t="s">
        <v>459</v>
      </c>
      <c r="I2295" s="2" t="n">
        <f aca="false">IF(F2295="Present",9,IF(F2295="Half Day",4,0))</f>
        <v>9</v>
      </c>
      <c r="J2295" s="2"/>
      <c r="K2295" s="2"/>
    </row>
    <row r="2296" customFormat="false" ht="15" hidden="false" customHeight="false" outlineLevel="0" collapsed="false">
      <c r="A2296" s="2" t="s">
        <v>197</v>
      </c>
      <c r="B2296" s="2" t="s">
        <v>198</v>
      </c>
      <c r="C2296" s="2" t="s">
        <v>36</v>
      </c>
      <c r="D2296" s="3" t="n">
        <v>46235</v>
      </c>
      <c r="E2296" s="2" t="str">
        <f aca="false">TEXT(D2296,"dddd")</f>
        <v>Saturday</v>
      </c>
      <c r="F2296" s="2" t="s">
        <v>457</v>
      </c>
      <c r="G2296" s="2" t="s">
        <v>458</v>
      </c>
      <c r="H2296" s="2" t="s">
        <v>459</v>
      </c>
      <c r="I2296" s="2" t="n">
        <f aca="false">IF(F2296="Present",9,IF(F2296="Half Day",4,0))</f>
        <v>9</v>
      </c>
      <c r="J2296" s="2"/>
      <c r="K2296" s="2"/>
    </row>
    <row r="2297" customFormat="false" ht="15" hidden="false" customHeight="false" outlineLevel="0" collapsed="false">
      <c r="A2297" s="2" t="s">
        <v>197</v>
      </c>
      <c r="B2297" s="2" t="s">
        <v>198</v>
      </c>
      <c r="C2297" s="2" t="s">
        <v>36</v>
      </c>
      <c r="D2297" s="3" t="n">
        <v>46236</v>
      </c>
      <c r="E2297" s="2" t="str">
        <f aca="false">TEXT(D2297,"dddd")</f>
        <v>Sunday</v>
      </c>
      <c r="F2297" s="2" t="s">
        <v>460</v>
      </c>
      <c r="G2297" s="2"/>
      <c r="H2297" s="2"/>
      <c r="I2297" s="2" t="n">
        <f aca="false">IF(F2297="Present",9,IF(F2297="Half Day",4,0))</f>
        <v>0</v>
      </c>
      <c r="J2297" s="2"/>
      <c r="K2297" s="2" t="s">
        <v>460</v>
      </c>
    </row>
    <row r="2298" customFormat="false" ht="15" hidden="false" customHeight="false" outlineLevel="0" collapsed="false">
      <c r="A2298" s="2" t="s">
        <v>197</v>
      </c>
      <c r="B2298" s="2" t="s">
        <v>198</v>
      </c>
      <c r="C2298" s="2" t="s">
        <v>36</v>
      </c>
      <c r="D2298" s="3" t="n">
        <v>46237</v>
      </c>
      <c r="E2298" s="2" t="str">
        <f aca="false">TEXT(D2298,"dddd")</f>
        <v>Monday</v>
      </c>
      <c r="F2298" s="2" t="s">
        <v>457</v>
      </c>
      <c r="G2298" s="2" t="s">
        <v>458</v>
      </c>
      <c r="H2298" s="2" t="s">
        <v>459</v>
      </c>
      <c r="I2298" s="2" t="n">
        <f aca="false">IF(F2298="Present",9,IF(F2298="Half Day",4,0))</f>
        <v>9</v>
      </c>
      <c r="J2298" s="2"/>
      <c r="K2298" s="2"/>
    </row>
    <row r="2299" customFormat="false" ht="15" hidden="false" customHeight="false" outlineLevel="0" collapsed="false">
      <c r="A2299" s="2" t="s">
        <v>197</v>
      </c>
      <c r="B2299" s="2" t="s">
        <v>198</v>
      </c>
      <c r="C2299" s="2" t="s">
        <v>36</v>
      </c>
      <c r="D2299" s="3" t="n">
        <v>46238</v>
      </c>
      <c r="E2299" s="2" t="str">
        <f aca="false">TEXT(D2299,"dddd")</f>
        <v>Tuesday</v>
      </c>
      <c r="F2299" s="2" t="s">
        <v>457</v>
      </c>
      <c r="G2299" s="2" t="s">
        <v>458</v>
      </c>
      <c r="H2299" s="2" t="s">
        <v>459</v>
      </c>
      <c r="I2299" s="2" t="n">
        <f aca="false">IF(F2299="Present",9,IF(F2299="Half Day",4,0))</f>
        <v>9</v>
      </c>
      <c r="J2299" s="2"/>
      <c r="K2299" s="2"/>
    </row>
    <row r="2300" customFormat="false" ht="15" hidden="false" customHeight="false" outlineLevel="0" collapsed="false">
      <c r="A2300" s="2" t="s">
        <v>197</v>
      </c>
      <c r="B2300" s="2" t="s">
        <v>198</v>
      </c>
      <c r="C2300" s="2" t="s">
        <v>36</v>
      </c>
      <c r="D2300" s="3" t="n">
        <v>46239</v>
      </c>
      <c r="E2300" s="2" t="str">
        <f aca="false">TEXT(D2300,"dddd")</f>
        <v>Wednesday</v>
      </c>
      <c r="F2300" s="2" t="s">
        <v>457</v>
      </c>
      <c r="G2300" s="2" t="s">
        <v>458</v>
      </c>
      <c r="H2300" s="2" t="s">
        <v>459</v>
      </c>
      <c r="I2300" s="2" t="n">
        <f aca="false">IF(F2300="Present",9,IF(F2300="Half Day",4,0))</f>
        <v>9</v>
      </c>
      <c r="J2300" s="2"/>
      <c r="K2300" s="2"/>
    </row>
    <row r="2301" customFormat="false" ht="15" hidden="false" customHeight="false" outlineLevel="0" collapsed="false">
      <c r="A2301" s="2" t="s">
        <v>197</v>
      </c>
      <c r="B2301" s="2" t="s">
        <v>198</v>
      </c>
      <c r="C2301" s="2" t="s">
        <v>36</v>
      </c>
      <c r="D2301" s="3" t="n">
        <v>46240</v>
      </c>
      <c r="E2301" s="2" t="str">
        <f aca="false">TEXT(D2301,"dddd")</f>
        <v>Thursday</v>
      </c>
      <c r="F2301" s="2" t="s">
        <v>457</v>
      </c>
      <c r="G2301" s="2" t="s">
        <v>458</v>
      </c>
      <c r="H2301" s="2" t="s">
        <v>459</v>
      </c>
      <c r="I2301" s="2" t="n">
        <f aca="false">IF(F2301="Present",9,IF(F2301="Half Day",4,0))</f>
        <v>9</v>
      </c>
      <c r="J2301" s="2"/>
      <c r="K2301" s="2"/>
    </row>
    <row r="2302" customFormat="false" ht="15" hidden="false" customHeight="false" outlineLevel="0" collapsed="false">
      <c r="A2302" s="2" t="s">
        <v>197</v>
      </c>
      <c r="B2302" s="2" t="s">
        <v>198</v>
      </c>
      <c r="C2302" s="2" t="s">
        <v>36</v>
      </c>
      <c r="D2302" s="3" t="n">
        <v>46241</v>
      </c>
      <c r="E2302" s="2" t="str">
        <f aca="false">TEXT(D2302,"dddd")</f>
        <v>Friday</v>
      </c>
      <c r="F2302" s="2" t="s">
        <v>457</v>
      </c>
      <c r="G2302" s="2" t="s">
        <v>458</v>
      </c>
      <c r="H2302" s="2" t="s">
        <v>459</v>
      </c>
      <c r="I2302" s="2" t="n">
        <f aca="false">IF(F2302="Present",9,IF(F2302="Half Day",4,0))</f>
        <v>9</v>
      </c>
      <c r="J2302" s="2"/>
      <c r="K2302" s="2"/>
    </row>
    <row r="2303" customFormat="false" ht="15" hidden="false" customHeight="false" outlineLevel="0" collapsed="false">
      <c r="A2303" s="2" t="s">
        <v>197</v>
      </c>
      <c r="B2303" s="2" t="s">
        <v>198</v>
      </c>
      <c r="C2303" s="2" t="s">
        <v>36</v>
      </c>
      <c r="D2303" s="3" t="n">
        <v>46242</v>
      </c>
      <c r="E2303" s="2" t="str">
        <f aca="false">TEXT(D2303,"dddd")</f>
        <v>Saturday</v>
      </c>
      <c r="F2303" s="2" t="s">
        <v>457</v>
      </c>
      <c r="G2303" s="2" t="s">
        <v>458</v>
      </c>
      <c r="H2303" s="2" t="s">
        <v>459</v>
      </c>
      <c r="I2303" s="2" t="n">
        <f aca="false">IF(F2303="Present",9,IF(F2303="Half Day",4,0))</f>
        <v>9</v>
      </c>
      <c r="J2303" s="2"/>
      <c r="K2303" s="2"/>
    </row>
    <row r="2304" customFormat="false" ht="15" hidden="false" customHeight="false" outlineLevel="0" collapsed="false">
      <c r="A2304" s="2" t="s">
        <v>197</v>
      </c>
      <c r="B2304" s="2" t="s">
        <v>198</v>
      </c>
      <c r="C2304" s="2" t="s">
        <v>36</v>
      </c>
      <c r="D2304" s="3" t="n">
        <v>46243</v>
      </c>
      <c r="E2304" s="2" t="str">
        <f aca="false">TEXT(D2304,"dddd")</f>
        <v>Sunday</v>
      </c>
      <c r="F2304" s="2" t="s">
        <v>460</v>
      </c>
      <c r="G2304" s="2"/>
      <c r="H2304" s="2"/>
      <c r="I2304" s="2" t="n">
        <f aca="false">IF(F2304="Present",9,IF(F2304="Half Day",4,0))</f>
        <v>0</v>
      </c>
      <c r="J2304" s="2"/>
      <c r="K2304" s="2" t="s">
        <v>460</v>
      </c>
    </row>
    <row r="2305" customFormat="false" ht="15" hidden="false" customHeight="false" outlineLevel="0" collapsed="false">
      <c r="A2305" s="2" t="s">
        <v>197</v>
      </c>
      <c r="B2305" s="2" t="s">
        <v>198</v>
      </c>
      <c r="C2305" s="2" t="s">
        <v>36</v>
      </c>
      <c r="D2305" s="3" t="n">
        <v>46244</v>
      </c>
      <c r="E2305" s="2" t="str">
        <f aca="false">TEXT(D2305,"dddd")</f>
        <v>Monday</v>
      </c>
      <c r="F2305" s="2" t="s">
        <v>457</v>
      </c>
      <c r="G2305" s="2" t="s">
        <v>458</v>
      </c>
      <c r="H2305" s="2" t="s">
        <v>459</v>
      </c>
      <c r="I2305" s="2" t="n">
        <f aca="false">IF(F2305="Present",9,IF(F2305="Half Day",4,0))</f>
        <v>9</v>
      </c>
      <c r="J2305" s="2"/>
      <c r="K2305" s="2"/>
    </row>
    <row r="2306" customFormat="false" ht="15" hidden="false" customHeight="false" outlineLevel="0" collapsed="false">
      <c r="A2306" s="2" t="s">
        <v>197</v>
      </c>
      <c r="B2306" s="2" t="s">
        <v>198</v>
      </c>
      <c r="C2306" s="2" t="s">
        <v>36</v>
      </c>
      <c r="D2306" s="3" t="n">
        <v>46245</v>
      </c>
      <c r="E2306" s="2" t="str">
        <f aca="false">TEXT(D2306,"dddd")</f>
        <v>Tuesday</v>
      </c>
      <c r="F2306" s="2" t="s">
        <v>457</v>
      </c>
      <c r="G2306" s="2" t="s">
        <v>458</v>
      </c>
      <c r="H2306" s="2" t="s">
        <v>459</v>
      </c>
      <c r="I2306" s="2" t="n">
        <f aca="false">IF(F2306="Present",9,IF(F2306="Half Day",4,0))</f>
        <v>9</v>
      </c>
      <c r="J2306" s="2"/>
      <c r="K2306" s="2"/>
    </row>
    <row r="2307" customFormat="false" ht="15" hidden="false" customHeight="false" outlineLevel="0" collapsed="false">
      <c r="A2307" s="2" t="s">
        <v>197</v>
      </c>
      <c r="B2307" s="2" t="s">
        <v>198</v>
      </c>
      <c r="C2307" s="2" t="s">
        <v>36</v>
      </c>
      <c r="D2307" s="3" t="n">
        <v>46246</v>
      </c>
      <c r="E2307" s="2" t="str">
        <f aca="false">TEXT(D2307,"dddd")</f>
        <v>Wednesday</v>
      </c>
      <c r="F2307" s="2" t="s">
        <v>457</v>
      </c>
      <c r="G2307" s="2" t="s">
        <v>458</v>
      </c>
      <c r="H2307" s="2" t="s">
        <v>459</v>
      </c>
      <c r="I2307" s="2" t="n">
        <f aca="false">IF(F2307="Present",9,IF(F2307="Half Day",4,0))</f>
        <v>9</v>
      </c>
      <c r="J2307" s="2"/>
      <c r="K2307" s="2"/>
    </row>
    <row r="2308" customFormat="false" ht="15" hidden="false" customHeight="false" outlineLevel="0" collapsed="false">
      <c r="A2308" s="2" t="s">
        <v>197</v>
      </c>
      <c r="B2308" s="2" t="s">
        <v>198</v>
      </c>
      <c r="C2308" s="2" t="s">
        <v>36</v>
      </c>
      <c r="D2308" s="3" t="n">
        <v>46247</v>
      </c>
      <c r="E2308" s="2" t="str">
        <f aca="false">TEXT(D2308,"dddd")</f>
        <v>Thursday</v>
      </c>
      <c r="F2308" s="2" t="s">
        <v>457</v>
      </c>
      <c r="G2308" s="2" t="s">
        <v>458</v>
      </c>
      <c r="H2308" s="2" t="s">
        <v>459</v>
      </c>
      <c r="I2308" s="2" t="n">
        <f aca="false">IF(F2308="Present",9,IF(F2308="Half Day",4,0))</f>
        <v>9</v>
      </c>
      <c r="J2308" s="2"/>
      <c r="K2308" s="2"/>
    </row>
    <row r="2309" customFormat="false" ht="15" hidden="false" customHeight="false" outlineLevel="0" collapsed="false">
      <c r="A2309" s="2" t="s">
        <v>197</v>
      </c>
      <c r="B2309" s="2" t="s">
        <v>198</v>
      </c>
      <c r="C2309" s="2" t="s">
        <v>36</v>
      </c>
      <c r="D2309" s="3" t="n">
        <v>46248</v>
      </c>
      <c r="E2309" s="2" t="str">
        <f aca="false">TEXT(D2309,"dddd")</f>
        <v>Friday</v>
      </c>
      <c r="F2309" s="2" t="s">
        <v>457</v>
      </c>
      <c r="G2309" s="2" t="s">
        <v>458</v>
      </c>
      <c r="H2309" s="2" t="s">
        <v>459</v>
      </c>
      <c r="I2309" s="2" t="n">
        <f aca="false">IF(F2309="Present",9,IF(F2309="Half Day",4,0))</f>
        <v>9</v>
      </c>
      <c r="J2309" s="2"/>
      <c r="K2309" s="2"/>
    </row>
    <row r="2310" customFormat="false" ht="15" hidden="false" customHeight="false" outlineLevel="0" collapsed="false">
      <c r="A2310" s="2" t="s">
        <v>197</v>
      </c>
      <c r="B2310" s="2" t="s">
        <v>198</v>
      </c>
      <c r="C2310" s="2" t="s">
        <v>36</v>
      </c>
      <c r="D2310" s="3" t="n">
        <v>46249</v>
      </c>
      <c r="E2310" s="2" t="str">
        <f aca="false">TEXT(D2310,"dddd")</f>
        <v>Saturday</v>
      </c>
      <c r="F2310" s="2" t="s">
        <v>457</v>
      </c>
      <c r="G2310" s="2" t="s">
        <v>458</v>
      </c>
      <c r="H2310" s="2" t="s">
        <v>459</v>
      </c>
      <c r="I2310" s="2" t="n">
        <f aca="false">IF(F2310="Present",9,IF(F2310="Half Day",4,0))</f>
        <v>9</v>
      </c>
      <c r="J2310" s="2"/>
      <c r="K2310" s="2"/>
    </row>
    <row r="2311" customFormat="false" ht="15" hidden="false" customHeight="false" outlineLevel="0" collapsed="false">
      <c r="A2311" s="2" t="s">
        <v>197</v>
      </c>
      <c r="B2311" s="2" t="s">
        <v>198</v>
      </c>
      <c r="C2311" s="2" t="s">
        <v>36</v>
      </c>
      <c r="D2311" s="3" t="n">
        <v>46250</v>
      </c>
      <c r="E2311" s="2" t="str">
        <f aca="false">TEXT(D2311,"dddd")</f>
        <v>Sunday</v>
      </c>
      <c r="F2311" s="2" t="s">
        <v>460</v>
      </c>
      <c r="G2311" s="2"/>
      <c r="H2311" s="2"/>
      <c r="I2311" s="2" t="n">
        <f aca="false">IF(F2311="Present",9,IF(F2311="Half Day",4,0))</f>
        <v>0</v>
      </c>
      <c r="J2311" s="2"/>
      <c r="K2311" s="2" t="s">
        <v>460</v>
      </c>
    </row>
    <row r="2312" customFormat="false" ht="15" hidden="false" customHeight="false" outlineLevel="0" collapsed="false">
      <c r="A2312" s="2" t="s">
        <v>197</v>
      </c>
      <c r="B2312" s="2" t="s">
        <v>198</v>
      </c>
      <c r="C2312" s="2" t="s">
        <v>36</v>
      </c>
      <c r="D2312" s="3" t="n">
        <v>46251</v>
      </c>
      <c r="E2312" s="2" t="str">
        <f aca="false">TEXT(D2312,"dddd")</f>
        <v>Monday</v>
      </c>
      <c r="F2312" s="2" t="s">
        <v>457</v>
      </c>
      <c r="G2312" s="2" t="s">
        <v>458</v>
      </c>
      <c r="H2312" s="2" t="s">
        <v>459</v>
      </c>
      <c r="I2312" s="2" t="n">
        <f aca="false">IF(F2312="Present",9,IF(F2312="Half Day",4,0))</f>
        <v>9</v>
      </c>
      <c r="J2312" s="2"/>
      <c r="K2312" s="2"/>
    </row>
    <row r="2313" customFormat="false" ht="15" hidden="false" customHeight="false" outlineLevel="0" collapsed="false">
      <c r="A2313" s="2" t="s">
        <v>197</v>
      </c>
      <c r="B2313" s="2" t="s">
        <v>198</v>
      </c>
      <c r="C2313" s="2" t="s">
        <v>36</v>
      </c>
      <c r="D2313" s="3" t="n">
        <v>46252</v>
      </c>
      <c r="E2313" s="2" t="str">
        <f aca="false">TEXT(D2313,"dddd")</f>
        <v>Tuesday</v>
      </c>
      <c r="F2313" s="2" t="s">
        <v>457</v>
      </c>
      <c r="G2313" s="2" t="s">
        <v>458</v>
      </c>
      <c r="H2313" s="2" t="s">
        <v>459</v>
      </c>
      <c r="I2313" s="2" t="n">
        <f aca="false">IF(F2313="Present",9,IF(F2313="Half Day",4,0))</f>
        <v>9</v>
      </c>
      <c r="J2313" s="2"/>
      <c r="K2313" s="2"/>
    </row>
    <row r="2314" customFormat="false" ht="15" hidden="false" customHeight="false" outlineLevel="0" collapsed="false">
      <c r="A2314" s="2" t="s">
        <v>197</v>
      </c>
      <c r="B2314" s="2" t="s">
        <v>198</v>
      </c>
      <c r="C2314" s="2" t="s">
        <v>36</v>
      </c>
      <c r="D2314" s="3" t="n">
        <v>46253</v>
      </c>
      <c r="E2314" s="2" t="str">
        <f aca="false">TEXT(D2314,"dddd")</f>
        <v>Wednesday</v>
      </c>
      <c r="F2314" s="2" t="s">
        <v>457</v>
      </c>
      <c r="G2314" s="2" t="s">
        <v>458</v>
      </c>
      <c r="H2314" s="2" t="s">
        <v>459</v>
      </c>
      <c r="I2314" s="2" t="n">
        <f aca="false">IF(F2314="Present",9,IF(F2314="Half Day",4,0))</f>
        <v>9</v>
      </c>
      <c r="J2314" s="2"/>
      <c r="K2314" s="2"/>
    </row>
    <row r="2315" customFormat="false" ht="15" hidden="false" customHeight="false" outlineLevel="0" collapsed="false">
      <c r="A2315" s="2" t="s">
        <v>197</v>
      </c>
      <c r="B2315" s="2" t="s">
        <v>198</v>
      </c>
      <c r="C2315" s="2" t="s">
        <v>36</v>
      </c>
      <c r="D2315" s="3" t="n">
        <v>46254</v>
      </c>
      <c r="E2315" s="2" t="str">
        <f aca="false">TEXT(D2315,"dddd")</f>
        <v>Thursday</v>
      </c>
      <c r="F2315" s="2" t="s">
        <v>457</v>
      </c>
      <c r="G2315" s="2" t="s">
        <v>458</v>
      </c>
      <c r="H2315" s="2" t="s">
        <v>459</v>
      </c>
      <c r="I2315" s="2" t="n">
        <f aca="false">IF(F2315="Present",9,IF(F2315="Half Day",4,0))</f>
        <v>9</v>
      </c>
      <c r="J2315" s="2"/>
      <c r="K2315" s="2"/>
    </row>
    <row r="2316" customFormat="false" ht="15" hidden="false" customHeight="false" outlineLevel="0" collapsed="false">
      <c r="A2316" s="2" t="s">
        <v>197</v>
      </c>
      <c r="B2316" s="2" t="s">
        <v>198</v>
      </c>
      <c r="C2316" s="2" t="s">
        <v>36</v>
      </c>
      <c r="D2316" s="3" t="n">
        <v>46255</v>
      </c>
      <c r="E2316" s="2" t="str">
        <f aca="false">TEXT(D2316,"dddd")</f>
        <v>Friday</v>
      </c>
      <c r="F2316" s="2" t="s">
        <v>457</v>
      </c>
      <c r="G2316" s="2" t="s">
        <v>458</v>
      </c>
      <c r="H2316" s="2" t="s">
        <v>459</v>
      </c>
      <c r="I2316" s="2" t="n">
        <f aca="false">IF(F2316="Present",9,IF(F2316="Half Day",4,0))</f>
        <v>9</v>
      </c>
      <c r="J2316" s="2"/>
      <c r="K2316" s="2"/>
    </row>
    <row r="2317" customFormat="false" ht="15" hidden="false" customHeight="false" outlineLevel="0" collapsed="false">
      <c r="A2317" s="2" t="s">
        <v>197</v>
      </c>
      <c r="B2317" s="2" t="s">
        <v>198</v>
      </c>
      <c r="C2317" s="2" t="s">
        <v>36</v>
      </c>
      <c r="D2317" s="3" t="n">
        <v>46256</v>
      </c>
      <c r="E2317" s="2" t="str">
        <f aca="false">TEXT(D2317,"dddd")</f>
        <v>Saturday</v>
      </c>
      <c r="F2317" s="2" t="s">
        <v>457</v>
      </c>
      <c r="G2317" s="2" t="s">
        <v>458</v>
      </c>
      <c r="H2317" s="2" t="s">
        <v>459</v>
      </c>
      <c r="I2317" s="2" t="n">
        <f aca="false">IF(F2317="Present",9,IF(F2317="Half Day",4,0))</f>
        <v>9</v>
      </c>
      <c r="J2317" s="2"/>
      <c r="K2317" s="2"/>
    </row>
    <row r="2318" customFormat="false" ht="15" hidden="false" customHeight="false" outlineLevel="0" collapsed="false">
      <c r="A2318" s="2" t="s">
        <v>197</v>
      </c>
      <c r="B2318" s="2" t="s">
        <v>198</v>
      </c>
      <c r="C2318" s="2" t="s">
        <v>36</v>
      </c>
      <c r="D2318" s="3" t="n">
        <v>46257</v>
      </c>
      <c r="E2318" s="2" t="str">
        <f aca="false">TEXT(D2318,"dddd")</f>
        <v>Sunday</v>
      </c>
      <c r="F2318" s="2" t="s">
        <v>460</v>
      </c>
      <c r="G2318" s="2"/>
      <c r="H2318" s="2"/>
      <c r="I2318" s="2" t="n">
        <f aca="false">IF(F2318="Present",9,IF(F2318="Half Day",4,0))</f>
        <v>0</v>
      </c>
      <c r="J2318" s="2"/>
      <c r="K2318" s="2" t="s">
        <v>460</v>
      </c>
    </row>
    <row r="2319" customFormat="false" ht="15" hidden="false" customHeight="false" outlineLevel="0" collapsed="false">
      <c r="A2319" s="2" t="s">
        <v>197</v>
      </c>
      <c r="B2319" s="2" t="s">
        <v>198</v>
      </c>
      <c r="C2319" s="2" t="s">
        <v>36</v>
      </c>
      <c r="D2319" s="3" t="n">
        <v>46258</v>
      </c>
      <c r="E2319" s="2" t="str">
        <f aca="false">TEXT(D2319,"dddd")</f>
        <v>Monday</v>
      </c>
      <c r="F2319" s="2" t="s">
        <v>461</v>
      </c>
      <c r="G2319" s="2"/>
      <c r="H2319" s="2"/>
      <c r="I2319" s="2" t="n">
        <f aca="false">IF(F2319="Present",9,IF(F2319="Half Day",4,0))</f>
        <v>0</v>
      </c>
      <c r="J2319" s="2"/>
      <c r="K2319" s="2" t="s">
        <v>462</v>
      </c>
    </row>
    <row r="2320" customFormat="false" ht="15" hidden="false" customHeight="false" outlineLevel="0" collapsed="false">
      <c r="A2320" s="2" t="s">
        <v>197</v>
      </c>
      <c r="B2320" s="2" t="s">
        <v>198</v>
      </c>
      <c r="C2320" s="2" t="s">
        <v>36</v>
      </c>
      <c r="D2320" s="3" t="n">
        <v>46259</v>
      </c>
      <c r="E2320" s="2" t="str">
        <f aca="false">TEXT(D2320,"dddd")</f>
        <v>Tuesday</v>
      </c>
      <c r="F2320" s="2" t="s">
        <v>457</v>
      </c>
      <c r="G2320" s="2" t="s">
        <v>458</v>
      </c>
      <c r="H2320" s="2" t="s">
        <v>459</v>
      </c>
      <c r="I2320" s="2" t="n">
        <f aca="false">IF(F2320="Present",9,IF(F2320="Half Day",4,0))</f>
        <v>9</v>
      </c>
      <c r="J2320" s="2"/>
      <c r="K2320" s="2"/>
    </row>
    <row r="2321" customFormat="false" ht="15" hidden="false" customHeight="false" outlineLevel="0" collapsed="false">
      <c r="A2321" s="2" t="s">
        <v>197</v>
      </c>
      <c r="B2321" s="2" t="s">
        <v>198</v>
      </c>
      <c r="C2321" s="2" t="s">
        <v>36</v>
      </c>
      <c r="D2321" s="3" t="n">
        <v>46260</v>
      </c>
      <c r="E2321" s="2" t="str">
        <f aca="false">TEXT(D2321,"dddd")</f>
        <v>Wednesday</v>
      </c>
      <c r="F2321" s="2" t="s">
        <v>457</v>
      </c>
      <c r="G2321" s="2" t="s">
        <v>458</v>
      </c>
      <c r="H2321" s="2" t="s">
        <v>459</v>
      </c>
      <c r="I2321" s="2" t="n">
        <f aca="false">IF(F2321="Present",9,IF(F2321="Half Day",4,0))</f>
        <v>9</v>
      </c>
      <c r="J2321" s="2"/>
      <c r="K2321" s="2"/>
    </row>
    <row r="2322" customFormat="false" ht="15" hidden="false" customHeight="false" outlineLevel="0" collapsed="false">
      <c r="A2322" s="2" t="s">
        <v>197</v>
      </c>
      <c r="B2322" s="2" t="s">
        <v>198</v>
      </c>
      <c r="C2322" s="2" t="s">
        <v>36</v>
      </c>
      <c r="D2322" s="3" t="n">
        <v>46261</v>
      </c>
      <c r="E2322" s="2" t="str">
        <f aca="false">TEXT(D2322,"dddd")</f>
        <v>Thursday</v>
      </c>
      <c r="F2322" s="2" t="s">
        <v>457</v>
      </c>
      <c r="G2322" s="2" t="s">
        <v>458</v>
      </c>
      <c r="H2322" s="2" t="s">
        <v>459</v>
      </c>
      <c r="I2322" s="2" t="n">
        <f aca="false">IF(F2322="Present",9,IF(F2322="Half Day",4,0))</f>
        <v>9</v>
      </c>
      <c r="J2322" s="2"/>
      <c r="K2322" s="2"/>
    </row>
    <row r="2323" customFormat="false" ht="15" hidden="false" customHeight="false" outlineLevel="0" collapsed="false">
      <c r="A2323" s="2" t="s">
        <v>197</v>
      </c>
      <c r="B2323" s="2" t="s">
        <v>198</v>
      </c>
      <c r="C2323" s="2" t="s">
        <v>36</v>
      </c>
      <c r="D2323" s="3" t="n">
        <v>46262</v>
      </c>
      <c r="E2323" s="2" t="str">
        <f aca="false">TEXT(D2323,"dddd")</f>
        <v>Friday</v>
      </c>
      <c r="F2323" s="2" t="s">
        <v>457</v>
      </c>
      <c r="G2323" s="2" t="s">
        <v>458</v>
      </c>
      <c r="H2323" s="2" t="s">
        <v>459</v>
      </c>
      <c r="I2323" s="2" t="n">
        <f aca="false">IF(F2323="Present",9,IF(F2323="Half Day",4,0))</f>
        <v>9</v>
      </c>
      <c r="J2323" s="2"/>
      <c r="K2323" s="2"/>
    </row>
    <row r="2324" customFormat="false" ht="15" hidden="false" customHeight="false" outlineLevel="0" collapsed="false">
      <c r="A2324" s="2" t="s">
        <v>197</v>
      </c>
      <c r="B2324" s="2" t="s">
        <v>198</v>
      </c>
      <c r="C2324" s="2" t="s">
        <v>36</v>
      </c>
      <c r="D2324" s="3" t="n">
        <v>46263</v>
      </c>
      <c r="E2324" s="2" t="str">
        <f aca="false">TEXT(D2324,"dddd")</f>
        <v>Saturday</v>
      </c>
      <c r="F2324" s="2" t="s">
        <v>457</v>
      </c>
      <c r="G2324" s="2" t="s">
        <v>458</v>
      </c>
      <c r="H2324" s="2" t="s">
        <v>459</v>
      </c>
      <c r="I2324" s="2" t="n">
        <f aca="false">IF(F2324="Present",9,IF(F2324="Half Day",4,0))</f>
        <v>9</v>
      </c>
      <c r="J2324" s="2"/>
      <c r="K2324" s="2"/>
    </row>
    <row r="2325" customFormat="false" ht="15" hidden="false" customHeight="false" outlineLevel="0" collapsed="false">
      <c r="A2325" s="2" t="s">
        <v>197</v>
      </c>
      <c r="B2325" s="2" t="s">
        <v>198</v>
      </c>
      <c r="C2325" s="2" t="s">
        <v>36</v>
      </c>
      <c r="D2325" s="3" t="n">
        <v>46264</v>
      </c>
      <c r="E2325" s="2" t="str">
        <f aca="false">TEXT(D2325,"dddd")</f>
        <v>Sunday</v>
      </c>
      <c r="F2325" s="2" t="s">
        <v>460</v>
      </c>
      <c r="G2325" s="2"/>
      <c r="H2325" s="2"/>
      <c r="I2325" s="2" t="n">
        <f aca="false">IF(F2325="Present",9,IF(F2325="Half Day",4,0))</f>
        <v>0</v>
      </c>
      <c r="J2325" s="2"/>
      <c r="K2325" s="2" t="s">
        <v>460</v>
      </c>
    </row>
    <row r="2326" customFormat="false" ht="15" hidden="false" customHeight="false" outlineLevel="0" collapsed="false">
      <c r="A2326" s="2" t="s">
        <v>197</v>
      </c>
      <c r="B2326" s="2" t="s">
        <v>198</v>
      </c>
      <c r="C2326" s="2" t="s">
        <v>36</v>
      </c>
      <c r="D2326" s="3" t="n">
        <v>46265</v>
      </c>
      <c r="E2326" s="2" t="str">
        <f aca="false">TEXT(D2326,"dddd")</f>
        <v>Monday</v>
      </c>
      <c r="F2326" s="2" t="s">
        <v>457</v>
      </c>
      <c r="G2326" s="2" t="s">
        <v>458</v>
      </c>
      <c r="H2326" s="2" t="s">
        <v>459</v>
      </c>
      <c r="I2326" s="2" t="n">
        <f aca="false">IF(F2326="Present",9,IF(F2326="Half Day",4,0))</f>
        <v>9</v>
      </c>
      <c r="J2326" s="2"/>
      <c r="K2326" s="2"/>
    </row>
    <row r="2327" customFormat="false" ht="15" hidden="false" customHeight="false" outlineLevel="0" collapsed="false">
      <c r="A2327" s="2" t="s">
        <v>199</v>
      </c>
      <c r="B2327" s="2" t="s">
        <v>200</v>
      </c>
      <c r="C2327" s="2" t="s">
        <v>41</v>
      </c>
      <c r="D2327" s="3" t="n">
        <v>46235</v>
      </c>
      <c r="E2327" s="2" t="str">
        <f aca="false">TEXT(D2327,"dddd")</f>
        <v>Saturday</v>
      </c>
      <c r="F2327" s="2" t="s">
        <v>466</v>
      </c>
      <c r="G2327" s="2" t="s">
        <v>458</v>
      </c>
      <c r="H2327" s="2" t="s">
        <v>467</v>
      </c>
      <c r="I2327" s="2" t="n">
        <f aca="false">IF(F2327="Present",9,IF(F2327="Half Day",4,0))</f>
        <v>4</v>
      </c>
      <c r="J2327" s="2"/>
      <c r="K2327" s="2" t="s">
        <v>466</v>
      </c>
    </row>
    <row r="2328" customFormat="false" ht="15" hidden="false" customHeight="false" outlineLevel="0" collapsed="false">
      <c r="A2328" s="2" t="s">
        <v>199</v>
      </c>
      <c r="B2328" s="2" t="s">
        <v>200</v>
      </c>
      <c r="C2328" s="2" t="s">
        <v>41</v>
      </c>
      <c r="D2328" s="3" t="n">
        <v>46236</v>
      </c>
      <c r="E2328" s="2" t="str">
        <f aca="false">TEXT(D2328,"dddd")</f>
        <v>Sunday</v>
      </c>
      <c r="F2328" s="2" t="s">
        <v>460</v>
      </c>
      <c r="G2328" s="2"/>
      <c r="H2328" s="2"/>
      <c r="I2328" s="2" t="n">
        <f aca="false">IF(F2328="Present",9,IF(F2328="Half Day",4,0))</f>
        <v>0</v>
      </c>
      <c r="J2328" s="2"/>
      <c r="K2328" s="2" t="s">
        <v>460</v>
      </c>
    </row>
    <row r="2329" customFormat="false" ht="15" hidden="false" customHeight="false" outlineLevel="0" collapsed="false">
      <c r="A2329" s="2" t="s">
        <v>199</v>
      </c>
      <c r="B2329" s="2" t="s">
        <v>200</v>
      </c>
      <c r="C2329" s="2" t="s">
        <v>41</v>
      </c>
      <c r="D2329" s="3" t="n">
        <v>46237</v>
      </c>
      <c r="E2329" s="2" t="str">
        <f aca="false">TEXT(D2329,"dddd")</f>
        <v>Monday</v>
      </c>
      <c r="F2329" s="2" t="s">
        <v>457</v>
      </c>
      <c r="G2329" s="2" t="s">
        <v>458</v>
      </c>
      <c r="H2329" s="2" t="s">
        <v>459</v>
      </c>
      <c r="I2329" s="2" t="n">
        <f aca="false">IF(F2329="Present",9,IF(F2329="Half Day",4,0))</f>
        <v>9</v>
      </c>
      <c r="J2329" s="2"/>
      <c r="K2329" s="2"/>
    </row>
    <row r="2330" customFormat="false" ht="15" hidden="false" customHeight="false" outlineLevel="0" collapsed="false">
      <c r="A2330" s="2" t="s">
        <v>199</v>
      </c>
      <c r="B2330" s="2" t="s">
        <v>200</v>
      </c>
      <c r="C2330" s="2" t="s">
        <v>41</v>
      </c>
      <c r="D2330" s="3" t="n">
        <v>46238</v>
      </c>
      <c r="E2330" s="2" t="str">
        <f aca="false">TEXT(D2330,"dddd")</f>
        <v>Tuesday</v>
      </c>
      <c r="F2330" s="2" t="s">
        <v>461</v>
      </c>
      <c r="G2330" s="2"/>
      <c r="H2330" s="2"/>
      <c r="I2330" s="2" t="n">
        <f aca="false">IF(F2330="Present",9,IF(F2330="Half Day",4,0))</f>
        <v>0</v>
      </c>
      <c r="J2330" s="2"/>
      <c r="K2330" s="2" t="s">
        <v>462</v>
      </c>
    </row>
    <row r="2331" customFormat="false" ht="15" hidden="false" customHeight="false" outlineLevel="0" collapsed="false">
      <c r="A2331" s="2" t="s">
        <v>199</v>
      </c>
      <c r="B2331" s="2" t="s">
        <v>200</v>
      </c>
      <c r="C2331" s="2" t="s">
        <v>41</v>
      </c>
      <c r="D2331" s="3" t="n">
        <v>46239</v>
      </c>
      <c r="E2331" s="2" t="str">
        <f aca="false">TEXT(D2331,"dddd")</f>
        <v>Wednesday</v>
      </c>
      <c r="F2331" s="2" t="s">
        <v>466</v>
      </c>
      <c r="G2331" s="2" t="s">
        <v>458</v>
      </c>
      <c r="H2331" s="2" t="s">
        <v>467</v>
      </c>
      <c r="I2331" s="2" t="n">
        <f aca="false">IF(F2331="Present",9,IF(F2331="Half Day",4,0))</f>
        <v>4</v>
      </c>
      <c r="J2331" s="2"/>
      <c r="K2331" s="2" t="s">
        <v>466</v>
      </c>
    </row>
    <row r="2332" customFormat="false" ht="15" hidden="false" customHeight="false" outlineLevel="0" collapsed="false">
      <c r="A2332" s="2" t="s">
        <v>199</v>
      </c>
      <c r="B2332" s="2" t="s">
        <v>200</v>
      </c>
      <c r="C2332" s="2" t="s">
        <v>41</v>
      </c>
      <c r="D2332" s="3" t="n">
        <v>46240</v>
      </c>
      <c r="E2332" s="2" t="str">
        <f aca="false">TEXT(D2332,"dddd")</f>
        <v>Thursday</v>
      </c>
      <c r="F2332" s="2" t="s">
        <v>461</v>
      </c>
      <c r="G2332" s="2"/>
      <c r="H2332" s="2"/>
      <c r="I2332" s="2" t="n">
        <f aca="false">IF(F2332="Present",9,IF(F2332="Half Day",4,0))</f>
        <v>0</v>
      </c>
      <c r="J2332" s="2"/>
      <c r="K2332" s="2" t="s">
        <v>462</v>
      </c>
    </row>
    <row r="2333" customFormat="false" ht="15" hidden="false" customHeight="false" outlineLevel="0" collapsed="false">
      <c r="A2333" s="2" t="s">
        <v>199</v>
      </c>
      <c r="B2333" s="2" t="s">
        <v>200</v>
      </c>
      <c r="C2333" s="2" t="s">
        <v>41</v>
      </c>
      <c r="D2333" s="3" t="n">
        <v>46241</v>
      </c>
      <c r="E2333" s="2" t="str">
        <f aca="false">TEXT(D2333,"dddd")</f>
        <v>Friday</v>
      </c>
      <c r="F2333" s="2" t="s">
        <v>463</v>
      </c>
      <c r="G2333" s="2"/>
      <c r="H2333" s="2"/>
      <c r="I2333" s="2" t="n">
        <f aca="false">IF(F2333="Present",9,IF(F2333="Half Day",4,0))</f>
        <v>0</v>
      </c>
      <c r="J2333" s="2" t="s">
        <v>474</v>
      </c>
      <c r="K2333" s="2" t="s">
        <v>475</v>
      </c>
    </row>
    <row r="2334" customFormat="false" ht="15" hidden="false" customHeight="false" outlineLevel="0" collapsed="false">
      <c r="A2334" s="2" t="s">
        <v>199</v>
      </c>
      <c r="B2334" s="2" t="s">
        <v>200</v>
      </c>
      <c r="C2334" s="2" t="s">
        <v>41</v>
      </c>
      <c r="D2334" s="3" t="n">
        <v>46242</v>
      </c>
      <c r="E2334" s="2" t="str">
        <f aca="false">TEXT(D2334,"dddd")</f>
        <v>Saturday</v>
      </c>
      <c r="F2334" s="2" t="s">
        <v>457</v>
      </c>
      <c r="G2334" s="2" t="s">
        <v>458</v>
      </c>
      <c r="H2334" s="2" t="s">
        <v>459</v>
      </c>
      <c r="I2334" s="2" t="n">
        <f aca="false">IF(F2334="Present",9,IF(F2334="Half Day",4,0))</f>
        <v>9</v>
      </c>
      <c r="J2334" s="2"/>
      <c r="K2334" s="2"/>
    </row>
    <row r="2335" customFormat="false" ht="15" hidden="false" customHeight="false" outlineLevel="0" collapsed="false">
      <c r="A2335" s="2" t="s">
        <v>199</v>
      </c>
      <c r="B2335" s="2" t="s">
        <v>200</v>
      </c>
      <c r="C2335" s="2" t="s">
        <v>41</v>
      </c>
      <c r="D2335" s="3" t="n">
        <v>46243</v>
      </c>
      <c r="E2335" s="2" t="str">
        <f aca="false">TEXT(D2335,"dddd")</f>
        <v>Sunday</v>
      </c>
      <c r="F2335" s="2" t="s">
        <v>460</v>
      </c>
      <c r="G2335" s="2"/>
      <c r="H2335" s="2"/>
      <c r="I2335" s="2" t="n">
        <f aca="false">IF(F2335="Present",9,IF(F2335="Half Day",4,0))</f>
        <v>0</v>
      </c>
      <c r="J2335" s="2"/>
      <c r="K2335" s="2" t="s">
        <v>460</v>
      </c>
    </row>
    <row r="2336" customFormat="false" ht="15" hidden="false" customHeight="false" outlineLevel="0" collapsed="false">
      <c r="A2336" s="2" t="s">
        <v>199</v>
      </c>
      <c r="B2336" s="2" t="s">
        <v>200</v>
      </c>
      <c r="C2336" s="2" t="s">
        <v>41</v>
      </c>
      <c r="D2336" s="3" t="n">
        <v>46244</v>
      </c>
      <c r="E2336" s="2" t="str">
        <f aca="false">TEXT(D2336,"dddd")</f>
        <v>Monday</v>
      </c>
      <c r="F2336" s="2" t="s">
        <v>457</v>
      </c>
      <c r="G2336" s="2" t="s">
        <v>458</v>
      </c>
      <c r="H2336" s="2" t="s">
        <v>459</v>
      </c>
      <c r="I2336" s="2" t="n">
        <f aca="false">IF(F2336="Present",9,IF(F2336="Half Day",4,0))</f>
        <v>9</v>
      </c>
      <c r="J2336" s="2"/>
      <c r="K2336" s="2"/>
    </row>
    <row r="2337" customFormat="false" ht="15" hidden="false" customHeight="false" outlineLevel="0" collapsed="false">
      <c r="A2337" s="2" t="s">
        <v>199</v>
      </c>
      <c r="B2337" s="2" t="s">
        <v>200</v>
      </c>
      <c r="C2337" s="2" t="s">
        <v>41</v>
      </c>
      <c r="D2337" s="3" t="n">
        <v>46245</v>
      </c>
      <c r="E2337" s="2" t="str">
        <f aca="false">TEXT(D2337,"dddd")</f>
        <v>Tuesday</v>
      </c>
      <c r="F2337" s="2" t="s">
        <v>457</v>
      </c>
      <c r="G2337" s="2" t="s">
        <v>458</v>
      </c>
      <c r="H2337" s="2" t="s">
        <v>459</v>
      </c>
      <c r="I2337" s="2" t="n">
        <f aca="false">IF(F2337="Present",9,IF(F2337="Half Day",4,0))</f>
        <v>9</v>
      </c>
      <c r="J2337" s="2"/>
      <c r="K2337" s="2"/>
    </row>
    <row r="2338" customFormat="false" ht="15" hidden="false" customHeight="false" outlineLevel="0" collapsed="false">
      <c r="A2338" s="2" t="s">
        <v>199</v>
      </c>
      <c r="B2338" s="2" t="s">
        <v>200</v>
      </c>
      <c r="C2338" s="2" t="s">
        <v>41</v>
      </c>
      <c r="D2338" s="3" t="n">
        <v>46246</v>
      </c>
      <c r="E2338" s="2" t="str">
        <f aca="false">TEXT(D2338,"dddd")</f>
        <v>Wednesday</v>
      </c>
      <c r="F2338" s="2" t="s">
        <v>457</v>
      </c>
      <c r="G2338" s="2" t="s">
        <v>458</v>
      </c>
      <c r="H2338" s="2" t="s">
        <v>459</v>
      </c>
      <c r="I2338" s="2" t="n">
        <f aca="false">IF(F2338="Present",9,IF(F2338="Half Day",4,0))</f>
        <v>9</v>
      </c>
      <c r="J2338" s="2"/>
      <c r="K2338" s="2"/>
    </row>
    <row r="2339" customFormat="false" ht="15" hidden="false" customHeight="false" outlineLevel="0" collapsed="false">
      <c r="A2339" s="2" t="s">
        <v>199</v>
      </c>
      <c r="B2339" s="2" t="s">
        <v>200</v>
      </c>
      <c r="C2339" s="2" t="s">
        <v>41</v>
      </c>
      <c r="D2339" s="3" t="n">
        <v>46247</v>
      </c>
      <c r="E2339" s="2" t="str">
        <f aca="false">TEXT(D2339,"dddd")</f>
        <v>Thursday</v>
      </c>
      <c r="F2339" s="2" t="s">
        <v>457</v>
      </c>
      <c r="G2339" s="2" t="s">
        <v>458</v>
      </c>
      <c r="H2339" s="2" t="s">
        <v>459</v>
      </c>
      <c r="I2339" s="2" t="n">
        <f aca="false">IF(F2339="Present",9,IF(F2339="Half Day",4,0))</f>
        <v>9</v>
      </c>
      <c r="J2339" s="2"/>
      <c r="K2339" s="2"/>
    </row>
    <row r="2340" customFormat="false" ht="15" hidden="false" customHeight="false" outlineLevel="0" collapsed="false">
      <c r="A2340" s="2" t="s">
        <v>199</v>
      </c>
      <c r="B2340" s="2" t="s">
        <v>200</v>
      </c>
      <c r="C2340" s="2" t="s">
        <v>41</v>
      </c>
      <c r="D2340" s="3" t="n">
        <v>46248</v>
      </c>
      <c r="E2340" s="2" t="str">
        <f aca="false">TEXT(D2340,"dddd")</f>
        <v>Friday</v>
      </c>
      <c r="F2340" s="2" t="s">
        <v>457</v>
      </c>
      <c r="G2340" s="2" t="s">
        <v>458</v>
      </c>
      <c r="H2340" s="2" t="s">
        <v>459</v>
      </c>
      <c r="I2340" s="2" t="n">
        <f aca="false">IF(F2340="Present",9,IF(F2340="Half Day",4,0))</f>
        <v>9</v>
      </c>
      <c r="J2340" s="2"/>
      <c r="K2340" s="2"/>
    </row>
    <row r="2341" customFormat="false" ht="15" hidden="false" customHeight="false" outlineLevel="0" collapsed="false">
      <c r="A2341" s="2" t="s">
        <v>199</v>
      </c>
      <c r="B2341" s="2" t="s">
        <v>200</v>
      </c>
      <c r="C2341" s="2" t="s">
        <v>41</v>
      </c>
      <c r="D2341" s="3" t="n">
        <v>46249</v>
      </c>
      <c r="E2341" s="2" t="str">
        <f aca="false">TEXT(D2341,"dddd")</f>
        <v>Saturday</v>
      </c>
      <c r="F2341" s="2" t="s">
        <v>457</v>
      </c>
      <c r="G2341" s="2" t="s">
        <v>458</v>
      </c>
      <c r="H2341" s="2" t="s">
        <v>459</v>
      </c>
      <c r="I2341" s="2" t="n">
        <f aca="false">IF(F2341="Present",9,IF(F2341="Half Day",4,0))</f>
        <v>9</v>
      </c>
      <c r="J2341" s="2"/>
      <c r="K2341" s="2"/>
    </row>
    <row r="2342" customFormat="false" ht="15" hidden="false" customHeight="false" outlineLevel="0" collapsed="false">
      <c r="A2342" s="2" t="s">
        <v>199</v>
      </c>
      <c r="B2342" s="2" t="s">
        <v>200</v>
      </c>
      <c r="C2342" s="2" t="s">
        <v>41</v>
      </c>
      <c r="D2342" s="3" t="n">
        <v>46250</v>
      </c>
      <c r="E2342" s="2" t="str">
        <f aca="false">TEXT(D2342,"dddd")</f>
        <v>Sunday</v>
      </c>
      <c r="F2342" s="2" t="s">
        <v>460</v>
      </c>
      <c r="G2342" s="2"/>
      <c r="H2342" s="2"/>
      <c r="I2342" s="2" t="n">
        <f aca="false">IF(F2342="Present",9,IF(F2342="Half Day",4,0))</f>
        <v>0</v>
      </c>
      <c r="J2342" s="2"/>
      <c r="K2342" s="2" t="s">
        <v>460</v>
      </c>
    </row>
    <row r="2343" customFormat="false" ht="15" hidden="false" customHeight="false" outlineLevel="0" collapsed="false">
      <c r="A2343" s="2" t="s">
        <v>199</v>
      </c>
      <c r="B2343" s="2" t="s">
        <v>200</v>
      </c>
      <c r="C2343" s="2" t="s">
        <v>41</v>
      </c>
      <c r="D2343" s="3" t="n">
        <v>46251</v>
      </c>
      <c r="E2343" s="2" t="str">
        <f aca="false">TEXT(D2343,"dddd")</f>
        <v>Monday</v>
      </c>
      <c r="F2343" s="2" t="s">
        <v>457</v>
      </c>
      <c r="G2343" s="2" t="s">
        <v>458</v>
      </c>
      <c r="H2343" s="2" t="s">
        <v>459</v>
      </c>
      <c r="I2343" s="2" t="n">
        <f aca="false">IF(F2343="Present",9,IF(F2343="Half Day",4,0))</f>
        <v>9</v>
      </c>
      <c r="J2343" s="2"/>
      <c r="K2343" s="2"/>
    </row>
    <row r="2344" customFormat="false" ht="15" hidden="false" customHeight="false" outlineLevel="0" collapsed="false">
      <c r="A2344" s="2" t="s">
        <v>199</v>
      </c>
      <c r="B2344" s="2" t="s">
        <v>200</v>
      </c>
      <c r="C2344" s="2" t="s">
        <v>41</v>
      </c>
      <c r="D2344" s="3" t="n">
        <v>46252</v>
      </c>
      <c r="E2344" s="2" t="str">
        <f aca="false">TEXT(D2344,"dddd")</f>
        <v>Tuesday</v>
      </c>
      <c r="F2344" s="2" t="s">
        <v>457</v>
      </c>
      <c r="G2344" s="2" t="s">
        <v>458</v>
      </c>
      <c r="H2344" s="2" t="s">
        <v>459</v>
      </c>
      <c r="I2344" s="2" t="n">
        <f aca="false">IF(F2344="Present",9,IF(F2344="Half Day",4,0))</f>
        <v>9</v>
      </c>
      <c r="J2344" s="2"/>
      <c r="K2344" s="2"/>
    </row>
    <row r="2345" customFormat="false" ht="15" hidden="false" customHeight="false" outlineLevel="0" collapsed="false">
      <c r="A2345" s="2" t="s">
        <v>199</v>
      </c>
      <c r="B2345" s="2" t="s">
        <v>200</v>
      </c>
      <c r="C2345" s="2" t="s">
        <v>41</v>
      </c>
      <c r="D2345" s="3" t="n">
        <v>46253</v>
      </c>
      <c r="E2345" s="2" t="str">
        <f aca="false">TEXT(D2345,"dddd")</f>
        <v>Wednesday</v>
      </c>
      <c r="F2345" s="2" t="s">
        <v>457</v>
      </c>
      <c r="G2345" s="2" t="s">
        <v>458</v>
      </c>
      <c r="H2345" s="2" t="s">
        <v>459</v>
      </c>
      <c r="I2345" s="2" t="n">
        <f aca="false">IF(F2345="Present",9,IF(F2345="Half Day",4,0))</f>
        <v>9</v>
      </c>
      <c r="J2345" s="2"/>
      <c r="K2345" s="2"/>
    </row>
    <row r="2346" customFormat="false" ht="15" hidden="false" customHeight="false" outlineLevel="0" collapsed="false">
      <c r="A2346" s="2" t="s">
        <v>199</v>
      </c>
      <c r="B2346" s="2" t="s">
        <v>200</v>
      </c>
      <c r="C2346" s="2" t="s">
        <v>41</v>
      </c>
      <c r="D2346" s="3" t="n">
        <v>46254</v>
      </c>
      <c r="E2346" s="2" t="str">
        <f aca="false">TEXT(D2346,"dddd")</f>
        <v>Thursday</v>
      </c>
      <c r="F2346" s="2" t="s">
        <v>457</v>
      </c>
      <c r="G2346" s="2" t="s">
        <v>458</v>
      </c>
      <c r="H2346" s="2" t="s">
        <v>459</v>
      </c>
      <c r="I2346" s="2" t="n">
        <f aca="false">IF(F2346="Present",9,IF(F2346="Half Day",4,0))</f>
        <v>9</v>
      </c>
      <c r="J2346" s="2"/>
      <c r="K2346" s="2"/>
    </row>
    <row r="2347" customFormat="false" ht="15" hidden="false" customHeight="false" outlineLevel="0" collapsed="false">
      <c r="A2347" s="2" t="s">
        <v>199</v>
      </c>
      <c r="B2347" s="2" t="s">
        <v>200</v>
      </c>
      <c r="C2347" s="2" t="s">
        <v>41</v>
      </c>
      <c r="D2347" s="3" t="n">
        <v>46255</v>
      </c>
      <c r="E2347" s="2" t="str">
        <f aca="false">TEXT(D2347,"dddd")</f>
        <v>Friday</v>
      </c>
      <c r="F2347" s="2" t="s">
        <v>457</v>
      </c>
      <c r="G2347" s="2" t="s">
        <v>458</v>
      </c>
      <c r="H2347" s="2" t="s">
        <v>459</v>
      </c>
      <c r="I2347" s="2" t="n">
        <f aca="false">IF(F2347="Present",9,IF(F2347="Half Day",4,0))</f>
        <v>9</v>
      </c>
      <c r="J2347" s="2"/>
      <c r="K2347" s="2"/>
    </row>
    <row r="2348" customFormat="false" ht="15" hidden="false" customHeight="false" outlineLevel="0" collapsed="false">
      <c r="A2348" s="2" t="s">
        <v>199</v>
      </c>
      <c r="B2348" s="2" t="s">
        <v>200</v>
      </c>
      <c r="C2348" s="2" t="s">
        <v>41</v>
      </c>
      <c r="D2348" s="3" t="n">
        <v>46256</v>
      </c>
      <c r="E2348" s="2" t="str">
        <f aca="false">TEXT(D2348,"dddd")</f>
        <v>Saturday</v>
      </c>
      <c r="F2348" s="2" t="s">
        <v>457</v>
      </c>
      <c r="G2348" s="2" t="s">
        <v>458</v>
      </c>
      <c r="H2348" s="2" t="s">
        <v>459</v>
      </c>
      <c r="I2348" s="2" t="n">
        <f aca="false">IF(F2348="Present",9,IF(F2348="Half Day",4,0))</f>
        <v>9</v>
      </c>
      <c r="J2348" s="2"/>
      <c r="K2348" s="2"/>
    </row>
    <row r="2349" customFormat="false" ht="15" hidden="false" customHeight="false" outlineLevel="0" collapsed="false">
      <c r="A2349" s="2" t="s">
        <v>199</v>
      </c>
      <c r="B2349" s="2" t="s">
        <v>200</v>
      </c>
      <c r="C2349" s="2" t="s">
        <v>41</v>
      </c>
      <c r="D2349" s="3" t="n">
        <v>46257</v>
      </c>
      <c r="E2349" s="2" t="str">
        <f aca="false">TEXT(D2349,"dddd")</f>
        <v>Sunday</v>
      </c>
      <c r="F2349" s="2" t="s">
        <v>460</v>
      </c>
      <c r="G2349" s="2"/>
      <c r="H2349" s="2"/>
      <c r="I2349" s="2" t="n">
        <f aca="false">IF(F2349="Present",9,IF(F2349="Half Day",4,0))</f>
        <v>0</v>
      </c>
      <c r="J2349" s="2"/>
      <c r="K2349" s="2" t="s">
        <v>460</v>
      </c>
    </row>
    <row r="2350" customFormat="false" ht="15" hidden="false" customHeight="false" outlineLevel="0" collapsed="false">
      <c r="A2350" s="2" t="s">
        <v>199</v>
      </c>
      <c r="B2350" s="2" t="s">
        <v>200</v>
      </c>
      <c r="C2350" s="2" t="s">
        <v>41</v>
      </c>
      <c r="D2350" s="3" t="n">
        <v>46258</v>
      </c>
      <c r="E2350" s="2" t="str">
        <f aca="false">TEXT(D2350,"dddd")</f>
        <v>Monday</v>
      </c>
      <c r="F2350" s="2" t="s">
        <v>457</v>
      </c>
      <c r="G2350" s="2" t="s">
        <v>458</v>
      </c>
      <c r="H2350" s="2" t="s">
        <v>459</v>
      </c>
      <c r="I2350" s="2" t="n">
        <f aca="false">IF(F2350="Present",9,IF(F2350="Half Day",4,0))</f>
        <v>9</v>
      </c>
      <c r="J2350" s="2"/>
      <c r="K2350" s="2"/>
    </row>
    <row r="2351" customFormat="false" ht="15" hidden="false" customHeight="false" outlineLevel="0" collapsed="false">
      <c r="A2351" s="2" t="s">
        <v>199</v>
      </c>
      <c r="B2351" s="2" t="s">
        <v>200</v>
      </c>
      <c r="C2351" s="2" t="s">
        <v>41</v>
      </c>
      <c r="D2351" s="3" t="n">
        <v>46259</v>
      </c>
      <c r="E2351" s="2" t="str">
        <f aca="false">TEXT(D2351,"dddd")</f>
        <v>Tuesday</v>
      </c>
      <c r="F2351" s="2" t="s">
        <v>457</v>
      </c>
      <c r="G2351" s="2" t="s">
        <v>458</v>
      </c>
      <c r="H2351" s="2" t="s">
        <v>459</v>
      </c>
      <c r="I2351" s="2" t="n">
        <f aca="false">IF(F2351="Present",9,IF(F2351="Half Day",4,0))</f>
        <v>9</v>
      </c>
      <c r="J2351" s="2"/>
      <c r="K2351" s="2"/>
    </row>
    <row r="2352" customFormat="false" ht="15" hidden="false" customHeight="false" outlineLevel="0" collapsed="false">
      <c r="A2352" s="2" t="s">
        <v>199</v>
      </c>
      <c r="B2352" s="2" t="s">
        <v>200</v>
      </c>
      <c r="C2352" s="2" t="s">
        <v>41</v>
      </c>
      <c r="D2352" s="3" t="n">
        <v>46260</v>
      </c>
      <c r="E2352" s="2" t="str">
        <f aca="false">TEXT(D2352,"dddd")</f>
        <v>Wednesday</v>
      </c>
      <c r="F2352" s="2" t="s">
        <v>457</v>
      </c>
      <c r="G2352" s="2" t="s">
        <v>458</v>
      </c>
      <c r="H2352" s="2" t="s">
        <v>459</v>
      </c>
      <c r="I2352" s="2" t="n">
        <f aca="false">IF(F2352="Present",9,IF(F2352="Half Day",4,0))</f>
        <v>9</v>
      </c>
      <c r="J2352" s="2"/>
      <c r="K2352" s="2"/>
    </row>
    <row r="2353" customFormat="false" ht="15" hidden="false" customHeight="false" outlineLevel="0" collapsed="false">
      <c r="A2353" s="2" t="s">
        <v>199</v>
      </c>
      <c r="B2353" s="2" t="s">
        <v>200</v>
      </c>
      <c r="C2353" s="2" t="s">
        <v>41</v>
      </c>
      <c r="D2353" s="3" t="n">
        <v>46261</v>
      </c>
      <c r="E2353" s="2" t="str">
        <f aca="false">TEXT(D2353,"dddd")</f>
        <v>Thursday</v>
      </c>
      <c r="F2353" s="2" t="s">
        <v>457</v>
      </c>
      <c r="G2353" s="2" t="s">
        <v>458</v>
      </c>
      <c r="H2353" s="2" t="s">
        <v>459</v>
      </c>
      <c r="I2353" s="2" t="n">
        <f aca="false">IF(F2353="Present",9,IF(F2353="Half Day",4,0))</f>
        <v>9</v>
      </c>
      <c r="J2353" s="2"/>
      <c r="K2353" s="2"/>
    </row>
    <row r="2354" customFormat="false" ht="15" hidden="false" customHeight="false" outlineLevel="0" collapsed="false">
      <c r="A2354" s="2" t="s">
        <v>199</v>
      </c>
      <c r="B2354" s="2" t="s">
        <v>200</v>
      </c>
      <c r="C2354" s="2" t="s">
        <v>41</v>
      </c>
      <c r="D2354" s="3" t="n">
        <v>46262</v>
      </c>
      <c r="E2354" s="2" t="str">
        <f aca="false">TEXT(D2354,"dddd")</f>
        <v>Friday</v>
      </c>
      <c r="F2354" s="2" t="s">
        <v>457</v>
      </c>
      <c r="G2354" s="2" t="s">
        <v>458</v>
      </c>
      <c r="H2354" s="2" t="s">
        <v>459</v>
      </c>
      <c r="I2354" s="2" t="n">
        <f aca="false">IF(F2354="Present",9,IF(F2354="Half Day",4,0))</f>
        <v>9</v>
      </c>
      <c r="J2354" s="2"/>
      <c r="K2354" s="2"/>
    </row>
    <row r="2355" customFormat="false" ht="15" hidden="false" customHeight="false" outlineLevel="0" collapsed="false">
      <c r="A2355" s="2" t="s">
        <v>199</v>
      </c>
      <c r="B2355" s="2" t="s">
        <v>200</v>
      </c>
      <c r="C2355" s="2" t="s">
        <v>41</v>
      </c>
      <c r="D2355" s="3" t="n">
        <v>46263</v>
      </c>
      <c r="E2355" s="2" t="str">
        <f aca="false">TEXT(D2355,"dddd")</f>
        <v>Saturday</v>
      </c>
      <c r="F2355" s="2" t="s">
        <v>457</v>
      </c>
      <c r="G2355" s="2" t="s">
        <v>458</v>
      </c>
      <c r="H2355" s="2" t="s">
        <v>459</v>
      </c>
      <c r="I2355" s="2" t="n">
        <f aca="false">IF(F2355="Present",9,IF(F2355="Half Day",4,0))</f>
        <v>9</v>
      </c>
      <c r="J2355" s="2"/>
      <c r="K2355" s="2"/>
    </row>
    <row r="2356" customFormat="false" ht="15" hidden="false" customHeight="false" outlineLevel="0" collapsed="false">
      <c r="A2356" s="2" t="s">
        <v>199</v>
      </c>
      <c r="B2356" s="2" t="s">
        <v>200</v>
      </c>
      <c r="C2356" s="2" t="s">
        <v>41</v>
      </c>
      <c r="D2356" s="3" t="n">
        <v>46264</v>
      </c>
      <c r="E2356" s="2" t="str">
        <f aca="false">TEXT(D2356,"dddd")</f>
        <v>Sunday</v>
      </c>
      <c r="F2356" s="2" t="s">
        <v>460</v>
      </c>
      <c r="G2356" s="2"/>
      <c r="H2356" s="2"/>
      <c r="I2356" s="2" t="n">
        <f aca="false">IF(F2356="Present",9,IF(F2356="Half Day",4,0))</f>
        <v>0</v>
      </c>
      <c r="J2356" s="2"/>
      <c r="K2356" s="2" t="s">
        <v>460</v>
      </c>
    </row>
    <row r="2357" customFormat="false" ht="15" hidden="false" customHeight="false" outlineLevel="0" collapsed="false">
      <c r="A2357" s="2" t="s">
        <v>199</v>
      </c>
      <c r="B2357" s="2" t="s">
        <v>200</v>
      </c>
      <c r="C2357" s="2" t="s">
        <v>41</v>
      </c>
      <c r="D2357" s="3" t="n">
        <v>46265</v>
      </c>
      <c r="E2357" s="2" t="str">
        <f aca="false">TEXT(D2357,"dddd")</f>
        <v>Monday</v>
      </c>
      <c r="F2357" s="2" t="s">
        <v>457</v>
      </c>
      <c r="G2357" s="2" t="s">
        <v>458</v>
      </c>
      <c r="H2357" s="2" t="s">
        <v>459</v>
      </c>
      <c r="I2357" s="2" t="n">
        <f aca="false">IF(F2357="Present",9,IF(F2357="Half Day",4,0))</f>
        <v>9</v>
      </c>
      <c r="J2357" s="2"/>
      <c r="K2357" s="2"/>
    </row>
    <row r="2358" customFormat="false" ht="15" hidden="false" customHeight="false" outlineLevel="0" collapsed="false">
      <c r="A2358" s="2" t="s">
        <v>201</v>
      </c>
      <c r="B2358" s="2" t="s">
        <v>202</v>
      </c>
      <c r="C2358" s="2" t="s">
        <v>45</v>
      </c>
      <c r="D2358" s="3" t="n">
        <v>46235</v>
      </c>
      <c r="E2358" s="2" t="str">
        <f aca="false">TEXT(D2358,"dddd")</f>
        <v>Saturday</v>
      </c>
      <c r="F2358" s="2" t="s">
        <v>457</v>
      </c>
      <c r="G2358" s="2" t="s">
        <v>458</v>
      </c>
      <c r="H2358" s="2" t="s">
        <v>459</v>
      </c>
      <c r="I2358" s="2" t="n">
        <f aca="false">IF(F2358="Present",9,IF(F2358="Half Day",4,0))</f>
        <v>9</v>
      </c>
      <c r="J2358" s="2"/>
      <c r="K2358" s="2"/>
    </row>
    <row r="2359" customFormat="false" ht="15" hidden="false" customHeight="false" outlineLevel="0" collapsed="false">
      <c r="A2359" s="2" t="s">
        <v>201</v>
      </c>
      <c r="B2359" s="2" t="s">
        <v>202</v>
      </c>
      <c r="C2359" s="2" t="s">
        <v>45</v>
      </c>
      <c r="D2359" s="3" t="n">
        <v>46236</v>
      </c>
      <c r="E2359" s="2" t="str">
        <f aca="false">TEXT(D2359,"dddd")</f>
        <v>Sunday</v>
      </c>
      <c r="F2359" s="2" t="s">
        <v>460</v>
      </c>
      <c r="G2359" s="2"/>
      <c r="H2359" s="2"/>
      <c r="I2359" s="2" t="n">
        <f aca="false">IF(F2359="Present",9,IF(F2359="Half Day",4,0))</f>
        <v>0</v>
      </c>
      <c r="J2359" s="2"/>
      <c r="K2359" s="2" t="s">
        <v>460</v>
      </c>
    </row>
    <row r="2360" customFormat="false" ht="15" hidden="false" customHeight="false" outlineLevel="0" collapsed="false">
      <c r="A2360" s="2" t="s">
        <v>201</v>
      </c>
      <c r="B2360" s="2" t="s">
        <v>202</v>
      </c>
      <c r="C2360" s="2" t="s">
        <v>45</v>
      </c>
      <c r="D2360" s="3" t="n">
        <v>46237</v>
      </c>
      <c r="E2360" s="2" t="str">
        <f aca="false">TEXT(D2360,"dddd")</f>
        <v>Monday</v>
      </c>
      <c r="F2360" s="2" t="s">
        <v>457</v>
      </c>
      <c r="G2360" s="2" t="s">
        <v>458</v>
      </c>
      <c r="H2360" s="2" t="s">
        <v>459</v>
      </c>
      <c r="I2360" s="2" t="n">
        <f aca="false">IF(F2360="Present",9,IF(F2360="Half Day",4,0))</f>
        <v>9</v>
      </c>
      <c r="J2360" s="2"/>
      <c r="K2360" s="2"/>
    </row>
    <row r="2361" customFormat="false" ht="15" hidden="false" customHeight="false" outlineLevel="0" collapsed="false">
      <c r="A2361" s="2" t="s">
        <v>201</v>
      </c>
      <c r="B2361" s="2" t="s">
        <v>202</v>
      </c>
      <c r="C2361" s="2" t="s">
        <v>45</v>
      </c>
      <c r="D2361" s="3" t="n">
        <v>46238</v>
      </c>
      <c r="E2361" s="2" t="str">
        <f aca="false">TEXT(D2361,"dddd")</f>
        <v>Tuesday</v>
      </c>
      <c r="F2361" s="2" t="s">
        <v>457</v>
      </c>
      <c r="G2361" s="2" t="s">
        <v>458</v>
      </c>
      <c r="H2361" s="2" t="s">
        <v>459</v>
      </c>
      <c r="I2361" s="2" t="n">
        <f aca="false">IF(F2361="Present",9,IF(F2361="Half Day",4,0))</f>
        <v>9</v>
      </c>
      <c r="J2361" s="2"/>
      <c r="K2361" s="2"/>
    </row>
    <row r="2362" customFormat="false" ht="15" hidden="false" customHeight="false" outlineLevel="0" collapsed="false">
      <c r="A2362" s="2" t="s">
        <v>201</v>
      </c>
      <c r="B2362" s="2" t="s">
        <v>202</v>
      </c>
      <c r="C2362" s="2" t="s">
        <v>45</v>
      </c>
      <c r="D2362" s="3" t="n">
        <v>46239</v>
      </c>
      <c r="E2362" s="2" t="str">
        <f aca="false">TEXT(D2362,"dddd")</f>
        <v>Wednesday</v>
      </c>
      <c r="F2362" s="2" t="s">
        <v>457</v>
      </c>
      <c r="G2362" s="2" t="s">
        <v>458</v>
      </c>
      <c r="H2362" s="2" t="s">
        <v>459</v>
      </c>
      <c r="I2362" s="2" t="n">
        <f aca="false">IF(F2362="Present",9,IF(F2362="Half Day",4,0))</f>
        <v>9</v>
      </c>
      <c r="J2362" s="2"/>
      <c r="K2362" s="2"/>
    </row>
    <row r="2363" customFormat="false" ht="15" hidden="false" customHeight="false" outlineLevel="0" collapsed="false">
      <c r="A2363" s="2" t="s">
        <v>201</v>
      </c>
      <c r="B2363" s="2" t="s">
        <v>202</v>
      </c>
      <c r="C2363" s="2" t="s">
        <v>45</v>
      </c>
      <c r="D2363" s="3" t="n">
        <v>46240</v>
      </c>
      <c r="E2363" s="2" t="str">
        <f aca="false">TEXT(D2363,"dddd")</f>
        <v>Thursday</v>
      </c>
      <c r="F2363" s="2" t="s">
        <v>457</v>
      </c>
      <c r="G2363" s="2" t="s">
        <v>458</v>
      </c>
      <c r="H2363" s="2" t="s">
        <v>459</v>
      </c>
      <c r="I2363" s="2" t="n">
        <f aca="false">IF(F2363="Present",9,IF(F2363="Half Day",4,0))</f>
        <v>9</v>
      </c>
      <c r="J2363" s="2"/>
      <c r="K2363" s="2"/>
    </row>
    <row r="2364" customFormat="false" ht="15" hidden="false" customHeight="false" outlineLevel="0" collapsed="false">
      <c r="A2364" s="2" t="s">
        <v>201</v>
      </c>
      <c r="B2364" s="2" t="s">
        <v>202</v>
      </c>
      <c r="C2364" s="2" t="s">
        <v>45</v>
      </c>
      <c r="D2364" s="3" t="n">
        <v>46241</v>
      </c>
      <c r="E2364" s="2" t="str">
        <f aca="false">TEXT(D2364,"dddd")</f>
        <v>Friday</v>
      </c>
      <c r="F2364" s="2" t="s">
        <v>457</v>
      </c>
      <c r="G2364" s="2" t="s">
        <v>458</v>
      </c>
      <c r="H2364" s="2" t="s">
        <v>459</v>
      </c>
      <c r="I2364" s="2" t="n">
        <f aca="false">IF(F2364="Present",9,IF(F2364="Half Day",4,0))</f>
        <v>9</v>
      </c>
      <c r="J2364" s="2"/>
      <c r="K2364" s="2"/>
    </row>
    <row r="2365" customFormat="false" ht="15" hidden="false" customHeight="false" outlineLevel="0" collapsed="false">
      <c r="A2365" s="2" t="s">
        <v>201</v>
      </c>
      <c r="B2365" s="2" t="s">
        <v>202</v>
      </c>
      <c r="C2365" s="2" t="s">
        <v>45</v>
      </c>
      <c r="D2365" s="3" t="n">
        <v>46242</v>
      </c>
      <c r="E2365" s="2" t="str">
        <f aca="false">TEXT(D2365,"dddd")</f>
        <v>Saturday</v>
      </c>
      <c r="F2365" s="2" t="s">
        <v>457</v>
      </c>
      <c r="G2365" s="2" t="s">
        <v>458</v>
      </c>
      <c r="H2365" s="2" t="s">
        <v>459</v>
      </c>
      <c r="I2365" s="2" t="n">
        <f aca="false">IF(F2365="Present",9,IF(F2365="Half Day",4,0))</f>
        <v>9</v>
      </c>
      <c r="J2365" s="2"/>
      <c r="K2365" s="2"/>
    </row>
    <row r="2366" customFormat="false" ht="15" hidden="false" customHeight="false" outlineLevel="0" collapsed="false">
      <c r="A2366" s="2" t="s">
        <v>201</v>
      </c>
      <c r="B2366" s="2" t="s">
        <v>202</v>
      </c>
      <c r="C2366" s="2" t="s">
        <v>45</v>
      </c>
      <c r="D2366" s="3" t="n">
        <v>46243</v>
      </c>
      <c r="E2366" s="2" t="str">
        <f aca="false">TEXT(D2366,"dddd")</f>
        <v>Sunday</v>
      </c>
      <c r="F2366" s="2" t="s">
        <v>460</v>
      </c>
      <c r="G2366" s="2"/>
      <c r="H2366" s="2"/>
      <c r="I2366" s="2" t="n">
        <f aca="false">IF(F2366="Present",9,IF(F2366="Half Day",4,0))</f>
        <v>0</v>
      </c>
      <c r="J2366" s="2"/>
      <c r="K2366" s="2" t="s">
        <v>460</v>
      </c>
    </row>
    <row r="2367" customFormat="false" ht="15" hidden="false" customHeight="false" outlineLevel="0" collapsed="false">
      <c r="A2367" s="2" t="s">
        <v>201</v>
      </c>
      <c r="B2367" s="2" t="s">
        <v>202</v>
      </c>
      <c r="C2367" s="2" t="s">
        <v>45</v>
      </c>
      <c r="D2367" s="3" t="n">
        <v>46244</v>
      </c>
      <c r="E2367" s="2" t="str">
        <f aca="false">TEXT(D2367,"dddd")</f>
        <v>Monday</v>
      </c>
      <c r="F2367" s="2" t="s">
        <v>457</v>
      </c>
      <c r="G2367" s="2" t="s">
        <v>458</v>
      </c>
      <c r="H2367" s="2" t="s">
        <v>459</v>
      </c>
      <c r="I2367" s="2" t="n">
        <f aca="false">IF(F2367="Present",9,IF(F2367="Half Day",4,0))</f>
        <v>9</v>
      </c>
      <c r="J2367" s="2"/>
      <c r="K2367" s="2"/>
    </row>
    <row r="2368" customFormat="false" ht="15" hidden="false" customHeight="false" outlineLevel="0" collapsed="false">
      <c r="A2368" s="2" t="s">
        <v>201</v>
      </c>
      <c r="B2368" s="2" t="s">
        <v>202</v>
      </c>
      <c r="C2368" s="2" t="s">
        <v>45</v>
      </c>
      <c r="D2368" s="3" t="n">
        <v>46245</v>
      </c>
      <c r="E2368" s="2" t="str">
        <f aca="false">TEXT(D2368,"dddd")</f>
        <v>Tuesday</v>
      </c>
      <c r="F2368" s="2" t="s">
        <v>457</v>
      </c>
      <c r="G2368" s="2" t="s">
        <v>458</v>
      </c>
      <c r="H2368" s="2" t="s">
        <v>459</v>
      </c>
      <c r="I2368" s="2" t="n">
        <f aca="false">IF(F2368="Present",9,IF(F2368="Half Day",4,0))</f>
        <v>9</v>
      </c>
      <c r="J2368" s="2"/>
      <c r="K2368" s="2"/>
    </row>
    <row r="2369" customFormat="false" ht="15" hidden="false" customHeight="false" outlineLevel="0" collapsed="false">
      <c r="A2369" s="2" t="s">
        <v>201</v>
      </c>
      <c r="B2369" s="2" t="s">
        <v>202</v>
      </c>
      <c r="C2369" s="2" t="s">
        <v>45</v>
      </c>
      <c r="D2369" s="3" t="n">
        <v>46246</v>
      </c>
      <c r="E2369" s="2" t="str">
        <f aca="false">TEXT(D2369,"dddd")</f>
        <v>Wednesday</v>
      </c>
      <c r="F2369" s="2" t="s">
        <v>457</v>
      </c>
      <c r="G2369" s="2" t="s">
        <v>458</v>
      </c>
      <c r="H2369" s="2" t="s">
        <v>459</v>
      </c>
      <c r="I2369" s="2" t="n">
        <f aca="false">IF(F2369="Present",9,IF(F2369="Half Day",4,0))</f>
        <v>9</v>
      </c>
      <c r="J2369" s="2"/>
      <c r="K2369" s="2"/>
    </row>
    <row r="2370" customFormat="false" ht="15" hidden="false" customHeight="false" outlineLevel="0" collapsed="false">
      <c r="A2370" s="2" t="s">
        <v>201</v>
      </c>
      <c r="B2370" s="2" t="s">
        <v>202</v>
      </c>
      <c r="C2370" s="2" t="s">
        <v>45</v>
      </c>
      <c r="D2370" s="3" t="n">
        <v>46247</v>
      </c>
      <c r="E2370" s="2" t="str">
        <f aca="false">TEXT(D2370,"dddd")</f>
        <v>Thursday</v>
      </c>
      <c r="F2370" s="2" t="s">
        <v>457</v>
      </c>
      <c r="G2370" s="2" t="s">
        <v>458</v>
      </c>
      <c r="H2370" s="2" t="s">
        <v>459</v>
      </c>
      <c r="I2370" s="2" t="n">
        <f aca="false">IF(F2370="Present",9,IF(F2370="Half Day",4,0))</f>
        <v>9</v>
      </c>
      <c r="J2370" s="2"/>
      <c r="K2370" s="2"/>
    </row>
    <row r="2371" customFormat="false" ht="15" hidden="false" customHeight="false" outlineLevel="0" collapsed="false">
      <c r="A2371" s="2" t="s">
        <v>201</v>
      </c>
      <c r="B2371" s="2" t="s">
        <v>202</v>
      </c>
      <c r="C2371" s="2" t="s">
        <v>45</v>
      </c>
      <c r="D2371" s="3" t="n">
        <v>46248</v>
      </c>
      <c r="E2371" s="2" t="str">
        <f aca="false">TEXT(D2371,"dddd")</f>
        <v>Friday</v>
      </c>
      <c r="F2371" s="2" t="s">
        <v>457</v>
      </c>
      <c r="G2371" s="2" t="s">
        <v>458</v>
      </c>
      <c r="H2371" s="2" t="s">
        <v>459</v>
      </c>
      <c r="I2371" s="2" t="n">
        <f aca="false">IF(F2371="Present",9,IF(F2371="Half Day",4,0))</f>
        <v>9</v>
      </c>
      <c r="J2371" s="2"/>
      <c r="K2371" s="2"/>
    </row>
    <row r="2372" customFormat="false" ht="15" hidden="false" customHeight="false" outlineLevel="0" collapsed="false">
      <c r="A2372" s="2" t="s">
        <v>201</v>
      </c>
      <c r="B2372" s="2" t="s">
        <v>202</v>
      </c>
      <c r="C2372" s="2" t="s">
        <v>45</v>
      </c>
      <c r="D2372" s="3" t="n">
        <v>46249</v>
      </c>
      <c r="E2372" s="2" t="str">
        <f aca="false">TEXT(D2372,"dddd")</f>
        <v>Saturday</v>
      </c>
      <c r="F2372" s="2" t="s">
        <v>457</v>
      </c>
      <c r="G2372" s="2" t="s">
        <v>458</v>
      </c>
      <c r="H2372" s="2" t="s">
        <v>459</v>
      </c>
      <c r="I2372" s="2" t="n">
        <f aca="false">IF(F2372="Present",9,IF(F2372="Half Day",4,0))</f>
        <v>9</v>
      </c>
      <c r="J2372" s="2"/>
      <c r="K2372" s="2"/>
    </row>
    <row r="2373" customFormat="false" ht="15" hidden="false" customHeight="false" outlineLevel="0" collapsed="false">
      <c r="A2373" s="2" t="s">
        <v>201</v>
      </c>
      <c r="B2373" s="2" t="s">
        <v>202</v>
      </c>
      <c r="C2373" s="2" t="s">
        <v>45</v>
      </c>
      <c r="D2373" s="3" t="n">
        <v>46250</v>
      </c>
      <c r="E2373" s="2" t="str">
        <f aca="false">TEXT(D2373,"dddd")</f>
        <v>Sunday</v>
      </c>
      <c r="F2373" s="2" t="s">
        <v>460</v>
      </c>
      <c r="G2373" s="2"/>
      <c r="H2373" s="2"/>
      <c r="I2373" s="2" t="n">
        <f aca="false">IF(F2373="Present",9,IF(F2373="Half Day",4,0))</f>
        <v>0</v>
      </c>
      <c r="J2373" s="2"/>
      <c r="K2373" s="2" t="s">
        <v>460</v>
      </c>
    </row>
    <row r="2374" customFormat="false" ht="15" hidden="false" customHeight="false" outlineLevel="0" collapsed="false">
      <c r="A2374" s="2" t="s">
        <v>201</v>
      </c>
      <c r="B2374" s="2" t="s">
        <v>202</v>
      </c>
      <c r="C2374" s="2" t="s">
        <v>45</v>
      </c>
      <c r="D2374" s="3" t="n">
        <v>46251</v>
      </c>
      <c r="E2374" s="2" t="str">
        <f aca="false">TEXT(D2374,"dddd")</f>
        <v>Monday</v>
      </c>
      <c r="F2374" s="2" t="s">
        <v>457</v>
      </c>
      <c r="G2374" s="2" t="s">
        <v>458</v>
      </c>
      <c r="H2374" s="2" t="s">
        <v>459</v>
      </c>
      <c r="I2374" s="2" t="n">
        <f aca="false">IF(F2374="Present",9,IF(F2374="Half Day",4,0))</f>
        <v>9</v>
      </c>
      <c r="J2374" s="2"/>
      <c r="K2374" s="2"/>
    </row>
    <row r="2375" customFormat="false" ht="15" hidden="false" customHeight="false" outlineLevel="0" collapsed="false">
      <c r="A2375" s="2" t="s">
        <v>201</v>
      </c>
      <c r="B2375" s="2" t="s">
        <v>202</v>
      </c>
      <c r="C2375" s="2" t="s">
        <v>45</v>
      </c>
      <c r="D2375" s="3" t="n">
        <v>46252</v>
      </c>
      <c r="E2375" s="2" t="str">
        <f aca="false">TEXT(D2375,"dddd")</f>
        <v>Tuesday</v>
      </c>
      <c r="F2375" s="2" t="s">
        <v>457</v>
      </c>
      <c r="G2375" s="2" t="s">
        <v>458</v>
      </c>
      <c r="H2375" s="2" t="s">
        <v>459</v>
      </c>
      <c r="I2375" s="2" t="n">
        <f aca="false">IF(F2375="Present",9,IF(F2375="Half Day",4,0))</f>
        <v>9</v>
      </c>
      <c r="J2375" s="2"/>
      <c r="K2375" s="2"/>
    </row>
    <row r="2376" customFormat="false" ht="15" hidden="false" customHeight="false" outlineLevel="0" collapsed="false">
      <c r="A2376" s="2" t="s">
        <v>201</v>
      </c>
      <c r="B2376" s="2" t="s">
        <v>202</v>
      </c>
      <c r="C2376" s="2" t="s">
        <v>45</v>
      </c>
      <c r="D2376" s="3" t="n">
        <v>46253</v>
      </c>
      <c r="E2376" s="2" t="str">
        <f aca="false">TEXT(D2376,"dddd")</f>
        <v>Wednesday</v>
      </c>
      <c r="F2376" s="2" t="s">
        <v>457</v>
      </c>
      <c r="G2376" s="2" t="s">
        <v>458</v>
      </c>
      <c r="H2376" s="2" t="s">
        <v>459</v>
      </c>
      <c r="I2376" s="2" t="n">
        <f aca="false">IF(F2376="Present",9,IF(F2376="Half Day",4,0))</f>
        <v>9</v>
      </c>
      <c r="J2376" s="2"/>
      <c r="K2376" s="2"/>
    </row>
    <row r="2377" customFormat="false" ht="15" hidden="false" customHeight="false" outlineLevel="0" collapsed="false">
      <c r="A2377" s="2" t="s">
        <v>201</v>
      </c>
      <c r="B2377" s="2" t="s">
        <v>202</v>
      </c>
      <c r="C2377" s="2" t="s">
        <v>45</v>
      </c>
      <c r="D2377" s="3" t="n">
        <v>46254</v>
      </c>
      <c r="E2377" s="2" t="str">
        <f aca="false">TEXT(D2377,"dddd")</f>
        <v>Thursday</v>
      </c>
      <c r="F2377" s="2" t="s">
        <v>457</v>
      </c>
      <c r="G2377" s="2" t="s">
        <v>458</v>
      </c>
      <c r="H2377" s="2" t="s">
        <v>459</v>
      </c>
      <c r="I2377" s="2" t="n">
        <f aca="false">IF(F2377="Present",9,IF(F2377="Half Day",4,0))</f>
        <v>9</v>
      </c>
      <c r="J2377" s="2"/>
      <c r="K2377" s="2"/>
    </row>
    <row r="2378" customFormat="false" ht="15" hidden="false" customHeight="false" outlineLevel="0" collapsed="false">
      <c r="A2378" s="2" t="s">
        <v>201</v>
      </c>
      <c r="B2378" s="2" t="s">
        <v>202</v>
      </c>
      <c r="C2378" s="2" t="s">
        <v>45</v>
      </c>
      <c r="D2378" s="3" t="n">
        <v>46255</v>
      </c>
      <c r="E2378" s="2" t="str">
        <f aca="false">TEXT(D2378,"dddd")</f>
        <v>Friday</v>
      </c>
      <c r="F2378" s="2" t="s">
        <v>457</v>
      </c>
      <c r="G2378" s="2" t="s">
        <v>458</v>
      </c>
      <c r="H2378" s="2" t="s">
        <v>459</v>
      </c>
      <c r="I2378" s="2" t="n">
        <f aca="false">IF(F2378="Present",9,IF(F2378="Half Day",4,0))</f>
        <v>9</v>
      </c>
      <c r="J2378" s="2"/>
      <c r="K2378" s="2"/>
    </row>
    <row r="2379" customFormat="false" ht="15" hidden="false" customHeight="false" outlineLevel="0" collapsed="false">
      <c r="A2379" s="2" t="s">
        <v>201</v>
      </c>
      <c r="B2379" s="2" t="s">
        <v>202</v>
      </c>
      <c r="C2379" s="2" t="s">
        <v>45</v>
      </c>
      <c r="D2379" s="3" t="n">
        <v>46256</v>
      </c>
      <c r="E2379" s="2" t="str">
        <f aca="false">TEXT(D2379,"dddd")</f>
        <v>Saturday</v>
      </c>
      <c r="F2379" s="2" t="s">
        <v>457</v>
      </c>
      <c r="G2379" s="2" t="s">
        <v>458</v>
      </c>
      <c r="H2379" s="2" t="s">
        <v>459</v>
      </c>
      <c r="I2379" s="2" t="n">
        <f aca="false">IF(F2379="Present",9,IF(F2379="Half Day",4,0))</f>
        <v>9</v>
      </c>
      <c r="J2379" s="2"/>
      <c r="K2379" s="2"/>
    </row>
    <row r="2380" customFormat="false" ht="15" hidden="false" customHeight="false" outlineLevel="0" collapsed="false">
      <c r="A2380" s="2" t="s">
        <v>201</v>
      </c>
      <c r="B2380" s="2" t="s">
        <v>202</v>
      </c>
      <c r="C2380" s="2" t="s">
        <v>45</v>
      </c>
      <c r="D2380" s="3" t="n">
        <v>46257</v>
      </c>
      <c r="E2380" s="2" t="str">
        <f aca="false">TEXT(D2380,"dddd")</f>
        <v>Sunday</v>
      </c>
      <c r="F2380" s="2" t="s">
        <v>460</v>
      </c>
      <c r="G2380" s="2"/>
      <c r="H2380" s="2"/>
      <c r="I2380" s="2" t="n">
        <f aca="false">IF(F2380="Present",9,IF(F2380="Half Day",4,0))</f>
        <v>0</v>
      </c>
      <c r="J2380" s="2"/>
      <c r="K2380" s="2" t="s">
        <v>460</v>
      </c>
    </row>
    <row r="2381" customFormat="false" ht="15" hidden="false" customHeight="false" outlineLevel="0" collapsed="false">
      <c r="A2381" s="2" t="s">
        <v>201</v>
      </c>
      <c r="B2381" s="2" t="s">
        <v>202</v>
      </c>
      <c r="C2381" s="2" t="s">
        <v>45</v>
      </c>
      <c r="D2381" s="3" t="n">
        <v>46258</v>
      </c>
      <c r="E2381" s="2" t="str">
        <f aca="false">TEXT(D2381,"dddd")</f>
        <v>Monday</v>
      </c>
      <c r="F2381" s="2" t="s">
        <v>457</v>
      </c>
      <c r="G2381" s="2" t="s">
        <v>458</v>
      </c>
      <c r="H2381" s="2" t="s">
        <v>459</v>
      </c>
      <c r="I2381" s="2" t="n">
        <f aca="false">IF(F2381="Present",9,IF(F2381="Half Day",4,0))</f>
        <v>9</v>
      </c>
      <c r="J2381" s="2"/>
      <c r="K2381" s="2"/>
    </row>
    <row r="2382" customFormat="false" ht="15" hidden="false" customHeight="false" outlineLevel="0" collapsed="false">
      <c r="A2382" s="2" t="s">
        <v>201</v>
      </c>
      <c r="B2382" s="2" t="s">
        <v>202</v>
      </c>
      <c r="C2382" s="2" t="s">
        <v>45</v>
      </c>
      <c r="D2382" s="3" t="n">
        <v>46259</v>
      </c>
      <c r="E2382" s="2" t="str">
        <f aca="false">TEXT(D2382,"dddd")</f>
        <v>Tuesday</v>
      </c>
      <c r="F2382" s="2" t="s">
        <v>457</v>
      </c>
      <c r="G2382" s="2" t="s">
        <v>458</v>
      </c>
      <c r="H2382" s="2" t="s">
        <v>459</v>
      </c>
      <c r="I2382" s="2" t="n">
        <f aca="false">IF(F2382="Present",9,IF(F2382="Half Day",4,0))</f>
        <v>9</v>
      </c>
      <c r="J2382" s="2"/>
      <c r="K2382" s="2"/>
    </row>
    <row r="2383" customFormat="false" ht="15" hidden="false" customHeight="false" outlineLevel="0" collapsed="false">
      <c r="A2383" s="2" t="s">
        <v>201</v>
      </c>
      <c r="B2383" s="2" t="s">
        <v>202</v>
      </c>
      <c r="C2383" s="2" t="s">
        <v>45</v>
      </c>
      <c r="D2383" s="3" t="n">
        <v>46260</v>
      </c>
      <c r="E2383" s="2" t="str">
        <f aca="false">TEXT(D2383,"dddd")</f>
        <v>Wednesday</v>
      </c>
      <c r="F2383" s="2" t="s">
        <v>457</v>
      </c>
      <c r="G2383" s="2" t="s">
        <v>458</v>
      </c>
      <c r="H2383" s="2" t="s">
        <v>459</v>
      </c>
      <c r="I2383" s="2" t="n">
        <f aca="false">IF(F2383="Present",9,IF(F2383="Half Day",4,0))</f>
        <v>9</v>
      </c>
      <c r="J2383" s="2"/>
      <c r="K2383" s="2"/>
    </row>
    <row r="2384" customFormat="false" ht="15" hidden="false" customHeight="false" outlineLevel="0" collapsed="false">
      <c r="A2384" s="2" t="s">
        <v>201</v>
      </c>
      <c r="B2384" s="2" t="s">
        <v>202</v>
      </c>
      <c r="C2384" s="2" t="s">
        <v>45</v>
      </c>
      <c r="D2384" s="3" t="n">
        <v>46261</v>
      </c>
      <c r="E2384" s="2" t="str">
        <f aca="false">TEXT(D2384,"dddd")</f>
        <v>Thursday</v>
      </c>
      <c r="F2384" s="2" t="s">
        <v>457</v>
      </c>
      <c r="G2384" s="2" t="s">
        <v>458</v>
      </c>
      <c r="H2384" s="2" t="s">
        <v>459</v>
      </c>
      <c r="I2384" s="2" t="n">
        <f aca="false">IF(F2384="Present",9,IF(F2384="Half Day",4,0))</f>
        <v>9</v>
      </c>
      <c r="J2384" s="2"/>
      <c r="K2384" s="2"/>
    </row>
    <row r="2385" customFormat="false" ht="15" hidden="false" customHeight="false" outlineLevel="0" collapsed="false">
      <c r="A2385" s="2" t="s">
        <v>201</v>
      </c>
      <c r="B2385" s="2" t="s">
        <v>202</v>
      </c>
      <c r="C2385" s="2" t="s">
        <v>45</v>
      </c>
      <c r="D2385" s="3" t="n">
        <v>46262</v>
      </c>
      <c r="E2385" s="2" t="str">
        <f aca="false">TEXT(D2385,"dddd")</f>
        <v>Friday</v>
      </c>
      <c r="F2385" s="2" t="s">
        <v>457</v>
      </c>
      <c r="G2385" s="2" t="s">
        <v>458</v>
      </c>
      <c r="H2385" s="2" t="s">
        <v>459</v>
      </c>
      <c r="I2385" s="2" t="n">
        <f aca="false">IF(F2385="Present",9,IF(F2385="Half Day",4,0))</f>
        <v>9</v>
      </c>
      <c r="J2385" s="2"/>
      <c r="K2385" s="2"/>
    </row>
    <row r="2386" customFormat="false" ht="15" hidden="false" customHeight="false" outlineLevel="0" collapsed="false">
      <c r="A2386" s="2" t="s">
        <v>201</v>
      </c>
      <c r="B2386" s="2" t="s">
        <v>202</v>
      </c>
      <c r="C2386" s="2" t="s">
        <v>45</v>
      </c>
      <c r="D2386" s="3" t="n">
        <v>46263</v>
      </c>
      <c r="E2386" s="2" t="str">
        <f aca="false">TEXT(D2386,"dddd")</f>
        <v>Saturday</v>
      </c>
      <c r="F2386" s="2" t="s">
        <v>457</v>
      </c>
      <c r="G2386" s="2" t="s">
        <v>458</v>
      </c>
      <c r="H2386" s="2" t="s">
        <v>459</v>
      </c>
      <c r="I2386" s="2" t="n">
        <f aca="false">IF(F2386="Present",9,IF(F2386="Half Day",4,0))</f>
        <v>9</v>
      </c>
      <c r="J2386" s="2"/>
      <c r="K2386" s="2"/>
    </row>
    <row r="2387" customFormat="false" ht="15" hidden="false" customHeight="false" outlineLevel="0" collapsed="false">
      <c r="A2387" s="2" t="s">
        <v>201</v>
      </c>
      <c r="B2387" s="2" t="s">
        <v>202</v>
      </c>
      <c r="C2387" s="2" t="s">
        <v>45</v>
      </c>
      <c r="D2387" s="3" t="n">
        <v>46264</v>
      </c>
      <c r="E2387" s="2" t="str">
        <f aca="false">TEXT(D2387,"dddd")</f>
        <v>Sunday</v>
      </c>
      <c r="F2387" s="2" t="s">
        <v>460</v>
      </c>
      <c r="G2387" s="2"/>
      <c r="H2387" s="2"/>
      <c r="I2387" s="2" t="n">
        <f aca="false">IF(F2387="Present",9,IF(F2387="Half Day",4,0))</f>
        <v>0</v>
      </c>
      <c r="J2387" s="2"/>
      <c r="K2387" s="2" t="s">
        <v>460</v>
      </c>
    </row>
    <row r="2388" customFormat="false" ht="15" hidden="false" customHeight="false" outlineLevel="0" collapsed="false">
      <c r="A2388" s="2" t="s">
        <v>201</v>
      </c>
      <c r="B2388" s="2" t="s">
        <v>202</v>
      </c>
      <c r="C2388" s="2" t="s">
        <v>45</v>
      </c>
      <c r="D2388" s="3" t="n">
        <v>46265</v>
      </c>
      <c r="E2388" s="2" t="str">
        <f aca="false">TEXT(D2388,"dddd")</f>
        <v>Monday</v>
      </c>
      <c r="F2388" s="2" t="s">
        <v>457</v>
      </c>
      <c r="G2388" s="2" t="s">
        <v>458</v>
      </c>
      <c r="H2388" s="2" t="s">
        <v>459</v>
      </c>
      <c r="I2388" s="2" t="n">
        <f aca="false">IF(F2388="Present",9,IF(F2388="Half Day",4,0))</f>
        <v>9</v>
      </c>
      <c r="J2388" s="2"/>
      <c r="K2388" s="2"/>
    </row>
    <row r="2389" customFormat="false" ht="15" hidden="false" customHeight="false" outlineLevel="0" collapsed="false">
      <c r="A2389" s="2" t="s">
        <v>203</v>
      </c>
      <c r="B2389" s="2" t="s">
        <v>204</v>
      </c>
      <c r="C2389" s="2" t="s">
        <v>49</v>
      </c>
      <c r="D2389" s="3" t="n">
        <v>46235</v>
      </c>
      <c r="E2389" s="2" t="str">
        <f aca="false">TEXT(D2389,"dddd")</f>
        <v>Saturday</v>
      </c>
      <c r="F2389" s="2" t="s">
        <v>457</v>
      </c>
      <c r="G2389" s="2" t="s">
        <v>458</v>
      </c>
      <c r="H2389" s="2" t="s">
        <v>459</v>
      </c>
      <c r="I2389" s="2" t="n">
        <f aca="false">IF(F2389="Present",9,IF(F2389="Half Day",4,0))</f>
        <v>9</v>
      </c>
      <c r="J2389" s="2"/>
      <c r="K2389" s="2"/>
    </row>
    <row r="2390" customFormat="false" ht="15" hidden="false" customHeight="false" outlineLevel="0" collapsed="false">
      <c r="A2390" s="2" t="s">
        <v>203</v>
      </c>
      <c r="B2390" s="2" t="s">
        <v>204</v>
      </c>
      <c r="C2390" s="2" t="s">
        <v>49</v>
      </c>
      <c r="D2390" s="3" t="n">
        <v>46236</v>
      </c>
      <c r="E2390" s="2" t="str">
        <f aca="false">TEXT(D2390,"dddd")</f>
        <v>Sunday</v>
      </c>
      <c r="F2390" s="2" t="s">
        <v>460</v>
      </c>
      <c r="G2390" s="2"/>
      <c r="H2390" s="2"/>
      <c r="I2390" s="2" t="n">
        <f aca="false">IF(F2390="Present",9,IF(F2390="Half Day",4,0))</f>
        <v>0</v>
      </c>
      <c r="J2390" s="2"/>
      <c r="K2390" s="2" t="s">
        <v>460</v>
      </c>
    </row>
    <row r="2391" customFormat="false" ht="15" hidden="false" customHeight="false" outlineLevel="0" collapsed="false">
      <c r="A2391" s="2" t="s">
        <v>203</v>
      </c>
      <c r="B2391" s="2" t="s">
        <v>204</v>
      </c>
      <c r="C2391" s="2" t="s">
        <v>49</v>
      </c>
      <c r="D2391" s="3" t="n">
        <v>46237</v>
      </c>
      <c r="E2391" s="2" t="str">
        <f aca="false">TEXT(D2391,"dddd")</f>
        <v>Monday</v>
      </c>
      <c r="F2391" s="2" t="s">
        <v>457</v>
      </c>
      <c r="G2391" s="2" t="s">
        <v>458</v>
      </c>
      <c r="H2391" s="2" t="s">
        <v>459</v>
      </c>
      <c r="I2391" s="2" t="n">
        <f aca="false">IF(F2391="Present",9,IF(F2391="Half Day",4,0))</f>
        <v>9</v>
      </c>
      <c r="J2391" s="2"/>
      <c r="K2391" s="2"/>
    </row>
    <row r="2392" customFormat="false" ht="15" hidden="false" customHeight="false" outlineLevel="0" collapsed="false">
      <c r="A2392" s="2" t="s">
        <v>203</v>
      </c>
      <c r="B2392" s="2" t="s">
        <v>204</v>
      </c>
      <c r="C2392" s="2" t="s">
        <v>49</v>
      </c>
      <c r="D2392" s="3" t="n">
        <v>46238</v>
      </c>
      <c r="E2392" s="2" t="str">
        <f aca="false">TEXT(D2392,"dddd")</f>
        <v>Tuesday</v>
      </c>
      <c r="F2392" s="2" t="s">
        <v>463</v>
      </c>
      <c r="G2392" s="2"/>
      <c r="H2392" s="2"/>
      <c r="I2392" s="2" t="n">
        <f aca="false">IF(F2392="Present",9,IF(F2392="Half Day",4,0))</f>
        <v>0</v>
      </c>
      <c r="J2392" s="2" t="s">
        <v>474</v>
      </c>
      <c r="K2392" s="2" t="s">
        <v>475</v>
      </c>
    </row>
    <row r="2393" customFormat="false" ht="15" hidden="false" customHeight="false" outlineLevel="0" collapsed="false">
      <c r="A2393" s="2" t="s">
        <v>203</v>
      </c>
      <c r="B2393" s="2" t="s">
        <v>204</v>
      </c>
      <c r="C2393" s="2" t="s">
        <v>49</v>
      </c>
      <c r="D2393" s="3" t="n">
        <v>46239</v>
      </c>
      <c r="E2393" s="2" t="str">
        <f aca="false">TEXT(D2393,"dddd")</f>
        <v>Wednesday</v>
      </c>
      <c r="F2393" s="2" t="s">
        <v>461</v>
      </c>
      <c r="G2393" s="2"/>
      <c r="H2393" s="2"/>
      <c r="I2393" s="2" t="n">
        <f aca="false">IF(F2393="Present",9,IF(F2393="Half Day",4,0))</f>
        <v>0</v>
      </c>
      <c r="J2393" s="2"/>
      <c r="K2393" s="2" t="s">
        <v>462</v>
      </c>
    </row>
    <row r="2394" customFormat="false" ht="15" hidden="false" customHeight="false" outlineLevel="0" collapsed="false">
      <c r="A2394" s="2" t="s">
        <v>203</v>
      </c>
      <c r="B2394" s="2" t="s">
        <v>204</v>
      </c>
      <c r="C2394" s="2" t="s">
        <v>49</v>
      </c>
      <c r="D2394" s="3" t="n">
        <v>46240</v>
      </c>
      <c r="E2394" s="2" t="str">
        <f aca="false">TEXT(D2394,"dddd")</f>
        <v>Thursday</v>
      </c>
      <c r="F2394" s="2" t="s">
        <v>457</v>
      </c>
      <c r="G2394" s="2" t="s">
        <v>458</v>
      </c>
      <c r="H2394" s="2" t="s">
        <v>459</v>
      </c>
      <c r="I2394" s="2" t="n">
        <f aca="false">IF(F2394="Present",9,IF(F2394="Half Day",4,0))</f>
        <v>9</v>
      </c>
      <c r="J2394" s="2"/>
      <c r="K2394" s="2"/>
    </row>
    <row r="2395" customFormat="false" ht="15" hidden="false" customHeight="false" outlineLevel="0" collapsed="false">
      <c r="A2395" s="2" t="s">
        <v>203</v>
      </c>
      <c r="B2395" s="2" t="s">
        <v>204</v>
      </c>
      <c r="C2395" s="2" t="s">
        <v>49</v>
      </c>
      <c r="D2395" s="3" t="n">
        <v>46241</v>
      </c>
      <c r="E2395" s="2" t="str">
        <f aca="false">TEXT(D2395,"dddd")</f>
        <v>Friday</v>
      </c>
      <c r="F2395" s="2" t="s">
        <v>457</v>
      </c>
      <c r="G2395" s="2" t="s">
        <v>458</v>
      </c>
      <c r="H2395" s="2" t="s">
        <v>459</v>
      </c>
      <c r="I2395" s="2" t="n">
        <f aca="false">IF(F2395="Present",9,IF(F2395="Half Day",4,0))</f>
        <v>9</v>
      </c>
      <c r="J2395" s="2"/>
      <c r="K2395" s="2"/>
    </row>
    <row r="2396" customFormat="false" ht="15" hidden="false" customHeight="false" outlineLevel="0" collapsed="false">
      <c r="A2396" s="2" t="s">
        <v>203</v>
      </c>
      <c r="B2396" s="2" t="s">
        <v>204</v>
      </c>
      <c r="C2396" s="2" t="s">
        <v>49</v>
      </c>
      <c r="D2396" s="3" t="n">
        <v>46242</v>
      </c>
      <c r="E2396" s="2" t="str">
        <f aca="false">TEXT(D2396,"dddd")</f>
        <v>Saturday</v>
      </c>
      <c r="F2396" s="2" t="s">
        <v>457</v>
      </c>
      <c r="G2396" s="2" t="s">
        <v>458</v>
      </c>
      <c r="H2396" s="2" t="s">
        <v>459</v>
      </c>
      <c r="I2396" s="2" t="n">
        <f aca="false">IF(F2396="Present",9,IF(F2396="Half Day",4,0))</f>
        <v>9</v>
      </c>
      <c r="J2396" s="2"/>
      <c r="K2396" s="2"/>
    </row>
    <row r="2397" customFormat="false" ht="15" hidden="false" customHeight="false" outlineLevel="0" collapsed="false">
      <c r="A2397" s="2" t="s">
        <v>203</v>
      </c>
      <c r="B2397" s="2" t="s">
        <v>204</v>
      </c>
      <c r="C2397" s="2" t="s">
        <v>49</v>
      </c>
      <c r="D2397" s="3" t="n">
        <v>46243</v>
      </c>
      <c r="E2397" s="2" t="str">
        <f aca="false">TEXT(D2397,"dddd")</f>
        <v>Sunday</v>
      </c>
      <c r="F2397" s="2" t="s">
        <v>460</v>
      </c>
      <c r="G2397" s="2"/>
      <c r="H2397" s="2"/>
      <c r="I2397" s="2" t="n">
        <f aca="false">IF(F2397="Present",9,IF(F2397="Half Day",4,0))</f>
        <v>0</v>
      </c>
      <c r="J2397" s="2"/>
      <c r="K2397" s="2" t="s">
        <v>460</v>
      </c>
    </row>
    <row r="2398" customFormat="false" ht="15" hidden="false" customHeight="false" outlineLevel="0" collapsed="false">
      <c r="A2398" s="2" t="s">
        <v>203</v>
      </c>
      <c r="B2398" s="2" t="s">
        <v>204</v>
      </c>
      <c r="C2398" s="2" t="s">
        <v>49</v>
      </c>
      <c r="D2398" s="3" t="n">
        <v>46244</v>
      </c>
      <c r="E2398" s="2" t="str">
        <f aca="false">TEXT(D2398,"dddd")</f>
        <v>Monday</v>
      </c>
      <c r="F2398" s="2" t="s">
        <v>457</v>
      </c>
      <c r="G2398" s="2" t="s">
        <v>458</v>
      </c>
      <c r="H2398" s="2" t="s">
        <v>459</v>
      </c>
      <c r="I2398" s="2" t="n">
        <f aca="false">IF(F2398="Present",9,IF(F2398="Half Day",4,0))</f>
        <v>9</v>
      </c>
      <c r="J2398" s="2"/>
      <c r="K2398" s="2"/>
    </row>
    <row r="2399" customFormat="false" ht="15" hidden="false" customHeight="false" outlineLevel="0" collapsed="false">
      <c r="A2399" s="2" t="s">
        <v>203</v>
      </c>
      <c r="B2399" s="2" t="s">
        <v>204</v>
      </c>
      <c r="C2399" s="2" t="s">
        <v>49</v>
      </c>
      <c r="D2399" s="3" t="n">
        <v>46245</v>
      </c>
      <c r="E2399" s="2" t="str">
        <f aca="false">TEXT(D2399,"dddd")</f>
        <v>Tuesday</v>
      </c>
      <c r="F2399" s="2" t="s">
        <v>457</v>
      </c>
      <c r="G2399" s="2" t="s">
        <v>458</v>
      </c>
      <c r="H2399" s="2" t="s">
        <v>459</v>
      </c>
      <c r="I2399" s="2" t="n">
        <f aca="false">IF(F2399="Present",9,IF(F2399="Half Day",4,0))</f>
        <v>9</v>
      </c>
      <c r="J2399" s="2"/>
      <c r="K2399" s="2"/>
    </row>
    <row r="2400" customFormat="false" ht="15" hidden="false" customHeight="false" outlineLevel="0" collapsed="false">
      <c r="A2400" s="2" t="s">
        <v>203</v>
      </c>
      <c r="B2400" s="2" t="s">
        <v>204</v>
      </c>
      <c r="C2400" s="2" t="s">
        <v>49</v>
      </c>
      <c r="D2400" s="3" t="n">
        <v>46246</v>
      </c>
      <c r="E2400" s="2" t="str">
        <f aca="false">TEXT(D2400,"dddd")</f>
        <v>Wednesday</v>
      </c>
      <c r="F2400" s="2" t="s">
        <v>457</v>
      </c>
      <c r="G2400" s="2" t="s">
        <v>458</v>
      </c>
      <c r="H2400" s="2" t="s">
        <v>459</v>
      </c>
      <c r="I2400" s="2" t="n">
        <f aca="false">IF(F2400="Present",9,IF(F2400="Half Day",4,0))</f>
        <v>9</v>
      </c>
      <c r="J2400" s="2"/>
      <c r="K2400" s="2"/>
    </row>
    <row r="2401" customFormat="false" ht="15" hidden="false" customHeight="false" outlineLevel="0" collapsed="false">
      <c r="A2401" s="2" t="s">
        <v>203</v>
      </c>
      <c r="B2401" s="2" t="s">
        <v>204</v>
      </c>
      <c r="C2401" s="2" t="s">
        <v>49</v>
      </c>
      <c r="D2401" s="3" t="n">
        <v>46247</v>
      </c>
      <c r="E2401" s="2" t="str">
        <f aca="false">TEXT(D2401,"dddd")</f>
        <v>Thursday</v>
      </c>
      <c r="F2401" s="2" t="s">
        <v>457</v>
      </c>
      <c r="G2401" s="2" t="s">
        <v>458</v>
      </c>
      <c r="H2401" s="2" t="s">
        <v>459</v>
      </c>
      <c r="I2401" s="2" t="n">
        <f aca="false">IF(F2401="Present",9,IF(F2401="Half Day",4,0))</f>
        <v>9</v>
      </c>
      <c r="J2401" s="2"/>
      <c r="K2401" s="2"/>
    </row>
    <row r="2402" customFormat="false" ht="15" hidden="false" customHeight="false" outlineLevel="0" collapsed="false">
      <c r="A2402" s="2" t="s">
        <v>203</v>
      </c>
      <c r="B2402" s="2" t="s">
        <v>204</v>
      </c>
      <c r="C2402" s="2" t="s">
        <v>49</v>
      </c>
      <c r="D2402" s="3" t="n">
        <v>46248</v>
      </c>
      <c r="E2402" s="2" t="str">
        <f aca="false">TEXT(D2402,"dddd")</f>
        <v>Friday</v>
      </c>
      <c r="F2402" s="2" t="s">
        <v>457</v>
      </c>
      <c r="G2402" s="2" t="s">
        <v>458</v>
      </c>
      <c r="H2402" s="2" t="s">
        <v>459</v>
      </c>
      <c r="I2402" s="2" t="n">
        <f aca="false">IF(F2402="Present",9,IF(F2402="Half Day",4,0))</f>
        <v>9</v>
      </c>
      <c r="J2402" s="2"/>
      <c r="K2402" s="2"/>
    </row>
    <row r="2403" customFormat="false" ht="15" hidden="false" customHeight="false" outlineLevel="0" collapsed="false">
      <c r="A2403" s="2" t="s">
        <v>203</v>
      </c>
      <c r="B2403" s="2" t="s">
        <v>204</v>
      </c>
      <c r="C2403" s="2" t="s">
        <v>49</v>
      </c>
      <c r="D2403" s="3" t="n">
        <v>46249</v>
      </c>
      <c r="E2403" s="2" t="str">
        <f aca="false">TEXT(D2403,"dddd")</f>
        <v>Saturday</v>
      </c>
      <c r="F2403" s="2" t="s">
        <v>457</v>
      </c>
      <c r="G2403" s="2" t="s">
        <v>458</v>
      </c>
      <c r="H2403" s="2" t="s">
        <v>459</v>
      </c>
      <c r="I2403" s="2" t="n">
        <f aca="false">IF(F2403="Present",9,IF(F2403="Half Day",4,0))</f>
        <v>9</v>
      </c>
      <c r="J2403" s="2"/>
      <c r="K2403" s="2"/>
    </row>
    <row r="2404" customFormat="false" ht="15" hidden="false" customHeight="false" outlineLevel="0" collapsed="false">
      <c r="A2404" s="2" t="s">
        <v>203</v>
      </c>
      <c r="B2404" s="2" t="s">
        <v>204</v>
      </c>
      <c r="C2404" s="2" t="s">
        <v>49</v>
      </c>
      <c r="D2404" s="3" t="n">
        <v>46250</v>
      </c>
      <c r="E2404" s="2" t="str">
        <f aca="false">TEXT(D2404,"dddd")</f>
        <v>Sunday</v>
      </c>
      <c r="F2404" s="2" t="s">
        <v>460</v>
      </c>
      <c r="G2404" s="2"/>
      <c r="H2404" s="2"/>
      <c r="I2404" s="2" t="n">
        <f aca="false">IF(F2404="Present",9,IF(F2404="Half Day",4,0))</f>
        <v>0</v>
      </c>
      <c r="J2404" s="2"/>
      <c r="K2404" s="2" t="s">
        <v>460</v>
      </c>
    </row>
    <row r="2405" customFormat="false" ht="15" hidden="false" customHeight="false" outlineLevel="0" collapsed="false">
      <c r="A2405" s="2" t="s">
        <v>203</v>
      </c>
      <c r="B2405" s="2" t="s">
        <v>204</v>
      </c>
      <c r="C2405" s="2" t="s">
        <v>49</v>
      </c>
      <c r="D2405" s="3" t="n">
        <v>46251</v>
      </c>
      <c r="E2405" s="2" t="str">
        <f aca="false">TEXT(D2405,"dddd")</f>
        <v>Monday</v>
      </c>
      <c r="F2405" s="2" t="s">
        <v>461</v>
      </c>
      <c r="G2405" s="2"/>
      <c r="H2405" s="2"/>
      <c r="I2405" s="2" t="n">
        <f aca="false">IF(F2405="Present",9,IF(F2405="Half Day",4,0))</f>
        <v>0</v>
      </c>
      <c r="J2405" s="2"/>
      <c r="K2405" s="2" t="s">
        <v>462</v>
      </c>
    </row>
    <row r="2406" customFormat="false" ht="15" hidden="false" customHeight="false" outlineLevel="0" collapsed="false">
      <c r="A2406" s="2" t="s">
        <v>203</v>
      </c>
      <c r="B2406" s="2" t="s">
        <v>204</v>
      </c>
      <c r="C2406" s="2" t="s">
        <v>49</v>
      </c>
      <c r="D2406" s="3" t="n">
        <v>46252</v>
      </c>
      <c r="E2406" s="2" t="str">
        <f aca="false">TEXT(D2406,"dddd")</f>
        <v>Tuesday</v>
      </c>
      <c r="F2406" s="2" t="s">
        <v>457</v>
      </c>
      <c r="G2406" s="2" t="s">
        <v>458</v>
      </c>
      <c r="H2406" s="2" t="s">
        <v>459</v>
      </c>
      <c r="I2406" s="2" t="n">
        <f aca="false">IF(F2406="Present",9,IF(F2406="Half Day",4,0))</f>
        <v>9</v>
      </c>
      <c r="J2406" s="2"/>
      <c r="K2406" s="2"/>
    </row>
    <row r="2407" customFormat="false" ht="15" hidden="false" customHeight="false" outlineLevel="0" collapsed="false">
      <c r="A2407" s="2" t="s">
        <v>203</v>
      </c>
      <c r="B2407" s="2" t="s">
        <v>204</v>
      </c>
      <c r="C2407" s="2" t="s">
        <v>49</v>
      </c>
      <c r="D2407" s="3" t="n">
        <v>46253</v>
      </c>
      <c r="E2407" s="2" t="str">
        <f aca="false">TEXT(D2407,"dddd")</f>
        <v>Wednesday</v>
      </c>
      <c r="F2407" s="2" t="s">
        <v>457</v>
      </c>
      <c r="G2407" s="2" t="s">
        <v>458</v>
      </c>
      <c r="H2407" s="2" t="s">
        <v>459</v>
      </c>
      <c r="I2407" s="2" t="n">
        <f aca="false">IF(F2407="Present",9,IF(F2407="Half Day",4,0))</f>
        <v>9</v>
      </c>
      <c r="J2407" s="2"/>
      <c r="K2407" s="2"/>
    </row>
    <row r="2408" customFormat="false" ht="15" hidden="false" customHeight="false" outlineLevel="0" collapsed="false">
      <c r="A2408" s="2" t="s">
        <v>203</v>
      </c>
      <c r="B2408" s="2" t="s">
        <v>204</v>
      </c>
      <c r="C2408" s="2" t="s">
        <v>49</v>
      </c>
      <c r="D2408" s="3" t="n">
        <v>46254</v>
      </c>
      <c r="E2408" s="2" t="str">
        <f aca="false">TEXT(D2408,"dddd")</f>
        <v>Thursday</v>
      </c>
      <c r="F2408" s="2" t="s">
        <v>463</v>
      </c>
      <c r="G2408" s="2"/>
      <c r="H2408" s="2"/>
      <c r="I2408" s="2" t="n">
        <f aca="false">IF(F2408="Present",9,IF(F2408="Half Day",4,0))</f>
        <v>0</v>
      </c>
      <c r="J2408" s="2" t="s">
        <v>470</v>
      </c>
      <c r="K2408" s="2" t="s">
        <v>471</v>
      </c>
    </row>
    <row r="2409" customFormat="false" ht="15" hidden="false" customHeight="false" outlineLevel="0" collapsed="false">
      <c r="A2409" s="2" t="s">
        <v>203</v>
      </c>
      <c r="B2409" s="2" t="s">
        <v>204</v>
      </c>
      <c r="C2409" s="2" t="s">
        <v>49</v>
      </c>
      <c r="D2409" s="3" t="n">
        <v>46255</v>
      </c>
      <c r="E2409" s="2" t="str">
        <f aca="false">TEXT(D2409,"dddd")</f>
        <v>Friday</v>
      </c>
      <c r="F2409" s="2" t="s">
        <v>457</v>
      </c>
      <c r="G2409" s="2" t="s">
        <v>458</v>
      </c>
      <c r="H2409" s="2" t="s">
        <v>459</v>
      </c>
      <c r="I2409" s="2" t="n">
        <f aca="false">IF(F2409="Present",9,IF(F2409="Half Day",4,0))</f>
        <v>9</v>
      </c>
      <c r="J2409" s="2"/>
      <c r="K2409" s="2"/>
    </row>
    <row r="2410" customFormat="false" ht="15" hidden="false" customHeight="false" outlineLevel="0" collapsed="false">
      <c r="A2410" s="2" t="s">
        <v>203</v>
      </c>
      <c r="B2410" s="2" t="s">
        <v>204</v>
      </c>
      <c r="C2410" s="2" t="s">
        <v>49</v>
      </c>
      <c r="D2410" s="3" t="n">
        <v>46256</v>
      </c>
      <c r="E2410" s="2" t="str">
        <f aca="false">TEXT(D2410,"dddd")</f>
        <v>Saturday</v>
      </c>
      <c r="F2410" s="2" t="s">
        <v>457</v>
      </c>
      <c r="G2410" s="2" t="s">
        <v>458</v>
      </c>
      <c r="H2410" s="2" t="s">
        <v>459</v>
      </c>
      <c r="I2410" s="2" t="n">
        <f aca="false">IF(F2410="Present",9,IF(F2410="Half Day",4,0))</f>
        <v>9</v>
      </c>
      <c r="J2410" s="2"/>
      <c r="K2410" s="2"/>
    </row>
    <row r="2411" customFormat="false" ht="15" hidden="false" customHeight="false" outlineLevel="0" collapsed="false">
      <c r="A2411" s="2" t="s">
        <v>203</v>
      </c>
      <c r="B2411" s="2" t="s">
        <v>204</v>
      </c>
      <c r="C2411" s="2" t="s">
        <v>49</v>
      </c>
      <c r="D2411" s="3" t="n">
        <v>46257</v>
      </c>
      <c r="E2411" s="2" t="str">
        <f aca="false">TEXT(D2411,"dddd")</f>
        <v>Sunday</v>
      </c>
      <c r="F2411" s="2" t="s">
        <v>460</v>
      </c>
      <c r="G2411" s="2"/>
      <c r="H2411" s="2"/>
      <c r="I2411" s="2" t="n">
        <f aca="false">IF(F2411="Present",9,IF(F2411="Half Day",4,0))</f>
        <v>0</v>
      </c>
      <c r="J2411" s="2"/>
      <c r="K2411" s="2" t="s">
        <v>460</v>
      </c>
    </row>
    <row r="2412" customFormat="false" ht="15" hidden="false" customHeight="false" outlineLevel="0" collapsed="false">
      <c r="A2412" s="2" t="s">
        <v>203</v>
      </c>
      <c r="B2412" s="2" t="s">
        <v>204</v>
      </c>
      <c r="C2412" s="2" t="s">
        <v>49</v>
      </c>
      <c r="D2412" s="3" t="n">
        <v>46258</v>
      </c>
      <c r="E2412" s="2" t="str">
        <f aca="false">TEXT(D2412,"dddd")</f>
        <v>Monday</v>
      </c>
      <c r="F2412" s="2" t="s">
        <v>457</v>
      </c>
      <c r="G2412" s="2" t="s">
        <v>458</v>
      </c>
      <c r="H2412" s="2" t="s">
        <v>459</v>
      </c>
      <c r="I2412" s="2" t="n">
        <f aca="false">IF(F2412="Present",9,IF(F2412="Half Day",4,0))</f>
        <v>9</v>
      </c>
      <c r="J2412" s="2"/>
      <c r="K2412" s="2"/>
    </row>
    <row r="2413" customFormat="false" ht="15" hidden="false" customHeight="false" outlineLevel="0" collapsed="false">
      <c r="A2413" s="2" t="s">
        <v>203</v>
      </c>
      <c r="B2413" s="2" t="s">
        <v>204</v>
      </c>
      <c r="C2413" s="2" t="s">
        <v>49</v>
      </c>
      <c r="D2413" s="3" t="n">
        <v>46259</v>
      </c>
      <c r="E2413" s="2" t="str">
        <f aca="false">TEXT(D2413,"dddd")</f>
        <v>Tuesday</v>
      </c>
      <c r="F2413" s="2" t="s">
        <v>457</v>
      </c>
      <c r="G2413" s="2" t="s">
        <v>458</v>
      </c>
      <c r="H2413" s="2" t="s">
        <v>459</v>
      </c>
      <c r="I2413" s="2" t="n">
        <f aca="false">IF(F2413="Present",9,IF(F2413="Half Day",4,0))</f>
        <v>9</v>
      </c>
      <c r="J2413" s="2"/>
      <c r="K2413" s="2"/>
    </row>
    <row r="2414" customFormat="false" ht="15" hidden="false" customHeight="false" outlineLevel="0" collapsed="false">
      <c r="A2414" s="2" t="s">
        <v>203</v>
      </c>
      <c r="B2414" s="2" t="s">
        <v>204</v>
      </c>
      <c r="C2414" s="2" t="s">
        <v>49</v>
      </c>
      <c r="D2414" s="3" t="n">
        <v>46260</v>
      </c>
      <c r="E2414" s="2" t="str">
        <f aca="false">TEXT(D2414,"dddd")</f>
        <v>Wednesday</v>
      </c>
      <c r="F2414" s="2" t="s">
        <v>457</v>
      </c>
      <c r="G2414" s="2" t="s">
        <v>458</v>
      </c>
      <c r="H2414" s="2" t="s">
        <v>459</v>
      </c>
      <c r="I2414" s="2" t="n">
        <f aca="false">IF(F2414="Present",9,IF(F2414="Half Day",4,0))</f>
        <v>9</v>
      </c>
      <c r="J2414" s="2"/>
      <c r="K2414" s="2"/>
    </row>
    <row r="2415" customFormat="false" ht="15" hidden="false" customHeight="false" outlineLevel="0" collapsed="false">
      <c r="A2415" s="2" t="s">
        <v>203</v>
      </c>
      <c r="B2415" s="2" t="s">
        <v>204</v>
      </c>
      <c r="C2415" s="2" t="s">
        <v>49</v>
      </c>
      <c r="D2415" s="3" t="n">
        <v>46261</v>
      </c>
      <c r="E2415" s="2" t="str">
        <f aca="false">TEXT(D2415,"dddd")</f>
        <v>Thursday</v>
      </c>
      <c r="F2415" s="2" t="s">
        <v>466</v>
      </c>
      <c r="G2415" s="2" t="s">
        <v>458</v>
      </c>
      <c r="H2415" s="2" t="s">
        <v>467</v>
      </c>
      <c r="I2415" s="2" t="n">
        <f aca="false">IF(F2415="Present",9,IF(F2415="Half Day",4,0))</f>
        <v>4</v>
      </c>
      <c r="J2415" s="2"/>
      <c r="K2415" s="2" t="s">
        <v>466</v>
      </c>
    </row>
    <row r="2416" customFormat="false" ht="15" hidden="false" customHeight="false" outlineLevel="0" collapsed="false">
      <c r="A2416" s="2" t="s">
        <v>203</v>
      </c>
      <c r="B2416" s="2" t="s">
        <v>204</v>
      </c>
      <c r="C2416" s="2" t="s">
        <v>49</v>
      </c>
      <c r="D2416" s="3" t="n">
        <v>46262</v>
      </c>
      <c r="E2416" s="2" t="str">
        <f aca="false">TEXT(D2416,"dddd")</f>
        <v>Friday</v>
      </c>
      <c r="F2416" s="2" t="s">
        <v>457</v>
      </c>
      <c r="G2416" s="2" t="s">
        <v>458</v>
      </c>
      <c r="H2416" s="2" t="s">
        <v>459</v>
      </c>
      <c r="I2416" s="2" t="n">
        <f aca="false">IF(F2416="Present",9,IF(F2416="Half Day",4,0))</f>
        <v>9</v>
      </c>
      <c r="J2416" s="2"/>
      <c r="K2416" s="2"/>
    </row>
    <row r="2417" customFormat="false" ht="15" hidden="false" customHeight="false" outlineLevel="0" collapsed="false">
      <c r="A2417" s="2" t="s">
        <v>203</v>
      </c>
      <c r="B2417" s="2" t="s">
        <v>204</v>
      </c>
      <c r="C2417" s="2" t="s">
        <v>49</v>
      </c>
      <c r="D2417" s="3" t="n">
        <v>46263</v>
      </c>
      <c r="E2417" s="2" t="str">
        <f aca="false">TEXT(D2417,"dddd")</f>
        <v>Saturday</v>
      </c>
      <c r="F2417" s="2" t="s">
        <v>457</v>
      </c>
      <c r="G2417" s="2" t="s">
        <v>458</v>
      </c>
      <c r="H2417" s="2" t="s">
        <v>459</v>
      </c>
      <c r="I2417" s="2" t="n">
        <f aca="false">IF(F2417="Present",9,IF(F2417="Half Day",4,0))</f>
        <v>9</v>
      </c>
      <c r="J2417" s="2"/>
      <c r="K2417" s="2"/>
    </row>
    <row r="2418" customFormat="false" ht="15" hidden="false" customHeight="false" outlineLevel="0" collapsed="false">
      <c r="A2418" s="2" t="s">
        <v>203</v>
      </c>
      <c r="B2418" s="2" t="s">
        <v>204</v>
      </c>
      <c r="C2418" s="2" t="s">
        <v>49</v>
      </c>
      <c r="D2418" s="3" t="n">
        <v>46264</v>
      </c>
      <c r="E2418" s="2" t="str">
        <f aca="false">TEXT(D2418,"dddd")</f>
        <v>Sunday</v>
      </c>
      <c r="F2418" s="2" t="s">
        <v>460</v>
      </c>
      <c r="G2418" s="2"/>
      <c r="H2418" s="2"/>
      <c r="I2418" s="2" t="n">
        <f aca="false">IF(F2418="Present",9,IF(F2418="Half Day",4,0))</f>
        <v>0</v>
      </c>
      <c r="J2418" s="2"/>
      <c r="K2418" s="2" t="s">
        <v>460</v>
      </c>
    </row>
    <row r="2419" customFormat="false" ht="15" hidden="false" customHeight="false" outlineLevel="0" collapsed="false">
      <c r="A2419" s="2" t="s">
        <v>203</v>
      </c>
      <c r="B2419" s="2" t="s">
        <v>204</v>
      </c>
      <c r="C2419" s="2" t="s">
        <v>49</v>
      </c>
      <c r="D2419" s="3" t="n">
        <v>46265</v>
      </c>
      <c r="E2419" s="2" t="str">
        <f aca="false">TEXT(D2419,"dddd")</f>
        <v>Monday</v>
      </c>
      <c r="F2419" s="2" t="s">
        <v>457</v>
      </c>
      <c r="G2419" s="2" t="s">
        <v>458</v>
      </c>
      <c r="H2419" s="2" t="s">
        <v>459</v>
      </c>
      <c r="I2419" s="2" t="n">
        <f aca="false">IF(F2419="Present",9,IF(F2419="Half Day",4,0))</f>
        <v>9</v>
      </c>
      <c r="J2419" s="2"/>
      <c r="K2419" s="2"/>
    </row>
    <row r="2420" customFormat="false" ht="15" hidden="false" customHeight="false" outlineLevel="0" collapsed="false">
      <c r="A2420" s="2" t="s">
        <v>205</v>
      </c>
      <c r="B2420" s="2" t="s">
        <v>206</v>
      </c>
      <c r="C2420" s="2" t="s">
        <v>53</v>
      </c>
      <c r="D2420" s="3" t="n">
        <v>46235</v>
      </c>
      <c r="E2420" s="2" t="str">
        <f aca="false">TEXT(D2420,"dddd")</f>
        <v>Saturday</v>
      </c>
      <c r="F2420" s="2" t="s">
        <v>457</v>
      </c>
      <c r="G2420" s="2" t="s">
        <v>458</v>
      </c>
      <c r="H2420" s="2" t="s">
        <v>459</v>
      </c>
      <c r="I2420" s="2" t="n">
        <f aca="false">IF(F2420="Present",9,IF(F2420="Half Day",4,0))</f>
        <v>9</v>
      </c>
      <c r="J2420" s="2"/>
      <c r="K2420" s="2"/>
    </row>
    <row r="2421" customFormat="false" ht="15" hidden="false" customHeight="false" outlineLevel="0" collapsed="false">
      <c r="A2421" s="2" t="s">
        <v>205</v>
      </c>
      <c r="B2421" s="2" t="s">
        <v>206</v>
      </c>
      <c r="C2421" s="2" t="s">
        <v>53</v>
      </c>
      <c r="D2421" s="3" t="n">
        <v>46236</v>
      </c>
      <c r="E2421" s="2" t="str">
        <f aca="false">TEXT(D2421,"dddd")</f>
        <v>Sunday</v>
      </c>
      <c r="F2421" s="2" t="s">
        <v>460</v>
      </c>
      <c r="G2421" s="2"/>
      <c r="H2421" s="2"/>
      <c r="I2421" s="2" t="n">
        <f aca="false">IF(F2421="Present",9,IF(F2421="Half Day",4,0))</f>
        <v>0</v>
      </c>
      <c r="J2421" s="2"/>
      <c r="K2421" s="2" t="s">
        <v>460</v>
      </c>
    </row>
    <row r="2422" customFormat="false" ht="15" hidden="false" customHeight="false" outlineLevel="0" collapsed="false">
      <c r="A2422" s="2" t="s">
        <v>205</v>
      </c>
      <c r="B2422" s="2" t="s">
        <v>206</v>
      </c>
      <c r="C2422" s="2" t="s">
        <v>53</v>
      </c>
      <c r="D2422" s="3" t="n">
        <v>46237</v>
      </c>
      <c r="E2422" s="2" t="str">
        <f aca="false">TEXT(D2422,"dddd")</f>
        <v>Monday</v>
      </c>
      <c r="F2422" s="2" t="s">
        <v>463</v>
      </c>
      <c r="G2422" s="2"/>
      <c r="H2422" s="2"/>
      <c r="I2422" s="2" t="n">
        <f aca="false">IF(F2422="Present",9,IF(F2422="Half Day",4,0))</f>
        <v>0</v>
      </c>
      <c r="J2422" s="2" t="s">
        <v>474</v>
      </c>
      <c r="K2422" s="2" t="s">
        <v>475</v>
      </c>
    </row>
    <row r="2423" customFormat="false" ht="15" hidden="false" customHeight="false" outlineLevel="0" collapsed="false">
      <c r="A2423" s="2" t="s">
        <v>205</v>
      </c>
      <c r="B2423" s="2" t="s">
        <v>206</v>
      </c>
      <c r="C2423" s="2" t="s">
        <v>53</v>
      </c>
      <c r="D2423" s="3" t="n">
        <v>46238</v>
      </c>
      <c r="E2423" s="2" t="str">
        <f aca="false">TEXT(D2423,"dddd")</f>
        <v>Tuesday</v>
      </c>
      <c r="F2423" s="2" t="s">
        <v>461</v>
      </c>
      <c r="G2423" s="2"/>
      <c r="H2423" s="2"/>
      <c r="I2423" s="2" t="n">
        <f aca="false">IF(F2423="Present",9,IF(F2423="Half Day",4,0))</f>
        <v>0</v>
      </c>
      <c r="J2423" s="2"/>
      <c r="K2423" s="2" t="s">
        <v>462</v>
      </c>
    </row>
    <row r="2424" customFormat="false" ht="15" hidden="false" customHeight="false" outlineLevel="0" collapsed="false">
      <c r="A2424" s="2" t="s">
        <v>205</v>
      </c>
      <c r="B2424" s="2" t="s">
        <v>206</v>
      </c>
      <c r="C2424" s="2" t="s">
        <v>53</v>
      </c>
      <c r="D2424" s="3" t="n">
        <v>46239</v>
      </c>
      <c r="E2424" s="2" t="str">
        <f aca="false">TEXT(D2424,"dddd")</f>
        <v>Wednesday</v>
      </c>
      <c r="F2424" s="2" t="s">
        <v>457</v>
      </c>
      <c r="G2424" s="2" t="s">
        <v>458</v>
      </c>
      <c r="H2424" s="2" t="s">
        <v>459</v>
      </c>
      <c r="I2424" s="2" t="n">
        <f aca="false">IF(F2424="Present",9,IF(F2424="Half Day",4,0))</f>
        <v>9</v>
      </c>
      <c r="J2424" s="2"/>
      <c r="K2424" s="2"/>
    </row>
    <row r="2425" customFormat="false" ht="15" hidden="false" customHeight="false" outlineLevel="0" collapsed="false">
      <c r="A2425" s="2" t="s">
        <v>205</v>
      </c>
      <c r="B2425" s="2" t="s">
        <v>206</v>
      </c>
      <c r="C2425" s="2" t="s">
        <v>53</v>
      </c>
      <c r="D2425" s="3" t="n">
        <v>46240</v>
      </c>
      <c r="E2425" s="2" t="str">
        <f aca="false">TEXT(D2425,"dddd")</f>
        <v>Thursday</v>
      </c>
      <c r="F2425" s="2" t="s">
        <v>457</v>
      </c>
      <c r="G2425" s="2" t="s">
        <v>458</v>
      </c>
      <c r="H2425" s="2" t="s">
        <v>459</v>
      </c>
      <c r="I2425" s="2" t="n">
        <f aca="false">IF(F2425="Present",9,IF(F2425="Half Day",4,0))</f>
        <v>9</v>
      </c>
      <c r="J2425" s="2"/>
      <c r="K2425" s="2"/>
    </row>
    <row r="2426" customFormat="false" ht="15" hidden="false" customHeight="false" outlineLevel="0" collapsed="false">
      <c r="A2426" s="2" t="s">
        <v>205</v>
      </c>
      <c r="B2426" s="2" t="s">
        <v>206</v>
      </c>
      <c r="C2426" s="2" t="s">
        <v>53</v>
      </c>
      <c r="D2426" s="3" t="n">
        <v>46241</v>
      </c>
      <c r="E2426" s="2" t="str">
        <f aca="false">TEXT(D2426,"dddd")</f>
        <v>Friday</v>
      </c>
      <c r="F2426" s="2" t="s">
        <v>457</v>
      </c>
      <c r="G2426" s="2" t="s">
        <v>458</v>
      </c>
      <c r="H2426" s="2" t="s">
        <v>459</v>
      </c>
      <c r="I2426" s="2" t="n">
        <f aca="false">IF(F2426="Present",9,IF(F2426="Half Day",4,0))</f>
        <v>9</v>
      </c>
      <c r="J2426" s="2"/>
      <c r="K2426" s="2"/>
    </row>
    <row r="2427" customFormat="false" ht="15" hidden="false" customHeight="false" outlineLevel="0" collapsed="false">
      <c r="A2427" s="2" t="s">
        <v>205</v>
      </c>
      <c r="B2427" s="2" t="s">
        <v>206</v>
      </c>
      <c r="C2427" s="2" t="s">
        <v>53</v>
      </c>
      <c r="D2427" s="3" t="n">
        <v>46242</v>
      </c>
      <c r="E2427" s="2" t="str">
        <f aca="false">TEXT(D2427,"dddd")</f>
        <v>Saturday</v>
      </c>
      <c r="F2427" s="2" t="s">
        <v>461</v>
      </c>
      <c r="G2427" s="2"/>
      <c r="H2427" s="2"/>
      <c r="I2427" s="2" t="n">
        <f aca="false">IF(F2427="Present",9,IF(F2427="Half Day",4,0))</f>
        <v>0</v>
      </c>
      <c r="J2427" s="2"/>
      <c r="K2427" s="2" t="s">
        <v>462</v>
      </c>
    </row>
    <row r="2428" customFormat="false" ht="15" hidden="false" customHeight="false" outlineLevel="0" collapsed="false">
      <c r="A2428" s="2" t="s">
        <v>205</v>
      </c>
      <c r="B2428" s="2" t="s">
        <v>206</v>
      </c>
      <c r="C2428" s="2" t="s">
        <v>53</v>
      </c>
      <c r="D2428" s="3" t="n">
        <v>46243</v>
      </c>
      <c r="E2428" s="2" t="str">
        <f aca="false">TEXT(D2428,"dddd")</f>
        <v>Sunday</v>
      </c>
      <c r="F2428" s="2" t="s">
        <v>460</v>
      </c>
      <c r="G2428" s="2"/>
      <c r="H2428" s="2"/>
      <c r="I2428" s="2" t="n">
        <f aca="false">IF(F2428="Present",9,IF(F2428="Half Day",4,0))</f>
        <v>0</v>
      </c>
      <c r="J2428" s="2"/>
      <c r="K2428" s="2" t="s">
        <v>460</v>
      </c>
    </row>
    <row r="2429" customFormat="false" ht="15" hidden="false" customHeight="false" outlineLevel="0" collapsed="false">
      <c r="A2429" s="2" t="s">
        <v>205</v>
      </c>
      <c r="B2429" s="2" t="s">
        <v>206</v>
      </c>
      <c r="C2429" s="2" t="s">
        <v>53</v>
      </c>
      <c r="D2429" s="3" t="n">
        <v>46244</v>
      </c>
      <c r="E2429" s="2" t="str">
        <f aca="false">TEXT(D2429,"dddd")</f>
        <v>Monday</v>
      </c>
      <c r="F2429" s="2" t="s">
        <v>457</v>
      </c>
      <c r="G2429" s="2" t="s">
        <v>458</v>
      </c>
      <c r="H2429" s="2" t="s">
        <v>459</v>
      </c>
      <c r="I2429" s="2" t="n">
        <f aca="false">IF(F2429="Present",9,IF(F2429="Half Day",4,0))</f>
        <v>9</v>
      </c>
      <c r="J2429" s="2"/>
      <c r="K2429" s="2"/>
    </row>
    <row r="2430" customFormat="false" ht="15" hidden="false" customHeight="false" outlineLevel="0" collapsed="false">
      <c r="A2430" s="2" t="s">
        <v>205</v>
      </c>
      <c r="B2430" s="2" t="s">
        <v>206</v>
      </c>
      <c r="C2430" s="2" t="s">
        <v>53</v>
      </c>
      <c r="D2430" s="3" t="n">
        <v>46245</v>
      </c>
      <c r="E2430" s="2" t="str">
        <f aca="false">TEXT(D2430,"dddd")</f>
        <v>Tuesday</v>
      </c>
      <c r="F2430" s="2" t="s">
        <v>461</v>
      </c>
      <c r="G2430" s="2"/>
      <c r="H2430" s="2"/>
      <c r="I2430" s="2" t="n">
        <f aca="false">IF(F2430="Present",9,IF(F2430="Half Day",4,0))</f>
        <v>0</v>
      </c>
      <c r="J2430" s="2"/>
      <c r="K2430" s="2" t="s">
        <v>462</v>
      </c>
    </row>
    <row r="2431" customFormat="false" ht="15" hidden="false" customHeight="false" outlineLevel="0" collapsed="false">
      <c r="A2431" s="2" t="s">
        <v>205</v>
      </c>
      <c r="B2431" s="2" t="s">
        <v>206</v>
      </c>
      <c r="C2431" s="2" t="s">
        <v>53</v>
      </c>
      <c r="D2431" s="3" t="n">
        <v>46246</v>
      </c>
      <c r="E2431" s="2" t="str">
        <f aca="false">TEXT(D2431,"dddd")</f>
        <v>Wednesday</v>
      </c>
      <c r="F2431" s="2" t="s">
        <v>461</v>
      </c>
      <c r="G2431" s="2"/>
      <c r="H2431" s="2"/>
      <c r="I2431" s="2" t="n">
        <f aca="false">IF(F2431="Present",9,IF(F2431="Half Day",4,0))</f>
        <v>0</v>
      </c>
      <c r="J2431" s="2"/>
      <c r="K2431" s="2" t="s">
        <v>462</v>
      </c>
    </row>
    <row r="2432" customFormat="false" ht="15" hidden="false" customHeight="false" outlineLevel="0" collapsed="false">
      <c r="A2432" s="2" t="s">
        <v>205</v>
      </c>
      <c r="B2432" s="2" t="s">
        <v>206</v>
      </c>
      <c r="C2432" s="2" t="s">
        <v>53</v>
      </c>
      <c r="D2432" s="3" t="n">
        <v>46247</v>
      </c>
      <c r="E2432" s="2" t="str">
        <f aca="false">TEXT(D2432,"dddd")</f>
        <v>Thursday</v>
      </c>
      <c r="F2432" s="2" t="s">
        <v>457</v>
      </c>
      <c r="G2432" s="2" t="s">
        <v>458</v>
      </c>
      <c r="H2432" s="2" t="s">
        <v>459</v>
      </c>
      <c r="I2432" s="2" t="n">
        <f aca="false">IF(F2432="Present",9,IF(F2432="Half Day",4,0))</f>
        <v>9</v>
      </c>
      <c r="J2432" s="2"/>
      <c r="K2432" s="2"/>
    </row>
    <row r="2433" customFormat="false" ht="15" hidden="false" customHeight="false" outlineLevel="0" collapsed="false">
      <c r="A2433" s="2" t="s">
        <v>205</v>
      </c>
      <c r="B2433" s="2" t="s">
        <v>206</v>
      </c>
      <c r="C2433" s="2" t="s">
        <v>53</v>
      </c>
      <c r="D2433" s="3" t="n">
        <v>46248</v>
      </c>
      <c r="E2433" s="2" t="str">
        <f aca="false">TEXT(D2433,"dddd")</f>
        <v>Friday</v>
      </c>
      <c r="F2433" s="2" t="s">
        <v>457</v>
      </c>
      <c r="G2433" s="2" t="s">
        <v>458</v>
      </c>
      <c r="H2433" s="2" t="s">
        <v>459</v>
      </c>
      <c r="I2433" s="2" t="n">
        <f aca="false">IF(F2433="Present",9,IF(F2433="Half Day",4,0))</f>
        <v>9</v>
      </c>
      <c r="J2433" s="2"/>
      <c r="K2433" s="2"/>
    </row>
    <row r="2434" customFormat="false" ht="15" hidden="false" customHeight="false" outlineLevel="0" collapsed="false">
      <c r="A2434" s="2" t="s">
        <v>205</v>
      </c>
      <c r="B2434" s="2" t="s">
        <v>206</v>
      </c>
      <c r="C2434" s="2" t="s">
        <v>53</v>
      </c>
      <c r="D2434" s="3" t="n">
        <v>46249</v>
      </c>
      <c r="E2434" s="2" t="str">
        <f aca="false">TEXT(D2434,"dddd")</f>
        <v>Saturday</v>
      </c>
      <c r="F2434" s="2" t="s">
        <v>457</v>
      </c>
      <c r="G2434" s="2" t="s">
        <v>458</v>
      </c>
      <c r="H2434" s="2" t="s">
        <v>459</v>
      </c>
      <c r="I2434" s="2" t="n">
        <f aca="false">IF(F2434="Present",9,IF(F2434="Half Day",4,0))</f>
        <v>9</v>
      </c>
      <c r="J2434" s="2"/>
      <c r="K2434" s="2"/>
    </row>
    <row r="2435" customFormat="false" ht="15" hidden="false" customHeight="false" outlineLevel="0" collapsed="false">
      <c r="A2435" s="2" t="s">
        <v>205</v>
      </c>
      <c r="B2435" s="2" t="s">
        <v>206</v>
      </c>
      <c r="C2435" s="2" t="s">
        <v>53</v>
      </c>
      <c r="D2435" s="3" t="n">
        <v>46250</v>
      </c>
      <c r="E2435" s="2" t="str">
        <f aca="false">TEXT(D2435,"dddd")</f>
        <v>Sunday</v>
      </c>
      <c r="F2435" s="2" t="s">
        <v>460</v>
      </c>
      <c r="G2435" s="2"/>
      <c r="H2435" s="2"/>
      <c r="I2435" s="2" t="n">
        <f aca="false">IF(F2435="Present",9,IF(F2435="Half Day",4,0))</f>
        <v>0</v>
      </c>
      <c r="J2435" s="2"/>
      <c r="K2435" s="2" t="s">
        <v>460</v>
      </c>
    </row>
    <row r="2436" customFormat="false" ht="15" hidden="false" customHeight="false" outlineLevel="0" collapsed="false">
      <c r="A2436" s="2" t="s">
        <v>205</v>
      </c>
      <c r="B2436" s="2" t="s">
        <v>206</v>
      </c>
      <c r="C2436" s="2" t="s">
        <v>53</v>
      </c>
      <c r="D2436" s="3" t="n">
        <v>46251</v>
      </c>
      <c r="E2436" s="2" t="str">
        <f aca="false">TEXT(D2436,"dddd")</f>
        <v>Monday</v>
      </c>
      <c r="F2436" s="2" t="s">
        <v>457</v>
      </c>
      <c r="G2436" s="2" t="s">
        <v>458</v>
      </c>
      <c r="H2436" s="2" t="s">
        <v>459</v>
      </c>
      <c r="I2436" s="2" t="n">
        <f aca="false">IF(F2436="Present",9,IF(F2436="Half Day",4,0))</f>
        <v>9</v>
      </c>
      <c r="J2436" s="2"/>
      <c r="K2436" s="2"/>
    </row>
    <row r="2437" customFormat="false" ht="15" hidden="false" customHeight="false" outlineLevel="0" collapsed="false">
      <c r="A2437" s="2" t="s">
        <v>205</v>
      </c>
      <c r="B2437" s="2" t="s">
        <v>206</v>
      </c>
      <c r="C2437" s="2" t="s">
        <v>53</v>
      </c>
      <c r="D2437" s="3" t="n">
        <v>46252</v>
      </c>
      <c r="E2437" s="2" t="str">
        <f aca="false">TEXT(D2437,"dddd")</f>
        <v>Tuesday</v>
      </c>
      <c r="F2437" s="2" t="s">
        <v>461</v>
      </c>
      <c r="G2437" s="2"/>
      <c r="H2437" s="2"/>
      <c r="I2437" s="2" t="n">
        <f aca="false">IF(F2437="Present",9,IF(F2437="Half Day",4,0))</f>
        <v>0</v>
      </c>
      <c r="J2437" s="2"/>
      <c r="K2437" s="2" t="s">
        <v>462</v>
      </c>
    </row>
    <row r="2438" customFormat="false" ht="15" hidden="false" customHeight="false" outlineLevel="0" collapsed="false">
      <c r="A2438" s="2" t="s">
        <v>205</v>
      </c>
      <c r="B2438" s="2" t="s">
        <v>206</v>
      </c>
      <c r="C2438" s="2" t="s">
        <v>53</v>
      </c>
      <c r="D2438" s="3" t="n">
        <v>46253</v>
      </c>
      <c r="E2438" s="2" t="str">
        <f aca="false">TEXT(D2438,"dddd")</f>
        <v>Wednesday</v>
      </c>
      <c r="F2438" s="2" t="s">
        <v>457</v>
      </c>
      <c r="G2438" s="2" t="s">
        <v>458</v>
      </c>
      <c r="H2438" s="2" t="s">
        <v>459</v>
      </c>
      <c r="I2438" s="2" t="n">
        <f aca="false">IF(F2438="Present",9,IF(F2438="Half Day",4,0))</f>
        <v>9</v>
      </c>
      <c r="J2438" s="2"/>
      <c r="K2438" s="2"/>
    </row>
    <row r="2439" customFormat="false" ht="15" hidden="false" customHeight="false" outlineLevel="0" collapsed="false">
      <c r="A2439" s="2" t="s">
        <v>205</v>
      </c>
      <c r="B2439" s="2" t="s">
        <v>206</v>
      </c>
      <c r="C2439" s="2" t="s">
        <v>53</v>
      </c>
      <c r="D2439" s="3" t="n">
        <v>46254</v>
      </c>
      <c r="E2439" s="2" t="str">
        <f aca="false">TEXT(D2439,"dddd")</f>
        <v>Thursday</v>
      </c>
      <c r="F2439" s="2" t="s">
        <v>457</v>
      </c>
      <c r="G2439" s="2" t="s">
        <v>458</v>
      </c>
      <c r="H2439" s="2" t="s">
        <v>459</v>
      </c>
      <c r="I2439" s="2" t="n">
        <f aca="false">IF(F2439="Present",9,IF(F2439="Half Day",4,0))</f>
        <v>9</v>
      </c>
      <c r="J2439" s="2"/>
      <c r="K2439" s="2"/>
    </row>
    <row r="2440" customFormat="false" ht="15" hidden="false" customHeight="false" outlineLevel="0" collapsed="false">
      <c r="A2440" s="2" t="s">
        <v>205</v>
      </c>
      <c r="B2440" s="2" t="s">
        <v>206</v>
      </c>
      <c r="C2440" s="2" t="s">
        <v>53</v>
      </c>
      <c r="D2440" s="3" t="n">
        <v>46255</v>
      </c>
      <c r="E2440" s="2" t="str">
        <f aca="false">TEXT(D2440,"dddd")</f>
        <v>Friday</v>
      </c>
      <c r="F2440" s="2" t="s">
        <v>457</v>
      </c>
      <c r="G2440" s="2" t="s">
        <v>458</v>
      </c>
      <c r="H2440" s="2" t="s">
        <v>459</v>
      </c>
      <c r="I2440" s="2" t="n">
        <f aca="false">IF(F2440="Present",9,IF(F2440="Half Day",4,0))</f>
        <v>9</v>
      </c>
      <c r="J2440" s="2"/>
      <c r="K2440" s="2"/>
    </row>
    <row r="2441" customFormat="false" ht="15" hidden="false" customHeight="false" outlineLevel="0" collapsed="false">
      <c r="A2441" s="2" t="s">
        <v>205</v>
      </c>
      <c r="B2441" s="2" t="s">
        <v>206</v>
      </c>
      <c r="C2441" s="2" t="s">
        <v>53</v>
      </c>
      <c r="D2441" s="3" t="n">
        <v>46256</v>
      </c>
      <c r="E2441" s="2" t="str">
        <f aca="false">TEXT(D2441,"dddd")</f>
        <v>Saturday</v>
      </c>
      <c r="F2441" s="2" t="s">
        <v>461</v>
      </c>
      <c r="G2441" s="2"/>
      <c r="H2441" s="2"/>
      <c r="I2441" s="2" t="n">
        <f aca="false">IF(F2441="Present",9,IF(F2441="Half Day",4,0))</f>
        <v>0</v>
      </c>
      <c r="J2441" s="2"/>
      <c r="K2441" s="2" t="s">
        <v>462</v>
      </c>
    </row>
    <row r="2442" customFormat="false" ht="15" hidden="false" customHeight="false" outlineLevel="0" collapsed="false">
      <c r="A2442" s="2" t="s">
        <v>205</v>
      </c>
      <c r="B2442" s="2" t="s">
        <v>206</v>
      </c>
      <c r="C2442" s="2" t="s">
        <v>53</v>
      </c>
      <c r="D2442" s="3" t="n">
        <v>46257</v>
      </c>
      <c r="E2442" s="2" t="str">
        <f aca="false">TEXT(D2442,"dddd")</f>
        <v>Sunday</v>
      </c>
      <c r="F2442" s="2" t="s">
        <v>460</v>
      </c>
      <c r="G2442" s="2"/>
      <c r="H2442" s="2"/>
      <c r="I2442" s="2" t="n">
        <f aca="false">IF(F2442="Present",9,IF(F2442="Half Day",4,0))</f>
        <v>0</v>
      </c>
      <c r="J2442" s="2"/>
      <c r="K2442" s="2" t="s">
        <v>460</v>
      </c>
    </row>
    <row r="2443" customFormat="false" ht="15" hidden="false" customHeight="false" outlineLevel="0" collapsed="false">
      <c r="A2443" s="2" t="s">
        <v>205</v>
      </c>
      <c r="B2443" s="2" t="s">
        <v>206</v>
      </c>
      <c r="C2443" s="2" t="s">
        <v>53</v>
      </c>
      <c r="D2443" s="3" t="n">
        <v>46258</v>
      </c>
      <c r="E2443" s="2" t="str">
        <f aca="false">TEXT(D2443,"dddd")</f>
        <v>Monday</v>
      </c>
      <c r="F2443" s="2" t="s">
        <v>457</v>
      </c>
      <c r="G2443" s="2" t="s">
        <v>458</v>
      </c>
      <c r="H2443" s="2" t="s">
        <v>459</v>
      </c>
      <c r="I2443" s="2" t="n">
        <f aca="false">IF(F2443="Present",9,IF(F2443="Half Day",4,0))</f>
        <v>9</v>
      </c>
      <c r="J2443" s="2"/>
      <c r="K2443" s="2"/>
    </row>
    <row r="2444" customFormat="false" ht="15" hidden="false" customHeight="false" outlineLevel="0" collapsed="false">
      <c r="A2444" s="2" t="s">
        <v>205</v>
      </c>
      <c r="B2444" s="2" t="s">
        <v>206</v>
      </c>
      <c r="C2444" s="2" t="s">
        <v>53</v>
      </c>
      <c r="D2444" s="3" t="n">
        <v>46259</v>
      </c>
      <c r="E2444" s="2" t="str">
        <f aca="false">TEXT(D2444,"dddd")</f>
        <v>Tuesday</v>
      </c>
      <c r="F2444" s="2" t="s">
        <v>457</v>
      </c>
      <c r="G2444" s="2" t="s">
        <v>458</v>
      </c>
      <c r="H2444" s="2" t="s">
        <v>459</v>
      </c>
      <c r="I2444" s="2" t="n">
        <f aca="false">IF(F2444="Present",9,IF(F2444="Half Day",4,0))</f>
        <v>9</v>
      </c>
      <c r="J2444" s="2"/>
      <c r="K2444" s="2"/>
    </row>
    <row r="2445" customFormat="false" ht="15" hidden="false" customHeight="false" outlineLevel="0" collapsed="false">
      <c r="A2445" s="2" t="s">
        <v>205</v>
      </c>
      <c r="B2445" s="2" t="s">
        <v>206</v>
      </c>
      <c r="C2445" s="2" t="s">
        <v>53</v>
      </c>
      <c r="D2445" s="3" t="n">
        <v>46260</v>
      </c>
      <c r="E2445" s="2" t="str">
        <f aca="false">TEXT(D2445,"dddd")</f>
        <v>Wednesday</v>
      </c>
      <c r="F2445" s="2" t="s">
        <v>457</v>
      </c>
      <c r="G2445" s="2" t="s">
        <v>458</v>
      </c>
      <c r="H2445" s="2" t="s">
        <v>459</v>
      </c>
      <c r="I2445" s="2" t="n">
        <f aca="false">IF(F2445="Present",9,IF(F2445="Half Day",4,0))</f>
        <v>9</v>
      </c>
      <c r="J2445" s="2"/>
      <c r="K2445" s="2"/>
    </row>
    <row r="2446" customFormat="false" ht="15" hidden="false" customHeight="false" outlineLevel="0" collapsed="false">
      <c r="A2446" s="2" t="s">
        <v>205</v>
      </c>
      <c r="B2446" s="2" t="s">
        <v>206</v>
      </c>
      <c r="C2446" s="2" t="s">
        <v>53</v>
      </c>
      <c r="D2446" s="3" t="n">
        <v>46261</v>
      </c>
      <c r="E2446" s="2" t="str">
        <f aca="false">TEXT(D2446,"dddd")</f>
        <v>Thursday</v>
      </c>
      <c r="F2446" s="2" t="s">
        <v>461</v>
      </c>
      <c r="G2446" s="2"/>
      <c r="H2446" s="2"/>
      <c r="I2446" s="2" t="n">
        <f aca="false">IF(F2446="Present",9,IF(F2446="Half Day",4,0))</f>
        <v>0</v>
      </c>
      <c r="J2446" s="2"/>
      <c r="K2446" s="2" t="s">
        <v>462</v>
      </c>
    </row>
    <row r="2447" customFormat="false" ht="15" hidden="false" customHeight="false" outlineLevel="0" collapsed="false">
      <c r="A2447" s="2" t="s">
        <v>205</v>
      </c>
      <c r="B2447" s="2" t="s">
        <v>206</v>
      </c>
      <c r="C2447" s="2" t="s">
        <v>53</v>
      </c>
      <c r="D2447" s="3" t="n">
        <v>46262</v>
      </c>
      <c r="E2447" s="2" t="str">
        <f aca="false">TEXT(D2447,"dddd")</f>
        <v>Friday</v>
      </c>
      <c r="F2447" s="2" t="s">
        <v>461</v>
      </c>
      <c r="G2447" s="2"/>
      <c r="H2447" s="2"/>
      <c r="I2447" s="2" t="n">
        <f aca="false">IF(F2447="Present",9,IF(F2447="Half Day",4,0))</f>
        <v>0</v>
      </c>
      <c r="J2447" s="2"/>
      <c r="K2447" s="2" t="s">
        <v>462</v>
      </c>
    </row>
    <row r="2448" customFormat="false" ht="15" hidden="false" customHeight="false" outlineLevel="0" collapsed="false">
      <c r="A2448" s="2" t="s">
        <v>205</v>
      </c>
      <c r="B2448" s="2" t="s">
        <v>206</v>
      </c>
      <c r="C2448" s="2" t="s">
        <v>53</v>
      </c>
      <c r="D2448" s="3" t="n">
        <v>46263</v>
      </c>
      <c r="E2448" s="2" t="str">
        <f aca="false">TEXT(D2448,"dddd")</f>
        <v>Saturday</v>
      </c>
      <c r="F2448" s="2" t="s">
        <v>463</v>
      </c>
      <c r="G2448" s="2"/>
      <c r="H2448" s="2"/>
      <c r="I2448" s="2" t="n">
        <f aca="false">IF(F2448="Present",9,IF(F2448="Half Day",4,0))</f>
        <v>0</v>
      </c>
      <c r="J2448" s="2" t="s">
        <v>468</v>
      </c>
      <c r="K2448" s="2" t="s">
        <v>469</v>
      </c>
    </row>
    <row r="2449" customFormat="false" ht="15" hidden="false" customHeight="false" outlineLevel="0" collapsed="false">
      <c r="A2449" s="2" t="s">
        <v>205</v>
      </c>
      <c r="B2449" s="2" t="s">
        <v>206</v>
      </c>
      <c r="C2449" s="2" t="s">
        <v>53</v>
      </c>
      <c r="D2449" s="3" t="n">
        <v>46264</v>
      </c>
      <c r="E2449" s="2" t="str">
        <f aca="false">TEXT(D2449,"dddd")</f>
        <v>Sunday</v>
      </c>
      <c r="F2449" s="2" t="s">
        <v>460</v>
      </c>
      <c r="G2449" s="2"/>
      <c r="H2449" s="2"/>
      <c r="I2449" s="2" t="n">
        <f aca="false">IF(F2449="Present",9,IF(F2449="Half Day",4,0))</f>
        <v>0</v>
      </c>
      <c r="J2449" s="2"/>
      <c r="K2449" s="2" t="s">
        <v>460</v>
      </c>
    </row>
    <row r="2450" customFormat="false" ht="15" hidden="false" customHeight="false" outlineLevel="0" collapsed="false">
      <c r="A2450" s="2" t="s">
        <v>205</v>
      </c>
      <c r="B2450" s="2" t="s">
        <v>206</v>
      </c>
      <c r="C2450" s="2" t="s">
        <v>53</v>
      </c>
      <c r="D2450" s="3" t="n">
        <v>46265</v>
      </c>
      <c r="E2450" s="2" t="str">
        <f aca="false">TEXT(D2450,"dddd")</f>
        <v>Monday</v>
      </c>
      <c r="F2450" s="2" t="s">
        <v>457</v>
      </c>
      <c r="G2450" s="2" t="s">
        <v>458</v>
      </c>
      <c r="H2450" s="2" t="s">
        <v>459</v>
      </c>
      <c r="I2450" s="2" t="n">
        <f aca="false">IF(F2450="Present",9,IF(F2450="Half Day",4,0))</f>
        <v>9</v>
      </c>
      <c r="J2450" s="2"/>
      <c r="K2450" s="2"/>
    </row>
    <row r="2451" customFormat="false" ht="15" hidden="false" customHeight="false" outlineLevel="0" collapsed="false">
      <c r="A2451" s="2" t="s">
        <v>207</v>
      </c>
      <c r="B2451" s="2" t="s">
        <v>208</v>
      </c>
      <c r="C2451" s="2" t="s">
        <v>57</v>
      </c>
      <c r="D2451" s="3" t="n">
        <v>46235</v>
      </c>
      <c r="E2451" s="2" t="str">
        <f aca="false">TEXT(D2451,"dddd")</f>
        <v>Saturday</v>
      </c>
      <c r="F2451" s="2" t="s">
        <v>457</v>
      </c>
      <c r="G2451" s="2" t="s">
        <v>458</v>
      </c>
      <c r="H2451" s="2" t="s">
        <v>459</v>
      </c>
      <c r="I2451" s="2" t="n">
        <f aca="false">IF(F2451="Present",9,IF(F2451="Half Day",4,0))</f>
        <v>9</v>
      </c>
      <c r="J2451" s="2"/>
      <c r="K2451" s="2"/>
    </row>
    <row r="2452" customFormat="false" ht="15" hidden="false" customHeight="false" outlineLevel="0" collapsed="false">
      <c r="A2452" s="2" t="s">
        <v>207</v>
      </c>
      <c r="B2452" s="2" t="s">
        <v>208</v>
      </c>
      <c r="C2452" s="2" t="s">
        <v>57</v>
      </c>
      <c r="D2452" s="3" t="n">
        <v>46236</v>
      </c>
      <c r="E2452" s="2" t="str">
        <f aca="false">TEXT(D2452,"dddd")</f>
        <v>Sunday</v>
      </c>
      <c r="F2452" s="2" t="s">
        <v>460</v>
      </c>
      <c r="G2452" s="2"/>
      <c r="H2452" s="2"/>
      <c r="I2452" s="2" t="n">
        <f aca="false">IF(F2452="Present",9,IF(F2452="Half Day",4,0))</f>
        <v>0</v>
      </c>
      <c r="J2452" s="2"/>
      <c r="K2452" s="2" t="s">
        <v>460</v>
      </c>
    </row>
    <row r="2453" customFormat="false" ht="15" hidden="false" customHeight="false" outlineLevel="0" collapsed="false">
      <c r="A2453" s="2" t="s">
        <v>207</v>
      </c>
      <c r="B2453" s="2" t="s">
        <v>208</v>
      </c>
      <c r="C2453" s="2" t="s">
        <v>57</v>
      </c>
      <c r="D2453" s="3" t="n">
        <v>46237</v>
      </c>
      <c r="E2453" s="2" t="str">
        <f aca="false">TEXT(D2453,"dddd")</f>
        <v>Monday</v>
      </c>
      <c r="F2453" s="2" t="s">
        <v>457</v>
      </c>
      <c r="G2453" s="2" t="s">
        <v>458</v>
      </c>
      <c r="H2453" s="2" t="s">
        <v>459</v>
      </c>
      <c r="I2453" s="2" t="n">
        <f aca="false">IF(F2453="Present",9,IF(F2453="Half Day",4,0))</f>
        <v>9</v>
      </c>
      <c r="J2453" s="2"/>
      <c r="K2453" s="2"/>
    </row>
    <row r="2454" customFormat="false" ht="15" hidden="false" customHeight="false" outlineLevel="0" collapsed="false">
      <c r="A2454" s="2" t="s">
        <v>207</v>
      </c>
      <c r="B2454" s="2" t="s">
        <v>208</v>
      </c>
      <c r="C2454" s="2" t="s">
        <v>57</v>
      </c>
      <c r="D2454" s="3" t="n">
        <v>46238</v>
      </c>
      <c r="E2454" s="2" t="str">
        <f aca="false">TEXT(D2454,"dddd")</f>
        <v>Tuesday</v>
      </c>
      <c r="F2454" s="2" t="s">
        <v>457</v>
      </c>
      <c r="G2454" s="2" t="s">
        <v>458</v>
      </c>
      <c r="H2454" s="2" t="s">
        <v>459</v>
      </c>
      <c r="I2454" s="2" t="n">
        <f aca="false">IF(F2454="Present",9,IF(F2454="Half Day",4,0))</f>
        <v>9</v>
      </c>
      <c r="J2454" s="2"/>
      <c r="K2454" s="2"/>
    </row>
    <row r="2455" customFormat="false" ht="15" hidden="false" customHeight="false" outlineLevel="0" collapsed="false">
      <c r="A2455" s="2" t="s">
        <v>207</v>
      </c>
      <c r="B2455" s="2" t="s">
        <v>208</v>
      </c>
      <c r="C2455" s="2" t="s">
        <v>57</v>
      </c>
      <c r="D2455" s="3" t="n">
        <v>46239</v>
      </c>
      <c r="E2455" s="2" t="str">
        <f aca="false">TEXT(D2455,"dddd")</f>
        <v>Wednesday</v>
      </c>
      <c r="F2455" s="2" t="s">
        <v>457</v>
      </c>
      <c r="G2455" s="2" t="s">
        <v>458</v>
      </c>
      <c r="H2455" s="2" t="s">
        <v>459</v>
      </c>
      <c r="I2455" s="2" t="n">
        <f aca="false">IF(F2455="Present",9,IF(F2455="Half Day",4,0))</f>
        <v>9</v>
      </c>
      <c r="J2455" s="2"/>
      <c r="K2455" s="2"/>
    </row>
    <row r="2456" customFormat="false" ht="15" hidden="false" customHeight="false" outlineLevel="0" collapsed="false">
      <c r="A2456" s="2" t="s">
        <v>207</v>
      </c>
      <c r="B2456" s="2" t="s">
        <v>208</v>
      </c>
      <c r="C2456" s="2" t="s">
        <v>57</v>
      </c>
      <c r="D2456" s="3" t="n">
        <v>46240</v>
      </c>
      <c r="E2456" s="2" t="str">
        <f aca="false">TEXT(D2456,"dddd")</f>
        <v>Thursday</v>
      </c>
      <c r="F2456" s="2" t="s">
        <v>457</v>
      </c>
      <c r="G2456" s="2" t="s">
        <v>458</v>
      </c>
      <c r="H2456" s="2" t="s">
        <v>459</v>
      </c>
      <c r="I2456" s="2" t="n">
        <f aca="false">IF(F2456="Present",9,IF(F2456="Half Day",4,0))</f>
        <v>9</v>
      </c>
      <c r="J2456" s="2"/>
      <c r="K2456" s="2"/>
    </row>
    <row r="2457" customFormat="false" ht="15" hidden="false" customHeight="false" outlineLevel="0" collapsed="false">
      <c r="A2457" s="2" t="s">
        <v>207</v>
      </c>
      <c r="B2457" s="2" t="s">
        <v>208</v>
      </c>
      <c r="C2457" s="2" t="s">
        <v>57</v>
      </c>
      <c r="D2457" s="3" t="n">
        <v>46241</v>
      </c>
      <c r="E2457" s="2" t="str">
        <f aca="false">TEXT(D2457,"dddd")</f>
        <v>Friday</v>
      </c>
      <c r="F2457" s="2" t="s">
        <v>457</v>
      </c>
      <c r="G2457" s="2" t="s">
        <v>458</v>
      </c>
      <c r="H2457" s="2" t="s">
        <v>459</v>
      </c>
      <c r="I2457" s="2" t="n">
        <f aca="false">IF(F2457="Present",9,IF(F2457="Half Day",4,0))</f>
        <v>9</v>
      </c>
      <c r="J2457" s="2"/>
      <c r="K2457" s="2"/>
    </row>
    <row r="2458" customFormat="false" ht="15" hidden="false" customHeight="false" outlineLevel="0" collapsed="false">
      <c r="A2458" s="2" t="s">
        <v>207</v>
      </c>
      <c r="B2458" s="2" t="s">
        <v>208</v>
      </c>
      <c r="C2458" s="2" t="s">
        <v>57</v>
      </c>
      <c r="D2458" s="3" t="n">
        <v>46242</v>
      </c>
      <c r="E2458" s="2" t="str">
        <f aca="false">TEXT(D2458,"dddd")</f>
        <v>Saturday</v>
      </c>
      <c r="F2458" s="2" t="s">
        <v>457</v>
      </c>
      <c r="G2458" s="2" t="s">
        <v>458</v>
      </c>
      <c r="H2458" s="2" t="s">
        <v>459</v>
      </c>
      <c r="I2458" s="2" t="n">
        <f aca="false">IF(F2458="Present",9,IF(F2458="Half Day",4,0))</f>
        <v>9</v>
      </c>
      <c r="J2458" s="2"/>
      <c r="K2458" s="2"/>
    </row>
    <row r="2459" customFormat="false" ht="15" hidden="false" customHeight="false" outlineLevel="0" collapsed="false">
      <c r="A2459" s="2" t="s">
        <v>207</v>
      </c>
      <c r="B2459" s="2" t="s">
        <v>208</v>
      </c>
      <c r="C2459" s="2" t="s">
        <v>57</v>
      </c>
      <c r="D2459" s="3" t="n">
        <v>46243</v>
      </c>
      <c r="E2459" s="2" t="str">
        <f aca="false">TEXT(D2459,"dddd")</f>
        <v>Sunday</v>
      </c>
      <c r="F2459" s="2" t="s">
        <v>460</v>
      </c>
      <c r="G2459" s="2"/>
      <c r="H2459" s="2"/>
      <c r="I2459" s="2" t="n">
        <f aca="false">IF(F2459="Present",9,IF(F2459="Half Day",4,0))</f>
        <v>0</v>
      </c>
      <c r="J2459" s="2"/>
      <c r="K2459" s="2" t="s">
        <v>460</v>
      </c>
    </row>
    <row r="2460" customFormat="false" ht="15" hidden="false" customHeight="false" outlineLevel="0" collapsed="false">
      <c r="A2460" s="2" t="s">
        <v>207</v>
      </c>
      <c r="B2460" s="2" t="s">
        <v>208</v>
      </c>
      <c r="C2460" s="2" t="s">
        <v>57</v>
      </c>
      <c r="D2460" s="3" t="n">
        <v>46244</v>
      </c>
      <c r="E2460" s="2" t="str">
        <f aca="false">TEXT(D2460,"dddd")</f>
        <v>Monday</v>
      </c>
      <c r="F2460" s="2" t="s">
        <v>457</v>
      </c>
      <c r="G2460" s="2" t="s">
        <v>458</v>
      </c>
      <c r="H2460" s="2" t="s">
        <v>459</v>
      </c>
      <c r="I2460" s="2" t="n">
        <f aca="false">IF(F2460="Present",9,IF(F2460="Half Day",4,0))</f>
        <v>9</v>
      </c>
      <c r="J2460" s="2"/>
      <c r="K2460" s="2"/>
    </row>
    <row r="2461" customFormat="false" ht="15" hidden="false" customHeight="false" outlineLevel="0" collapsed="false">
      <c r="A2461" s="2" t="s">
        <v>207</v>
      </c>
      <c r="B2461" s="2" t="s">
        <v>208</v>
      </c>
      <c r="C2461" s="2" t="s">
        <v>57</v>
      </c>
      <c r="D2461" s="3" t="n">
        <v>46245</v>
      </c>
      <c r="E2461" s="2" t="str">
        <f aca="false">TEXT(D2461,"dddd")</f>
        <v>Tuesday</v>
      </c>
      <c r="F2461" s="2" t="s">
        <v>457</v>
      </c>
      <c r="G2461" s="2" t="s">
        <v>458</v>
      </c>
      <c r="H2461" s="2" t="s">
        <v>459</v>
      </c>
      <c r="I2461" s="2" t="n">
        <f aca="false">IF(F2461="Present",9,IF(F2461="Half Day",4,0))</f>
        <v>9</v>
      </c>
      <c r="J2461" s="2"/>
      <c r="K2461" s="2"/>
    </row>
    <row r="2462" customFormat="false" ht="15" hidden="false" customHeight="false" outlineLevel="0" collapsed="false">
      <c r="A2462" s="2" t="s">
        <v>207</v>
      </c>
      <c r="B2462" s="2" t="s">
        <v>208</v>
      </c>
      <c r="C2462" s="2" t="s">
        <v>57</v>
      </c>
      <c r="D2462" s="3" t="n">
        <v>46246</v>
      </c>
      <c r="E2462" s="2" t="str">
        <f aca="false">TEXT(D2462,"dddd")</f>
        <v>Wednesday</v>
      </c>
      <c r="F2462" s="2" t="s">
        <v>457</v>
      </c>
      <c r="G2462" s="2" t="s">
        <v>458</v>
      </c>
      <c r="H2462" s="2" t="s">
        <v>459</v>
      </c>
      <c r="I2462" s="2" t="n">
        <f aca="false">IF(F2462="Present",9,IF(F2462="Half Day",4,0))</f>
        <v>9</v>
      </c>
      <c r="J2462" s="2"/>
      <c r="K2462" s="2"/>
    </row>
    <row r="2463" customFormat="false" ht="15" hidden="false" customHeight="false" outlineLevel="0" collapsed="false">
      <c r="A2463" s="2" t="s">
        <v>207</v>
      </c>
      <c r="B2463" s="2" t="s">
        <v>208</v>
      </c>
      <c r="C2463" s="2" t="s">
        <v>57</v>
      </c>
      <c r="D2463" s="3" t="n">
        <v>46247</v>
      </c>
      <c r="E2463" s="2" t="str">
        <f aca="false">TEXT(D2463,"dddd")</f>
        <v>Thursday</v>
      </c>
      <c r="F2463" s="2" t="s">
        <v>457</v>
      </c>
      <c r="G2463" s="2" t="s">
        <v>458</v>
      </c>
      <c r="H2463" s="2" t="s">
        <v>459</v>
      </c>
      <c r="I2463" s="2" t="n">
        <f aca="false">IF(F2463="Present",9,IF(F2463="Half Day",4,0))</f>
        <v>9</v>
      </c>
      <c r="J2463" s="2"/>
      <c r="K2463" s="2"/>
    </row>
    <row r="2464" customFormat="false" ht="15" hidden="false" customHeight="false" outlineLevel="0" collapsed="false">
      <c r="A2464" s="2" t="s">
        <v>207</v>
      </c>
      <c r="B2464" s="2" t="s">
        <v>208</v>
      </c>
      <c r="C2464" s="2" t="s">
        <v>57</v>
      </c>
      <c r="D2464" s="3" t="n">
        <v>46248</v>
      </c>
      <c r="E2464" s="2" t="str">
        <f aca="false">TEXT(D2464,"dddd")</f>
        <v>Friday</v>
      </c>
      <c r="F2464" s="2" t="s">
        <v>457</v>
      </c>
      <c r="G2464" s="2" t="s">
        <v>458</v>
      </c>
      <c r="H2464" s="2" t="s">
        <v>459</v>
      </c>
      <c r="I2464" s="2" t="n">
        <f aca="false">IF(F2464="Present",9,IF(F2464="Half Day",4,0))</f>
        <v>9</v>
      </c>
      <c r="J2464" s="2"/>
      <c r="K2464" s="2"/>
    </row>
    <row r="2465" customFormat="false" ht="15" hidden="false" customHeight="false" outlineLevel="0" collapsed="false">
      <c r="A2465" s="2" t="s">
        <v>207</v>
      </c>
      <c r="B2465" s="2" t="s">
        <v>208</v>
      </c>
      <c r="C2465" s="2" t="s">
        <v>57</v>
      </c>
      <c r="D2465" s="3" t="n">
        <v>46249</v>
      </c>
      <c r="E2465" s="2" t="str">
        <f aca="false">TEXT(D2465,"dddd")</f>
        <v>Saturday</v>
      </c>
      <c r="F2465" s="2" t="s">
        <v>457</v>
      </c>
      <c r="G2465" s="2" t="s">
        <v>458</v>
      </c>
      <c r="H2465" s="2" t="s">
        <v>459</v>
      </c>
      <c r="I2465" s="2" t="n">
        <f aca="false">IF(F2465="Present",9,IF(F2465="Half Day",4,0))</f>
        <v>9</v>
      </c>
      <c r="J2465" s="2"/>
      <c r="K2465" s="2"/>
    </row>
    <row r="2466" customFormat="false" ht="15" hidden="false" customHeight="false" outlineLevel="0" collapsed="false">
      <c r="A2466" s="2" t="s">
        <v>207</v>
      </c>
      <c r="B2466" s="2" t="s">
        <v>208</v>
      </c>
      <c r="C2466" s="2" t="s">
        <v>57</v>
      </c>
      <c r="D2466" s="3" t="n">
        <v>46250</v>
      </c>
      <c r="E2466" s="2" t="str">
        <f aca="false">TEXT(D2466,"dddd")</f>
        <v>Sunday</v>
      </c>
      <c r="F2466" s="2" t="s">
        <v>460</v>
      </c>
      <c r="G2466" s="2"/>
      <c r="H2466" s="2"/>
      <c r="I2466" s="2" t="n">
        <f aca="false">IF(F2466="Present",9,IF(F2466="Half Day",4,0))</f>
        <v>0</v>
      </c>
      <c r="J2466" s="2"/>
      <c r="K2466" s="2" t="s">
        <v>460</v>
      </c>
    </row>
    <row r="2467" customFormat="false" ht="15" hidden="false" customHeight="false" outlineLevel="0" collapsed="false">
      <c r="A2467" s="2" t="s">
        <v>207</v>
      </c>
      <c r="B2467" s="2" t="s">
        <v>208</v>
      </c>
      <c r="C2467" s="2" t="s">
        <v>57</v>
      </c>
      <c r="D2467" s="3" t="n">
        <v>46251</v>
      </c>
      <c r="E2467" s="2" t="str">
        <f aca="false">TEXT(D2467,"dddd")</f>
        <v>Monday</v>
      </c>
      <c r="F2467" s="2" t="s">
        <v>457</v>
      </c>
      <c r="G2467" s="2" t="s">
        <v>458</v>
      </c>
      <c r="H2467" s="2" t="s">
        <v>459</v>
      </c>
      <c r="I2467" s="2" t="n">
        <f aca="false">IF(F2467="Present",9,IF(F2467="Half Day",4,0))</f>
        <v>9</v>
      </c>
      <c r="J2467" s="2"/>
      <c r="K2467" s="2"/>
    </row>
    <row r="2468" customFormat="false" ht="15" hidden="false" customHeight="false" outlineLevel="0" collapsed="false">
      <c r="A2468" s="2" t="s">
        <v>207</v>
      </c>
      <c r="B2468" s="2" t="s">
        <v>208</v>
      </c>
      <c r="C2468" s="2" t="s">
        <v>57</v>
      </c>
      <c r="D2468" s="3" t="n">
        <v>46252</v>
      </c>
      <c r="E2468" s="2" t="str">
        <f aca="false">TEXT(D2468,"dddd")</f>
        <v>Tuesday</v>
      </c>
      <c r="F2468" s="2" t="s">
        <v>457</v>
      </c>
      <c r="G2468" s="2" t="s">
        <v>458</v>
      </c>
      <c r="H2468" s="2" t="s">
        <v>459</v>
      </c>
      <c r="I2468" s="2" t="n">
        <f aca="false">IF(F2468="Present",9,IF(F2468="Half Day",4,0))</f>
        <v>9</v>
      </c>
      <c r="J2468" s="2"/>
      <c r="K2468" s="2"/>
    </row>
    <row r="2469" customFormat="false" ht="15" hidden="false" customHeight="false" outlineLevel="0" collapsed="false">
      <c r="A2469" s="2" t="s">
        <v>207</v>
      </c>
      <c r="B2469" s="2" t="s">
        <v>208</v>
      </c>
      <c r="C2469" s="2" t="s">
        <v>57</v>
      </c>
      <c r="D2469" s="3" t="n">
        <v>46253</v>
      </c>
      <c r="E2469" s="2" t="str">
        <f aca="false">TEXT(D2469,"dddd")</f>
        <v>Wednesday</v>
      </c>
      <c r="F2469" s="2" t="s">
        <v>457</v>
      </c>
      <c r="G2469" s="2" t="s">
        <v>458</v>
      </c>
      <c r="H2469" s="2" t="s">
        <v>459</v>
      </c>
      <c r="I2469" s="2" t="n">
        <f aca="false">IF(F2469="Present",9,IF(F2469="Half Day",4,0))</f>
        <v>9</v>
      </c>
      <c r="J2469" s="2"/>
      <c r="K2469" s="2"/>
    </row>
    <row r="2470" customFormat="false" ht="15" hidden="false" customHeight="false" outlineLevel="0" collapsed="false">
      <c r="A2470" s="2" t="s">
        <v>207</v>
      </c>
      <c r="B2470" s="2" t="s">
        <v>208</v>
      </c>
      <c r="C2470" s="2" t="s">
        <v>57</v>
      </c>
      <c r="D2470" s="3" t="n">
        <v>46254</v>
      </c>
      <c r="E2470" s="2" t="str">
        <f aca="false">TEXT(D2470,"dddd")</f>
        <v>Thursday</v>
      </c>
      <c r="F2470" s="2" t="s">
        <v>457</v>
      </c>
      <c r="G2470" s="2" t="s">
        <v>458</v>
      </c>
      <c r="H2470" s="2" t="s">
        <v>459</v>
      </c>
      <c r="I2470" s="2" t="n">
        <f aca="false">IF(F2470="Present",9,IF(F2470="Half Day",4,0))</f>
        <v>9</v>
      </c>
      <c r="J2470" s="2"/>
      <c r="K2470" s="2"/>
    </row>
    <row r="2471" customFormat="false" ht="15" hidden="false" customHeight="false" outlineLevel="0" collapsed="false">
      <c r="A2471" s="2" t="s">
        <v>207</v>
      </c>
      <c r="B2471" s="2" t="s">
        <v>208</v>
      </c>
      <c r="C2471" s="2" t="s">
        <v>57</v>
      </c>
      <c r="D2471" s="3" t="n">
        <v>46255</v>
      </c>
      <c r="E2471" s="2" t="str">
        <f aca="false">TEXT(D2471,"dddd")</f>
        <v>Friday</v>
      </c>
      <c r="F2471" s="2" t="s">
        <v>457</v>
      </c>
      <c r="G2471" s="2" t="s">
        <v>458</v>
      </c>
      <c r="H2471" s="2" t="s">
        <v>459</v>
      </c>
      <c r="I2471" s="2" t="n">
        <f aca="false">IF(F2471="Present",9,IF(F2471="Half Day",4,0))</f>
        <v>9</v>
      </c>
      <c r="J2471" s="2"/>
      <c r="K2471" s="2"/>
    </row>
    <row r="2472" customFormat="false" ht="15" hidden="false" customHeight="false" outlineLevel="0" collapsed="false">
      <c r="A2472" s="2" t="s">
        <v>207</v>
      </c>
      <c r="B2472" s="2" t="s">
        <v>208</v>
      </c>
      <c r="C2472" s="2" t="s">
        <v>57</v>
      </c>
      <c r="D2472" s="3" t="n">
        <v>46256</v>
      </c>
      <c r="E2472" s="2" t="str">
        <f aca="false">TEXT(D2472,"dddd")</f>
        <v>Saturday</v>
      </c>
      <c r="F2472" s="2" t="s">
        <v>457</v>
      </c>
      <c r="G2472" s="2" t="s">
        <v>458</v>
      </c>
      <c r="H2472" s="2" t="s">
        <v>459</v>
      </c>
      <c r="I2472" s="2" t="n">
        <f aca="false">IF(F2472="Present",9,IF(F2472="Half Day",4,0))</f>
        <v>9</v>
      </c>
      <c r="J2472" s="2"/>
      <c r="K2472" s="2"/>
    </row>
    <row r="2473" customFormat="false" ht="15" hidden="false" customHeight="false" outlineLevel="0" collapsed="false">
      <c r="A2473" s="2" t="s">
        <v>207</v>
      </c>
      <c r="B2473" s="2" t="s">
        <v>208</v>
      </c>
      <c r="C2473" s="2" t="s">
        <v>57</v>
      </c>
      <c r="D2473" s="3" t="n">
        <v>46257</v>
      </c>
      <c r="E2473" s="2" t="str">
        <f aca="false">TEXT(D2473,"dddd")</f>
        <v>Sunday</v>
      </c>
      <c r="F2473" s="2" t="s">
        <v>460</v>
      </c>
      <c r="G2473" s="2"/>
      <c r="H2473" s="2"/>
      <c r="I2473" s="2" t="n">
        <f aca="false">IF(F2473="Present",9,IF(F2473="Half Day",4,0))</f>
        <v>0</v>
      </c>
      <c r="J2473" s="2"/>
      <c r="K2473" s="2" t="s">
        <v>460</v>
      </c>
    </row>
    <row r="2474" customFormat="false" ht="15" hidden="false" customHeight="false" outlineLevel="0" collapsed="false">
      <c r="A2474" s="2" t="s">
        <v>207</v>
      </c>
      <c r="B2474" s="2" t="s">
        <v>208</v>
      </c>
      <c r="C2474" s="2" t="s">
        <v>57</v>
      </c>
      <c r="D2474" s="3" t="n">
        <v>46258</v>
      </c>
      <c r="E2474" s="2" t="str">
        <f aca="false">TEXT(D2474,"dddd")</f>
        <v>Monday</v>
      </c>
      <c r="F2474" s="2" t="s">
        <v>457</v>
      </c>
      <c r="G2474" s="2" t="s">
        <v>458</v>
      </c>
      <c r="H2474" s="2" t="s">
        <v>459</v>
      </c>
      <c r="I2474" s="2" t="n">
        <f aca="false">IF(F2474="Present",9,IF(F2474="Half Day",4,0))</f>
        <v>9</v>
      </c>
      <c r="J2474" s="2"/>
      <c r="K2474" s="2"/>
    </row>
    <row r="2475" customFormat="false" ht="15" hidden="false" customHeight="false" outlineLevel="0" collapsed="false">
      <c r="A2475" s="2" t="s">
        <v>207</v>
      </c>
      <c r="B2475" s="2" t="s">
        <v>208</v>
      </c>
      <c r="C2475" s="2" t="s">
        <v>57</v>
      </c>
      <c r="D2475" s="3" t="n">
        <v>46259</v>
      </c>
      <c r="E2475" s="2" t="str">
        <f aca="false">TEXT(D2475,"dddd")</f>
        <v>Tuesday</v>
      </c>
      <c r="F2475" s="2" t="s">
        <v>457</v>
      </c>
      <c r="G2475" s="2" t="s">
        <v>458</v>
      </c>
      <c r="H2475" s="2" t="s">
        <v>459</v>
      </c>
      <c r="I2475" s="2" t="n">
        <f aca="false">IF(F2475="Present",9,IF(F2475="Half Day",4,0))</f>
        <v>9</v>
      </c>
      <c r="J2475" s="2"/>
      <c r="K2475" s="2"/>
    </row>
    <row r="2476" customFormat="false" ht="15" hidden="false" customHeight="false" outlineLevel="0" collapsed="false">
      <c r="A2476" s="2" t="s">
        <v>207</v>
      </c>
      <c r="B2476" s="2" t="s">
        <v>208</v>
      </c>
      <c r="C2476" s="2" t="s">
        <v>57</v>
      </c>
      <c r="D2476" s="3" t="n">
        <v>46260</v>
      </c>
      <c r="E2476" s="2" t="str">
        <f aca="false">TEXT(D2476,"dddd")</f>
        <v>Wednesday</v>
      </c>
      <c r="F2476" s="2" t="s">
        <v>457</v>
      </c>
      <c r="G2476" s="2" t="s">
        <v>458</v>
      </c>
      <c r="H2476" s="2" t="s">
        <v>459</v>
      </c>
      <c r="I2476" s="2" t="n">
        <f aca="false">IF(F2476="Present",9,IF(F2476="Half Day",4,0))</f>
        <v>9</v>
      </c>
      <c r="J2476" s="2"/>
      <c r="K2476" s="2"/>
    </row>
    <row r="2477" customFormat="false" ht="15" hidden="false" customHeight="false" outlineLevel="0" collapsed="false">
      <c r="A2477" s="2" t="s">
        <v>207</v>
      </c>
      <c r="B2477" s="2" t="s">
        <v>208</v>
      </c>
      <c r="C2477" s="2" t="s">
        <v>57</v>
      </c>
      <c r="D2477" s="3" t="n">
        <v>46261</v>
      </c>
      <c r="E2477" s="2" t="str">
        <f aca="false">TEXT(D2477,"dddd")</f>
        <v>Thursday</v>
      </c>
      <c r="F2477" s="2" t="s">
        <v>457</v>
      </c>
      <c r="G2477" s="2" t="s">
        <v>458</v>
      </c>
      <c r="H2477" s="2" t="s">
        <v>459</v>
      </c>
      <c r="I2477" s="2" t="n">
        <f aca="false">IF(F2477="Present",9,IF(F2477="Half Day",4,0))</f>
        <v>9</v>
      </c>
      <c r="J2477" s="2"/>
      <c r="K2477" s="2"/>
    </row>
    <row r="2478" customFormat="false" ht="15" hidden="false" customHeight="false" outlineLevel="0" collapsed="false">
      <c r="A2478" s="2" t="s">
        <v>207</v>
      </c>
      <c r="B2478" s="2" t="s">
        <v>208</v>
      </c>
      <c r="C2478" s="2" t="s">
        <v>57</v>
      </c>
      <c r="D2478" s="3" t="n">
        <v>46262</v>
      </c>
      <c r="E2478" s="2" t="str">
        <f aca="false">TEXT(D2478,"dddd")</f>
        <v>Friday</v>
      </c>
      <c r="F2478" s="2" t="s">
        <v>457</v>
      </c>
      <c r="G2478" s="2" t="s">
        <v>458</v>
      </c>
      <c r="H2478" s="2" t="s">
        <v>459</v>
      </c>
      <c r="I2478" s="2" t="n">
        <f aca="false">IF(F2478="Present",9,IF(F2478="Half Day",4,0))</f>
        <v>9</v>
      </c>
      <c r="J2478" s="2"/>
      <c r="K2478" s="2"/>
    </row>
    <row r="2479" customFormat="false" ht="15" hidden="false" customHeight="false" outlineLevel="0" collapsed="false">
      <c r="A2479" s="2" t="s">
        <v>207</v>
      </c>
      <c r="B2479" s="2" t="s">
        <v>208</v>
      </c>
      <c r="C2479" s="2" t="s">
        <v>57</v>
      </c>
      <c r="D2479" s="3" t="n">
        <v>46263</v>
      </c>
      <c r="E2479" s="2" t="str">
        <f aca="false">TEXT(D2479,"dddd")</f>
        <v>Saturday</v>
      </c>
      <c r="F2479" s="2" t="s">
        <v>457</v>
      </c>
      <c r="G2479" s="2" t="s">
        <v>458</v>
      </c>
      <c r="H2479" s="2" t="s">
        <v>459</v>
      </c>
      <c r="I2479" s="2" t="n">
        <f aca="false">IF(F2479="Present",9,IF(F2479="Half Day",4,0))</f>
        <v>9</v>
      </c>
      <c r="J2479" s="2"/>
      <c r="K2479" s="2"/>
    </row>
    <row r="2480" customFormat="false" ht="15" hidden="false" customHeight="false" outlineLevel="0" collapsed="false">
      <c r="A2480" s="2" t="s">
        <v>207</v>
      </c>
      <c r="B2480" s="2" t="s">
        <v>208</v>
      </c>
      <c r="C2480" s="2" t="s">
        <v>57</v>
      </c>
      <c r="D2480" s="3" t="n">
        <v>46264</v>
      </c>
      <c r="E2480" s="2" t="str">
        <f aca="false">TEXT(D2480,"dddd")</f>
        <v>Sunday</v>
      </c>
      <c r="F2480" s="2" t="s">
        <v>460</v>
      </c>
      <c r="G2480" s="2"/>
      <c r="H2480" s="2"/>
      <c r="I2480" s="2" t="n">
        <f aca="false">IF(F2480="Present",9,IF(F2480="Half Day",4,0))</f>
        <v>0</v>
      </c>
      <c r="J2480" s="2"/>
      <c r="K2480" s="2" t="s">
        <v>460</v>
      </c>
    </row>
    <row r="2481" customFormat="false" ht="15" hidden="false" customHeight="false" outlineLevel="0" collapsed="false">
      <c r="A2481" s="2" t="s">
        <v>207</v>
      </c>
      <c r="B2481" s="2" t="s">
        <v>208</v>
      </c>
      <c r="C2481" s="2" t="s">
        <v>57</v>
      </c>
      <c r="D2481" s="3" t="n">
        <v>46265</v>
      </c>
      <c r="E2481" s="2" t="str">
        <f aca="false">TEXT(D2481,"dddd")</f>
        <v>Monday</v>
      </c>
      <c r="F2481" s="2" t="s">
        <v>457</v>
      </c>
      <c r="G2481" s="2" t="s">
        <v>458</v>
      </c>
      <c r="H2481" s="2" t="s">
        <v>459</v>
      </c>
      <c r="I2481" s="2" t="n">
        <f aca="false">IF(F2481="Present",9,IF(F2481="Half Day",4,0))</f>
        <v>9</v>
      </c>
      <c r="J2481" s="2"/>
      <c r="K2481" s="2"/>
    </row>
    <row r="2482" customFormat="false" ht="15" hidden="false" customHeight="false" outlineLevel="0" collapsed="false">
      <c r="A2482" s="2" t="s">
        <v>209</v>
      </c>
      <c r="B2482" s="2" t="s">
        <v>210</v>
      </c>
      <c r="C2482" s="2" t="s">
        <v>17</v>
      </c>
      <c r="D2482" s="3" t="n">
        <v>46235</v>
      </c>
      <c r="E2482" s="2" t="str">
        <f aca="false">TEXT(D2482,"dddd")</f>
        <v>Saturday</v>
      </c>
      <c r="F2482" s="2" t="s">
        <v>457</v>
      </c>
      <c r="G2482" s="2" t="s">
        <v>458</v>
      </c>
      <c r="H2482" s="2" t="s">
        <v>459</v>
      </c>
      <c r="I2482" s="2" t="n">
        <f aca="false">IF(F2482="Present",9,IF(F2482="Half Day",4,0))</f>
        <v>9</v>
      </c>
      <c r="J2482" s="2"/>
      <c r="K2482" s="2"/>
    </row>
    <row r="2483" customFormat="false" ht="15" hidden="false" customHeight="false" outlineLevel="0" collapsed="false">
      <c r="A2483" s="2" t="s">
        <v>209</v>
      </c>
      <c r="B2483" s="2" t="s">
        <v>210</v>
      </c>
      <c r="C2483" s="2" t="s">
        <v>17</v>
      </c>
      <c r="D2483" s="3" t="n">
        <v>46236</v>
      </c>
      <c r="E2483" s="2" t="str">
        <f aca="false">TEXT(D2483,"dddd")</f>
        <v>Sunday</v>
      </c>
      <c r="F2483" s="2" t="s">
        <v>460</v>
      </c>
      <c r="G2483" s="2"/>
      <c r="H2483" s="2"/>
      <c r="I2483" s="2" t="n">
        <f aca="false">IF(F2483="Present",9,IF(F2483="Half Day",4,0))</f>
        <v>0</v>
      </c>
      <c r="J2483" s="2"/>
      <c r="K2483" s="2" t="s">
        <v>460</v>
      </c>
    </row>
    <row r="2484" customFormat="false" ht="15" hidden="false" customHeight="false" outlineLevel="0" collapsed="false">
      <c r="A2484" s="2" t="s">
        <v>209</v>
      </c>
      <c r="B2484" s="2" t="s">
        <v>210</v>
      </c>
      <c r="C2484" s="2" t="s">
        <v>17</v>
      </c>
      <c r="D2484" s="3" t="n">
        <v>46237</v>
      </c>
      <c r="E2484" s="2" t="str">
        <f aca="false">TEXT(D2484,"dddd")</f>
        <v>Monday</v>
      </c>
      <c r="F2484" s="2" t="s">
        <v>457</v>
      </c>
      <c r="G2484" s="2" t="s">
        <v>458</v>
      </c>
      <c r="H2484" s="2" t="s">
        <v>459</v>
      </c>
      <c r="I2484" s="2" t="n">
        <f aca="false">IF(F2484="Present",9,IF(F2484="Half Day",4,0))</f>
        <v>9</v>
      </c>
      <c r="J2484" s="2"/>
      <c r="K2484" s="2"/>
    </row>
    <row r="2485" customFormat="false" ht="15" hidden="false" customHeight="false" outlineLevel="0" collapsed="false">
      <c r="A2485" s="2" t="s">
        <v>209</v>
      </c>
      <c r="B2485" s="2" t="s">
        <v>210</v>
      </c>
      <c r="C2485" s="2" t="s">
        <v>17</v>
      </c>
      <c r="D2485" s="3" t="n">
        <v>46238</v>
      </c>
      <c r="E2485" s="2" t="str">
        <f aca="false">TEXT(D2485,"dddd")</f>
        <v>Tuesday</v>
      </c>
      <c r="F2485" s="2" t="s">
        <v>457</v>
      </c>
      <c r="G2485" s="2" t="s">
        <v>458</v>
      </c>
      <c r="H2485" s="2" t="s">
        <v>459</v>
      </c>
      <c r="I2485" s="2" t="n">
        <f aca="false">IF(F2485="Present",9,IF(F2485="Half Day",4,0))</f>
        <v>9</v>
      </c>
      <c r="J2485" s="2"/>
      <c r="K2485" s="2"/>
    </row>
    <row r="2486" customFormat="false" ht="15" hidden="false" customHeight="false" outlineLevel="0" collapsed="false">
      <c r="A2486" s="2" t="s">
        <v>209</v>
      </c>
      <c r="B2486" s="2" t="s">
        <v>210</v>
      </c>
      <c r="C2486" s="2" t="s">
        <v>17</v>
      </c>
      <c r="D2486" s="3" t="n">
        <v>46239</v>
      </c>
      <c r="E2486" s="2" t="str">
        <f aca="false">TEXT(D2486,"dddd")</f>
        <v>Wednesday</v>
      </c>
      <c r="F2486" s="2" t="s">
        <v>457</v>
      </c>
      <c r="G2486" s="2" t="s">
        <v>458</v>
      </c>
      <c r="H2486" s="2" t="s">
        <v>459</v>
      </c>
      <c r="I2486" s="2" t="n">
        <f aca="false">IF(F2486="Present",9,IF(F2486="Half Day",4,0))</f>
        <v>9</v>
      </c>
      <c r="J2486" s="2"/>
      <c r="K2486" s="2"/>
    </row>
    <row r="2487" customFormat="false" ht="15" hidden="false" customHeight="false" outlineLevel="0" collapsed="false">
      <c r="A2487" s="2" t="s">
        <v>209</v>
      </c>
      <c r="B2487" s="2" t="s">
        <v>210</v>
      </c>
      <c r="C2487" s="2" t="s">
        <v>17</v>
      </c>
      <c r="D2487" s="3" t="n">
        <v>46240</v>
      </c>
      <c r="E2487" s="2" t="str">
        <f aca="false">TEXT(D2487,"dddd")</f>
        <v>Thursday</v>
      </c>
      <c r="F2487" s="2" t="s">
        <v>457</v>
      </c>
      <c r="G2487" s="2" t="s">
        <v>458</v>
      </c>
      <c r="H2487" s="2" t="s">
        <v>459</v>
      </c>
      <c r="I2487" s="2" t="n">
        <f aca="false">IF(F2487="Present",9,IF(F2487="Half Day",4,0))</f>
        <v>9</v>
      </c>
      <c r="J2487" s="2"/>
      <c r="K2487" s="2"/>
    </row>
    <row r="2488" customFormat="false" ht="15" hidden="false" customHeight="false" outlineLevel="0" collapsed="false">
      <c r="A2488" s="2" t="s">
        <v>209</v>
      </c>
      <c r="B2488" s="2" t="s">
        <v>210</v>
      </c>
      <c r="C2488" s="2" t="s">
        <v>17</v>
      </c>
      <c r="D2488" s="3" t="n">
        <v>46241</v>
      </c>
      <c r="E2488" s="2" t="str">
        <f aca="false">TEXT(D2488,"dddd")</f>
        <v>Friday</v>
      </c>
      <c r="F2488" s="2" t="s">
        <v>457</v>
      </c>
      <c r="G2488" s="2" t="s">
        <v>458</v>
      </c>
      <c r="H2488" s="2" t="s">
        <v>459</v>
      </c>
      <c r="I2488" s="2" t="n">
        <f aca="false">IF(F2488="Present",9,IF(F2488="Half Day",4,0))</f>
        <v>9</v>
      </c>
      <c r="J2488" s="2"/>
      <c r="K2488" s="2"/>
    </row>
    <row r="2489" customFormat="false" ht="15" hidden="false" customHeight="false" outlineLevel="0" collapsed="false">
      <c r="A2489" s="2" t="s">
        <v>209</v>
      </c>
      <c r="B2489" s="2" t="s">
        <v>210</v>
      </c>
      <c r="C2489" s="2" t="s">
        <v>17</v>
      </c>
      <c r="D2489" s="3" t="n">
        <v>46242</v>
      </c>
      <c r="E2489" s="2" t="str">
        <f aca="false">TEXT(D2489,"dddd")</f>
        <v>Saturday</v>
      </c>
      <c r="F2489" s="2" t="s">
        <v>457</v>
      </c>
      <c r="G2489" s="2" t="s">
        <v>458</v>
      </c>
      <c r="H2489" s="2" t="s">
        <v>459</v>
      </c>
      <c r="I2489" s="2" t="n">
        <f aca="false">IF(F2489="Present",9,IF(F2489="Half Day",4,0))</f>
        <v>9</v>
      </c>
      <c r="J2489" s="2"/>
      <c r="K2489" s="2"/>
    </row>
    <row r="2490" customFormat="false" ht="15" hidden="false" customHeight="false" outlineLevel="0" collapsed="false">
      <c r="A2490" s="2" t="s">
        <v>209</v>
      </c>
      <c r="B2490" s="2" t="s">
        <v>210</v>
      </c>
      <c r="C2490" s="2" t="s">
        <v>17</v>
      </c>
      <c r="D2490" s="3" t="n">
        <v>46243</v>
      </c>
      <c r="E2490" s="2" t="str">
        <f aca="false">TEXT(D2490,"dddd")</f>
        <v>Sunday</v>
      </c>
      <c r="F2490" s="2" t="s">
        <v>460</v>
      </c>
      <c r="G2490" s="2"/>
      <c r="H2490" s="2"/>
      <c r="I2490" s="2" t="n">
        <f aca="false">IF(F2490="Present",9,IF(F2490="Half Day",4,0))</f>
        <v>0</v>
      </c>
      <c r="J2490" s="2"/>
      <c r="K2490" s="2" t="s">
        <v>460</v>
      </c>
    </row>
    <row r="2491" customFormat="false" ht="15" hidden="false" customHeight="false" outlineLevel="0" collapsed="false">
      <c r="A2491" s="2" t="s">
        <v>209</v>
      </c>
      <c r="B2491" s="2" t="s">
        <v>210</v>
      </c>
      <c r="C2491" s="2" t="s">
        <v>17</v>
      </c>
      <c r="D2491" s="3" t="n">
        <v>46244</v>
      </c>
      <c r="E2491" s="2" t="str">
        <f aca="false">TEXT(D2491,"dddd")</f>
        <v>Monday</v>
      </c>
      <c r="F2491" s="2" t="s">
        <v>457</v>
      </c>
      <c r="G2491" s="2" t="s">
        <v>458</v>
      </c>
      <c r="H2491" s="2" t="s">
        <v>459</v>
      </c>
      <c r="I2491" s="2" t="n">
        <f aca="false">IF(F2491="Present",9,IF(F2491="Half Day",4,0))</f>
        <v>9</v>
      </c>
      <c r="J2491" s="2"/>
      <c r="K2491" s="2"/>
    </row>
    <row r="2492" customFormat="false" ht="15" hidden="false" customHeight="false" outlineLevel="0" collapsed="false">
      <c r="A2492" s="2" t="s">
        <v>209</v>
      </c>
      <c r="B2492" s="2" t="s">
        <v>210</v>
      </c>
      <c r="C2492" s="2" t="s">
        <v>17</v>
      </c>
      <c r="D2492" s="3" t="n">
        <v>46245</v>
      </c>
      <c r="E2492" s="2" t="str">
        <f aca="false">TEXT(D2492,"dddd")</f>
        <v>Tuesday</v>
      </c>
      <c r="F2492" s="2" t="s">
        <v>457</v>
      </c>
      <c r="G2492" s="2" t="s">
        <v>458</v>
      </c>
      <c r="H2492" s="2" t="s">
        <v>459</v>
      </c>
      <c r="I2492" s="2" t="n">
        <f aca="false">IF(F2492="Present",9,IF(F2492="Half Day",4,0))</f>
        <v>9</v>
      </c>
      <c r="J2492" s="2"/>
      <c r="K2492" s="2"/>
    </row>
    <row r="2493" customFormat="false" ht="15" hidden="false" customHeight="false" outlineLevel="0" collapsed="false">
      <c r="A2493" s="2" t="s">
        <v>209</v>
      </c>
      <c r="B2493" s="2" t="s">
        <v>210</v>
      </c>
      <c r="C2493" s="2" t="s">
        <v>17</v>
      </c>
      <c r="D2493" s="3" t="n">
        <v>46246</v>
      </c>
      <c r="E2493" s="2" t="str">
        <f aca="false">TEXT(D2493,"dddd")</f>
        <v>Wednesday</v>
      </c>
      <c r="F2493" s="2" t="s">
        <v>457</v>
      </c>
      <c r="G2493" s="2" t="s">
        <v>458</v>
      </c>
      <c r="H2493" s="2" t="s">
        <v>459</v>
      </c>
      <c r="I2493" s="2" t="n">
        <f aca="false">IF(F2493="Present",9,IF(F2493="Half Day",4,0))</f>
        <v>9</v>
      </c>
      <c r="J2493" s="2"/>
      <c r="K2493" s="2"/>
    </row>
    <row r="2494" customFormat="false" ht="15" hidden="false" customHeight="false" outlineLevel="0" collapsed="false">
      <c r="A2494" s="2" t="s">
        <v>209</v>
      </c>
      <c r="B2494" s="2" t="s">
        <v>210</v>
      </c>
      <c r="C2494" s="2" t="s">
        <v>17</v>
      </c>
      <c r="D2494" s="3" t="n">
        <v>46247</v>
      </c>
      <c r="E2494" s="2" t="str">
        <f aca="false">TEXT(D2494,"dddd")</f>
        <v>Thursday</v>
      </c>
      <c r="F2494" s="2" t="s">
        <v>457</v>
      </c>
      <c r="G2494" s="2" t="s">
        <v>458</v>
      </c>
      <c r="H2494" s="2" t="s">
        <v>459</v>
      </c>
      <c r="I2494" s="2" t="n">
        <f aca="false">IF(F2494="Present",9,IF(F2494="Half Day",4,0))</f>
        <v>9</v>
      </c>
      <c r="J2494" s="2"/>
      <c r="K2494" s="2"/>
    </row>
    <row r="2495" customFormat="false" ht="15" hidden="false" customHeight="false" outlineLevel="0" collapsed="false">
      <c r="A2495" s="2" t="s">
        <v>209</v>
      </c>
      <c r="B2495" s="2" t="s">
        <v>210</v>
      </c>
      <c r="C2495" s="2" t="s">
        <v>17</v>
      </c>
      <c r="D2495" s="3" t="n">
        <v>46248</v>
      </c>
      <c r="E2495" s="2" t="str">
        <f aca="false">TEXT(D2495,"dddd")</f>
        <v>Friday</v>
      </c>
      <c r="F2495" s="2" t="s">
        <v>457</v>
      </c>
      <c r="G2495" s="2" t="s">
        <v>458</v>
      </c>
      <c r="H2495" s="2" t="s">
        <v>459</v>
      </c>
      <c r="I2495" s="2" t="n">
        <f aca="false">IF(F2495="Present",9,IF(F2495="Half Day",4,0))</f>
        <v>9</v>
      </c>
      <c r="J2495" s="2"/>
      <c r="K2495" s="2"/>
    </row>
    <row r="2496" customFormat="false" ht="15" hidden="false" customHeight="false" outlineLevel="0" collapsed="false">
      <c r="A2496" s="2" t="s">
        <v>209</v>
      </c>
      <c r="B2496" s="2" t="s">
        <v>210</v>
      </c>
      <c r="C2496" s="2" t="s">
        <v>17</v>
      </c>
      <c r="D2496" s="3" t="n">
        <v>46249</v>
      </c>
      <c r="E2496" s="2" t="str">
        <f aca="false">TEXT(D2496,"dddd")</f>
        <v>Saturday</v>
      </c>
      <c r="F2496" s="2" t="s">
        <v>457</v>
      </c>
      <c r="G2496" s="2" t="s">
        <v>458</v>
      </c>
      <c r="H2496" s="2" t="s">
        <v>459</v>
      </c>
      <c r="I2496" s="2" t="n">
        <f aca="false">IF(F2496="Present",9,IF(F2496="Half Day",4,0))</f>
        <v>9</v>
      </c>
      <c r="J2496" s="2"/>
      <c r="K2496" s="2"/>
    </row>
    <row r="2497" customFormat="false" ht="15" hidden="false" customHeight="false" outlineLevel="0" collapsed="false">
      <c r="A2497" s="2" t="s">
        <v>209</v>
      </c>
      <c r="B2497" s="2" t="s">
        <v>210</v>
      </c>
      <c r="C2497" s="2" t="s">
        <v>17</v>
      </c>
      <c r="D2497" s="3" t="n">
        <v>46250</v>
      </c>
      <c r="E2497" s="2" t="str">
        <f aca="false">TEXT(D2497,"dddd")</f>
        <v>Sunday</v>
      </c>
      <c r="F2497" s="2" t="s">
        <v>460</v>
      </c>
      <c r="G2497" s="2"/>
      <c r="H2497" s="2"/>
      <c r="I2497" s="2" t="n">
        <f aca="false">IF(F2497="Present",9,IF(F2497="Half Day",4,0))</f>
        <v>0</v>
      </c>
      <c r="J2497" s="2"/>
      <c r="K2497" s="2" t="s">
        <v>460</v>
      </c>
    </row>
    <row r="2498" customFormat="false" ht="15" hidden="false" customHeight="false" outlineLevel="0" collapsed="false">
      <c r="A2498" s="2" t="s">
        <v>209</v>
      </c>
      <c r="B2498" s="2" t="s">
        <v>210</v>
      </c>
      <c r="C2498" s="2" t="s">
        <v>17</v>
      </c>
      <c r="D2498" s="3" t="n">
        <v>46251</v>
      </c>
      <c r="E2498" s="2" t="str">
        <f aca="false">TEXT(D2498,"dddd")</f>
        <v>Monday</v>
      </c>
      <c r="F2498" s="2" t="s">
        <v>457</v>
      </c>
      <c r="G2498" s="2" t="s">
        <v>458</v>
      </c>
      <c r="H2498" s="2" t="s">
        <v>459</v>
      </c>
      <c r="I2498" s="2" t="n">
        <f aca="false">IF(F2498="Present",9,IF(F2498="Half Day",4,0))</f>
        <v>9</v>
      </c>
      <c r="J2498" s="2"/>
      <c r="K2498" s="2"/>
    </row>
    <row r="2499" customFormat="false" ht="15" hidden="false" customHeight="false" outlineLevel="0" collapsed="false">
      <c r="A2499" s="2" t="s">
        <v>209</v>
      </c>
      <c r="B2499" s="2" t="s">
        <v>210</v>
      </c>
      <c r="C2499" s="2" t="s">
        <v>17</v>
      </c>
      <c r="D2499" s="3" t="n">
        <v>46252</v>
      </c>
      <c r="E2499" s="2" t="str">
        <f aca="false">TEXT(D2499,"dddd")</f>
        <v>Tuesday</v>
      </c>
      <c r="F2499" s="2" t="s">
        <v>463</v>
      </c>
      <c r="G2499" s="2"/>
      <c r="H2499" s="2"/>
      <c r="I2499" s="2" t="n">
        <f aca="false">IF(F2499="Present",9,IF(F2499="Half Day",4,0))</f>
        <v>0</v>
      </c>
      <c r="J2499" s="2" t="s">
        <v>474</v>
      </c>
      <c r="K2499" s="2" t="s">
        <v>475</v>
      </c>
    </row>
    <row r="2500" customFormat="false" ht="15" hidden="false" customHeight="false" outlineLevel="0" collapsed="false">
      <c r="A2500" s="2" t="s">
        <v>209</v>
      </c>
      <c r="B2500" s="2" t="s">
        <v>210</v>
      </c>
      <c r="C2500" s="2" t="s">
        <v>17</v>
      </c>
      <c r="D2500" s="3" t="n">
        <v>46253</v>
      </c>
      <c r="E2500" s="2" t="str">
        <f aca="false">TEXT(D2500,"dddd")</f>
        <v>Wednesday</v>
      </c>
      <c r="F2500" s="2" t="s">
        <v>457</v>
      </c>
      <c r="G2500" s="2" t="s">
        <v>458</v>
      </c>
      <c r="H2500" s="2" t="s">
        <v>459</v>
      </c>
      <c r="I2500" s="2" t="n">
        <f aca="false">IF(F2500="Present",9,IF(F2500="Half Day",4,0))</f>
        <v>9</v>
      </c>
      <c r="J2500" s="2"/>
      <c r="K2500" s="2"/>
    </row>
    <row r="2501" customFormat="false" ht="15" hidden="false" customHeight="false" outlineLevel="0" collapsed="false">
      <c r="A2501" s="2" t="s">
        <v>209</v>
      </c>
      <c r="B2501" s="2" t="s">
        <v>210</v>
      </c>
      <c r="C2501" s="2" t="s">
        <v>17</v>
      </c>
      <c r="D2501" s="3" t="n">
        <v>46254</v>
      </c>
      <c r="E2501" s="2" t="str">
        <f aca="false">TEXT(D2501,"dddd")</f>
        <v>Thursday</v>
      </c>
      <c r="F2501" s="2" t="s">
        <v>457</v>
      </c>
      <c r="G2501" s="2" t="s">
        <v>458</v>
      </c>
      <c r="H2501" s="2" t="s">
        <v>459</v>
      </c>
      <c r="I2501" s="2" t="n">
        <f aca="false">IF(F2501="Present",9,IF(F2501="Half Day",4,0))</f>
        <v>9</v>
      </c>
      <c r="J2501" s="2"/>
      <c r="K2501" s="2"/>
    </row>
    <row r="2502" customFormat="false" ht="15" hidden="false" customHeight="false" outlineLevel="0" collapsed="false">
      <c r="A2502" s="2" t="s">
        <v>209</v>
      </c>
      <c r="B2502" s="2" t="s">
        <v>210</v>
      </c>
      <c r="C2502" s="2" t="s">
        <v>17</v>
      </c>
      <c r="D2502" s="3" t="n">
        <v>46255</v>
      </c>
      <c r="E2502" s="2" t="str">
        <f aca="false">TEXT(D2502,"dddd")</f>
        <v>Friday</v>
      </c>
      <c r="F2502" s="2" t="s">
        <v>457</v>
      </c>
      <c r="G2502" s="2" t="s">
        <v>458</v>
      </c>
      <c r="H2502" s="2" t="s">
        <v>459</v>
      </c>
      <c r="I2502" s="2" t="n">
        <f aca="false">IF(F2502="Present",9,IF(F2502="Half Day",4,0))</f>
        <v>9</v>
      </c>
      <c r="J2502" s="2"/>
      <c r="K2502" s="2"/>
    </row>
    <row r="2503" customFormat="false" ht="15" hidden="false" customHeight="false" outlineLevel="0" collapsed="false">
      <c r="A2503" s="2" t="s">
        <v>209</v>
      </c>
      <c r="B2503" s="2" t="s">
        <v>210</v>
      </c>
      <c r="C2503" s="2" t="s">
        <v>17</v>
      </c>
      <c r="D2503" s="3" t="n">
        <v>46256</v>
      </c>
      <c r="E2503" s="2" t="str">
        <f aca="false">TEXT(D2503,"dddd")</f>
        <v>Saturday</v>
      </c>
      <c r="F2503" s="2" t="s">
        <v>457</v>
      </c>
      <c r="G2503" s="2" t="s">
        <v>458</v>
      </c>
      <c r="H2503" s="2" t="s">
        <v>459</v>
      </c>
      <c r="I2503" s="2" t="n">
        <f aca="false">IF(F2503="Present",9,IF(F2503="Half Day",4,0))</f>
        <v>9</v>
      </c>
      <c r="J2503" s="2"/>
      <c r="K2503" s="2"/>
    </row>
    <row r="2504" customFormat="false" ht="15" hidden="false" customHeight="false" outlineLevel="0" collapsed="false">
      <c r="A2504" s="2" t="s">
        <v>209</v>
      </c>
      <c r="B2504" s="2" t="s">
        <v>210</v>
      </c>
      <c r="C2504" s="2" t="s">
        <v>17</v>
      </c>
      <c r="D2504" s="3" t="n">
        <v>46257</v>
      </c>
      <c r="E2504" s="2" t="str">
        <f aca="false">TEXT(D2504,"dddd")</f>
        <v>Sunday</v>
      </c>
      <c r="F2504" s="2" t="s">
        <v>460</v>
      </c>
      <c r="G2504" s="2"/>
      <c r="H2504" s="2"/>
      <c r="I2504" s="2" t="n">
        <f aca="false">IF(F2504="Present",9,IF(F2504="Half Day",4,0))</f>
        <v>0</v>
      </c>
      <c r="J2504" s="2"/>
      <c r="K2504" s="2" t="s">
        <v>460</v>
      </c>
    </row>
    <row r="2505" customFormat="false" ht="15" hidden="false" customHeight="false" outlineLevel="0" collapsed="false">
      <c r="A2505" s="2" t="s">
        <v>209</v>
      </c>
      <c r="B2505" s="2" t="s">
        <v>210</v>
      </c>
      <c r="C2505" s="2" t="s">
        <v>17</v>
      </c>
      <c r="D2505" s="3" t="n">
        <v>46258</v>
      </c>
      <c r="E2505" s="2" t="str">
        <f aca="false">TEXT(D2505,"dddd")</f>
        <v>Monday</v>
      </c>
      <c r="F2505" s="2" t="s">
        <v>461</v>
      </c>
      <c r="G2505" s="2"/>
      <c r="H2505" s="2"/>
      <c r="I2505" s="2" t="n">
        <f aca="false">IF(F2505="Present",9,IF(F2505="Half Day",4,0))</f>
        <v>0</v>
      </c>
      <c r="J2505" s="2"/>
      <c r="K2505" s="2" t="s">
        <v>462</v>
      </c>
    </row>
    <row r="2506" customFormat="false" ht="15" hidden="false" customHeight="false" outlineLevel="0" collapsed="false">
      <c r="A2506" s="2" t="s">
        <v>209</v>
      </c>
      <c r="B2506" s="2" t="s">
        <v>210</v>
      </c>
      <c r="C2506" s="2" t="s">
        <v>17</v>
      </c>
      <c r="D2506" s="3" t="n">
        <v>46259</v>
      </c>
      <c r="E2506" s="2" t="str">
        <f aca="false">TEXT(D2506,"dddd")</f>
        <v>Tuesday</v>
      </c>
      <c r="F2506" s="2" t="s">
        <v>457</v>
      </c>
      <c r="G2506" s="2" t="s">
        <v>458</v>
      </c>
      <c r="H2506" s="2" t="s">
        <v>459</v>
      </c>
      <c r="I2506" s="2" t="n">
        <f aca="false">IF(F2506="Present",9,IF(F2506="Half Day",4,0))</f>
        <v>9</v>
      </c>
      <c r="J2506" s="2"/>
      <c r="K2506" s="2"/>
    </row>
    <row r="2507" customFormat="false" ht="15" hidden="false" customHeight="false" outlineLevel="0" collapsed="false">
      <c r="A2507" s="2" t="s">
        <v>209</v>
      </c>
      <c r="B2507" s="2" t="s">
        <v>210</v>
      </c>
      <c r="C2507" s="2" t="s">
        <v>17</v>
      </c>
      <c r="D2507" s="3" t="n">
        <v>46260</v>
      </c>
      <c r="E2507" s="2" t="str">
        <f aca="false">TEXT(D2507,"dddd")</f>
        <v>Wednesday</v>
      </c>
      <c r="F2507" s="2" t="s">
        <v>457</v>
      </c>
      <c r="G2507" s="2" t="s">
        <v>458</v>
      </c>
      <c r="H2507" s="2" t="s">
        <v>459</v>
      </c>
      <c r="I2507" s="2" t="n">
        <f aca="false">IF(F2507="Present",9,IF(F2507="Half Day",4,0))</f>
        <v>9</v>
      </c>
      <c r="J2507" s="2"/>
      <c r="K2507" s="2"/>
    </row>
    <row r="2508" customFormat="false" ht="15" hidden="false" customHeight="false" outlineLevel="0" collapsed="false">
      <c r="A2508" s="2" t="s">
        <v>209</v>
      </c>
      <c r="B2508" s="2" t="s">
        <v>210</v>
      </c>
      <c r="C2508" s="2" t="s">
        <v>17</v>
      </c>
      <c r="D2508" s="3" t="n">
        <v>46261</v>
      </c>
      <c r="E2508" s="2" t="str">
        <f aca="false">TEXT(D2508,"dddd")</f>
        <v>Thursday</v>
      </c>
      <c r="F2508" s="2" t="s">
        <v>461</v>
      </c>
      <c r="G2508" s="2"/>
      <c r="H2508" s="2"/>
      <c r="I2508" s="2" t="n">
        <f aca="false">IF(F2508="Present",9,IF(F2508="Half Day",4,0))</f>
        <v>0</v>
      </c>
      <c r="J2508" s="2"/>
      <c r="K2508" s="2" t="s">
        <v>462</v>
      </c>
    </row>
    <row r="2509" customFormat="false" ht="15" hidden="false" customHeight="false" outlineLevel="0" collapsed="false">
      <c r="A2509" s="2" t="s">
        <v>209</v>
      </c>
      <c r="B2509" s="2" t="s">
        <v>210</v>
      </c>
      <c r="C2509" s="2" t="s">
        <v>17</v>
      </c>
      <c r="D2509" s="3" t="n">
        <v>46262</v>
      </c>
      <c r="E2509" s="2" t="str">
        <f aca="false">TEXT(D2509,"dddd")</f>
        <v>Friday</v>
      </c>
      <c r="F2509" s="2" t="s">
        <v>461</v>
      </c>
      <c r="G2509" s="2"/>
      <c r="H2509" s="2"/>
      <c r="I2509" s="2" t="n">
        <f aca="false">IF(F2509="Present",9,IF(F2509="Half Day",4,0))</f>
        <v>0</v>
      </c>
      <c r="J2509" s="2"/>
      <c r="K2509" s="2" t="s">
        <v>462</v>
      </c>
    </row>
    <row r="2510" customFormat="false" ht="15" hidden="false" customHeight="false" outlineLevel="0" collapsed="false">
      <c r="A2510" s="2" t="s">
        <v>209</v>
      </c>
      <c r="B2510" s="2" t="s">
        <v>210</v>
      </c>
      <c r="C2510" s="2" t="s">
        <v>17</v>
      </c>
      <c r="D2510" s="3" t="n">
        <v>46263</v>
      </c>
      <c r="E2510" s="2" t="str">
        <f aca="false">TEXT(D2510,"dddd")</f>
        <v>Saturday</v>
      </c>
      <c r="F2510" s="2" t="s">
        <v>457</v>
      </c>
      <c r="G2510" s="2" t="s">
        <v>458</v>
      </c>
      <c r="H2510" s="2" t="s">
        <v>459</v>
      </c>
      <c r="I2510" s="2" t="n">
        <f aca="false">IF(F2510="Present",9,IF(F2510="Half Day",4,0))</f>
        <v>9</v>
      </c>
      <c r="J2510" s="2"/>
      <c r="K2510" s="2"/>
    </row>
    <row r="2511" customFormat="false" ht="15" hidden="false" customHeight="false" outlineLevel="0" collapsed="false">
      <c r="A2511" s="2" t="s">
        <v>209</v>
      </c>
      <c r="B2511" s="2" t="s">
        <v>210</v>
      </c>
      <c r="C2511" s="2" t="s">
        <v>17</v>
      </c>
      <c r="D2511" s="3" t="n">
        <v>46264</v>
      </c>
      <c r="E2511" s="2" t="str">
        <f aca="false">TEXT(D2511,"dddd")</f>
        <v>Sunday</v>
      </c>
      <c r="F2511" s="2" t="s">
        <v>460</v>
      </c>
      <c r="G2511" s="2"/>
      <c r="H2511" s="2"/>
      <c r="I2511" s="2" t="n">
        <f aca="false">IF(F2511="Present",9,IF(F2511="Half Day",4,0))</f>
        <v>0</v>
      </c>
      <c r="J2511" s="2"/>
      <c r="K2511" s="2" t="s">
        <v>460</v>
      </c>
    </row>
    <row r="2512" customFormat="false" ht="15" hidden="false" customHeight="false" outlineLevel="0" collapsed="false">
      <c r="A2512" s="2" t="s">
        <v>209</v>
      </c>
      <c r="B2512" s="2" t="s">
        <v>210</v>
      </c>
      <c r="C2512" s="2" t="s">
        <v>17</v>
      </c>
      <c r="D2512" s="3" t="n">
        <v>46265</v>
      </c>
      <c r="E2512" s="2" t="str">
        <f aca="false">TEXT(D2512,"dddd")</f>
        <v>Monday</v>
      </c>
      <c r="F2512" s="2" t="s">
        <v>457</v>
      </c>
      <c r="G2512" s="2" t="s">
        <v>458</v>
      </c>
      <c r="H2512" s="2" t="s">
        <v>459</v>
      </c>
      <c r="I2512" s="2" t="n">
        <f aca="false">IF(F2512="Present",9,IF(F2512="Half Day",4,0))</f>
        <v>9</v>
      </c>
      <c r="J2512" s="2"/>
      <c r="K2512" s="2"/>
    </row>
    <row r="2513" customFormat="false" ht="15" hidden="false" customHeight="false" outlineLevel="0" collapsed="false">
      <c r="A2513" s="2" t="s">
        <v>211</v>
      </c>
      <c r="B2513" s="2" t="s">
        <v>212</v>
      </c>
      <c r="C2513" s="2" t="s">
        <v>24</v>
      </c>
      <c r="D2513" s="3" t="n">
        <v>46235</v>
      </c>
      <c r="E2513" s="2" t="str">
        <f aca="false">TEXT(D2513,"dddd")</f>
        <v>Saturday</v>
      </c>
      <c r="F2513" s="2" t="s">
        <v>457</v>
      </c>
      <c r="G2513" s="2" t="s">
        <v>458</v>
      </c>
      <c r="H2513" s="2" t="s">
        <v>459</v>
      </c>
      <c r="I2513" s="2" t="n">
        <f aca="false">IF(F2513="Present",9,IF(F2513="Half Day",4,0))</f>
        <v>9</v>
      </c>
      <c r="J2513" s="2"/>
      <c r="K2513" s="2"/>
    </row>
    <row r="2514" customFormat="false" ht="15" hidden="false" customHeight="false" outlineLevel="0" collapsed="false">
      <c r="A2514" s="2" t="s">
        <v>211</v>
      </c>
      <c r="B2514" s="2" t="s">
        <v>212</v>
      </c>
      <c r="C2514" s="2" t="s">
        <v>24</v>
      </c>
      <c r="D2514" s="3" t="n">
        <v>46236</v>
      </c>
      <c r="E2514" s="2" t="str">
        <f aca="false">TEXT(D2514,"dddd")</f>
        <v>Sunday</v>
      </c>
      <c r="F2514" s="2" t="s">
        <v>460</v>
      </c>
      <c r="G2514" s="2"/>
      <c r="H2514" s="2"/>
      <c r="I2514" s="2" t="n">
        <f aca="false">IF(F2514="Present",9,IF(F2514="Half Day",4,0))</f>
        <v>0</v>
      </c>
      <c r="J2514" s="2"/>
      <c r="K2514" s="2" t="s">
        <v>460</v>
      </c>
    </row>
    <row r="2515" customFormat="false" ht="15" hidden="false" customHeight="false" outlineLevel="0" collapsed="false">
      <c r="A2515" s="2" t="s">
        <v>211</v>
      </c>
      <c r="B2515" s="2" t="s">
        <v>212</v>
      </c>
      <c r="C2515" s="2" t="s">
        <v>24</v>
      </c>
      <c r="D2515" s="3" t="n">
        <v>46237</v>
      </c>
      <c r="E2515" s="2" t="str">
        <f aca="false">TEXT(D2515,"dddd")</f>
        <v>Monday</v>
      </c>
      <c r="F2515" s="2" t="s">
        <v>457</v>
      </c>
      <c r="G2515" s="2" t="s">
        <v>458</v>
      </c>
      <c r="H2515" s="2" t="s">
        <v>459</v>
      </c>
      <c r="I2515" s="2" t="n">
        <f aca="false">IF(F2515="Present",9,IF(F2515="Half Day",4,0))</f>
        <v>9</v>
      </c>
      <c r="J2515" s="2"/>
      <c r="K2515" s="2"/>
    </row>
    <row r="2516" customFormat="false" ht="15" hidden="false" customHeight="false" outlineLevel="0" collapsed="false">
      <c r="A2516" s="2" t="s">
        <v>211</v>
      </c>
      <c r="B2516" s="2" t="s">
        <v>212</v>
      </c>
      <c r="C2516" s="2" t="s">
        <v>24</v>
      </c>
      <c r="D2516" s="3" t="n">
        <v>46238</v>
      </c>
      <c r="E2516" s="2" t="str">
        <f aca="false">TEXT(D2516,"dddd")</f>
        <v>Tuesday</v>
      </c>
      <c r="F2516" s="2" t="s">
        <v>457</v>
      </c>
      <c r="G2516" s="2" t="s">
        <v>458</v>
      </c>
      <c r="H2516" s="2" t="s">
        <v>459</v>
      </c>
      <c r="I2516" s="2" t="n">
        <f aca="false">IF(F2516="Present",9,IF(F2516="Half Day",4,0))</f>
        <v>9</v>
      </c>
      <c r="J2516" s="2"/>
      <c r="K2516" s="2"/>
    </row>
    <row r="2517" customFormat="false" ht="15" hidden="false" customHeight="false" outlineLevel="0" collapsed="false">
      <c r="A2517" s="2" t="s">
        <v>211</v>
      </c>
      <c r="B2517" s="2" t="s">
        <v>212</v>
      </c>
      <c r="C2517" s="2" t="s">
        <v>24</v>
      </c>
      <c r="D2517" s="3" t="n">
        <v>46239</v>
      </c>
      <c r="E2517" s="2" t="str">
        <f aca="false">TEXT(D2517,"dddd")</f>
        <v>Wednesday</v>
      </c>
      <c r="F2517" s="2" t="s">
        <v>457</v>
      </c>
      <c r="G2517" s="2" t="s">
        <v>458</v>
      </c>
      <c r="H2517" s="2" t="s">
        <v>459</v>
      </c>
      <c r="I2517" s="2" t="n">
        <f aca="false">IF(F2517="Present",9,IF(F2517="Half Day",4,0))</f>
        <v>9</v>
      </c>
      <c r="J2517" s="2"/>
      <c r="K2517" s="2"/>
    </row>
    <row r="2518" customFormat="false" ht="15" hidden="false" customHeight="false" outlineLevel="0" collapsed="false">
      <c r="A2518" s="2" t="s">
        <v>211</v>
      </c>
      <c r="B2518" s="2" t="s">
        <v>212</v>
      </c>
      <c r="C2518" s="2" t="s">
        <v>24</v>
      </c>
      <c r="D2518" s="3" t="n">
        <v>46240</v>
      </c>
      <c r="E2518" s="2" t="str">
        <f aca="false">TEXT(D2518,"dddd")</f>
        <v>Thursday</v>
      </c>
      <c r="F2518" s="2" t="s">
        <v>457</v>
      </c>
      <c r="G2518" s="2" t="s">
        <v>458</v>
      </c>
      <c r="H2518" s="2" t="s">
        <v>459</v>
      </c>
      <c r="I2518" s="2" t="n">
        <f aca="false">IF(F2518="Present",9,IF(F2518="Half Day",4,0))</f>
        <v>9</v>
      </c>
      <c r="J2518" s="2"/>
      <c r="K2518" s="2"/>
    </row>
    <row r="2519" customFormat="false" ht="15" hidden="false" customHeight="false" outlineLevel="0" collapsed="false">
      <c r="A2519" s="2" t="s">
        <v>211</v>
      </c>
      <c r="B2519" s="2" t="s">
        <v>212</v>
      </c>
      <c r="C2519" s="2" t="s">
        <v>24</v>
      </c>
      <c r="D2519" s="3" t="n">
        <v>46241</v>
      </c>
      <c r="E2519" s="2" t="str">
        <f aca="false">TEXT(D2519,"dddd")</f>
        <v>Friday</v>
      </c>
      <c r="F2519" s="2" t="s">
        <v>457</v>
      </c>
      <c r="G2519" s="2" t="s">
        <v>458</v>
      </c>
      <c r="H2519" s="2" t="s">
        <v>459</v>
      </c>
      <c r="I2519" s="2" t="n">
        <f aca="false">IF(F2519="Present",9,IF(F2519="Half Day",4,0))</f>
        <v>9</v>
      </c>
      <c r="J2519" s="2"/>
      <c r="K2519" s="2"/>
    </row>
    <row r="2520" customFormat="false" ht="15" hidden="false" customHeight="false" outlineLevel="0" collapsed="false">
      <c r="A2520" s="2" t="s">
        <v>211</v>
      </c>
      <c r="B2520" s="2" t="s">
        <v>212</v>
      </c>
      <c r="C2520" s="2" t="s">
        <v>24</v>
      </c>
      <c r="D2520" s="3" t="n">
        <v>46242</v>
      </c>
      <c r="E2520" s="2" t="str">
        <f aca="false">TEXT(D2520,"dddd")</f>
        <v>Saturday</v>
      </c>
      <c r="F2520" s="2" t="s">
        <v>457</v>
      </c>
      <c r="G2520" s="2" t="s">
        <v>458</v>
      </c>
      <c r="H2520" s="2" t="s">
        <v>459</v>
      </c>
      <c r="I2520" s="2" t="n">
        <f aca="false">IF(F2520="Present",9,IF(F2520="Half Day",4,0))</f>
        <v>9</v>
      </c>
      <c r="J2520" s="2"/>
      <c r="K2520" s="2"/>
    </row>
    <row r="2521" customFormat="false" ht="15" hidden="false" customHeight="false" outlineLevel="0" collapsed="false">
      <c r="A2521" s="2" t="s">
        <v>211</v>
      </c>
      <c r="B2521" s="2" t="s">
        <v>212</v>
      </c>
      <c r="C2521" s="2" t="s">
        <v>24</v>
      </c>
      <c r="D2521" s="3" t="n">
        <v>46243</v>
      </c>
      <c r="E2521" s="2" t="str">
        <f aca="false">TEXT(D2521,"dddd")</f>
        <v>Sunday</v>
      </c>
      <c r="F2521" s="2" t="s">
        <v>460</v>
      </c>
      <c r="G2521" s="2"/>
      <c r="H2521" s="2"/>
      <c r="I2521" s="2" t="n">
        <f aca="false">IF(F2521="Present",9,IF(F2521="Half Day",4,0))</f>
        <v>0</v>
      </c>
      <c r="J2521" s="2"/>
      <c r="K2521" s="2" t="s">
        <v>460</v>
      </c>
    </row>
    <row r="2522" customFormat="false" ht="15" hidden="false" customHeight="false" outlineLevel="0" collapsed="false">
      <c r="A2522" s="2" t="s">
        <v>211</v>
      </c>
      <c r="B2522" s="2" t="s">
        <v>212</v>
      </c>
      <c r="C2522" s="2" t="s">
        <v>24</v>
      </c>
      <c r="D2522" s="3" t="n">
        <v>46244</v>
      </c>
      <c r="E2522" s="2" t="str">
        <f aca="false">TEXT(D2522,"dddd")</f>
        <v>Monday</v>
      </c>
      <c r="F2522" s="2" t="s">
        <v>457</v>
      </c>
      <c r="G2522" s="2" t="s">
        <v>458</v>
      </c>
      <c r="H2522" s="2" t="s">
        <v>459</v>
      </c>
      <c r="I2522" s="2" t="n">
        <f aca="false">IF(F2522="Present",9,IF(F2522="Half Day",4,0))</f>
        <v>9</v>
      </c>
      <c r="J2522" s="2"/>
      <c r="K2522" s="2"/>
    </row>
    <row r="2523" customFormat="false" ht="15" hidden="false" customHeight="false" outlineLevel="0" collapsed="false">
      <c r="A2523" s="2" t="s">
        <v>211</v>
      </c>
      <c r="B2523" s="2" t="s">
        <v>212</v>
      </c>
      <c r="C2523" s="2" t="s">
        <v>24</v>
      </c>
      <c r="D2523" s="3" t="n">
        <v>46245</v>
      </c>
      <c r="E2523" s="2" t="str">
        <f aca="false">TEXT(D2523,"dddd")</f>
        <v>Tuesday</v>
      </c>
      <c r="F2523" s="2" t="s">
        <v>457</v>
      </c>
      <c r="G2523" s="2" t="s">
        <v>458</v>
      </c>
      <c r="H2523" s="2" t="s">
        <v>459</v>
      </c>
      <c r="I2523" s="2" t="n">
        <f aca="false">IF(F2523="Present",9,IF(F2523="Half Day",4,0))</f>
        <v>9</v>
      </c>
      <c r="J2523" s="2"/>
      <c r="K2523" s="2"/>
    </row>
    <row r="2524" customFormat="false" ht="15" hidden="false" customHeight="false" outlineLevel="0" collapsed="false">
      <c r="A2524" s="2" t="s">
        <v>211</v>
      </c>
      <c r="B2524" s="2" t="s">
        <v>212</v>
      </c>
      <c r="C2524" s="2" t="s">
        <v>24</v>
      </c>
      <c r="D2524" s="3" t="n">
        <v>46246</v>
      </c>
      <c r="E2524" s="2" t="str">
        <f aca="false">TEXT(D2524,"dddd")</f>
        <v>Wednesday</v>
      </c>
      <c r="F2524" s="2" t="s">
        <v>457</v>
      </c>
      <c r="G2524" s="2" t="s">
        <v>458</v>
      </c>
      <c r="H2524" s="2" t="s">
        <v>459</v>
      </c>
      <c r="I2524" s="2" t="n">
        <f aca="false">IF(F2524="Present",9,IF(F2524="Half Day",4,0))</f>
        <v>9</v>
      </c>
      <c r="J2524" s="2"/>
      <c r="K2524" s="2"/>
    </row>
    <row r="2525" customFormat="false" ht="15" hidden="false" customHeight="false" outlineLevel="0" collapsed="false">
      <c r="A2525" s="2" t="s">
        <v>211</v>
      </c>
      <c r="B2525" s="2" t="s">
        <v>212</v>
      </c>
      <c r="C2525" s="2" t="s">
        <v>24</v>
      </c>
      <c r="D2525" s="3" t="n">
        <v>46247</v>
      </c>
      <c r="E2525" s="2" t="str">
        <f aca="false">TEXT(D2525,"dddd")</f>
        <v>Thursday</v>
      </c>
      <c r="F2525" s="2" t="s">
        <v>457</v>
      </c>
      <c r="G2525" s="2" t="s">
        <v>458</v>
      </c>
      <c r="H2525" s="2" t="s">
        <v>459</v>
      </c>
      <c r="I2525" s="2" t="n">
        <f aca="false">IF(F2525="Present",9,IF(F2525="Half Day",4,0))</f>
        <v>9</v>
      </c>
      <c r="J2525" s="2"/>
      <c r="K2525" s="2"/>
    </row>
    <row r="2526" customFormat="false" ht="15" hidden="false" customHeight="false" outlineLevel="0" collapsed="false">
      <c r="A2526" s="2" t="s">
        <v>211</v>
      </c>
      <c r="B2526" s="2" t="s">
        <v>212</v>
      </c>
      <c r="C2526" s="2" t="s">
        <v>24</v>
      </c>
      <c r="D2526" s="3" t="n">
        <v>46248</v>
      </c>
      <c r="E2526" s="2" t="str">
        <f aca="false">TEXT(D2526,"dddd")</f>
        <v>Friday</v>
      </c>
      <c r="F2526" s="2" t="s">
        <v>457</v>
      </c>
      <c r="G2526" s="2" t="s">
        <v>458</v>
      </c>
      <c r="H2526" s="2" t="s">
        <v>459</v>
      </c>
      <c r="I2526" s="2" t="n">
        <f aca="false">IF(F2526="Present",9,IF(F2526="Half Day",4,0))</f>
        <v>9</v>
      </c>
      <c r="J2526" s="2"/>
      <c r="K2526" s="2"/>
    </row>
    <row r="2527" customFormat="false" ht="15" hidden="false" customHeight="false" outlineLevel="0" collapsed="false">
      <c r="A2527" s="2" t="s">
        <v>211</v>
      </c>
      <c r="B2527" s="2" t="s">
        <v>212</v>
      </c>
      <c r="C2527" s="2" t="s">
        <v>24</v>
      </c>
      <c r="D2527" s="3" t="n">
        <v>46249</v>
      </c>
      <c r="E2527" s="2" t="str">
        <f aca="false">TEXT(D2527,"dddd")</f>
        <v>Saturday</v>
      </c>
      <c r="F2527" s="2" t="s">
        <v>457</v>
      </c>
      <c r="G2527" s="2" t="s">
        <v>458</v>
      </c>
      <c r="H2527" s="2" t="s">
        <v>459</v>
      </c>
      <c r="I2527" s="2" t="n">
        <f aca="false">IF(F2527="Present",9,IF(F2527="Half Day",4,0))</f>
        <v>9</v>
      </c>
      <c r="J2527" s="2"/>
      <c r="K2527" s="2"/>
    </row>
    <row r="2528" customFormat="false" ht="15" hidden="false" customHeight="false" outlineLevel="0" collapsed="false">
      <c r="A2528" s="2" t="s">
        <v>211</v>
      </c>
      <c r="B2528" s="2" t="s">
        <v>212</v>
      </c>
      <c r="C2528" s="2" t="s">
        <v>24</v>
      </c>
      <c r="D2528" s="3" t="n">
        <v>46250</v>
      </c>
      <c r="E2528" s="2" t="str">
        <f aca="false">TEXT(D2528,"dddd")</f>
        <v>Sunday</v>
      </c>
      <c r="F2528" s="2" t="s">
        <v>460</v>
      </c>
      <c r="G2528" s="2"/>
      <c r="H2528" s="2"/>
      <c r="I2528" s="2" t="n">
        <f aca="false">IF(F2528="Present",9,IF(F2528="Half Day",4,0))</f>
        <v>0</v>
      </c>
      <c r="J2528" s="2"/>
      <c r="K2528" s="2" t="s">
        <v>460</v>
      </c>
    </row>
    <row r="2529" customFormat="false" ht="15" hidden="false" customHeight="false" outlineLevel="0" collapsed="false">
      <c r="A2529" s="2" t="s">
        <v>211</v>
      </c>
      <c r="B2529" s="2" t="s">
        <v>212</v>
      </c>
      <c r="C2529" s="2" t="s">
        <v>24</v>
      </c>
      <c r="D2529" s="3" t="n">
        <v>46251</v>
      </c>
      <c r="E2529" s="2" t="str">
        <f aca="false">TEXT(D2529,"dddd")</f>
        <v>Monday</v>
      </c>
      <c r="F2529" s="2" t="s">
        <v>457</v>
      </c>
      <c r="G2529" s="2" t="s">
        <v>458</v>
      </c>
      <c r="H2529" s="2" t="s">
        <v>459</v>
      </c>
      <c r="I2529" s="2" t="n">
        <f aca="false">IF(F2529="Present",9,IF(F2529="Half Day",4,0))</f>
        <v>9</v>
      </c>
      <c r="J2529" s="2"/>
      <c r="K2529" s="2"/>
    </row>
    <row r="2530" customFormat="false" ht="15" hidden="false" customHeight="false" outlineLevel="0" collapsed="false">
      <c r="A2530" s="2" t="s">
        <v>211</v>
      </c>
      <c r="B2530" s="2" t="s">
        <v>212</v>
      </c>
      <c r="C2530" s="2" t="s">
        <v>24</v>
      </c>
      <c r="D2530" s="3" t="n">
        <v>46252</v>
      </c>
      <c r="E2530" s="2" t="str">
        <f aca="false">TEXT(D2530,"dddd")</f>
        <v>Tuesday</v>
      </c>
      <c r="F2530" s="2" t="s">
        <v>457</v>
      </c>
      <c r="G2530" s="2" t="s">
        <v>458</v>
      </c>
      <c r="H2530" s="2" t="s">
        <v>459</v>
      </c>
      <c r="I2530" s="2" t="n">
        <f aca="false">IF(F2530="Present",9,IF(F2530="Half Day",4,0))</f>
        <v>9</v>
      </c>
      <c r="J2530" s="2"/>
      <c r="K2530" s="2"/>
    </row>
    <row r="2531" customFormat="false" ht="15" hidden="false" customHeight="false" outlineLevel="0" collapsed="false">
      <c r="A2531" s="2" t="s">
        <v>211</v>
      </c>
      <c r="B2531" s="2" t="s">
        <v>212</v>
      </c>
      <c r="C2531" s="2" t="s">
        <v>24</v>
      </c>
      <c r="D2531" s="3" t="n">
        <v>46253</v>
      </c>
      <c r="E2531" s="2" t="str">
        <f aca="false">TEXT(D2531,"dddd")</f>
        <v>Wednesday</v>
      </c>
      <c r="F2531" s="2" t="s">
        <v>457</v>
      </c>
      <c r="G2531" s="2" t="s">
        <v>458</v>
      </c>
      <c r="H2531" s="2" t="s">
        <v>459</v>
      </c>
      <c r="I2531" s="2" t="n">
        <f aca="false">IF(F2531="Present",9,IF(F2531="Half Day",4,0))</f>
        <v>9</v>
      </c>
      <c r="J2531" s="2"/>
      <c r="K2531" s="2"/>
    </row>
    <row r="2532" customFormat="false" ht="15" hidden="false" customHeight="false" outlineLevel="0" collapsed="false">
      <c r="A2532" s="2" t="s">
        <v>211</v>
      </c>
      <c r="B2532" s="2" t="s">
        <v>212</v>
      </c>
      <c r="C2532" s="2" t="s">
        <v>24</v>
      </c>
      <c r="D2532" s="3" t="n">
        <v>46254</v>
      </c>
      <c r="E2532" s="2" t="str">
        <f aca="false">TEXT(D2532,"dddd")</f>
        <v>Thursday</v>
      </c>
      <c r="F2532" s="2" t="s">
        <v>461</v>
      </c>
      <c r="G2532" s="2"/>
      <c r="H2532" s="2"/>
      <c r="I2532" s="2" t="n">
        <f aca="false">IF(F2532="Present",9,IF(F2532="Half Day",4,0))</f>
        <v>0</v>
      </c>
      <c r="J2532" s="2"/>
      <c r="K2532" s="2" t="s">
        <v>462</v>
      </c>
    </row>
    <row r="2533" customFormat="false" ht="15" hidden="false" customHeight="false" outlineLevel="0" collapsed="false">
      <c r="A2533" s="2" t="s">
        <v>211</v>
      </c>
      <c r="B2533" s="2" t="s">
        <v>212</v>
      </c>
      <c r="C2533" s="2" t="s">
        <v>24</v>
      </c>
      <c r="D2533" s="3" t="n">
        <v>46255</v>
      </c>
      <c r="E2533" s="2" t="str">
        <f aca="false">TEXT(D2533,"dddd")</f>
        <v>Friday</v>
      </c>
      <c r="F2533" s="2" t="s">
        <v>461</v>
      </c>
      <c r="G2533" s="2"/>
      <c r="H2533" s="2"/>
      <c r="I2533" s="2" t="n">
        <f aca="false">IF(F2533="Present",9,IF(F2533="Half Day",4,0))</f>
        <v>0</v>
      </c>
      <c r="J2533" s="2"/>
      <c r="K2533" s="2" t="s">
        <v>462</v>
      </c>
    </row>
    <row r="2534" customFormat="false" ht="15" hidden="false" customHeight="false" outlineLevel="0" collapsed="false">
      <c r="A2534" s="2" t="s">
        <v>211</v>
      </c>
      <c r="B2534" s="2" t="s">
        <v>212</v>
      </c>
      <c r="C2534" s="2" t="s">
        <v>24</v>
      </c>
      <c r="D2534" s="3" t="n">
        <v>46256</v>
      </c>
      <c r="E2534" s="2" t="str">
        <f aca="false">TEXT(D2534,"dddd")</f>
        <v>Saturday</v>
      </c>
      <c r="F2534" s="2" t="s">
        <v>457</v>
      </c>
      <c r="G2534" s="2" t="s">
        <v>458</v>
      </c>
      <c r="H2534" s="2" t="s">
        <v>459</v>
      </c>
      <c r="I2534" s="2" t="n">
        <f aca="false">IF(F2534="Present",9,IF(F2534="Half Day",4,0))</f>
        <v>9</v>
      </c>
      <c r="J2534" s="2"/>
      <c r="K2534" s="2"/>
    </row>
    <row r="2535" customFormat="false" ht="15" hidden="false" customHeight="false" outlineLevel="0" collapsed="false">
      <c r="A2535" s="2" t="s">
        <v>211</v>
      </c>
      <c r="B2535" s="2" t="s">
        <v>212</v>
      </c>
      <c r="C2535" s="2" t="s">
        <v>24</v>
      </c>
      <c r="D2535" s="3" t="n">
        <v>46257</v>
      </c>
      <c r="E2535" s="2" t="str">
        <f aca="false">TEXT(D2535,"dddd")</f>
        <v>Sunday</v>
      </c>
      <c r="F2535" s="2" t="s">
        <v>460</v>
      </c>
      <c r="G2535" s="2"/>
      <c r="H2535" s="2"/>
      <c r="I2535" s="2" t="n">
        <f aca="false">IF(F2535="Present",9,IF(F2535="Half Day",4,0))</f>
        <v>0</v>
      </c>
      <c r="J2535" s="2"/>
      <c r="K2535" s="2" t="s">
        <v>460</v>
      </c>
    </row>
    <row r="2536" customFormat="false" ht="15" hidden="false" customHeight="false" outlineLevel="0" collapsed="false">
      <c r="A2536" s="2" t="s">
        <v>211</v>
      </c>
      <c r="B2536" s="2" t="s">
        <v>212</v>
      </c>
      <c r="C2536" s="2" t="s">
        <v>24</v>
      </c>
      <c r="D2536" s="3" t="n">
        <v>46258</v>
      </c>
      <c r="E2536" s="2" t="str">
        <f aca="false">TEXT(D2536,"dddd")</f>
        <v>Monday</v>
      </c>
      <c r="F2536" s="2" t="s">
        <v>457</v>
      </c>
      <c r="G2536" s="2" t="s">
        <v>458</v>
      </c>
      <c r="H2536" s="2" t="s">
        <v>459</v>
      </c>
      <c r="I2536" s="2" t="n">
        <f aca="false">IF(F2536="Present",9,IF(F2536="Half Day",4,0))</f>
        <v>9</v>
      </c>
      <c r="J2536" s="2"/>
      <c r="K2536" s="2"/>
    </row>
    <row r="2537" customFormat="false" ht="15" hidden="false" customHeight="false" outlineLevel="0" collapsed="false">
      <c r="A2537" s="2" t="s">
        <v>211</v>
      </c>
      <c r="B2537" s="2" t="s">
        <v>212</v>
      </c>
      <c r="C2537" s="2" t="s">
        <v>24</v>
      </c>
      <c r="D2537" s="3" t="n">
        <v>46259</v>
      </c>
      <c r="E2537" s="2" t="str">
        <f aca="false">TEXT(D2537,"dddd")</f>
        <v>Tuesday</v>
      </c>
      <c r="F2537" s="2" t="s">
        <v>457</v>
      </c>
      <c r="G2537" s="2" t="s">
        <v>458</v>
      </c>
      <c r="H2537" s="2" t="s">
        <v>459</v>
      </c>
      <c r="I2537" s="2" t="n">
        <f aca="false">IF(F2537="Present",9,IF(F2537="Half Day",4,0))</f>
        <v>9</v>
      </c>
      <c r="J2537" s="2"/>
      <c r="K2537" s="2"/>
    </row>
    <row r="2538" customFormat="false" ht="15" hidden="false" customHeight="false" outlineLevel="0" collapsed="false">
      <c r="A2538" s="2" t="s">
        <v>211</v>
      </c>
      <c r="B2538" s="2" t="s">
        <v>212</v>
      </c>
      <c r="C2538" s="2" t="s">
        <v>24</v>
      </c>
      <c r="D2538" s="3" t="n">
        <v>46260</v>
      </c>
      <c r="E2538" s="2" t="str">
        <f aca="false">TEXT(D2538,"dddd")</f>
        <v>Wednesday</v>
      </c>
      <c r="F2538" s="2" t="s">
        <v>457</v>
      </c>
      <c r="G2538" s="2" t="s">
        <v>458</v>
      </c>
      <c r="H2538" s="2" t="s">
        <v>459</v>
      </c>
      <c r="I2538" s="2" t="n">
        <f aca="false">IF(F2538="Present",9,IF(F2538="Half Day",4,0))</f>
        <v>9</v>
      </c>
      <c r="J2538" s="2"/>
      <c r="K2538" s="2"/>
    </row>
    <row r="2539" customFormat="false" ht="15" hidden="false" customHeight="false" outlineLevel="0" collapsed="false">
      <c r="A2539" s="2" t="s">
        <v>211</v>
      </c>
      <c r="B2539" s="2" t="s">
        <v>212</v>
      </c>
      <c r="C2539" s="2" t="s">
        <v>24</v>
      </c>
      <c r="D2539" s="3" t="n">
        <v>46261</v>
      </c>
      <c r="E2539" s="2" t="str">
        <f aca="false">TEXT(D2539,"dddd")</f>
        <v>Thursday</v>
      </c>
      <c r="F2539" s="2" t="s">
        <v>457</v>
      </c>
      <c r="G2539" s="2" t="s">
        <v>458</v>
      </c>
      <c r="H2539" s="2" t="s">
        <v>459</v>
      </c>
      <c r="I2539" s="2" t="n">
        <f aca="false">IF(F2539="Present",9,IF(F2539="Half Day",4,0))</f>
        <v>9</v>
      </c>
      <c r="J2539" s="2"/>
      <c r="K2539" s="2"/>
    </row>
    <row r="2540" customFormat="false" ht="15" hidden="false" customHeight="false" outlineLevel="0" collapsed="false">
      <c r="A2540" s="2" t="s">
        <v>211</v>
      </c>
      <c r="B2540" s="2" t="s">
        <v>212</v>
      </c>
      <c r="C2540" s="2" t="s">
        <v>24</v>
      </c>
      <c r="D2540" s="3" t="n">
        <v>46262</v>
      </c>
      <c r="E2540" s="2" t="str">
        <f aca="false">TEXT(D2540,"dddd")</f>
        <v>Friday</v>
      </c>
      <c r="F2540" s="2" t="s">
        <v>457</v>
      </c>
      <c r="G2540" s="2" t="s">
        <v>458</v>
      </c>
      <c r="H2540" s="2" t="s">
        <v>459</v>
      </c>
      <c r="I2540" s="2" t="n">
        <f aca="false">IF(F2540="Present",9,IF(F2540="Half Day",4,0))</f>
        <v>9</v>
      </c>
      <c r="J2540" s="2"/>
      <c r="K2540" s="2"/>
    </row>
    <row r="2541" customFormat="false" ht="15" hidden="false" customHeight="false" outlineLevel="0" collapsed="false">
      <c r="A2541" s="2" t="s">
        <v>211</v>
      </c>
      <c r="B2541" s="2" t="s">
        <v>212</v>
      </c>
      <c r="C2541" s="2" t="s">
        <v>24</v>
      </c>
      <c r="D2541" s="3" t="n">
        <v>46263</v>
      </c>
      <c r="E2541" s="2" t="str">
        <f aca="false">TEXT(D2541,"dddd")</f>
        <v>Saturday</v>
      </c>
      <c r="F2541" s="2" t="s">
        <v>457</v>
      </c>
      <c r="G2541" s="2" t="s">
        <v>458</v>
      </c>
      <c r="H2541" s="2" t="s">
        <v>459</v>
      </c>
      <c r="I2541" s="2" t="n">
        <f aca="false">IF(F2541="Present",9,IF(F2541="Half Day",4,0))</f>
        <v>9</v>
      </c>
      <c r="J2541" s="2"/>
      <c r="K2541" s="2"/>
    </row>
    <row r="2542" customFormat="false" ht="15" hidden="false" customHeight="false" outlineLevel="0" collapsed="false">
      <c r="A2542" s="2" t="s">
        <v>211</v>
      </c>
      <c r="B2542" s="2" t="s">
        <v>212</v>
      </c>
      <c r="C2542" s="2" t="s">
        <v>24</v>
      </c>
      <c r="D2542" s="3" t="n">
        <v>46264</v>
      </c>
      <c r="E2542" s="2" t="str">
        <f aca="false">TEXT(D2542,"dddd")</f>
        <v>Sunday</v>
      </c>
      <c r="F2542" s="2" t="s">
        <v>460</v>
      </c>
      <c r="G2542" s="2"/>
      <c r="H2542" s="2"/>
      <c r="I2542" s="2" t="n">
        <f aca="false">IF(F2542="Present",9,IF(F2542="Half Day",4,0))</f>
        <v>0</v>
      </c>
      <c r="J2542" s="2"/>
      <c r="K2542" s="2" t="s">
        <v>460</v>
      </c>
    </row>
    <row r="2543" customFormat="false" ht="15" hidden="false" customHeight="false" outlineLevel="0" collapsed="false">
      <c r="A2543" s="2" t="s">
        <v>211</v>
      </c>
      <c r="B2543" s="2" t="s">
        <v>212</v>
      </c>
      <c r="C2543" s="2" t="s">
        <v>24</v>
      </c>
      <c r="D2543" s="3" t="n">
        <v>46265</v>
      </c>
      <c r="E2543" s="2" t="str">
        <f aca="false">TEXT(D2543,"dddd")</f>
        <v>Monday</v>
      </c>
      <c r="F2543" s="2" t="s">
        <v>457</v>
      </c>
      <c r="G2543" s="2" t="s">
        <v>458</v>
      </c>
      <c r="H2543" s="2" t="s">
        <v>459</v>
      </c>
      <c r="I2543" s="2" t="n">
        <f aca="false">IF(F2543="Present",9,IF(F2543="Half Day",4,0))</f>
        <v>9</v>
      </c>
      <c r="J2543" s="2"/>
      <c r="K2543" s="2"/>
    </row>
    <row r="2544" customFormat="false" ht="15" hidden="false" customHeight="false" outlineLevel="0" collapsed="false">
      <c r="A2544" s="2" t="s">
        <v>213</v>
      </c>
      <c r="B2544" s="2" t="s">
        <v>214</v>
      </c>
      <c r="C2544" s="2" t="s">
        <v>28</v>
      </c>
      <c r="D2544" s="3" t="n">
        <v>46235</v>
      </c>
      <c r="E2544" s="2" t="str">
        <f aca="false">TEXT(D2544,"dddd")</f>
        <v>Saturday</v>
      </c>
      <c r="F2544" s="2" t="s">
        <v>457</v>
      </c>
      <c r="G2544" s="2" t="s">
        <v>458</v>
      </c>
      <c r="H2544" s="2" t="s">
        <v>459</v>
      </c>
      <c r="I2544" s="2" t="n">
        <f aca="false">IF(F2544="Present",9,IF(F2544="Half Day",4,0))</f>
        <v>9</v>
      </c>
      <c r="J2544" s="2"/>
      <c r="K2544" s="2"/>
    </row>
    <row r="2545" customFormat="false" ht="15" hidden="false" customHeight="false" outlineLevel="0" collapsed="false">
      <c r="A2545" s="2" t="s">
        <v>213</v>
      </c>
      <c r="B2545" s="2" t="s">
        <v>214</v>
      </c>
      <c r="C2545" s="2" t="s">
        <v>28</v>
      </c>
      <c r="D2545" s="3" t="n">
        <v>46236</v>
      </c>
      <c r="E2545" s="2" t="str">
        <f aca="false">TEXT(D2545,"dddd")</f>
        <v>Sunday</v>
      </c>
      <c r="F2545" s="2" t="s">
        <v>460</v>
      </c>
      <c r="G2545" s="2"/>
      <c r="H2545" s="2"/>
      <c r="I2545" s="2" t="n">
        <f aca="false">IF(F2545="Present",9,IF(F2545="Half Day",4,0))</f>
        <v>0</v>
      </c>
      <c r="J2545" s="2"/>
      <c r="K2545" s="2" t="s">
        <v>460</v>
      </c>
    </row>
    <row r="2546" customFormat="false" ht="15" hidden="false" customHeight="false" outlineLevel="0" collapsed="false">
      <c r="A2546" s="2" t="s">
        <v>213</v>
      </c>
      <c r="B2546" s="2" t="s">
        <v>214</v>
      </c>
      <c r="C2546" s="2" t="s">
        <v>28</v>
      </c>
      <c r="D2546" s="3" t="n">
        <v>46237</v>
      </c>
      <c r="E2546" s="2" t="str">
        <f aca="false">TEXT(D2546,"dddd")</f>
        <v>Monday</v>
      </c>
      <c r="F2546" s="2" t="s">
        <v>457</v>
      </c>
      <c r="G2546" s="2" t="s">
        <v>458</v>
      </c>
      <c r="H2546" s="2" t="s">
        <v>459</v>
      </c>
      <c r="I2546" s="2" t="n">
        <f aca="false">IF(F2546="Present",9,IF(F2546="Half Day",4,0))</f>
        <v>9</v>
      </c>
      <c r="J2546" s="2"/>
      <c r="K2546" s="2"/>
    </row>
    <row r="2547" customFormat="false" ht="15" hidden="false" customHeight="false" outlineLevel="0" collapsed="false">
      <c r="A2547" s="2" t="s">
        <v>213</v>
      </c>
      <c r="B2547" s="2" t="s">
        <v>214</v>
      </c>
      <c r="C2547" s="2" t="s">
        <v>28</v>
      </c>
      <c r="D2547" s="3" t="n">
        <v>46238</v>
      </c>
      <c r="E2547" s="2" t="str">
        <f aca="false">TEXT(D2547,"dddd")</f>
        <v>Tuesday</v>
      </c>
      <c r="F2547" s="2" t="s">
        <v>457</v>
      </c>
      <c r="G2547" s="2" t="s">
        <v>458</v>
      </c>
      <c r="H2547" s="2" t="s">
        <v>459</v>
      </c>
      <c r="I2547" s="2" t="n">
        <f aca="false">IF(F2547="Present",9,IF(F2547="Half Day",4,0))</f>
        <v>9</v>
      </c>
      <c r="J2547" s="2"/>
      <c r="K2547" s="2"/>
    </row>
    <row r="2548" customFormat="false" ht="15" hidden="false" customHeight="false" outlineLevel="0" collapsed="false">
      <c r="A2548" s="2" t="s">
        <v>213</v>
      </c>
      <c r="B2548" s="2" t="s">
        <v>214</v>
      </c>
      <c r="C2548" s="2" t="s">
        <v>28</v>
      </c>
      <c r="D2548" s="3" t="n">
        <v>46239</v>
      </c>
      <c r="E2548" s="2" t="str">
        <f aca="false">TEXT(D2548,"dddd")</f>
        <v>Wednesday</v>
      </c>
      <c r="F2548" s="2" t="s">
        <v>457</v>
      </c>
      <c r="G2548" s="2" t="s">
        <v>458</v>
      </c>
      <c r="H2548" s="2" t="s">
        <v>459</v>
      </c>
      <c r="I2548" s="2" t="n">
        <f aca="false">IF(F2548="Present",9,IF(F2548="Half Day",4,0))</f>
        <v>9</v>
      </c>
      <c r="J2548" s="2"/>
      <c r="K2548" s="2"/>
    </row>
    <row r="2549" customFormat="false" ht="15" hidden="false" customHeight="false" outlineLevel="0" collapsed="false">
      <c r="A2549" s="2" t="s">
        <v>213</v>
      </c>
      <c r="B2549" s="2" t="s">
        <v>214</v>
      </c>
      <c r="C2549" s="2" t="s">
        <v>28</v>
      </c>
      <c r="D2549" s="3" t="n">
        <v>46240</v>
      </c>
      <c r="E2549" s="2" t="str">
        <f aca="false">TEXT(D2549,"dddd")</f>
        <v>Thursday</v>
      </c>
      <c r="F2549" s="2" t="s">
        <v>466</v>
      </c>
      <c r="G2549" s="2" t="s">
        <v>458</v>
      </c>
      <c r="H2549" s="2" t="s">
        <v>467</v>
      </c>
      <c r="I2549" s="2" t="n">
        <f aca="false">IF(F2549="Present",9,IF(F2549="Half Day",4,0))</f>
        <v>4</v>
      </c>
      <c r="J2549" s="2"/>
      <c r="K2549" s="2" t="s">
        <v>466</v>
      </c>
    </row>
    <row r="2550" customFormat="false" ht="15" hidden="false" customHeight="false" outlineLevel="0" collapsed="false">
      <c r="A2550" s="2" t="s">
        <v>213</v>
      </c>
      <c r="B2550" s="2" t="s">
        <v>214</v>
      </c>
      <c r="C2550" s="2" t="s">
        <v>28</v>
      </c>
      <c r="D2550" s="3" t="n">
        <v>46241</v>
      </c>
      <c r="E2550" s="2" t="str">
        <f aca="false">TEXT(D2550,"dddd")</f>
        <v>Friday</v>
      </c>
      <c r="F2550" s="2" t="s">
        <v>461</v>
      </c>
      <c r="G2550" s="2"/>
      <c r="H2550" s="2"/>
      <c r="I2550" s="2" t="n">
        <f aca="false">IF(F2550="Present",9,IF(F2550="Half Day",4,0))</f>
        <v>0</v>
      </c>
      <c r="J2550" s="2"/>
      <c r="K2550" s="2" t="s">
        <v>462</v>
      </c>
    </row>
    <row r="2551" customFormat="false" ht="15" hidden="false" customHeight="false" outlineLevel="0" collapsed="false">
      <c r="A2551" s="2" t="s">
        <v>213</v>
      </c>
      <c r="B2551" s="2" t="s">
        <v>214</v>
      </c>
      <c r="C2551" s="2" t="s">
        <v>28</v>
      </c>
      <c r="D2551" s="3" t="n">
        <v>46242</v>
      </c>
      <c r="E2551" s="2" t="str">
        <f aca="false">TEXT(D2551,"dddd")</f>
        <v>Saturday</v>
      </c>
      <c r="F2551" s="2" t="s">
        <v>457</v>
      </c>
      <c r="G2551" s="2" t="s">
        <v>458</v>
      </c>
      <c r="H2551" s="2" t="s">
        <v>459</v>
      </c>
      <c r="I2551" s="2" t="n">
        <f aca="false">IF(F2551="Present",9,IF(F2551="Half Day",4,0))</f>
        <v>9</v>
      </c>
      <c r="J2551" s="2"/>
      <c r="K2551" s="2"/>
    </row>
    <row r="2552" customFormat="false" ht="15" hidden="false" customHeight="false" outlineLevel="0" collapsed="false">
      <c r="A2552" s="2" t="s">
        <v>213</v>
      </c>
      <c r="B2552" s="2" t="s">
        <v>214</v>
      </c>
      <c r="C2552" s="2" t="s">
        <v>28</v>
      </c>
      <c r="D2552" s="3" t="n">
        <v>46243</v>
      </c>
      <c r="E2552" s="2" t="str">
        <f aca="false">TEXT(D2552,"dddd")</f>
        <v>Sunday</v>
      </c>
      <c r="F2552" s="2" t="s">
        <v>460</v>
      </c>
      <c r="G2552" s="2"/>
      <c r="H2552" s="2"/>
      <c r="I2552" s="2" t="n">
        <f aca="false">IF(F2552="Present",9,IF(F2552="Half Day",4,0))</f>
        <v>0</v>
      </c>
      <c r="J2552" s="2"/>
      <c r="K2552" s="2" t="s">
        <v>460</v>
      </c>
    </row>
    <row r="2553" customFormat="false" ht="15" hidden="false" customHeight="false" outlineLevel="0" collapsed="false">
      <c r="A2553" s="2" t="s">
        <v>213</v>
      </c>
      <c r="B2553" s="2" t="s">
        <v>214</v>
      </c>
      <c r="C2553" s="2" t="s">
        <v>28</v>
      </c>
      <c r="D2553" s="3" t="n">
        <v>46244</v>
      </c>
      <c r="E2553" s="2" t="str">
        <f aca="false">TEXT(D2553,"dddd")</f>
        <v>Monday</v>
      </c>
      <c r="F2553" s="2" t="s">
        <v>457</v>
      </c>
      <c r="G2553" s="2" t="s">
        <v>458</v>
      </c>
      <c r="H2553" s="2" t="s">
        <v>459</v>
      </c>
      <c r="I2553" s="2" t="n">
        <f aca="false">IF(F2553="Present",9,IF(F2553="Half Day",4,0))</f>
        <v>9</v>
      </c>
      <c r="J2553" s="2"/>
      <c r="K2553" s="2"/>
    </row>
    <row r="2554" customFormat="false" ht="15" hidden="false" customHeight="false" outlineLevel="0" collapsed="false">
      <c r="A2554" s="2" t="s">
        <v>213</v>
      </c>
      <c r="B2554" s="2" t="s">
        <v>214</v>
      </c>
      <c r="C2554" s="2" t="s">
        <v>28</v>
      </c>
      <c r="D2554" s="3" t="n">
        <v>46245</v>
      </c>
      <c r="E2554" s="2" t="str">
        <f aca="false">TEXT(D2554,"dddd")</f>
        <v>Tuesday</v>
      </c>
      <c r="F2554" s="2" t="s">
        <v>457</v>
      </c>
      <c r="G2554" s="2" t="s">
        <v>458</v>
      </c>
      <c r="H2554" s="2" t="s">
        <v>459</v>
      </c>
      <c r="I2554" s="2" t="n">
        <f aca="false">IF(F2554="Present",9,IF(F2554="Half Day",4,0))</f>
        <v>9</v>
      </c>
      <c r="J2554" s="2"/>
      <c r="K2554" s="2"/>
    </row>
    <row r="2555" customFormat="false" ht="15" hidden="false" customHeight="false" outlineLevel="0" collapsed="false">
      <c r="A2555" s="2" t="s">
        <v>213</v>
      </c>
      <c r="B2555" s="2" t="s">
        <v>214</v>
      </c>
      <c r="C2555" s="2" t="s">
        <v>28</v>
      </c>
      <c r="D2555" s="3" t="n">
        <v>46246</v>
      </c>
      <c r="E2555" s="2" t="str">
        <f aca="false">TEXT(D2555,"dddd")</f>
        <v>Wednesday</v>
      </c>
      <c r="F2555" s="2" t="s">
        <v>466</v>
      </c>
      <c r="G2555" s="2" t="s">
        <v>458</v>
      </c>
      <c r="H2555" s="2" t="s">
        <v>467</v>
      </c>
      <c r="I2555" s="2" t="n">
        <f aca="false">IF(F2555="Present",9,IF(F2555="Half Day",4,0))</f>
        <v>4</v>
      </c>
      <c r="J2555" s="2"/>
      <c r="K2555" s="2" t="s">
        <v>466</v>
      </c>
    </row>
    <row r="2556" customFormat="false" ht="15" hidden="false" customHeight="false" outlineLevel="0" collapsed="false">
      <c r="A2556" s="2" t="s">
        <v>213</v>
      </c>
      <c r="B2556" s="2" t="s">
        <v>214</v>
      </c>
      <c r="C2556" s="2" t="s">
        <v>28</v>
      </c>
      <c r="D2556" s="3" t="n">
        <v>46247</v>
      </c>
      <c r="E2556" s="2" t="str">
        <f aca="false">TEXT(D2556,"dddd")</f>
        <v>Thursday</v>
      </c>
      <c r="F2556" s="2" t="s">
        <v>457</v>
      </c>
      <c r="G2556" s="2" t="s">
        <v>458</v>
      </c>
      <c r="H2556" s="2" t="s">
        <v>459</v>
      </c>
      <c r="I2556" s="2" t="n">
        <f aca="false">IF(F2556="Present",9,IF(F2556="Half Day",4,0))</f>
        <v>9</v>
      </c>
      <c r="J2556" s="2"/>
      <c r="K2556" s="2"/>
    </row>
    <row r="2557" customFormat="false" ht="15" hidden="false" customHeight="false" outlineLevel="0" collapsed="false">
      <c r="A2557" s="2" t="s">
        <v>213</v>
      </c>
      <c r="B2557" s="2" t="s">
        <v>214</v>
      </c>
      <c r="C2557" s="2" t="s">
        <v>28</v>
      </c>
      <c r="D2557" s="3" t="n">
        <v>46248</v>
      </c>
      <c r="E2557" s="2" t="str">
        <f aca="false">TEXT(D2557,"dddd")</f>
        <v>Friday</v>
      </c>
      <c r="F2557" s="2" t="s">
        <v>457</v>
      </c>
      <c r="G2557" s="2" t="s">
        <v>458</v>
      </c>
      <c r="H2557" s="2" t="s">
        <v>459</v>
      </c>
      <c r="I2557" s="2" t="n">
        <f aca="false">IF(F2557="Present",9,IF(F2557="Half Day",4,0))</f>
        <v>9</v>
      </c>
      <c r="J2557" s="2"/>
      <c r="K2557" s="2"/>
    </row>
    <row r="2558" customFormat="false" ht="15" hidden="false" customHeight="false" outlineLevel="0" collapsed="false">
      <c r="A2558" s="2" t="s">
        <v>213</v>
      </c>
      <c r="B2558" s="2" t="s">
        <v>214</v>
      </c>
      <c r="C2558" s="2" t="s">
        <v>28</v>
      </c>
      <c r="D2558" s="3" t="n">
        <v>46249</v>
      </c>
      <c r="E2558" s="2" t="str">
        <f aca="false">TEXT(D2558,"dddd")</f>
        <v>Saturday</v>
      </c>
      <c r="F2558" s="2" t="s">
        <v>457</v>
      </c>
      <c r="G2558" s="2" t="s">
        <v>458</v>
      </c>
      <c r="H2558" s="2" t="s">
        <v>459</v>
      </c>
      <c r="I2558" s="2" t="n">
        <f aca="false">IF(F2558="Present",9,IF(F2558="Half Day",4,0))</f>
        <v>9</v>
      </c>
      <c r="J2558" s="2"/>
      <c r="K2558" s="2"/>
    </row>
    <row r="2559" customFormat="false" ht="15" hidden="false" customHeight="false" outlineLevel="0" collapsed="false">
      <c r="A2559" s="2" t="s">
        <v>213</v>
      </c>
      <c r="B2559" s="2" t="s">
        <v>214</v>
      </c>
      <c r="C2559" s="2" t="s">
        <v>28</v>
      </c>
      <c r="D2559" s="3" t="n">
        <v>46250</v>
      </c>
      <c r="E2559" s="2" t="str">
        <f aca="false">TEXT(D2559,"dddd")</f>
        <v>Sunday</v>
      </c>
      <c r="F2559" s="2" t="s">
        <v>460</v>
      </c>
      <c r="G2559" s="2"/>
      <c r="H2559" s="2"/>
      <c r="I2559" s="2" t="n">
        <f aca="false">IF(F2559="Present",9,IF(F2559="Half Day",4,0))</f>
        <v>0</v>
      </c>
      <c r="J2559" s="2"/>
      <c r="K2559" s="2" t="s">
        <v>460</v>
      </c>
    </row>
    <row r="2560" customFormat="false" ht="15" hidden="false" customHeight="false" outlineLevel="0" collapsed="false">
      <c r="A2560" s="2" t="s">
        <v>213</v>
      </c>
      <c r="B2560" s="2" t="s">
        <v>214</v>
      </c>
      <c r="C2560" s="2" t="s">
        <v>28</v>
      </c>
      <c r="D2560" s="3" t="n">
        <v>46251</v>
      </c>
      <c r="E2560" s="2" t="str">
        <f aca="false">TEXT(D2560,"dddd")</f>
        <v>Monday</v>
      </c>
      <c r="F2560" s="2" t="s">
        <v>457</v>
      </c>
      <c r="G2560" s="2" t="s">
        <v>458</v>
      </c>
      <c r="H2560" s="2" t="s">
        <v>459</v>
      </c>
      <c r="I2560" s="2" t="n">
        <f aca="false">IF(F2560="Present",9,IF(F2560="Half Day",4,0))</f>
        <v>9</v>
      </c>
      <c r="J2560" s="2"/>
      <c r="K2560" s="2"/>
    </row>
    <row r="2561" customFormat="false" ht="15" hidden="false" customHeight="false" outlineLevel="0" collapsed="false">
      <c r="A2561" s="2" t="s">
        <v>213</v>
      </c>
      <c r="B2561" s="2" t="s">
        <v>214</v>
      </c>
      <c r="C2561" s="2" t="s">
        <v>28</v>
      </c>
      <c r="D2561" s="3" t="n">
        <v>46252</v>
      </c>
      <c r="E2561" s="2" t="str">
        <f aca="false">TEXT(D2561,"dddd")</f>
        <v>Tuesday</v>
      </c>
      <c r="F2561" s="2" t="s">
        <v>461</v>
      </c>
      <c r="G2561" s="2"/>
      <c r="H2561" s="2"/>
      <c r="I2561" s="2" t="n">
        <f aca="false">IF(F2561="Present",9,IF(F2561="Half Day",4,0))</f>
        <v>0</v>
      </c>
      <c r="J2561" s="2"/>
      <c r="K2561" s="2" t="s">
        <v>462</v>
      </c>
    </row>
    <row r="2562" customFormat="false" ht="15" hidden="false" customHeight="false" outlineLevel="0" collapsed="false">
      <c r="A2562" s="2" t="s">
        <v>213</v>
      </c>
      <c r="B2562" s="2" t="s">
        <v>214</v>
      </c>
      <c r="C2562" s="2" t="s">
        <v>28</v>
      </c>
      <c r="D2562" s="3" t="n">
        <v>46253</v>
      </c>
      <c r="E2562" s="2" t="str">
        <f aca="false">TEXT(D2562,"dddd")</f>
        <v>Wednesday</v>
      </c>
      <c r="F2562" s="2" t="s">
        <v>457</v>
      </c>
      <c r="G2562" s="2" t="s">
        <v>458</v>
      </c>
      <c r="H2562" s="2" t="s">
        <v>459</v>
      </c>
      <c r="I2562" s="2" t="n">
        <f aca="false">IF(F2562="Present",9,IF(F2562="Half Day",4,0))</f>
        <v>9</v>
      </c>
      <c r="J2562" s="2"/>
      <c r="K2562" s="2"/>
    </row>
    <row r="2563" customFormat="false" ht="15" hidden="false" customHeight="false" outlineLevel="0" collapsed="false">
      <c r="A2563" s="2" t="s">
        <v>213</v>
      </c>
      <c r="B2563" s="2" t="s">
        <v>214</v>
      </c>
      <c r="C2563" s="2" t="s">
        <v>28</v>
      </c>
      <c r="D2563" s="3" t="n">
        <v>46254</v>
      </c>
      <c r="E2563" s="2" t="str">
        <f aca="false">TEXT(D2563,"dddd")</f>
        <v>Thursday</v>
      </c>
      <c r="F2563" s="2" t="s">
        <v>457</v>
      </c>
      <c r="G2563" s="2" t="s">
        <v>458</v>
      </c>
      <c r="H2563" s="2" t="s">
        <v>459</v>
      </c>
      <c r="I2563" s="2" t="n">
        <f aca="false">IF(F2563="Present",9,IF(F2563="Half Day",4,0))</f>
        <v>9</v>
      </c>
      <c r="J2563" s="2"/>
      <c r="K2563" s="2"/>
    </row>
    <row r="2564" customFormat="false" ht="15" hidden="false" customHeight="false" outlineLevel="0" collapsed="false">
      <c r="A2564" s="2" t="s">
        <v>213</v>
      </c>
      <c r="B2564" s="2" t="s">
        <v>214</v>
      </c>
      <c r="C2564" s="2" t="s">
        <v>28</v>
      </c>
      <c r="D2564" s="3" t="n">
        <v>46255</v>
      </c>
      <c r="E2564" s="2" t="str">
        <f aca="false">TEXT(D2564,"dddd")</f>
        <v>Friday</v>
      </c>
      <c r="F2564" s="2" t="s">
        <v>457</v>
      </c>
      <c r="G2564" s="2" t="s">
        <v>458</v>
      </c>
      <c r="H2564" s="2" t="s">
        <v>459</v>
      </c>
      <c r="I2564" s="2" t="n">
        <f aca="false">IF(F2564="Present",9,IF(F2564="Half Day",4,0))</f>
        <v>9</v>
      </c>
      <c r="J2564" s="2"/>
      <c r="K2564" s="2"/>
    </row>
    <row r="2565" customFormat="false" ht="15" hidden="false" customHeight="false" outlineLevel="0" collapsed="false">
      <c r="A2565" s="2" t="s">
        <v>213</v>
      </c>
      <c r="B2565" s="2" t="s">
        <v>214</v>
      </c>
      <c r="C2565" s="2" t="s">
        <v>28</v>
      </c>
      <c r="D2565" s="3" t="n">
        <v>46256</v>
      </c>
      <c r="E2565" s="2" t="str">
        <f aca="false">TEXT(D2565,"dddd")</f>
        <v>Saturday</v>
      </c>
      <c r="F2565" s="2" t="s">
        <v>457</v>
      </c>
      <c r="G2565" s="2" t="s">
        <v>458</v>
      </c>
      <c r="H2565" s="2" t="s">
        <v>459</v>
      </c>
      <c r="I2565" s="2" t="n">
        <f aca="false">IF(F2565="Present",9,IF(F2565="Half Day",4,0))</f>
        <v>9</v>
      </c>
      <c r="J2565" s="2"/>
      <c r="K2565" s="2"/>
    </row>
    <row r="2566" customFormat="false" ht="15" hidden="false" customHeight="false" outlineLevel="0" collapsed="false">
      <c r="A2566" s="2" t="s">
        <v>213</v>
      </c>
      <c r="B2566" s="2" t="s">
        <v>214</v>
      </c>
      <c r="C2566" s="2" t="s">
        <v>28</v>
      </c>
      <c r="D2566" s="3" t="n">
        <v>46257</v>
      </c>
      <c r="E2566" s="2" t="str">
        <f aca="false">TEXT(D2566,"dddd")</f>
        <v>Sunday</v>
      </c>
      <c r="F2566" s="2" t="s">
        <v>460</v>
      </c>
      <c r="G2566" s="2"/>
      <c r="H2566" s="2"/>
      <c r="I2566" s="2" t="n">
        <f aca="false">IF(F2566="Present",9,IF(F2566="Half Day",4,0))</f>
        <v>0</v>
      </c>
      <c r="J2566" s="2"/>
      <c r="K2566" s="2" t="s">
        <v>460</v>
      </c>
    </row>
    <row r="2567" customFormat="false" ht="15" hidden="false" customHeight="false" outlineLevel="0" collapsed="false">
      <c r="A2567" s="2" t="s">
        <v>213</v>
      </c>
      <c r="B2567" s="2" t="s">
        <v>214</v>
      </c>
      <c r="C2567" s="2" t="s">
        <v>28</v>
      </c>
      <c r="D2567" s="3" t="n">
        <v>46258</v>
      </c>
      <c r="E2567" s="2" t="str">
        <f aca="false">TEXT(D2567,"dddd")</f>
        <v>Monday</v>
      </c>
      <c r="F2567" s="2" t="s">
        <v>463</v>
      </c>
      <c r="G2567" s="2"/>
      <c r="H2567" s="2"/>
      <c r="I2567" s="2" t="n">
        <f aca="false">IF(F2567="Present",9,IF(F2567="Half Day",4,0))</f>
        <v>0</v>
      </c>
      <c r="J2567" s="2" t="s">
        <v>464</v>
      </c>
      <c r="K2567" s="2" t="s">
        <v>465</v>
      </c>
    </row>
    <row r="2568" customFormat="false" ht="15" hidden="false" customHeight="false" outlineLevel="0" collapsed="false">
      <c r="A2568" s="2" t="s">
        <v>213</v>
      </c>
      <c r="B2568" s="2" t="s">
        <v>214</v>
      </c>
      <c r="C2568" s="2" t="s">
        <v>28</v>
      </c>
      <c r="D2568" s="3" t="n">
        <v>46259</v>
      </c>
      <c r="E2568" s="2" t="str">
        <f aca="false">TEXT(D2568,"dddd")</f>
        <v>Tuesday</v>
      </c>
      <c r="F2568" s="2" t="s">
        <v>457</v>
      </c>
      <c r="G2568" s="2" t="s">
        <v>458</v>
      </c>
      <c r="H2568" s="2" t="s">
        <v>459</v>
      </c>
      <c r="I2568" s="2" t="n">
        <f aca="false">IF(F2568="Present",9,IF(F2568="Half Day",4,0))</f>
        <v>9</v>
      </c>
      <c r="J2568" s="2"/>
      <c r="K2568" s="2"/>
    </row>
    <row r="2569" customFormat="false" ht="15" hidden="false" customHeight="false" outlineLevel="0" collapsed="false">
      <c r="A2569" s="2" t="s">
        <v>213</v>
      </c>
      <c r="B2569" s="2" t="s">
        <v>214</v>
      </c>
      <c r="C2569" s="2" t="s">
        <v>28</v>
      </c>
      <c r="D2569" s="3" t="n">
        <v>46260</v>
      </c>
      <c r="E2569" s="2" t="str">
        <f aca="false">TEXT(D2569,"dddd")</f>
        <v>Wednesday</v>
      </c>
      <c r="F2569" s="2" t="s">
        <v>457</v>
      </c>
      <c r="G2569" s="2" t="s">
        <v>458</v>
      </c>
      <c r="H2569" s="2" t="s">
        <v>459</v>
      </c>
      <c r="I2569" s="2" t="n">
        <f aca="false">IF(F2569="Present",9,IF(F2569="Half Day",4,0))</f>
        <v>9</v>
      </c>
      <c r="J2569" s="2"/>
      <c r="K2569" s="2"/>
    </row>
    <row r="2570" customFormat="false" ht="15" hidden="false" customHeight="false" outlineLevel="0" collapsed="false">
      <c r="A2570" s="2" t="s">
        <v>213</v>
      </c>
      <c r="B2570" s="2" t="s">
        <v>214</v>
      </c>
      <c r="C2570" s="2" t="s">
        <v>28</v>
      </c>
      <c r="D2570" s="3" t="n">
        <v>46261</v>
      </c>
      <c r="E2570" s="2" t="str">
        <f aca="false">TEXT(D2570,"dddd")</f>
        <v>Thursday</v>
      </c>
      <c r="F2570" s="2" t="s">
        <v>457</v>
      </c>
      <c r="G2570" s="2" t="s">
        <v>458</v>
      </c>
      <c r="H2570" s="2" t="s">
        <v>459</v>
      </c>
      <c r="I2570" s="2" t="n">
        <f aca="false">IF(F2570="Present",9,IF(F2570="Half Day",4,0))</f>
        <v>9</v>
      </c>
      <c r="J2570" s="2"/>
      <c r="K2570" s="2"/>
    </row>
    <row r="2571" customFormat="false" ht="15" hidden="false" customHeight="false" outlineLevel="0" collapsed="false">
      <c r="A2571" s="2" t="s">
        <v>213</v>
      </c>
      <c r="B2571" s="2" t="s">
        <v>214</v>
      </c>
      <c r="C2571" s="2" t="s">
        <v>28</v>
      </c>
      <c r="D2571" s="3" t="n">
        <v>46262</v>
      </c>
      <c r="E2571" s="2" t="str">
        <f aca="false">TEXT(D2571,"dddd")</f>
        <v>Friday</v>
      </c>
      <c r="F2571" s="2" t="s">
        <v>457</v>
      </c>
      <c r="G2571" s="2" t="s">
        <v>458</v>
      </c>
      <c r="H2571" s="2" t="s">
        <v>459</v>
      </c>
      <c r="I2571" s="2" t="n">
        <f aca="false">IF(F2571="Present",9,IF(F2571="Half Day",4,0))</f>
        <v>9</v>
      </c>
      <c r="J2571" s="2"/>
      <c r="K2571" s="2"/>
    </row>
    <row r="2572" customFormat="false" ht="15" hidden="false" customHeight="false" outlineLevel="0" collapsed="false">
      <c r="A2572" s="2" t="s">
        <v>213</v>
      </c>
      <c r="B2572" s="2" t="s">
        <v>214</v>
      </c>
      <c r="C2572" s="2" t="s">
        <v>28</v>
      </c>
      <c r="D2572" s="3" t="n">
        <v>46263</v>
      </c>
      <c r="E2572" s="2" t="str">
        <f aca="false">TEXT(D2572,"dddd")</f>
        <v>Saturday</v>
      </c>
      <c r="F2572" s="2" t="s">
        <v>457</v>
      </c>
      <c r="G2572" s="2" t="s">
        <v>458</v>
      </c>
      <c r="H2572" s="2" t="s">
        <v>459</v>
      </c>
      <c r="I2572" s="2" t="n">
        <f aca="false">IF(F2572="Present",9,IF(F2572="Half Day",4,0))</f>
        <v>9</v>
      </c>
      <c r="J2572" s="2"/>
      <c r="K2572" s="2"/>
    </row>
    <row r="2573" customFormat="false" ht="15" hidden="false" customHeight="false" outlineLevel="0" collapsed="false">
      <c r="A2573" s="2" t="s">
        <v>213</v>
      </c>
      <c r="B2573" s="2" t="s">
        <v>214</v>
      </c>
      <c r="C2573" s="2" t="s">
        <v>28</v>
      </c>
      <c r="D2573" s="3" t="n">
        <v>46264</v>
      </c>
      <c r="E2573" s="2" t="str">
        <f aca="false">TEXT(D2573,"dddd")</f>
        <v>Sunday</v>
      </c>
      <c r="F2573" s="2" t="s">
        <v>460</v>
      </c>
      <c r="G2573" s="2"/>
      <c r="H2573" s="2"/>
      <c r="I2573" s="2" t="n">
        <f aca="false">IF(F2573="Present",9,IF(F2573="Half Day",4,0))</f>
        <v>0</v>
      </c>
      <c r="J2573" s="2"/>
      <c r="K2573" s="2" t="s">
        <v>460</v>
      </c>
    </row>
    <row r="2574" customFormat="false" ht="15" hidden="false" customHeight="false" outlineLevel="0" collapsed="false">
      <c r="A2574" s="2" t="s">
        <v>213</v>
      </c>
      <c r="B2574" s="2" t="s">
        <v>214</v>
      </c>
      <c r="C2574" s="2" t="s">
        <v>28</v>
      </c>
      <c r="D2574" s="3" t="n">
        <v>46265</v>
      </c>
      <c r="E2574" s="2" t="str">
        <f aca="false">TEXT(D2574,"dddd")</f>
        <v>Monday</v>
      </c>
      <c r="F2574" s="2" t="s">
        <v>457</v>
      </c>
      <c r="G2574" s="2" t="s">
        <v>458</v>
      </c>
      <c r="H2574" s="2" t="s">
        <v>459</v>
      </c>
      <c r="I2574" s="2" t="n">
        <f aca="false">IF(F2574="Present",9,IF(F2574="Half Day",4,0))</f>
        <v>9</v>
      </c>
      <c r="J2574" s="2"/>
      <c r="K2574" s="2"/>
    </row>
    <row r="2575" customFormat="false" ht="15" hidden="false" customHeight="false" outlineLevel="0" collapsed="false">
      <c r="A2575" s="2" t="s">
        <v>215</v>
      </c>
      <c r="B2575" s="2" t="s">
        <v>216</v>
      </c>
      <c r="C2575" s="2" t="s">
        <v>32</v>
      </c>
      <c r="D2575" s="3" t="n">
        <v>46235</v>
      </c>
      <c r="E2575" s="2" t="str">
        <f aca="false">TEXT(D2575,"dddd")</f>
        <v>Saturday</v>
      </c>
      <c r="F2575" s="2" t="s">
        <v>457</v>
      </c>
      <c r="G2575" s="2" t="s">
        <v>458</v>
      </c>
      <c r="H2575" s="2" t="s">
        <v>459</v>
      </c>
      <c r="I2575" s="2" t="n">
        <f aca="false">IF(F2575="Present",9,IF(F2575="Half Day",4,0))</f>
        <v>9</v>
      </c>
      <c r="J2575" s="2"/>
      <c r="K2575" s="2"/>
    </row>
    <row r="2576" customFormat="false" ht="15" hidden="false" customHeight="false" outlineLevel="0" collapsed="false">
      <c r="A2576" s="2" t="s">
        <v>215</v>
      </c>
      <c r="B2576" s="2" t="s">
        <v>216</v>
      </c>
      <c r="C2576" s="2" t="s">
        <v>32</v>
      </c>
      <c r="D2576" s="3" t="n">
        <v>46236</v>
      </c>
      <c r="E2576" s="2" t="str">
        <f aca="false">TEXT(D2576,"dddd")</f>
        <v>Sunday</v>
      </c>
      <c r="F2576" s="2" t="s">
        <v>460</v>
      </c>
      <c r="G2576" s="2"/>
      <c r="H2576" s="2"/>
      <c r="I2576" s="2" t="n">
        <f aca="false">IF(F2576="Present",9,IF(F2576="Half Day",4,0))</f>
        <v>0</v>
      </c>
      <c r="J2576" s="2"/>
      <c r="K2576" s="2" t="s">
        <v>460</v>
      </c>
    </row>
    <row r="2577" customFormat="false" ht="15" hidden="false" customHeight="false" outlineLevel="0" collapsed="false">
      <c r="A2577" s="2" t="s">
        <v>215</v>
      </c>
      <c r="B2577" s="2" t="s">
        <v>216</v>
      </c>
      <c r="C2577" s="2" t="s">
        <v>32</v>
      </c>
      <c r="D2577" s="3" t="n">
        <v>46237</v>
      </c>
      <c r="E2577" s="2" t="str">
        <f aca="false">TEXT(D2577,"dddd")</f>
        <v>Monday</v>
      </c>
      <c r="F2577" s="2" t="s">
        <v>457</v>
      </c>
      <c r="G2577" s="2" t="s">
        <v>458</v>
      </c>
      <c r="H2577" s="2" t="s">
        <v>459</v>
      </c>
      <c r="I2577" s="2" t="n">
        <f aca="false">IF(F2577="Present",9,IF(F2577="Half Day",4,0))</f>
        <v>9</v>
      </c>
      <c r="J2577" s="2"/>
      <c r="K2577" s="2"/>
    </row>
    <row r="2578" customFormat="false" ht="15" hidden="false" customHeight="false" outlineLevel="0" collapsed="false">
      <c r="A2578" s="2" t="s">
        <v>215</v>
      </c>
      <c r="B2578" s="2" t="s">
        <v>216</v>
      </c>
      <c r="C2578" s="2" t="s">
        <v>32</v>
      </c>
      <c r="D2578" s="3" t="n">
        <v>46238</v>
      </c>
      <c r="E2578" s="2" t="str">
        <f aca="false">TEXT(D2578,"dddd")</f>
        <v>Tuesday</v>
      </c>
      <c r="F2578" s="2" t="s">
        <v>457</v>
      </c>
      <c r="G2578" s="2" t="s">
        <v>458</v>
      </c>
      <c r="H2578" s="2" t="s">
        <v>459</v>
      </c>
      <c r="I2578" s="2" t="n">
        <f aca="false">IF(F2578="Present",9,IF(F2578="Half Day",4,0))</f>
        <v>9</v>
      </c>
      <c r="J2578" s="2"/>
      <c r="K2578" s="2"/>
    </row>
    <row r="2579" customFormat="false" ht="15" hidden="false" customHeight="false" outlineLevel="0" collapsed="false">
      <c r="A2579" s="2" t="s">
        <v>215</v>
      </c>
      <c r="B2579" s="2" t="s">
        <v>216</v>
      </c>
      <c r="C2579" s="2" t="s">
        <v>32</v>
      </c>
      <c r="D2579" s="3" t="n">
        <v>46239</v>
      </c>
      <c r="E2579" s="2" t="str">
        <f aca="false">TEXT(D2579,"dddd")</f>
        <v>Wednesday</v>
      </c>
      <c r="F2579" s="2" t="s">
        <v>457</v>
      </c>
      <c r="G2579" s="2" t="s">
        <v>458</v>
      </c>
      <c r="H2579" s="2" t="s">
        <v>459</v>
      </c>
      <c r="I2579" s="2" t="n">
        <f aca="false">IF(F2579="Present",9,IF(F2579="Half Day",4,0))</f>
        <v>9</v>
      </c>
      <c r="J2579" s="2"/>
      <c r="K2579" s="2"/>
    </row>
    <row r="2580" customFormat="false" ht="15" hidden="false" customHeight="false" outlineLevel="0" collapsed="false">
      <c r="A2580" s="2" t="s">
        <v>215</v>
      </c>
      <c r="B2580" s="2" t="s">
        <v>216</v>
      </c>
      <c r="C2580" s="2" t="s">
        <v>32</v>
      </c>
      <c r="D2580" s="3" t="n">
        <v>46240</v>
      </c>
      <c r="E2580" s="2" t="str">
        <f aca="false">TEXT(D2580,"dddd")</f>
        <v>Thursday</v>
      </c>
      <c r="F2580" s="2" t="s">
        <v>457</v>
      </c>
      <c r="G2580" s="2" t="s">
        <v>458</v>
      </c>
      <c r="H2580" s="2" t="s">
        <v>459</v>
      </c>
      <c r="I2580" s="2" t="n">
        <f aca="false">IF(F2580="Present",9,IF(F2580="Half Day",4,0))</f>
        <v>9</v>
      </c>
      <c r="J2580" s="2"/>
      <c r="K2580" s="2"/>
    </row>
    <row r="2581" customFormat="false" ht="15" hidden="false" customHeight="false" outlineLevel="0" collapsed="false">
      <c r="A2581" s="2" t="s">
        <v>215</v>
      </c>
      <c r="B2581" s="2" t="s">
        <v>216</v>
      </c>
      <c r="C2581" s="2" t="s">
        <v>32</v>
      </c>
      <c r="D2581" s="3" t="n">
        <v>46241</v>
      </c>
      <c r="E2581" s="2" t="str">
        <f aca="false">TEXT(D2581,"dddd")</f>
        <v>Friday</v>
      </c>
      <c r="F2581" s="2" t="s">
        <v>457</v>
      </c>
      <c r="G2581" s="2" t="s">
        <v>458</v>
      </c>
      <c r="H2581" s="2" t="s">
        <v>459</v>
      </c>
      <c r="I2581" s="2" t="n">
        <f aca="false">IF(F2581="Present",9,IF(F2581="Half Day",4,0))</f>
        <v>9</v>
      </c>
      <c r="J2581" s="2"/>
      <c r="K2581" s="2"/>
    </row>
    <row r="2582" customFormat="false" ht="15" hidden="false" customHeight="false" outlineLevel="0" collapsed="false">
      <c r="A2582" s="2" t="s">
        <v>215</v>
      </c>
      <c r="B2582" s="2" t="s">
        <v>216</v>
      </c>
      <c r="C2582" s="2" t="s">
        <v>32</v>
      </c>
      <c r="D2582" s="3" t="n">
        <v>46242</v>
      </c>
      <c r="E2582" s="2" t="str">
        <f aca="false">TEXT(D2582,"dddd")</f>
        <v>Saturday</v>
      </c>
      <c r="F2582" s="2" t="s">
        <v>457</v>
      </c>
      <c r="G2582" s="2" t="s">
        <v>458</v>
      </c>
      <c r="H2582" s="2" t="s">
        <v>459</v>
      </c>
      <c r="I2582" s="2" t="n">
        <f aca="false">IF(F2582="Present",9,IF(F2582="Half Day",4,0))</f>
        <v>9</v>
      </c>
      <c r="J2582" s="2"/>
      <c r="K2582" s="2"/>
    </row>
    <row r="2583" customFormat="false" ht="15" hidden="false" customHeight="false" outlineLevel="0" collapsed="false">
      <c r="A2583" s="2" t="s">
        <v>215</v>
      </c>
      <c r="B2583" s="2" t="s">
        <v>216</v>
      </c>
      <c r="C2583" s="2" t="s">
        <v>32</v>
      </c>
      <c r="D2583" s="3" t="n">
        <v>46243</v>
      </c>
      <c r="E2583" s="2" t="str">
        <f aca="false">TEXT(D2583,"dddd")</f>
        <v>Sunday</v>
      </c>
      <c r="F2583" s="2" t="s">
        <v>460</v>
      </c>
      <c r="G2583" s="2"/>
      <c r="H2583" s="2"/>
      <c r="I2583" s="2" t="n">
        <f aca="false">IF(F2583="Present",9,IF(F2583="Half Day",4,0))</f>
        <v>0</v>
      </c>
      <c r="J2583" s="2"/>
      <c r="K2583" s="2" t="s">
        <v>460</v>
      </c>
    </row>
    <row r="2584" customFormat="false" ht="15" hidden="false" customHeight="false" outlineLevel="0" collapsed="false">
      <c r="A2584" s="2" t="s">
        <v>215</v>
      </c>
      <c r="B2584" s="2" t="s">
        <v>216</v>
      </c>
      <c r="C2584" s="2" t="s">
        <v>32</v>
      </c>
      <c r="D2584" s="3" t="n">
        <v>46244</v>
      </c>
      <c r="E2584" s="2" t="str">
        <f aca="false">TEXT(D2584,"dddd")</f>
        <v>Monday</v>
      </c>
      <c r="F2584" s="2" t="s">
        <v>457</v>
      </c>
      <c r="G2584" s="2" t="s">
        <v>458</v>
      </c>
      <c r="H2584" s="2" t="s">
        <v>459</v>
      </c>
      <c r="I2584" s="2" t="n">
        <f aca="false">IF(F2584="Present",9,IF(F2584="Half Day",4,0))</f>
        <v>9</v>
      </c>
      <c r="J2584" s="2"/>
      <c r="K2584" s="2"/>
    </row>
    <row r="2585" customFormat="false" ht="15" hidden="false" customHeight="false" outlineLevel="0" collapsed="false">
      <c r="A2585" s="2" t="s">
        <v>215</v>
      </c>
      <c r="B2585" s="2" t="s">
        <v>216</v>
      </c>
      <c r="C2585" s="2" t="s">
        <v>32</v>
      </c>
      <c r="D2585" s="3" t="n">
        <v>46245</v>
      </c>
      <c r="E2585" s="2" t="str">
        <f aca="false">TEXT(D2585,"dddd")</f>
        <v>Tuesday</v>
      </c>
      <c r="F2585" s="2" t="s">
        <v>457</v>
      </c>
      <c r="G2585" s="2" t="s">
        <v>458</v>
      </c>
      <c r="H2585" s="2" t="s">
        <v>459</v>
      </c>
      <c r="I2585" s="2" t="n">
        <f aca="false">IF(F2585="Present",9,IF(F2585="Half Day",4,0))</f>
        <v>9</v>
      </c>
      <c r="J2585" s="2"/>
      <c r="K2585" s="2"/>
    </row>
    <row r="2586" customFormat="false" ht="15" hidden="false" customHeight="false" outlineLevel="0" collapsed="false">
      <c r="A2586" s="2" t="s">
        <v>215</v>
      </c>
      <c r="B2586" s="2" t="s">
        <v>216</v>
      </c>
      <c r="C2586" s="2" t="s">
        <v>32</v>
      </c>
      <c r="D2586" s="3" t="n">
        <v>46246</v>
      </c>
      <c r="E2586" s="2" t="str">
        <f aca="false">TEXT(D2586,"dddd")</f>
        <v>Wednesday</v>
      </c>
      <c r="F2586" s="2" t="s">
        <v>457</v>
      </c>
      <c r="G2586" s="2" t="s">
        <v>458</v>
      </c>
      <c r="H2586" s="2" t="s">
        <v>459</v>
      </c>
      <c r="I2586" s="2" t="n">
        <f aca="false">IF(F2586="Present",9,IF(F2586="Half Day",4,0))</f>
        <v>9</v>
      </c>
      <c r="J2586" s="2"/>
      <c r="K2586" s="2"/>
    </row>
    <row r="2587" customFormat="false" ht="15" hidden="false" customHeight="false" outlineLevel="0" collapsed="false">
      <c r="A2587" s="2" t="s">
        <v>215</v>
      </c>
      <c r="B2587" s="2" t="s">
        <v>216</v>
      </c>
      <c r="C2587" s="2" t="s">
        <v>32</v>
      </c>
      <c r="D2587" s="3" t="n">
        <v>46247</v>
      </c>
      <c r="E2587" s="2" t="str">
        <f aca="false">TEXT(D2587,"dddd")</f>
        <v>Thursday</v>
      </c>
      <c r="F2587" s="2" t="s">
        <v>457</v>
      </c>
      <c r="G2587" s="2" t="s">
        <v>458</v>
      </c>
      <c r="H2587" s="2" t="s">
        <v>459</v>
      </c>
      <c r="I2587" s="2" t="n">
        <f aca="false">IF(F2587="Present",9,IF(F2587="Half Day",4,0))</f>
        <v>9</v>
      </c>
      <c r="J2587" s="2"/>
      <c r="K2587" s="2"/>
    </row>
    <row r="2588" customFormat="false" ht="15" hidden="false" customHeight="false" outlineLevel="0" collapsed="false">
      <c r="A2588" s="2" t="s">
        <v>215</v>
      </c>
      <c r="B2588" s="2" t="s">
        <v>216</v>
      </c>
      <c r="C2588" s="2" t="s">
        <v>32</v>
      </c>
      <c r="D2588" s="3" t="n">
        <v>46248</v>
      </c>
      <c r="E2588" s="2" t="str">
        <f aca="false">TEXT(D2588,"dddd")</f>
        <v>Friday</v>
      </c>
      <c r="F2588" s="2" t="s">
        <v>457</v>
      </c>
      <c r="G2588" s="2" t="s">
        <v>458</v>
      </c>
      <c r="H2588" s="2" t="s">
        <v>459</v>
      </c>
      <c r="I2588" s="2" t="n">
        <f aca="false">IF(F2588="Present",9,IF(F2588="Half Day",4,0))</f>
        <v>9</v>
      </c>
      <c r="J2588" s="2"/>
      <c r="K2588" s="2"/>
    </row>
    <row r="2589" customFormat="false" ht="15" hidden="false" customHeight="false" outlineLevel="0" collapsed="false">
      <c r="A2589" s="2" t="s">
        <v>215</v>
      </c>
      <c r="B2589" s="2" t="s">
        <v>216</v>
      </c>
      <c r="C2589" s="2" t="s">
        <v>32</v>
      </c>
      <c r="D2589" s="3" t="n">
        <v>46249</v>
      </c>
      <c r="E2589" s="2" t="str">
        <f aca="false">TEXT(D2589,"dddd")</f>
        <v>Saturday</v>
      </c>
      <c r="F2589" s="2" t="s">
        <v>457</v>
      </c>
      <c r="G2589" s="2" t="s">
        <v>458</v>
      </c>
      <c r="H2589" s="2" t="s">
        <v>459</v>
      </c>
      <c r="I2589" s="2" t="n">
        <f aca="false">IF(F2589="Present",9,IF(F2589="Half Day",4,0))</f>
        <v>9</v>
      </c>
      <c r="J2589" s="2"/>
      <c r="K2589" s="2"/>
    </row>
    <row r="2590" customFormat="false" ht="15" hidden="false" customHeight="false" outlineLevel="0" collapsed="false">
      <c r="A2590" s="2" t="s">
        <v>215</v>
      </c>
      <c r="B2590" s="2" t="s">
        <v>216</v>
      </c>
      <c r="C2590" s="2" t="s">
        <v>32</v>
      </c>
      <c r="D2590" s="3" t="n">
        <v>46250</v>
      </c>
      <c r="E2590" s="2" t="str">
        <f aca="false">TEXT(D2590,"dddd")</f>
        <v>Sunday</v>
      </c>
      <c r="F2590" s="2" t="s">
        <v>460</v>
      </c>
      <c r="G2590" s="2"/>
      <c r="H2590" s="2"/>
      <c r="I2590" s="2" t="n">
        <f aca="false">IF(F2590="Present",9,IF(F2590="Half Day",4,0))</f>
        <v>0</v>
      </c>
      <c r="J2590" s="2"/>
      <c r="K2590" s="2" t="s">
        <v>460</v>
      </c>
    </row>
    <row r="2591" customFormat="false" ht="15" hidden="false" customHeight="false" outlineLevel="0" collapsed="false">
      <c r="A2591" s="2" t="s">
        <v>215</v>
      </c>
      <c r="B2591" s="2" t="s">
        <v>216</v>
      </c>
      <c r="C2591" s="2" t="s">
        <v>32</v>
      </c>
      <c r="D2591" s="3" t="n">
        <v>46251</v>
      </c>
      <c r="E2591" s="2" t="str">
        <f aca="false">TEXT(D2591,"dddd")</f>
        <v>Monday</v>
      </c>
      <c r="F2591" s="2" t="s">
        <v>457</v>
      </c>
      <c r="G2591" s="2" t="s">
        <v>458</v>
      </c>
      <c r="H2591" s="2" t="s">
        <v>459</v>
      </c>
      <c r="I2591" s="2" t="n">
        <f aca="false">IF(F2591="Present",9,IF(F2591="Half Day",4,0))</f>
        <v>9</v>
      </c>
      <c r="J2591" s="2"/>
      <c r="K2591" s="2"/>
    </row>
    <row r="2592" customFormat="false" ht="15" hidden="false" customHeight="false" outlineLevel="0" collapsed="false">
      <c r="A2592" s="2" t="s">
        <v>215</v>
      </c>
      <c r="B2592" s="2" t="s">
        <v>216</v>
      </c>
      <c r="C2592" s="2" t="s">
        <v>32</v>
      </c>
      <c r="D2592" s="3" t="n">
        <v>46252</v>
      </c>
      <c r="E2592" s="2" t="str">
        <f aca="false">TEXT(D2592,"dddd")</f>
        <v>Tuesday</v>
      </c>
      <c r="F2592" s="2" t="s">
        <v>457</v>
      </c>
      <c r="G2592" s="2" t="s">
        <v>458</v>
      </c>
      <c r="H2592" s="2" t="s">
        <v>459</v>
      </c>
      <c r="I2592" s="2" t="n">
        <f aca="false">IF(F2592="Present",9,IF(F2592="Half Day",4,0))</f>
        <v>9</v>
      </c>
      <c r="J2592" s="2"/>
      <c r="K2592" s="2"/>
    </row>
    <row r="2593" customFormat="false" ht="15" hidden="false" customHeight="false" outlineLevel="0" collapsed="false">
      <c r="A2593" s="2" t="s">
        <v>215</v>
      </c>
      <c r="B2593" s="2" t="s">
        <v>216</v>
      </c>
      <c r="C2593" s="2" t="s">
        <v>32</v>
      </c>
      <c r="D2593" s="3" t="n">
        <v>46253</v>
      </c>
      <c r="E2593" s="2" t="str">
        <f aca="false">TEXT(D2593,"dddd")</f>
        <v>Wednesday</v>
      </c>
      <c r="F2593" s="2" t="s">
        <v>457</v>
      </c>
      <c r="G2593" s="2" t="s">
        <v>458</v>
      </c>
      <c r="H2593" s="2" t="s">
        <v>459</v>
      </c>
      <c r="I2593" s="2" t="n">
        <f aca="false">IF(F2593="Present",9,IF(F2593="Half Day",4,0))</f>
        <v>9</v>
      </c>
      <c r="J2593" s="2"/>
      <c r="K2593" s="2"/>
    </row>
    <row r="2594" customFormat="false" ht="15" hidden="false" customHeight="false" outlineLevel="0" collapsed="false">
      <c r="A2594" s="2" t="s">
        <v>215</v>
      </c>
      <c r="B2594" s="2" t="s">
        <v>216</v>
      </c>
      <c r="C2594" s="2" t="s">
        <v>32</v>
      </c>
      <c r="D2594" s="3" t="n">
        <v>46254</v>
      </c>
      <c r="E2594" s="2" t="str">
        <f aca="false">TEXT(D2594,"dddd")</f>
        <v>Thursday</v>
      </c>
      <c r="F2594" s="2" t="s">
        <v>457</v>
      </c>
      <c r="G2594" s="2" t="s">
        <v>458</v>
      </c>
      <c r="H2594" s="2" t="s">
        <v>459</v>
      </c>
      <c r="I2594" s="2" t="n">
        <f aca="false">IF(F2594="Present",9,IF(F2594="Half Day",4,0))</f>
        <v>9</v>
      </c>
      <c r="J2594" s="2"/>
      <c r="K2594" s="2"/>
    </row>
    <row r="2595" customFormat="false" ht="15" hidden="false" customHeight="false" outlineLevel="0" collapsed="false">
      <c r="A2595" s="2" t="s">
        <v>215</v>
      </c>
      <c r="B2595" s="2" t="s">
        <v>216</v>
      </c>
      <c r="C2595" s="2" t="s">
        <v>32</v>
      </c>
      <c r="D2595" s="3" t="n">
        <v>46255</v>
      </c>
      <c r="E2595" s="2" t="str">
        <f aca="false">TEXT(D2595,"dddd")</f>
        <v>Friday</v>
      </c>
      <c r="F2595" s="2" t="s">
        <v>457</v>
      </c>
      <c r="G2595" s="2" t="s">
        <v>458</v>
      </c>
      <c r="H2595" s="2" t="s">
        <v>459</v>
      </c>
      <c r="I2595" s="2" t="n">
        <f aca="false">IF(F2595="Present",9,IF(F2595="Half Day",4,0))</f>
        <v>9</v>
      </c>
      <c r="J2595" s="2"/>
      <c r="K2595" s="2"/>
    </row>
    <row r="2596" customFormat="false" ht="15" hidden="false" customHeight="false" outlineLevel="0" collapsed="false">
      <c r="A2596" s="2" t="s">
        <v>215</v>
      </c>
      <c r="B2596" s="2" t="s">
        <v>216</v>
      </c>
      <c r="C2596" s="2" t="s">
        <v>32</v>
      </c>
      <c r="D2596" s="3" t="n">
        <v>46256</v>
      </c>
      <c r="E2596" s="2" t="str">
        <f aca="false">TEXT(D2596,"dddd")</f>
        <v>Saturday</v>
      </c>
      <c r="F2596" s="2" t="s">
        <v>457</v>
      </c>
      <c r="G2596" s="2" t="s">
        <v>458</v>
      </c>
      <c r="H2596" s="2" t="s">
        <v>459</v>
      </c>
      <c r="I2596" s="2" t="n">
        <f aca="false">IF(F2596="Present",9,IF(F2596="Half Day",4,0))</f>
        <v>9</v>
      </c>
      <c r="J2596" s="2"/>
      <c r="K2596" s="2"/>
    </row>
    <row r="2597" customFormat="false" ht="15" hidden="false" customHeight="false" outlineLevel="0" collapsed="false">
      <c r="A2597" s="2" t="s">
        <v>215</v>
      </c>
      <c r="B2597" s="2" t="s">
        <v>216</v>
      </c>
      <c r="C2597" s="2" t="s">
        <v>32</v>
      </c>
      <c r="D2597" s="3" t="n">
        <v>46257</v>
      </c>
      <c r="E2597" s="2" t="str">
        <f aca="false">TEXT(D2597,"dddd")</f>
        <v>Sunday</v>
      </c>
      <c r="F2597" s="2" t="s">
        <v>460</v>
      </c>
      <c r="G2597" s="2"/>
      <c r="H2597" s="2"/>
      <c r="I2597" s="2" t="n">
        <f aca="false">IF(F2597="Present",9,IF(F2597="Half Day",4,0))</f>
        <v>0</v>
      </c>
      <c r="J2597" s="2"/>
      <c r="K2597" s="2" t="s">
        <v>460</v>
      </c>
    </row>
    <row r="2598" customFormat="false" ht="15" hidden="false" customHeight="false" outlineLevel="0" collapsed="false">
      <c r="A2598" s="2" t="s">
        <v>215</v>
      </c>
      <c r="B2598" s="2" t="s">
        <v>216</v>
      </c>
      <c r="C2598" s="2" t="s">
        <v>32</v>
      </c>
      <c r="D2598" s="3" t="n">
        <v>46258</v>
      </c>
      <c r="E2598" s="2" t="str">
        <f aca="false">TEXT(D2598,"dddd")</f>
        <v>Monday</v>
      </c>
      <c r="F2598" s="2" t="s">
        <v>457</v>
      </c>
      <c r="G2598" s="2" t="s">
        <v>458</v>
      </c>
      <c r="H2598" s="2" t="s">
        <v>459</v>
      </c>
      <c r="I2598" s="2" t="n">
        <f aca="false">IF(F2598="Present",9,IF(F2598="Half Day",4,0))</f>
        <v>9</v>
      </c>
      <c r="J2598" s="2"/>
      <c r="K2598" s="2"/>
    </row>
    <row r="2599" customFormat="false" ht="15" hidden="false" customHeight="false" outlineLevel="0" collapsed="false">
      <c r="A2599" s="2" t="s">
        <v>215</v>
      </c>
      <c r="B2599" s="2" t="s">
        <v>216</v>
      </c>
      <c r="C2599" s="2" t="s">
        <v>32</v>
      </c>
      <c r="D2599" s="3" t="n">
        <v>46259</v>
      </c>
      <c r="E2599" s="2" t="str">
        <f aca="false">TEXT(D2599,"dddd")</f>
        <v>Tuesday</v>
      </c>
      <c r="F2599" s="2" t="s">
        <v>457</v>
      </c>
      <c r="G2599" s="2" t="s">
        <v>458</v>
      </c>
      <c r="H2599" s="2" t="s">
        <v>459</v>
      </c>
      <c r="I2599" s="2" t="n">
        <f aca="false">IF(F2599="Present",9,IF(F2599="Half Day",4,0))</f>
        <v>9</v>
      </c>
      <c r="J2599" s="2"/>
      <c r="K2599" s="2"/>
    </row>
    <row r="2600" customFormat="false" ht="15" hidden="false" customHeight="false" outlineLevel="0" collapsed="false">
      <c r="A2600" s="2" t="s">
        <v>215</v>
      </c>
      <c r="B2600" s="2" t="s">
        <v>216</v>
      </c>
      <c r="C2600" s="2" t="s">
        <v>32</v>
      </c>
      <c r="D2600" s="3" t="n">
        <v>46260</v>
      </c>
      <c r="E2600" s="2" t="str">
        <f aca="false">TEXT(D2600,"dddd")</f>
        <v>Wednesday</v>
      </c>
      <c r="F2600" s="2" t="s">
        <v>457</v>
      </c>
      <c r="G2600" s="2" t="s">
        <v>458</v>
      </c>
      <c r="H2600" s="2" t="s">
        <v>459</v>
      </c>
      <c r="I2600" s="2" t="n">
        <f aca="false">IF(F2600="Present",9,IF(F2600="Half Day",4,0))</f>
        <v>9</v>
      </c>
      <c r="J2600" s="2"/>
      <c r="K2600" s="2"/>
    </row>
    <row r="2601" customFormat="false" ht="15" hidden="false" customHeight="false" outlineLevel="0" collapsed="false">
      <c r="A2601" s="2" t="s">
        <v>215</v>
      </c>
      <c r="B2601" s="2" t="s">
        <v>216</v>
      </c>
      <c r="C2601" s="2" t="s">
        <v>32</v>
      </c>
      <c r="D2601" s="3" t="n">
        <v>46261</v>
      </c>
      <c r="E2601" s="2" t="str">
        <f aca="false">TEXT(D2601,"dddd")</f>
        <v>Thursday</v>
      </c>
      <c r="F2601" s="2" t="s">
        <v>457</v>
      </c>
      <c r="G2601" s="2" t="s">
        <v>458</v>
      </c>
      <c r="H2601" s="2" t="s">
        <v>459</v>
      </c>
      <c r="I2601" s="2" t="n">
        <f aca="false">IF(F2601="Present",9,IF(F2601="Half Day",4,0))</f>
        <v>9</v>
      </c>
      <c r="J2601" s="2"/>
      <c r="K2601" s="2"/>
    </row>
    <row r="2602" customFormat="false" ht="15" hidden="false" customHeight="false" outlineLevel="0" collapsed="false">
      <c r="A2602" s="2" t="s">
        <v>215</v>
      </c>
      <c r="B2602" s="2" t="s">
        <v>216</v>
      </c>
      <c r="C2602" s="2" t="s">
        <v>32</v>
      </c>
      <c r="D2602" s="3" t="n">
        <v>46262</v>
      </c>
      <c r="E2602" s="2" t="str">
        <f aca="false">TEXT(D2602,"dddd")</f>
        <v>Friday</v>
      </c>
      <c r="F2602" s="2" t="s">
        <v>457</v>
      </c>
      <c r="G2602" s="2" t="s">
        <v>458</v>
      </c>
      <c r="H2602" s="2" t="s">
        <v>459</v>
      </c>
      <c r="I2602" s="2" t="n">
        <f aca="false">IF(F2602="Present",9,IF(F2602="Half Day",4,0))</f>
        <v>9</v>
      </c>
      <c r="J2602" s="2"/>
      <c r="K2602" s="2"/>
    </row>
    <row r="2603" customFormat="false" ht="15" hidden="false" customHeight="false" outlineLevel="0" collapsed="false">
      <c r="A2603" s="2" t="s">
        <v>215</v>
      </c>
      <c r="B2603" s="2" t="s">
        <v>216</v>
      </c>
      <c r="C2603" s="2" t="s">
        <v>32</v>
      </c>
      <c r="D2603" s="3" t="n">
        <v>46263</v>
      </c>
      <c r="E2603" s="2" t="str">
        <f aca="false">TEXT(D2603,"dddd")</f>
        <v>Saturday</v>
      </c>
      <c r="F2603" s="2" t="s">
        <v>457</v>
      </c>
      <c r="G2603" s="2" t="s">
        <v>458</v>
      </c>
      <c r="H2603" s="2" t="s">
        <v>459</v>
      </c>
      <c r="I2603" s="2" t="n">
        <f aca="false">IF(F2603="Present",9,IF(F2603="Half Day",4,0))</f>
        <v>9</v>
      </c>
      <c r="J2603" s="2"/>
      <c r="K2603" s="2"/>
    </row>
    <row r="2604" customFormat="false" ht="15" hidden="false" customHeight="false" outlineLevel="0" collapsed="false">
      <c r="A2604" s="2" t="s">
        <v>215</v>
      </c>
      <c r="B2604" s="2" t="s">
        <v>216</v>
      </c>
      <c r="C2604" s="2" t="s">
        <v>32</v>
      </c>
      <c r="D2604" s="3" t="n">
        <v>46264</v>
      </c>
      <c r="E2604" s="2" t="str">
        <f aca="false">TEXT(D2604,"dddd")</f>
        <v>Sunday</v>
      </c>
      <c r="F2604" s="2" t="s">
        <v>460</v>
      </c>
      <c r="G2604" s="2"/>
      <c r="H2604" s="2"/>
      <c r="I2604" s="2" t="n">
        <f aca="false">IF(F2604="Present",9,IF(F2604="Half Day",4,0))</f>
        <v>0</v>
      </c>
      <c r="J2604" s="2"/>
      <c r="K2604" s="2" t="s">
        <v>460</v>
      </c>
    </row>
    <row r="2605" customFormat="false" ht="15" hidden="false" customHeight="false" outlineLevel="0" collapsed="false">
      <c r="A2605" s="2" t="s">
        <v>215</v>
      </c>
      <c r="B2605" s="2" t="s">
        <v>216</v>
      </c>
      <c r="C2605" s="2" t="s">
        <v>32</v>
      </c>
      <c r="D2605" s="3" t="n">
        <v>46265</v>
      </c>
      <c r="E2605" s="2" t="str">
        <f aca="false">TEXT(D2605,"dddd")</f>
        <v>Monday</v>
      </c>
      <c r="F2605" s="2" t="s">
        <v>457</v>
      </c>
      <c r="G2605" s="2" t="s">
        <v>458</v>
      </c>
      <c r="H2605" s="2" t="s">
        <v>459</v>
      </c>
      <c r="I2605" s="2" t="n">
        <f aca="false">IF(F2605="Present",9,IF(F2605="Half Day",4,0))</f>
        <v>9</v>
      </c>
      <c r="J2605" s="2"/>
      <c r="K2605" s="2"/>
    </row>
    <row r="2606" customFormat="false" ht="15" hidden="false" customHeight="false" outlineLevel="0" collapsed="false">
      <c r="A2606" s="2" t="s">
        <v>217</v>
      </c>
      <c r="B2606" s="2" t="s">
        <v>218</v>
      </c>
      <c r="C2606" s="2" t="s">
        <v>36</v>
      </c>
      <c r="D2606" s="3" t="n">
        <v>46235</v>
      </c>
      <c r="E2606" s="2" t="str">
        <f aca="false">TEXT(D2606,"dddd")</f>
        <v>Saturday</v>
      </c>
      <c r="F2606" s="2" t="s">
        <v>461</v>
      </c>
      <c r="G2606" s="2"/>
      <c r="H2606" s="2"/>
      <c r="I2606" s="2" t="n">
        <f aca="false">IF(F2606="Present",9,IF(F2606="Half Day",4,0))</f>
        <v>0</v>
      </c>
      <c r="J2606" s="2"/>
      <c r="K2606" s="2" t="s">
        <v>462</v>
      </c>
    </row>
    <row r="2607" customFormat="false" ht="15" hidden="false" customHeight="false" outlineLevel="0" collapsed="false">
      <c r="A2607" s="2" t="s">
        <v>217</v>
      </c>
      <c r="B2607" s="2" t="s">
        <v>218</v>
      </c>
      <c r="C2607" s="2" t="s">
        <v>36</v>
      </c>
      <c r="D2607" s="3" t="n">
        <v>46236</v>
      </c>
      <c r="E2607" s="2" t="str">
        <f aca="false">TEXT(D2607,"dddd")</f>
        <v>Sunday</v>
      </c>
      <c r="F2607" s="2" t="s">
        <v>460</v>
      </c>
      <c r="G2607" s="2"/>
      <c r="H2607" s="2"/>
      <c r="I2607" s="2" t="n">
        <f aca="false">IF(F2607="Present",9,IF(F2607="Half Day",4,0))</f>
        <v>0</v>
      </c>
      <c r="J2607" s="2"/>
      <c r="K2607" s="2" t="s">
        <v>460</v>
      </c>
    </row>
    <row r="2608" customFormat="false" ht="15" hidden="false" customHeight="false" outlineLevel="0" collapsed="false">
      <c r="A2608" s="2" t="s">
        <v>217</v>
      </c>
      <c r="B2608" s="2" t="s">
        <v>218</v>
      </c>
      <c r="C2608" s="2" t="s">
        <v>36</v>
      </c>
      <c r="D2608" s="3" t="n">
        <v>46237</v>
      </c>
      <c r="E2608" s="2" t="str">
        <f aca="false">TEXT(D2608,"dddd")</f>
        <v>Monday</v>
      </c>
      <c r="F2608" s="2" t="s">
        <v>457</v>
      </c>
      <c r="G2608" s="2" t="s">
        <v>458</v>
      </c>
      <c r="H2608" s="2" t="s">
        <v>459</v>
      </c>
      <c r="I2608" s="2" t="n">
        <f aca="false">IF(F2608="Present",9,IF(F2608="Half Day",4,0))</f>
        <v>9</v>
      </c>
      <c r="J2608" s="2"/>
      <c r="K2608" s="2"/>
    </row>
    <row r="2609" customFormat="false" ht="15" hidden="false" customHeight="false" outlineLevel="0" collapsed="false">
      <c r="A2609" s="2" t="s">
        <v>217</v>
      </c>
      <c r="B2609" s="2" t="s">
        <v>218</v>
      </c>
      <c r="C2609" s="2" t="s">
        <v>36</v>
      </c>
      <c r="D2609" s="3" t="n">
        <v>46238</v>
      </c>
      <c r="E2609" s="2" t="str">
        <f aca="false">TEXT(D2609,"dddd")</f>
        <v>Tuesday</v>
      </c>
      <c r="F2609" s="2" t="s">
        <v>461</v>
      </c>
      <c r="G2609" s="2"/>
      <c r="H2609" s="2"/>
      <c r="I2609" s="2" t="n">
        <f aca="false">IF(F2609="Present",9,IF(F2609="Half Day",4,0))</f>
        <v>0</v>
      </c>
      <c r="J2609" s="2"/>
      <c r="K2609" s="2" t="s">
        <v>462</v>
      </c>
    </row>
    <row r="2610" customFormat="false" ht="15" hidden="false" customHeight="false" outlineLevel="0" collapsed="false">
      <c r="A2610" s="2" t="s">
        <v>217</v>
      </c>
      <c r="B2610" s="2" t="s">
        <v>218</v>
      </c>
      <c r="C2610" s="2" t="s">
        <v>36</v>
      </c>
      <c r="D2610" s="3" t="n">
        <v>46239</v>
      </c>
      <c r="E2610" s="2" t="str">
        <f aca="false">TEXT(D2610,"dddd")</f>
        <v>Wednesday</v>
      </c>
      <c r="F2610" s="2" t="s">
        <v>457</v>
      </c>
      <c r="G2610" s="2" t="s">
        <v>458</v>
      </c>
      <c r="H2610" s="2" t="s">
        <v>459</v>
      </c>
      <c r="I2610" s="2" t="n">
        <f aca="false">IF(F2610="Present",9,IF(F2610="Half Day",4,0))</f>
        <v>9</v>
      </c>
      <c r="J2610" s="2"/>
      <c r="K2610" s="2"/>
    </row>
    <row r="2611" customFormat="false" ht="15" hidden="false" customHeight="false" outlineLevel="0" collapsed="false">
      <c r="A2611" s="2" t="s">
        <v>217</v>
      </c>
      <c r="B2611" s="2" t="s">
        <v>218</v>
      </c>
      <c r="C2611" s="2" t="s">
        <v>36</v>
      </c>
      <c r="D2611" s="3" t="n">
        <v>46240</v>
      </c>
      <c r="E2611" s="2" t="str">
        <f aca="false">TEXT(D2611,"dddd")</f>
        <v>Thursday</v>
      </c>
      <c r="F2611" s="2" t="s">
        <v>457</v>
      </c>
      <c r="G2611" s="2" t="s">
        <v>458</v>
      </c>
      <c r="H2611" s="2" t="s">
        <v>459</v>
      </c>
      <c r="I2611" s="2" t="n">
        <f aca="false">IF(F2611="Present",9,IF(F2611="Half Day",4,0))</f>
        <v>9</v>
      </c>
      <c r="J2611" s="2"/>
      <c r="K2611" s="2"/>
    </row>
    <row r="2612" customFormat="false" ht="15" hidden="false" customHeight="false" outlineLevel="0" collapsed="false">
      <c r="A2612" s="2" t="s">
        <v>217</v>
      </c>
      <c r="B2612" s="2" t="s">
        <v>218</v>
      </c>
      <c r="C2612" s="2" t="s">
        <v>36</v>
      </c>
      <c r="D2612" s="3" t="n">
        <v>46241</v>
      </c>
      <c r="E2612" s="2" t="str">
        <f aca="false">TEXT(D2612,"dddd")</f>
        <v>Friday</v>
      </c>
      <c r="F2612" s="2" t="s">
        <v>457</v>
      </c>
      <c r="G2612" s="2" t="s">
        <v>458</v>
      </c>
      <c r="H2612" s="2" t="s">
        <v>459</v>
      </c>
      <c r="I2612" s="2" t="n">
        <f aca="false">IF(F2612="Present",9,IF(F2612="Half Day",4,0))</f>
        <v>9</v>
      </c>
      <c r="J2612" s="2"/>
      <c r="K2612" s="2"/>
    </row>
    <row r="2613" customFormat="false" ht="15" hidden="false" customHeight="false" outlineLevel="0" collapsed="false">
      <c r="A2613" s="2" t="s">
        <v>217</v>
      </c>
      <c r="B2613" s="2" t="s">
        <v>218</v>
      </c>
      <c r="C2613" s="2" t="s">
        <v>36</v>
      </c>
      <c r="D2613" s="3" t="n">
        <v>46242</v>
      </c>
      <c r="E2613" s="2" t="str">
        <f aca="false">TEXT(D2613,"dddd")</f>
        <v>Saturday</v>
      </c>
      <c r="F2613" s="2" t="s">
        <v>457</v>
      </c>
      <c r="G2613" s="2" t="s">
        <v>458</v>
      </c>
      <c r="H2613" s="2" t="s">
        <v>459</v>
      </c>
      <c r="I2613" s="2" t="n">
        <f aca="false">IF(F2613="Present",9,IF(F2613="Half Day",4,0))</f>
        <v>9</v>
      </c>
      <c r="J2613" s="2"/>
      <c r="K2613" s="2"/>
    </row>
    <row r="2614" customFormat="false" ht="15" hidden="false" customHeight="false" outlineLevel="0" collapsed="false">
      <c r="A2614" s="2" t="s">
        <v>217</v>
      </c>
      <c r="B2614" s="2" t="s">
        <v>218</v>
      </c>
      <c r="C2614" s="2" t="s">
        <v>36</v>
      </c>
      <c r="D2614" s="3" t="n">
        <v>46243</v>
      </c>
      <c r="E2614" s="2" t="str">
        <f aca="false">TEXT(D2614,"dddd")</f>
        <v>Sunday</v>
      </c>
      <c r="F2614" s="2" t="s">
        <v>460</v>
      </c>
      <c r="G2614" s="2"/>
      <c r="H2614" s="2"/>
      <c r="I2614" s="2" t="n">
        <f aca="false">IF(F2614="Present",9,IF(F2614="Half Day",4,0))</f>
        <v>0</v>
      </c>
      <c r="J2614" s="2"/>
      <c r="K2614" s="2" t="s">
        <v>460</v>
      </c>
    </row>
    <row r="2615" customFormat="false" ht="15" hidden="false" customHeight="false" outlineLevel="0" collapsed="false">
      <c r="A2615" s="2" t="s">
        <v>217</v>
      </c>
      <c r="B2615" s="2" t="s">
        <v>218</v>
      </c>
      <c r="C2615" s="2" t="s">
        <v>36</v>
      </c>
      <c r="D2615" s="3" t="n">
        <v>46244</v>
      </c>
      <c r="E2615" s="2" t="str">
        <f aca="false">TEXT(D2615,"dddd")</f>
        <v>Monday</v>
      </c>
      <c r="F2615" s="2" t="s">
        <v>457</v>
      </c>
      <c r="G2615" s="2" t="s">
        <v>458</v>
      </c>
      <c r="H2615" s="2" t="s">
        <v>459</v>
      </c>
      <c r="I2615" s="2" t="n">
        <f aca="false">IF(F2615="Present",9,IF(F2615="Half Day",4,0))</f>
        <v>9</v>
      </c>
      <c r="J2615" s="2"/>
      <c r="K2615" s="2"/>
    </row>
    <row r="2616" customFormat="false" ht="15" hidden="false" customHeight="false" outlineLevel="0" collapsed="false">
      <c r="A2616" s="2" t="s">
        <v>217</v>
      </c>
      <c r="B2616" s="2" t="s">
        <v>218</v>
      </c>
      <c r="C2616" s="2" t="s">
        <v>36</v>
      </c>
      <c r="D2616" s="3" t="n">
        <v>46245</v>
      </c>
      <c r="E2616" s="2" t="str">
        <f aca="false">TEXT(D2616,"dddd")</f>
        <v>Tuesday</v>
      </c>
      <c r="F2616" s="2" t="s">
        <v>457</v>
      </c>
      <c r="G2616" s="2" t="s">
        <v>458</v>
      </c>
      <c r="H2616" s="2" t="s">
        <v>459</v>
      </c>
      <c r="I2616" s="2" t="n">
        <f aca="false">IF(F2616="Present",9,IF(F2616="Half Day",4,0))</f>
        <v>9</v>
      </c>
      <c r="J2616" s="2"/>
      <c r="K2616" s="2"/>
    </row>
    <row r="2617" customFormat="false" ht="15" hidden="false" customHeight="false" outlineLevel="0" collapsed="false">
      <c r="A2617" s="2" t="s">
        <v>217</v>
      </c>
      <c r="B2617" s="2" t="s">
        <v>218</v>
      </c>
      <c r="C2617" s="2" t="s">
        <v>36</v>
      </c>
      <c r="D2617" s="3" t="n">
        <v>46246</v>
      </c>
      <c r="E2617" s="2" t="str">
        <f aca="false">TEXT(D2617,"dddd")</f>
        <v>Wednesday</v>
      </c>
      <c r="F2617" s="2" t="s">
        <v>457</v>
      </c>
      <c r="G2617" s="2" t="s">
        <v>458</v>
      </c>
      <c r="H2617" s="2" t="s">
        <v>459</v>
      </c>
      <c r="I2617" s="2" t="n">
        <f aca="false">IF(F2617="Present",9,IF(F2617="Half Day",4,0))</f>
        <v>9</v>
      </c>
      <c r="J2617" s="2"/>
      <c r="K2617" s="2"/>
    </row>
    <row r="2618" customFormat="false" ht="15" hidden="false" customHeight="false" outlineLevel="0" collapsed="false">
      <c r="A2618" s="2" t="s">
        <v>217</v>
      </c>
      <c r="B2618" s="2" t="s">
        <v>218</v>
      </c>
      <c r="C2618" s="2" t="s">
        <v>36</v>
      </c>
      <c r="D2618" s="3" t="n">
        <v>46247</v>
      </c>
      <c r="E2618" s="2" t="str">
        <f aca="false">TEXT(D2618,"dddd")</f>
        <v>Thursday</v>
      </c>
      <c r="F2618" s="2" t="s">
        <v>457</v>
      </c>
      <c r="G2618" s="2" t="s">
        <v>458</v>
      </c>
      <c r="H2618" s="2" t="s">
        <v>459</v>
      </c>
      <c r="I2618" s="2" t="n">
        <f aca="false">IF(F2618="Present",9,IF(F2618="Half Day",4,0))</f>
        <v>9</v>
      </c>
      <c r="J2618" s="2"/>
      <c r="K2618" s="2"/>
    </row>
    <row r="2619" customFormat="false" ht="15" hidden="false" customHeight="false" outlineLevel="0" collapsed="false">
      <c r="A2619" s="2" t="s">
        <v>217</v>
      </c>
      <c r="B2619" s="2" t="s">
        <v>218</v>
      </c>
      <c r="C2619" s="2" t="s">
        <v>36</v>
      </c>
      <c r="D2619" s="3" t="n">
        <v>46248</v>
      </c>
      <c r="E2619" s="2" t="str">
        <f aca="false">TEXT(D2619,"dddd")</f>
        <v>Friday</v>
      </c>
      <c r="F2619" s="2" t="s">
        <v>457</v>
      </c>
      <c r="G2619" s="2" t="s">
        <v>458</v>
      </c>
      <c r="H2619" s="2" t="s">
        <v>459</v>
      </c>
      <c r="I2619" s="2" t="n">
        <f aca="false">IF(F2619="Present",9,IF(F2619="Half Day",4,0))</f>
        <v>9</v>
      </c>
      <c r="J2619" s="2"/>
      <c r="K2619" s="2"/>
    </row>
    <row r="2620" customFormat="false" ht="15" hidden="false" customHeight="false" outlineLevel="0" collapsed="false">
      <c r="A2620" s="2" t="s">
        <v>217</v>
      </c>
      <c r="B2620" s="2" t="s">
        <v>218</v>
      </c>
      <c r="C2620" s="2" t="s">
        <v>36</v>
      </c>
      <c r="D2620" s="3" t="n">
        <v>46249</v>
      </c>
      <c r="E2620" s="2" t="str">
        <f aca="false">TEXT(D2620,"dddd")</f>
        <v>Saturday</v>
      </c>
      <c r="F2620" s="2" t="s">
        <v>457</v>
      </c>
      <c r="G2620" s="2" t="s">
        <v>458</v>
      </c>
      <c r="H2620" s="2" t="s">
        <v>459</v>
      </c>
      <c r="I2620" s="2" t="n">
        <f aca="false">IF(F2620="Present",9,IF(F2620="Half Day",4,0))</f>
        <v>9</v>
      </c>
      <c r="J2620" s="2"/>
      <c r="K2620" s="2"/>
    </row>
    <row r="2621" customFormat="false" ht="15" hidden="false" customHeight="false" outlineLevel="0" collapsed="false">
      <c r="A2621" s="2" t="s">
        <v>217</v>
      </c>
      <c r="B2621" s="2" t="s">
        <v>218</v>
      </c>
      <c r="C2621" s="2" t="s">
        <v>36</v>
      </c>
      <c r="D2621" s="3" t="n">
        <v>46250</v>
      </c>
      <c r="E2621" s="2" t="str">
        <f aca="false">TEXT(D2621,"dddd")</f>
        <v>Sunday</v>
      </c>
      <c r="F2621" s="2" t="s">
        <v>460</v>
      </c>
      <c r="G2621" s="2"/>
      <c r="H2621" s="2"/>
      <c r="I2621" s="2" t="n">
        <f aca="false">IF(F2621="Present",9,IF(F2621="Half Day",4,0))</f>
        <v>0</v>
      </c>
      <c r="J2621" s="2"/>
      <c r="K2621" s="2" t="s">
        <v>460</v>
      </c>
    </row>
    <row r="2622" customFormat="false" ht="15" hidden="false" customHeight="false" outlineLevel="0" collapsed="false">
      <c r="A2622" s="2" t="s">
        <v>217</v>
      </c>
      <c r="B2622" s="2" t="s">
        <v>218</v>
      </c>
      <c r="C2622" s="2" t="s">
        <v>36</v>
      </c>
      <c r="D2622" s="3" t="n">
        <v>46251</v>
      </c>
      <c r="E2622" s="2" t="str">
        <f aca="false">TEXT(D2622,"dddd")</f>
        <v>Monday</v>
      </c>
      <c r="F2622" s="2" t="s">
        <v>457</v>
      </c>
      <c r="G2622" s="2" t="s">
        <v>458</v>
      </c>
      <c r="H2622" s="2" t="s">
        <v>459</v>
      </c>
      <c r="I2622" s="2" t="n">
        <f aca="false">IF(F2622="Present",9,IF(F2622="Half Day",4,0))</f>
        <v>9</v>
      </c>
      <c r="J2622" s="2"/>
      <c r="K2622" s="2"/>
    </row>
    <row r="2623" customFormat="false" ht="15" hidden="false" customHeight="false" outlineLevel="0" collapsed="false">
      <c r="A2623" s="2" t="s">
        <v>217</v>
      </c>
      <c r="B2623" s="2" t="s">
        <v>218</v>
      </c>
      <c r="C2623" s="2" t="s">
        <v>36</v>
      </c>
      <c r="D2623" s="3" t="n">
        <v>46252</v>
      </c>
      <c r="E2623" s="2" t="str">
        <f aca="false">TEXT(D2623,"dddd")</f>
        <v>Tuesday</v>
      </c>
      <c r="F2623" s="2" t="s">
        <v>457</v>
      </c>
      <c r="G2623" s="2" t="s">
        <v>458</v>
      </c>
      <c r="H2623" s="2" t="s">
        <v>459</v>
      </c>
      <c r="I2623" s="2" t="n">
        <f aca="false">IF(F2623="Present",9,IF(F2623="Half Day",4,0))</f>
        <v>9</v>
      </c>
      <c r="J2623" s="2"/>
      <c r="K2623" s="2"/>
    </row>
    <row r="2624" customFormat="false" ht="15" hidden="false" customHeight="false" outlineLevel="0" collapsed="false">
      <c r="A2624" s="2" t="s">
        <v>217</v>
      </c>
      <c r="B2624" s="2" t="s">
        <v>218</v>
      </c>
      <c r="C2624" s="2" t="s">
        <v>36</v>
      </c>
      <c r="D2624" s="3" t="n">
        <v>46253</v>
      </c>
      <c r="E2624" s="2" t="str">
        <f aca="false">TEXT(D2624,"dddd")</f>
        <v>Wednesday</v>
      </c>
      <c r="F2624" s="2" t="s">
        <v>457</v>
      </c>
      <c r="G2624" s="2" t="s">
        <v>458</v>
      </c>
      <c r="H2624" s="2" t="s">
        <v>459</v>
      </c>
      <c r="I2624" s="2" t="n">
        <f aca="false">IF(F2624="Present",9,IF(F2624="Half Day",4,0))</f>
        <v>9</v>
      </c>
      <c r="J2624" s="2"/>
      <c r="K2624" s="2"/>
    </row>
    <row r="2625" customFormat="false" ht="15" hidden="false" customHeight="false" outlineLevel="0" collapsed="false">
      <c r="A2625" s="2" t="s">
        <v>217</v>
      </c>
      <c r="B2625" s="2" t="s">
        <v>218</v>
      </c>
      <c r="C2625" s="2" t="s">
        <v>36</v>
      </c>
      <c r="D2625" s="3" t="n">
        <v>46254</v>
      </c>
      <c r="E2625" s="2" t="str">
        <f aca="false">TEXT(D2625,"dddd")</f>
        <v>Thursday</v>
      </c>
      <c r="F2625" s="2" t="s">
        <v>461</v>
      </c>
      <c r="G2625" s="2"/>
      <c r="H2625" s="2"/>
      <c r="I2625" s="2" t="n">
        <f aca="false">IF(F2625="Present",9,IF(F2625="Half Day",4,0))</f>
        <v>0</v>
      </c>
      <c r="J2625" s="2"/>
      <c r="K2625" s="2" t="s">
        <v>462</v>
      </c>
    </row>
    <row r="2626" customFormat="false" ht="15" hidden="false" customHeight="false" outlineLevel="0" collapsed="false">
      <c r="A2626" s="2" t="s">
        <v>217</v>
      </c>
      <c r="B2626" s="2" t="s">
        <v>218</v>
      </c>
      <c r="C2626" s="2" t="s">
        <v>36</v>
      </c>
      <c r="D2626" s="3" t="n">
        <v>46255</v>
      </c>
      <c r="E2626" s="2" t="str">
        <f aca="false">TEXT(D2626,"dddd")</f>
        <v>Friday</v>
      </c>
      <c r="F2626" s="2" t="s">
        <v>457</v>
      </c>
      <c r="G2626" s="2" t="s">
        <v>458</v>
      </c>
      <c r="H2626" s="2" t="s">
        <v>459</v>
      </c>
      <c r="I2626" s="2" t="n">
        <f aca="false">IF(F2626="Present",9,IF(F2626="Half Day",4,0))</f>
        <v>9</v>
      </c>
      <c r="J2626" s="2"/>
      <c r="K2626" s="2"/>
    </row>
    <row r="2627" customFormat="false" ht="15" hidden="false" customHeight="false" outlineLevel="0" collapsed="false">
      <c r="A2627" s="2" t="s">
        <v>217</v>
      </c>
      <c r="B2627" s="2" t="s">
        <v>218</v>
      </c>
      <c r="C2627" s="2" t="s">
        <v>36</v>
      </c>
      <c r="D2627" s="3" t="n">
        <v>46256</v>
      </c>
      <c r="E2627" s="2" t="str">
        <f aca="false">TEXT(D2627,"dddd")</f>
        <v>Saturday</v>
      </c>
      <c r="F2627" s="2" t="s">
        <v>457</v>
      </c>
      <c r="G2627" s="2" t="s">
        <v>458</v>
      </c>
      <c r="H2627" s="2" t="s">
        <v>459</v>
      </c>
      <c r="I2627" s="2" t="n">
        <f aca="false">IF(F2627="Present",9,IF(F2627="Half Day",4,0))</f>
        <v>9</v>
      </c>
      <c r="J2627" s="2"/>
      <c r="K2627" s="2"/>
    </row>
    <row r="2628" customFormat="false" ht="15" hidden="false" customHeight="false" outlineLevel="0" collapsed="false">
      <c r="A2628" s="2" t="s">
        <v>217</v>
      </c>
      <c r="B2628" s="2" t="s">
        <v>218</v>
      </c>
      <c r="C2628" s="2" t="s">
        <v>36</v>
      </c>
      <c r="D2628" s="3" t="n">
        <v>46257</v>
      </c>
      <c r="E2628" s="2" t="str">
        <f aca="false">TEXT(D2628,"dddd")</f>
        <v>Sunday</v>
      </c>
      <c r="F2628" s="2" t="s">
        <v>460</v>
      </c>
      <c r="G2628" s="2"/>
      <c r="H2628" s="2"/>
      <c r="I2628" s="2" t="n">
        <f aca="false">IF(F2628="Present",9,IF(F2628="Half Day",4,0))</f>
        <v>0</v>
      </c>
      <c r="J2628" s="2"/>
      <c r="K2628" s="2" t="s">
        <v>460</v>
      </c>
    </row>
    <row r="2629" customFormat="false" ht="15" hidden="false" customHeight="false" outlineLevel="0" collapsed="false">
      <c r="A2629" s="2" t="s">
        <v>217</v>
      </c>
      <c r="B2629" s="2" t="s">
        <v>218</v>
      </c>
      <c r="C2629" s="2" t="s">
        <v>36</v>
      </c>
      <c r="D2629" s="3" t="n">
        <v>46258</v>
      </c>
      <c r="E2629" s="2" t="str">
        <f aca="false">TEXT(D2629,"dddd")</f>
        <v>Monday</v>
      </c>
      <c r="F2629" s="2" t="s">
        <v>457</v>
      </c>
      <c r="G2629" s="2" t="s">
        <v>458</v>
      </c>
      <c r="H2629" s="2" t="s">
        <v>459</v>
      </c>
      <c r="I2629" s="2" t="n">
        <f aca="false">IF(F2629="Present",9,IF(F2629="Half Day",4,0))</f>
        <v>9</v>
      </c>
      <c r="J2629" s="2"/>
      <c r="K2629" s="2"/>
    </row>
    <row r="2630" customFormat="false" ht="15" hidden="false" customHeight="false" outlineLevel="0" collapsed="false">
      <c r="A2630" s="2" t="s">
        <v>217</v>
      </c>
      <c r="B2630" s="2" t="s">
        <v>218</v>
      </c>
      <c r="C2630" s="2" t="s">
        <v>36</v>
      </c>
      <c r="D2630" s="3" t="n">
        <v>46259</v>
      </c>
      <c r="E2630" s="2" t="str">
        <f aca="false">TEXT(D2630,"dddd")</f>
        <v>Tuesday</v>
      </c>
      <c r="F2630" s="2" t="s">
        <v>461</v>
      </c>
      <c r="G2630" s="2"/>
      <c r="H2630" s="2"/>
      <c r="I2630" s="2" t="n">
        <f aca="false">IF(F2630="Present",9,IF(F2630="Half Day",4,0))</f>
        <v>0</v>
      </c>
      <c r="J2630" s="2"/>
      <c r="K2630" s="2" t="s">
        <v>462</v>
      </c>
    </row>
    <row r="2631" customFormat="false" ht="15" hidden="false" customHeight="false" outlineLevel="0" collapsed="false">
      <c r="A2631" s="2" t="s">
        <v>217</v>
      </c>
      <c r="B2631" s="2" t="s">
        <v>218</v>
      </c>
      <c r="C2631" s="2" t="s">
        <v>36</v>
      </c>
      <c r="D2631" s="3" t="n">
        <v>46260</v>
      </c>
      <c r="E2631" s="2" t="str">
        <f aca="false">TEXT(D2631,"dddd")</f>
        <v>Wednesday</v>
      </c>
      <c r="F2631" s="2" t="s">
        <v>461</v>
      </c>
      <c r="G2631" s="2"/>
      <c r="H2631" s="2"/>
      <c r="I2631" s="2" t="n">
        <f aca="false">IF(F2631="Present",9,IF(F2631="Half Day",4,0))</f>
        <v>0</v>
      </c>
      <c r="J2631" s="2"/>
      <c r="K2631" s="2" t="s">
        <v>462</v>
      </c>
    </row>
    <row r="2632" customFormat="false" ht="15" hidden="false" customHeight="false" outlineLevel="0" collapsed="false">
      <c r="A2632" s="2" t="s">
        <v>217</v>
      </c>
      <c r="B2632" s="2" t="s">
        <v>218</v>
      </c>
      <c r="C2632" s="2" t="s">
        <v>36</v>
      </c>
      <c r="D2632" s="3" t="n">
        <v>46261</v>
      </c>
      <c r="E2632" s="2" t="str">
        <f aca="false">TEXT(D2632,"dddd")</f>
        <v>Thursday</v>
      </c>
      <c r="F2632" s="2" t="s">
        <v>457</v>
      </c>
      <c r="G2632" s="2" t="s">
        <v>458</v>
      </c>
      <c r="H2632" s="2" t="s">
        <v>459</v>
      </c>
      <c r="I2632" s="2" t="n">
        <f aca="false">IF(F2632="Present",9,IF(F2632="Half Day",4,0))</f>
        <v>9</v>
      </c>
      <c r="J2632" s="2"/>
      <c r="K2632" s="2"/>
    </row>
    <row r="2633" customFormat="false" ht="15" hidden="false" customHeight="false" outlineLevel="0" collapsed="false">
      <c r="A2633" s="2" t="s">
        <v>217</v>
      </c>
      <c r="B2633" s="2" t="s">
        <v>218</v>
      </c>
      <c r="C2633" s="2" t="s">
        <v>36</v>
      </c>
      <c r="D2633" s="3" t="n">
        <v>46262</v>
      </c>
      <c r="E2633" s="2" t="str">
        <f aca="false">TEXT(D2633,"dddd")</f>
        <v>Friday</v>
      </c>
      <c r="F2633" s="2" t="s">
        <v>457</v>
      </c>
      <c r="G2633" s="2" t="s">
        <v>458</v>
      </c>
      <c r="H2633" s="2" t="s">
        <v>459</v>
      </c>
      <c r="I2633" s="2" t="n">
        <f aca="false">IF(F2633="Present",9,IF(F2633="Half Day",4,0))</f>
        <v>9</v>
      </c>
      <c r="J2633" s="2"/>
      <c r="K2633" s="2"/>
    </row>
    <row r="2634" customFormat="false" ht="15" hidden="false" customHeight="false" outlineLevel="0" collapsed="false">
      <c r="A2634" s="2" t="s">
        <v>217</v>
      </c>
      <c r="B2634" s="2" t="s">
        <v>218</v>
      </c>
      <c r="C2634" s="2" t="s">
        <v>36</v>
      </c>
      <c r="D2634" s="3" t="n">
        <v>46263</v>
      </c>
      <c r="E2634" s="2" t="str">
        <f aca="false">TEXT(D2634,"dddd")</f>
        <v>Saturday</v>
      </c>
      <c r="F2634" s="2" t="s">
        <v>457</v>
      </c>
      <c r="G2634" s="2" t="s">
        <v>458</v>
      </c>
      <c r="H2634" s="2" t="s">
        <v>459</v>
      </c>
      <c r="I2634" s="2" t="n">
        <f aca="false">IF(F2634="Present",9,IF(F2634="Half Day",4,0))</f>
        <v>9</v>
      </c>
      <c r="J2634" s="2"/>
      <c r="K2634" s="2"/>
    </row>
    <row r="2635" customFormat="false" ht="15" hidden="false" customHeight="false" outlineLevel="0" collapsed="false">
      <c r="A2635" s="2" t="s">
        <v>217</v>
      </c>
      <c r="B2635" s="2" t="s">
        <v>218</v>
      </c>
      <c r="C2635" s="2" t="s">
        <v>36</v>
      </c>
      <c r="D2635" s="3" t="n">
        <v>46264</v>
      </c>
      <c r="E2635" s="2" t="str">
        <f aca="false">TEXT(D2635,"dddd")</f>
        <v>Sunday</v>
      </c>
      <c r="F2635" s="2" t="s">
        <v>460</v>
      </c>
      <c r="G2635" s="2"/>
      <c r="H2635" s="2"/>
      <c r="I2635" s="2" t="n">
        <f aca="false">IF(F2635="Present",9,IF(F2635="Half Day",4,0))</f>
        <v>0</v>
      </c>
      <c r="J2635" s="2"/>
      <c r="K2635" s="2" t="s">
        <v>460</v>
      </c>
    </row>
    <row r="2636" customFormat="false" ht="15" hidden="false" customHeight="false" outlineLevel="0" collapsed="false">
      <c r="A2636" s="2" t="s">
        <v>217</v>
      </c>
      <c r="B2636" s="2" t="s">
        <v>218</v>
      </c>
      <c r="C2636" s="2" t="s">
        <v>36</v>
      </c>
      <c r="D2636" s="3" t="n">
        <v>46265</v>
      </c>
      <c r="E2636" s="2" t="str">
        <f aca="false">TEXT(D2636,"dddd")</f>
        <v>Monday</v>
      </c>
      <c r="F2636" s="2" t="s">
        <v>457</v>
      </c>
      <c r="G2636" s="2" t="s">
        <v>458</v>
      </c>
      <c r="H2636" s="2" t="s">
        <v>459</v>
      </c>
      <c r="I2636" s="2" t="n">
        <f aca="false">IF(F2636="Present",9,IF(F2636="Half Day",4,0))</f>
        <v>9</v>
      </c>
      <c r="J2636" s="2"/>
      <c r="K2636" s="2"/>
    </row>
    <row r="2637" customFormat="false" ht="15" hidden="false" customHeight="false" outlineLevel="0" collapsed="false">
      <c r="A2637" s="2" t="s">
        <v>219</v>
      </c>
      <c r="B2637" s="2" t="s">
        <v>220</v>
      </c>
      <c r="C2637" s="2" t="s">
        <v>41</v>
      </c>
      <c r="D2637" s="3" t="n">
        <v>46235</v>
      </c>
      <c r="E2637" s="2" t="str">
        <f aca="false">TEXT(D2637,"dddd")</f>
        <v>Saturday</v>
      </c>
      <c r="F2637" s="2" t="s">
        <v>457</v>
      </c>
      <c r="G2637" s="2" t="s">
        <v>458</v>
      </c>
      <c r="H2637" s="2" t="s">
        <v>459</v>
      </c>
      <c r="I2637" s="2" t="n">
        <f aca="false">IF(F2637="Present",9,IF(F2637="Half Day",4,0))</f>
        <v>9</v>
      </c>
      <c r="J2637" s="2"/>
      <c r="K2637" s="2"/>
    </row>
    <row r="2638" customFormat="false" ht="15" hidden="false" customHeight="false" outlineLevel="0" collapsed="false">
      <c r="A2638" s="2" t="s">
        <v>219</v>
      </c>
      <c r="B2638" s="2" t="s">
        <v>220</v>
      </c>
      <c r="C2638" s="2" t="s">
        <v>41</v>
      </c>
      <c r="D2638" s="3" t="n">
        <v>46236</v>
      </c>
      <c r="E2638" s="2" t="str">
        <f aca="false">TEXT(D2638,"dddd")</f>
        <v>Sunday</v>
      </c>
      <c r="F2638" s="2" t="s">
        <v>460</v>
      </c>
      <c r="G2638" s="2"/>
      <c r="H2638" s="2"/>
      <c r="I2638" s="2" t="n">
        <f aca="false">IF(F2638="Present",9,IF(F2638="Half Day",4,0))</f>
        <v>0</v>
      </c>
      <c r="J2638" s="2"/>
      <c r="K2638" s="2" t="s">
        <v>460</v>
      </c>
    </row>
    <row r="2639" customFormat="false" ht="15" hidden="false" customHeight="false" outlineLevel="0" collapsed="false">
      <c r="A2639" s="2" t="s">
        <v>219</v>
      </c>
      <c r="B2639" s="2" t="s">
        <v>220</v>
      </c>
      <c r="C2639" s="2" t="s">
        <v>41</v>
      </c>
      <c r="D2639" s="3" t="n">
        <v>46237</v>
      </c>
      <c r="E2639" s="2" t="str">
        <f aca="false">TEXT(D2639,"dddd")</f>
        <v>Monday</v>
      </c>
      <c r="F2639" s="2" t="s">
        <v>461</v>
      </c>
      <c r="G2639" s="2"/>
      <c r="H2639" s="2"/>
      <c r="I2639" s="2" t="n">
        <f aca="false">IF(F2639="Present",9,IF(F2639="Half Day",4,0))</f>
        <v>0</v>
      </c>
      <c r="J2639" s="2"/>
      <c r="K2639" s="2" t="s">
        <v>462</v>
      </c>
    </row>
    <row r="2640" customFormat="false" ht="15" hidden="false" customHeight="false" outlineLevel="0" collapsed="false">
      <c r="A2640" s="2" t="s">
        <v>219</v>
      </c>
      <c r="B2640" s="2" t="s">
        <v>220</v>
      </c>
      <c r="C2640" s="2" t="s">
        <v>41</v>
      </c>
      <c r="D2640" s="3" t="n">
        <v>46238</v>
      </c>
      <c r="E2640" s="2" t="str">
        <f aca="false">TEXT(D2640,"dddd")</f>
        <v>Tuesday</v>
      </c>
      <c r="F2640" s="2" t="s">
        <v>463</v>
      </c>
      <c r="G2640" s="2"/>
      <c r="H2640" s="2"/>
      <c r="I2640" s="2" t="n">
        <f aca="false">IF(F2640="Present",9,IF(F2640="Half Day",4,0))</f>
        <v>0</v>
      </c>
      <c r="J2640" s="2" t="s">
        <v>470</v>
      </c>
      <c r="K2640" s="2" t="s">
        <v>471</v>
      </c>
    </row>
    <row r="2641" customFormat="false" ht="15" hidden="false" customHeight="false" outlineLevel="0" collapsed="false">
      <c r="A2641" s="2" t="s">
        <v>219</v>
      </c>
      <c r="B2641" s="2" t="s">
        <v>220</v>
      </c>
      <c r="C2641" s="2" t="s">
        <v>41</v>
      </c>
      <c r="D2641" s="3" t="n">
        <v>46239</v>
      </c>
      <c r="E2641" s="2" t="str">
        <f aca="false">TEXT(D2641,"dddd")</f>
        <v>Wednesday</v>
      </c>
      <c r="F2641" s="2" t="s">
        <v>461</v>
      </c>
      <c r="G2641" s="2"/>
      <c r="H2641" s="2"/>
      <c r="I2641" s="2" t="n">
        <f aca="false">IF(F2641="Present",9,IF(F2641="Half Day",4,0))</f>
        <v>0</v>
      </c>
      <c r="J2641" s="2"/>
      <c r="K2641" s="2" t="s">
        <v>462</v>
      </c>
    </row>
    <row r="2642" customFormat="false" ht="15" hidden="false" customHeight="false" outlineLevel="0" collapsed="false">
      <c r="A2642" s="2" t="s">
        <v>219</v>
      </c>
      <c r="B2642" s="2" t="s">
        <v>220</v>
      </c>
      <c r="C2642" s="2" t="s">
        <v>41</v>
      </c>
      <c r="D2642" s="3" t="n">
        <v>46240</v>
      </c>
      <c r="E2642" s="2" t="str">
        <f aca="false">TEXT(D2642,"dddd")</f>
        <v>Thursday</v>
      </c>
      <c r="F2642" s="2" t="s">
        <v>457</v>
      </c>
      <c r="G2642" s="2" t="s">
        <v>458</v>
      </c>
      <c r="H2642" s="2" t="s">
        <v>459</v>
      </c>
      <c r="I2642" s="2" t="n">
        <f aca="false">IF(F2642="Present",9,IF(F2642="Half Day",4,0))</f>
        <v>9</v>
      </c>
      <c r="J2642" s="2"/>
      <c r="K2642" s="2"/>
    </row>
    <row r="2643" customFormat="false" ht="15" hidden="false" customHeight="false" outlineLevel="0" collapsed="false">
      <c r="A2643" s="2" t="s">
        <v>219</v>
      </c>
      <c r="B2643" s="2" t="s">
        <v>220</v>
      </c>
      <c r="C2643" s="2" t="s">
        <v>41</v>
      </c>
      <c r="D2643" s="3" t="n">
        <v>46241</v>
      </c>
      <c r="E2643" s="2" t="str">
        <f aca="false">TEXT(D2643,"dddd")</f>
        <v>Friday</v>
      </c>
      <c r="F2643" s="2" t="s">
        <v>457</v>
      </c>
      <c r="G2643" s="2" t="s">
        <v>458</v>
      </c>
      <c r="H2643" s="2" t="s">
        <v>459</v>
      </c>
      <c r="I2643" s="2" t="n">
        <f aca="false">IF(F2643="Present",9,IF(F2643="Half Day",4,0))</f>
        <v>9</v>
      </c>
      <c r="J2643" s="2"/>
      <c r="K2643" s="2"/>
    </row>
    <row r="2644" customFormat="false" ht="15" hidden="false" customHeight="false" outlineLevel="0" collapsed="false">
      <c r="A2644" s="2" t="s">
        <v>219</v>
      </c>
      <c r="B2644" s="2" t="s">
        <v>220</v>
      </c>
      <c r="C2644" s="2" t="s">
        <v>41</v>
      </c>
      <c r="D2644" s="3" t="n">
        <v>46242</v>
      </c>
      <c r="E2644" s="2" t="str">
        <f aca="false">TEXT(D2644,"dddd")</f>
        <v>Saturday</v>
      </c>
      <c r="F2644" s="2" t="s">
        <v>457</v>
      </c>
      <c r="G2644" s="2" t="s">
        <v>458</v>
      </c>
      <c r="H2644" s="2" t="s">
        <v>459</v>
      </c>
      <c r="I2644" s="2" t="n">
        <f aca="false">IF(F2644="Present",9,IF(F2644="Half Day",4,0))</f>
        <v>9</v>
      </c>
      <c r="J2644" s="2"/>
      <c r="K2644" s="2"/>
    </row>
    <row r="2645" customFormat="false" ht="15" hidden="false" customHeight="false" outlineLevel="0" collapsed="false">
      <c r="A2645" s="2" t="s">
        <v>219</v>
      </c>
      <c r="B2645" s="2" t="s">
        <v>220</v>
      </c>
      <c r="C2645" s="2" t="s">
        <v>41</v>
      </c>
      <c r="D2645" s="3" t="n">
        <v>46243</v>
      </c>
      <c r="E2645" s="2" t="str">
        <f aca="false">TEXT(D2645,"dddd")</f>
        <v>Sunday</v>
      </c>
      <c r="F2645" s="2" t="s">
        <v>460</v>
      </c>
      <c r="G2645" s="2"/>
      <c r="H2645" s="2"/>
      <c r="I2645" s="2" t="n">
        <f aca="false">IF(F2645="Present",9,IF(F2645="Half Day",4,0))</f>
        <v>0</v>
      </c>
      <c r="J2645" s="2"/>
      <c r="K2645" s="2" t="s">
        <v>460</v>
      </c>
    </row>
    <row r="2646" customFormat="false" ht="15" hidden="false" customHeight="false" outlineLevel="0" collapsed="false">
      <c r="A2646" s="2" t="s">
        <v>219</v>
      </c>
      <c r="B2646" s="2" t="s">
        <v>220</v>
      </c>
      <c r="C2646" s="2" t="s">
        <v>41</v>
      </c>
      <c r="D2646" s="3" t="n">
        <v>46244</v>
      </c>
      <c r="E2646" s="2" t="str">
        <f aca="false">TEXT(D2646,"dddd")</f>
        <v>Monday</v>
      </c>
      <c r="F2646" s="2" t="s">
        <v>457</v>
      </c>
      <c r="G2646" s="2" t="s">
        <v>458</v>
      </c>
      <c r="H2646" s="2" t="s">
        <v>459</v>
      </c>
      <c r="I2646" s="2" t="n">
        <f aca="false">IF(F2646="Present",9,IF(F2646="Half Day",4,0))</f>
        <v>9</v>
      </c>
      <c r="J2646" s="2"/>
      <c r="K2646" s="2"/>
    </row>
    <row r="2647" customFormat="false" ht="15" hidden="false" customHeight="false" outlineLevel="0" collapsed="false">
      <c r="A2647" s="2" t="s">
        <v>219</v>
      </c>
      <c r="B2647" s="2" t="s">
        <v>220</v>
      </c>
      <c r="C2647" s="2" t="s">
        <v>41</v>
      </c>
      <c r="D2647" s="3" t="n">
        <v>46245</v>
      </c>
      <c r="E2647" s="2" t="str">
        <f aca="false">TEXT(D2647,"dddd")</f>
        <v>Tuesday</v>
      </c>
      <c r="F2647" s="2" t="s">
        <v>461</v>
      </c>
      <c r="G2647" s="2"/>
      <c r="H2647" s="2"/>
      <c r="I2647" s="2" t="n">
        <f aca="false">IF(F2647="Present",9,IF(F2647="Half Day",4,0))</f>
        <v>0</v>
      </c>
      <c r="J2647" s="2"/>
      <c r="K2647" s="2" t="s">
        <v>462</v>
      </c>
    </row>
    <row r="2648" customFormat="false" ht="15" hidden="false" customHeight="false" outlineLevel="0" collapsed="false">
      <c r="A2648" s="2" t="s">
        <v>219</v>
      </c>
      <c r="B2648" s="2" t="s">
        <v>220</v>
      </c>
      <c r="C2648" s="2" t="s">
        <v>41</v>
      </c>
      <c r="D2648" s="3" t="n">
        <v>46246</v>
      </c>
      <c r="E2648" s="2" t="str">
        <f aca="false">TEXT(D2648,"dddd")</f>
        <v>Wednesday</v>
      </c>
      <c r="F2648" s="2" t="s">
        <v>466</v>
      </c>
      <c r="G2648" s="2" t="s">
        <v>458</v>
      </c>
      <c r="H2648" s="2" t="s">
        <v>467</v>
      </c>
      <c r="I2648" s="2" t="n">
        <f aca="false">IF(F2648="Present",9,IF(F2648="Half Day",4,0))</f>
        <v>4</v>
      </c>
      <c r="J2648" s="2"/>
      <c r="K2648" s="2" t="s">
        <v>466</v>
      </c>
    </row>
    <row r="2649" customFormat="false" ht="15" hidden="false" customHeight="false" outlineLevel="0" collapsed="false">
      <c r="A2649" s="2" t="s">
        <v>219</v>
      </c>
      <c r="B2649" s="2" t="s">
        <v>220</v>
      </c>
      <c r="C2649" s="2" t="s">
        <v>41</v>
      </c>
      <c r="D2649" s="3" t="n">
        <v>46247</v>
      </c>
      <c r="E2649" s="2" t="str">
        <f aca="false">TEXT(D2649,"dddd")</f>
        <v>Thursday</v>
      </c>
      <c r="F2649" s="2" t="s">
        <v>457</v>
      </c>
      <c r="G2649" s="2" t="s">
        <v>458</v>
      </c>
      <c r="H2649" s="2" t="s">
        <v>459</v>
      </c>
      <c r="I2649" s="2" t="n">
        <f aca="false">IF(F2649="Present",9,IF(F2649="Half Day",4,0))</f>
        <v>9</v>
      </c>
      <c r="J2649" s="2"/>
      <c r="K2649" s="2"/>
    </row>
    <row r="2650" customFormat="false" ht="15" hidden="false" customHeight="false" outlineLevel="0" collapsed="false">
      <c r="A2650" s="2" t="s">
        <v>219</v>
      </c>
      <c r="B2650" s="2" t="s">
        <v>220</v>
      </c>
      <c r="C2650" s="2" t="s">
        <v>41</v>
      </c>
      <c r="D2650" s="3" t="n">
        <v>46248</v>
      </c>
      <c r="E2650" s="2" t="str">
        <f aca="false">TEXT(D2650,"dddd")</f>
        <v>Friday</v>
      </c>
      <c r="F2650" s="2" t="s">
        <v>457</v>
      </c>
      <c r="G2650" s="2" t="s">
        <v>458</v>
      </c>
      <c r="H2650" s="2" t="s">
        <v>459</v>
      </c>
      <c r="I2650" s="2" t="n">
        <f aca="false">IF(F2650="Present",9,IF(F2650="Half Day",4,0))</f>
        <v>9</v>
      </c>
      <c r="J2650" s="2"/>
      <c r="K2650" s="2"/>
    </row>
    <row r="2651" customFormat="false" ht="15" hidden="false" customHeight="false" outlineLevel="0" collapsed="false">
      <c r="A2651" s="2" t="s">
        <v>219</v>
      </c>
      <c r="B2651" s="2" t="s">
        <v>220</v>
      </c>
      <c r="C2651" s="2" t="s">
        <v>41</v>
      </c>
      <c r="D2651" s="3" t="n">
        <v>46249</v>
      </c>
      <c r="E2651" s="2" t="str">
        <f aca="false">TEXT(D2651,"dddd")</f>
        <v>Saturday</v>
      </c>
      <c r="F2651" s="2" t="s">
        <v>457</v>
      </c>
      <c r="G2651" s="2" t="s">
        <v>458</v>
      </c>
      <c r="H2651" s="2" t="s">
        <v>459</v>
      </c>
      <c r="I2651" s="2" t="n">
        <f aca="false">IF(F2651="Present",9,IF(F2651="Half Day",4,0))</f>
        <v>9</v>
      </c>
      <c r="J2651" s="2"/>
      <c r="K2651" s="2"/>
    </row>
    <row r="2652" customFormat="false" ht="15" hidden="false" customHeight="false" outlineLevel="0" collapsed="false">
      <c r="A2652" s="2" t="s">
        <v>219</v>
      </c>
      <c r="B2652" s="2" t="s">
        <v>220</v>
      </c>
      <c r="C2652" s="2" t="s">
        <v>41</v>
      </c>
      <c r="D2652" s="3" t="n">
        <v>46250</v>
      </c>
      <c r="E2652" s="2" t="str">
        <f aca="false">TEXT(D2652,"dddd")</f>
        <v>Sunday</v>
      </c>
      <c r="F2652" s="2" t="s">
        <v>460</v>
      </c>
      <c r="G2652" s="2"/>
      <c r="H2652" s="2"/>
      <c r="I2652" s="2" t="n">
        <f aca="false">IF(F2652="Present",9,IF(F2652="Half Day",4,0))</f>
        <v>0</v>
      </c>
      <c r="J2652" s="2"/>
      <c r="K2652" s="2" t="s">
        <v>460</v>
      </c>
    </row>
    <row r="2653" customFormat="false" ht="15" hidden="false" customHeight="false" outlineLevel="0" collapsed="false">
      <c r="A2653" s="2" t="s">
        <v>219</v>
      </c>
      <c r="B2653" s="2" t="s">
        <v>220</v>
      </c>
      <c r="C2653" s="2" t="s">
        <v>41</v>
      </c>
      <c r="D2653" s="3" t="n">
        <v>46251</v>
      </c>
      <c r="E2653" s="2" t="str">
        <f aca="false">TEXT(D2653,"dddd")</f>
        <v>Monday</v>
      </c>
      <c r="F2653" s="2" t="s">
        <v>457</v>
      </c>
      <c r="G2653" s="2" t="s">
        <v>458</v>
      </c>
      <c r="H2653" s="2" t="s">
        <v>459</v>
      </c>
      <c r="I2653" s="2" t="n">
        <f aca="false">IF(F2653="Present",9,IF(F2653="Half Day",4,0))</f>
        <v>9</v>
      </c>
      <c r="J2653" s="2"/>
      <c r="K2653" s="2"/>
    </row>
    <row r="2654" customFormat="false" ht="15" hidden="false" customHeight="false" outlineLevel="0" collapsed="false">
      <c r="A2654" s="2" t="s">
        <v>219</v>
      </c>
      <c r="B2654" s="2" t="s">
        <v>220</v>
      </c>
      <c r="C2654" s="2" t="s">
        <v>41</v>
      </c>
      <c r="D2654" s="3" t="n">
        <v>46252</v>
      </c>
      <c r="E2654" s="2" t="str">
        <f aca="false">TEXT(D2654,"dddd")</f>
        <v>Tuesday</v>
      </c>
      <c r="F2654" s="2" t="s">
        <v>457</v>
      </c>
      <c r="G2654" s="2" t="s">
        <v>458</v>
      </c>
      <c r="H2654" s="2" t="s">
        <v>459</v>
      </c>
      <c r="I2654" s="2" t="n">
        <f aca="false">IF(F2654="Present",9,IF(F2654="Half Day",4,0))</f>
        <v>9</v>
      </c>
      <c r="J2654" s="2"/>
      <c r="K2654" s="2"/>
    </row>
    <row r="2655" customFormat="false" ht="15" hidden="false" customHeight="false" outlineLevel="0" collapsed="false">
      <c r="A2655" s="2" t="s">
        <v>219</v>
      </c>
      <c r="B2655" s="2" t="s">
        <v>220</v>
      </c>
      <c r="C2655" s="2" t="s">
        <v>41</v>
      </c>
      <c r="D2655" s="3" t="n">
        <v>46253</v>
      </c>
      <c r="E2655" s="2" t="str">
        <f aca="false">TEXT(D2655,"dddd")</f>
        <v>Wednesday</v>
      </c>
      <c r="F2655" s="2" t="s">
        <v>457</v>
      </c>
      <c r="G2655" s="2" t="s">
        <v>458</v>
      </c>
      <c r="H2655" s="2" t="s">
        <v>459</v>
      </c>
      <c r="I2655" s="2" t="n">
        <f aca="false">IF(F2655="Present",9,IF(F2655="Half Day",4,0))</f>
        <v>9</v>
      </c>
      <c r="J2655" s="2"/>
      <c r="K2655" s="2"/>
    </row>
    <row r="2656" customFormat="false" ht="15" hidden="false" customHeight="false" outlineLevel="0" collapsed="false">
      <c r="A2656" s="2" t="s">
        <v>219</v>
      </c>
      <c r="B2656" s="2" t="s">
        <v>220</v>
      </c>
      <c r="C2656" s="2" t="s">
        <v>41</v>
      </c>
      <c r="D2656" s="3" t="n">
        <v>46254</v>
      </c>
      <c r="E2656" s="2" t="str">
        <f aca="false">TEXT(D2656,"dddd")</f>
        <v>Thursday</v>
      </c>
      <c r="F2656" s="2" t="s">
        <v>463</v>
      </c>
      <c r="G2656" s="2"/>
      <c r="H2656" s="2"/>
      <c r="I2656" s="2" t="n">
        <f aca="false">IF(F2656="Present",9,IF(F2656="Half Day",4,0))</f>
        <v>0</v>
      </c>
      <c r="J2656" s="2" t="s">
        <v>472</v>
      </c>
      <c r="K2656" s="2" t="s">
        <v>473</v>
      </c>
    </row>
    <row r="2657" customFormat="false" ht="15" hidden="false" customHeight="false" outlineLevel="0" collapsed="false">
      <c r="A2657" s="2" t="s">
        <v>219</v>
      </c>
      <c r="B2657" s="2" t="s">
        <v>220</v>
      </c>
      <c r="C2657" s="2" t="s">
        <v>41</v>
      </c>
      <c r="D2657" s="3" t="n">
        <v>46255</v>
      </c>
      <c r="E2657" s="2" t="str">
        <f aca="false">TEXT(D2657,"dddd")</f>
        <v>Friday</v>
      </c>
      <c r="F2657" s="2" t="s">
        <v>466</v>
      </c>
      <c r="G2657" s="2" t="s">
        <v>458</v>
      </c>
      <c r="H2657" s="2" t="s">
        <v>467</v>
      </c>
      <c r="I2657" s="2" t="n">
        <f aca="false">IF(F2657="Present",9,IF(F2657="Half Day",4,0))</f>
        <v>4</v>
      </c>
      <c r="J2657" s="2"/>
      <c r="K2657" s="2" t="s">
        <v>466</v>
      </c>
    </row>
    <row r="2658" customFormat="false" ht="15" hidden="false" customHeight="false" outlineLevel="0" collapsed="false">
      <c r="A2658" s="2" t="s">
        <v>219</v>
      </c>
      <c r="B2658" s="2" t="s">
        <v>220</v>
      </c>
      <c r="C2658" s="2" t="s">
        <v>41</v>
      </c>
      <c r="D2658" s="3" t="n">
        <v>46256</v>
      </c>
      <c r="E2658" s="2" t="str">
        <f aca="false">TEXT(D2658,"dddd")</f>
        <v>Saturday</v>
      </c>
      <c r="F2658" s="2" t="s">
        <v>457</v>
      </c>
      <c r="G2658" s="2" t="s">
        <v>458</v>
      </c>
      <c r="H2658" s="2" t="s">
        <v>459</v>
      </c>
      <c r="I2658" s="2" t="n">
        <f aca="false">IF(F2658="Present",9,IF(F2658="Half Day",4,0))</f>
        <v>9</v>
      </c>
      <c r="J2658" s="2"/>
      <c r="K2658" s="2"/>
    </row>
    <row r="2659" customFormat="false" ht="15" hidden="false" customHeight="false" outlineLevel="0" collapsed="false">
      <c r="A2659" s="2" t="s">
        <v>219</v>
      </c>
      <c r="B2659" s="2" t="s">
        <v>220</v>
      </c>
      <c r="C2659" s="2" t="s">
        <v>41</v>
      </c>
      <c r="D2659" s="3" t="n">
        <v>46257</v>
      </c>
      <c r="E2659" s="2" t="str">
        <f aca="false">TEXT(D2659,"dddd")</f>
        <v>Sunday</v>
      </c>
      <c r="F2659" s="2" t="s">
        <v>460</v>
      </c>
      <c r="G2659" s="2"/>
      <c r="H2659" s="2"/>
      <c r="I2659" s="2" t="n">
        <f aca="false">IF(F2659="Present",9,IF(F2659="Half Day",4,0))</f>
        <v>0</v>
      </c>
      <c r="J2659" s="2"/>
      <c r="K2659" s="2" t="s">
        <v>460</v>
      </c>
    </row>
    <row r="2660" customFormat="false" ht="15" hidden="false" customHeight="false" outlineLevel="0" collapsed="false">
      <c r="A2660" s="2" t="s">
        <v>219</v>
      </c>
      <c r="B2660" s="2" t="s">
        <v>220</v>
      </c>
      <c r="C2660" s="2" t="s">
        <v>41</v>
      </c>
      <c r="D2660" s="3" t="n">
        <v>46258</v>
      </c>
      <c r="E2660" s="2" t="str">
        <f aca="false">TEXT(D2660,"dddd")</f>
        <v>Monday</v>
      </c>
      <c r="F2660" s="2" t="s">
        <v>457</v>
      </c>
      <c r="G2660" s="2" t="s">
        <v>458</v>
      </c>
      <c r="H2660" s="2" t="s">
        <v>459</v>
      </c>
      <c r="I2660" s="2" t="n">
        <f aca="false">IF(F2660="Present",9,IF(F2660="Half Day",4,0))</f>
        <v>9</v>
      </c>
      <c r="J2660" s="2"/>
      <c r="K2660" s="2"/>
    </row>
    <row r="2661" customFormat="false" ht="15" hidden="false" customHeight="false" outlineLevel="0" collapsed="false">
      <c r="A2661" s="2" t="s">
        <v>219</v>
      </c>
      <c r="B2661" s="2" t="s">
        <v>220</v>
      </c>
      <c r="C2661" s="2" t="s">
        <v>41</v>
      </c>
      <c r="D2661" s="3" t="n">
        <v>46259</v>
      </c>
      <c r="E2661" s="2" t="str">
        <f aca="false">TEXT(D2661,"dddd")</f>
        <v>Tuesday</v>
      </c>
      <c r="F2661" s="2" t="s">
        <v>457</v>
      </c>
      <c r="G2661" s="2" t="s">
        <v>458</v>
      </c>
      <c r="H2661" s="2" t="s">
        <v>459</v>
      </c>
      <c r="I2661" s="2" t="n">
        <f aca="false">IF(F2661="Present",9,IF(F2661="Half Day",4,0))</f>
        <v>9</v>
      </c>
      <c r="J2661" s="2"/>
      <c r="K2661" s="2"/>
    </row>
    <row r="2662" customFormat="false" ht="15" hidden="false" customHeight="false" outlineLevel="0" collapsed="false">
      <c r="A2662" s="2" t="s">
        <v>219</v>
      </c>
      <c r="B2662" s="2" t="s">
        <v>220</v>
      </c>
      <c r="C2662" s="2" t="s">
        <v>41</v>
      </c>
      <c r="D2662" s="3" t="n">
        <v>46260</v>
      </c>
      <c r="E2662" s="2" t="str">
        <f aca="false">TEXT(D2662,"dddd")</f>
        <v>Wednesday</v>
      </c>
      <c r="F2662" s="2" t="s">
        <v>457</v>
      </c>
      <c r="G2662" s="2" t="s">
        <v>458</v>
      </c>
      <c r="H2662" s="2" t="s">
        <v>459</v>
      </c>
      <c r="I2662" s="2" t="n">
        <f aca="false">IF(F2662="Present",9,IF(F2662="Half Day",4,0))</f>
        <v>9</v>
      </c>
      <c r="J2662" s="2"/>
      <c r="K2662" s="2"/>
    </row>
    <row r="2663" customFormat="false" ht="15" hidden="false" customHeight="false" outlineLevel="0" collapsed="false">
      <c r="A2663" s="2" t="s">
        <v>219</v>
      </c>
      <c r="B2663" s="2" t="s">
        <v>220</v>
      </c>
      <c r="C2663" s="2" t="s">
        <v>41</v>
      </c>
      <c r="D2663" s="3" t="n">
        <v>46261</v>
      </c>
      <c r="E2663" s="2" t="str">
        <f aca="false">TEXT(D2663,"dddd")</f>
        <v>Thursday</v>
      </c>
      <c r="F2663" s="2" t="s">
        <v>457</v>
      </c>
      <c r="G2663" s="2" t="s">
        <v>458</v>
      </c>
      <c r="H2663" s="2" t="s">
        <v>459</v>
      </c>
      <c r="I2663" s="2" t="n">
        <f aca="false">IF(F2663="Present",9,IF(F2663="Half Day",4,0))</f>
        <v>9</v>
      </c>
      <c r="J2663" s="2"/>
      <c r="K2663" s="2"/>
    </row>
    <row r="2664" customFormat="false" ht="15" hidden="false" customHeight="false" outlineLevel="0" collapsed="false">
      <c r="A2664" s="2" t="s">
        <v>219</v>
      </c>
      <c r="B2664" s="2" t="s">
        <v>220</v>
      </c>
      <c r="C2664" s="2" t="s">
        <v>41</v>
      </c>
      <c r="D2664" s="3" t="n">
        <v>46262</v>
      </c>
      <c r="E2664" s="2" t="str">
        <f aca="false">TEXT(D2664,"dddd")</f>
        <v>Friday</v>
      </c>
      <c r="F2664" s="2" t="s">
        <v>457</v>
      </c>
      <c r="G2664" s="2" t="s">
        <v>458</v>
      </c>
      <c r="H2664" s="2" t="s">
        <v>459</v>
      </c>
      <c r="I2664" s="2" t="n">
        <f aca="false">IF(F2664="Present",9,IF(F2664="Half Day",4,0))</f>
        <v>9</v>
      </c>
      <c r="J2664" s="2"/>
      <c r="K2664" s="2"/>
    </row>
    <row r="2665" customFormat="false" ht="15" hidden="false" customHeight="false" outlineLevel="0" collapsed="false">
      <c r="A2665" s="2" t="s">
        <v>219</v>
      </c>
      <c r="B2665" s="2" t="s">
        <v>220</v>
      </c>
      <c r="C2665" s="2" t="s">
        <v>41</v>
      </c>
      <c r="D2665" s="3" t="n">
        <v>46263</v>
      </c>
      <c r="E2665" s="2" t="str">
        <f aca="false">TEXT(D2665,"dddd")</f>
        <v>Saturday</v>
      </c>
      <c r="F2665" s="2" t="s">
        <v>461</v>
      </c>
      <c r="G2665" s="2"/>
      <c r="H2665" s="2"/>
      <c r="I2665" s="2" t="n">
        <f aca="false">IF(F2665="Present",9,IF(F2665="Half Day",4,0))</f>
        <v>0</v>
      </c>
      <c r="J2665" s="2"/>
      <c r="K2665" s="2" t="s">
        <v>462</v>
      </c>
    </row>
    <row r="2666" customFormat="false" ht="15" hidden="false" customHeight="false" outlineLevel="0" collapsed="false">
      <c r="A2666" s="2" t="s">
        <v>219</v>
      </c>
      <c r="B2666" s="2" t="s">
        <v>220</v>
      </c>
      <c r="C2666" s="2" t="s">
        <v>41</v>
      </c>
      <c r="D2666" s="3" t="n">
        <v>46264</v>
      </c>
      <c r="E2666" s="2" t="str">
        <f aca="false">TEXT(D2666,"dddd")</f>
        <v>Sunday</v>
      </c>
      <c r="F2666" s="2" t="s">
        <v>460</v>
      </c>
      <c r="G2666" s="2"/>
      <c r="H2666" s="2"/>
      <c r="I2666" s="2" t="n">
        <f aca="false">IF(F2666="Present",9,IF(F2666="Half Day",4,0))</f>
        <v>0</v>
      </c>
      <c r="J2666" s="2"/>
      <c r="K2666" s="2" t="s">
        <v>460</v>
      </c>
    </row>
    <row r="2667" customFormat="false" ht="15" hidden="false" customHeight="false" outlineLevel="0" collapsed="false">
      <c r="A2667" s="2" t="s">
        <v>219</v>
      </c>
      <c r="B2667" s="2" t="s">
        <v>220</v>
      </c>
      <c r="C2667" s="2" t="s">
        <v>41</v>
      </c>
      <c r="D2667" s="3" t="n">
        <v>46265</v>
      </c>
      <c r="E2667" s="2" t="str">
        <f aca="false">TEXT(D2667,"dddd")</f>
        <v>Monday</v>
      </c>
      <c r="F2667" s="2" t="s">
        <v>457</v>
      </c>
      <c r="G2667" s="2" t="s">
        <v>458</v>
      </c>
      <c r="H2667" s="2" t="s">
        <v>459</v>
      </c>
      <c r="I2667" s="2" t="n">
        <f aca="false">IF(F2667="Present",9,IF(F2667="Half Day",4,0))</f>
        <v>9</v>
      </c>
      <c r="J2667" s="2"/>
      <c r="K2667" s="2"/>
    </row>
    <row r="2668" customFormat="false" ht="15" hidden="false" customHeight="false" outlineLevel="0" collapsed="false">
      <c r="A2668" s="2" t="s">
        <v>221</v>
      </c>
      <c r="B2668" s="2" t="s">
        <v>222</v>
      </c>
      <c r="C2668" s="2" t="s">
        <v>45</v>
      </c>
      <c r="D2668" s="3" t="n">
        <v>46235</v>
      </c>
      <c r="E2668" s="2" t="str">
        <f aca="false">TEXT(D2668,"dddd")</f>
        <v>Saturday</v>
      </c>
      <c r="F2668" s="2" t="s">
        <v>457</v>
      </c>
      <c r="G2668" s="2" t="s">
        <v>458</v>
      </c>
      <c r="H2668" s="2" t="s">
        <v>459</v>
      </c>
      <c r="I2668" s="2" t="n">
        <f aca="false">IF(F2668="Present",9,IF(F2668="Half Day",4,0))</f>
        <v>9</v>
      </c>
      <c r="J2668" s="2"/>
      <c r="K2668" s="2"/>
    </row>
    <row r="2669" customFormat="false" ht="15" hidden="false" customHeight="false" outlineLevel="0" collapsed="false">
      <c r="A2669" s="2" t="s">
        <v>221</v>
      </c>
      <c r="B2669" s="2" t="s">
        <v>222</v>
      </c>
      <c r="C2669" s="2" t="s">
        <v>45</v>
      </c>
      <c r="D2669" s="3" t="n">
        <v>46236</v>
      </c>
      <c r="E2669" s="2" t="str">
        <f aca="false">TEXT(D2669,"dddd")</f>
        <v>Sunday</v>
      </c>
      <c r="F2669" s="2" t="s">
        <v>460</v>
      </c>
      <c r="G2669" s="2"/>
      <c r="H2669" s="2"/>
      <c r="I2669" s="2" t="n">
        <f aca="false">IF(F2669="Present",9,IF(F2669="Half Day",4,0))</f>
        <v>0</v>
      </c>
      <c r="J2669" s="2"/>
      <c r="K2669" s="2" t="s">
        <v>460</v>
      </c>
    </row>
    <row r="2670" customFormat="false" ht="15" hidden="false" customHeight="false" outlineLevel="0" collapsed="false">
      <c r="A2670" s="2" t="s">
        <v>221</v>
      </c>
      <c r="B2670" s="2" t="s">
        <v>222</v>
      </c>
      <c r="C2670" s="2" t="s">
        <v>45</v>
      </c>
      <c r="D2670" s="3" t="n">
        <v>46237</v>
      </c>
      <c r="E2670" s="2" t="str">
        <f aca="false">TEXT(D2670,"dddd")</f>
        <v>Monday</v>
      </c>
      <c r="F2670" s="2" t="s">
        <v>457</v>
      </c>
      <c r="G2670" s="2" t="s">
        <v>458</v>
      </c>
      <c r="H2670" s="2" t="s">
        <v>459</v>
      </c>
      <c r="I2670" s="2" t="n">
        <f aca="false">IF(F2670="Present",9,IF(F2670="Half Day",4,0))</f>
        <v>9</v>
      </c>
      <c r="J2670" s="2"/>
      <c r="K2670" s="2"/>
    </row>
    <row r="2671" customFormat="false" ht="15" hidden="false" customHeight="false" outlineLevel="0" collapsed="false">
      <c r="A2671" s="2" t="s">
        <v>221</v>
      </c>
      <c r="B2671" s="2" t="s">
        <v>222</v>
      </c>
      <c r="C2671" s="2" t="s">
        <v>45</v>
      </c>
      <c r="D2671" s="3" t="n">
        <v>46238</v>
      </c>
      <c r="E2671" s="2" t="str">
        <f aca="false">TEXT(D2671,"dddd")</f>
        <v>Tuesday</v>
      </c>
      <c r="F2671" s="2" t="s">
        <v>457</v>
      </c>
      <c r="G2671" s="2" t="s">
        <v>458</v>
      </c>
      <c r="H2671" s="2" t="s">
        <v>459</v>
      </c>
      <c r="I2671" s="2" t="n">
        <f aca="false">IF(F2671="Present",9,IF(F2671="Half Day",4,0))</f>
        <v>9</v>
      </c>
      <c r="J2671" s="2"/>
      <c r="K2671" s="2"/>
    </row>
    <row r="2672" customFormat="false" ht="15" hidden="false" customHeight="false" outlineLevel="0" collapsed="false">
      <c r="A2672" s="2" t="s">
        <v>221</v>
      </c>
      <c r="B2672" s="2" t="s">
        <v>222</v>
      </c>
      <c r="C2672" s="2" t="s">
        <v>45</v>
      </c>
      <c r="D2672" s="3" t="n">
        <v>46239</v>
      </c>
      <c r="E2672" s="2" t="str">
        <f aca="false">TEXT(D2672,"dddd")</f>
        <v>Wednesday</v>
      </c>
      <c r="F2672" s="2" t="s">
        <v>457</v>
      </c>
      <c r="G2672" s="2" t="s">
        <v>458</v>
      </c>
      <c r="H2672" s="2" t="s">
        <v>459</v>
      </c>
      <c r="I2672" s="2" t="n">
        <f aca="false">IF(F2672="Present",9,IF(F2672="Half Day",4,0))</f>
        <v>9</v>
      </c>
      <c r="J2672" s="2"/>
      <c r="K2672" s="2"/>
    </row>
    <row r="2673" customFormat="false" ht="15" hidden="false" customHeight="false" outlineLevel="0" collapsed="false">
      <c r="A2673" s="2" t="s">
        <v>221</v>
      </c>
      <c r="B2673" s="2" t="s">
        <v>222</v>
      </c>
      <c r="C2673" s="2" t="s">
        <v>45</v>
      </c>
      <c r="D2673" s="3" t="n">
        <v>46240</v>
      </c>
      <c r="E2673" s="2" t="str">
        <f aca="false">TEXT(D2673,"dddd")</f>
        <v>Thursday</v>
      </c>
      <c r="F2673" s="2" t="s">
        <v>457</v>
      </c>
      <c r="G2673" s="2" t="s">
        <v>458</v>
      </c>
      <c r="H2673" s="2" t="s">
        <v>459</v>
      </c>
      <c r="I2673" s="2" t="n">
        <f aca="false">IF(F2673="Present",9,IF(F2673="Half Day",4,0))</f>
        <v>9</v>
      </c>
      <c r="J2673" s="2"/>
      <c r="K2673" s="2"/>
    </row>
    <row r="2674" customFormat="false" ht="15" hidden="false" customHeight="false" outlineLevel="0" collapsed="false">
      <c r="A2674" s="2" t="s">
        <v>221</v>
      </c>
      <c r="B2674" s="2" t="s">
        <v>222</v>
      </c>
      <c r="C2674" s="2" t="s">
        <v>45</v>
      </c>
      <c r="D2674" s="3" t="n">
        <v>46241</v>
      </c>
      <c r="E2674" s="2" t="str">
        <f aca="false">TEXT(D2674,"dddd")</f>
        <v>Friday</v>
      </c>
      <c r="F2674" s="2" t="s">
        <v>457</v>
      </c>
      <c r="G2674" s="2" t="s">
        <v>458</v>
      </c>
      <c r="H2674" s="2" t="s">
        <v>459</v>
      </c>
      <c r="I2674" s="2" t="n">
        <f aca="false">IF(F2674="Present",9,IF(F2674="Half Day",4,0))</f>
        <v>9</v>
      </c>
      <c r="J2674" s="2"/>
      <c r="K2674" s="2"/>
    </row>
    <row r="2675" customFormat="false" ht="15" hidden="false" customHeight="false" outlineLevel="0" collapsed="false">
      <c r="A2675" s="2" t="s">
        <v>221</v>
      </c>
      <c r="B2675" s="2" t="s">
        <v>222</v>
      </c>
      <c r="C2675" s="2" t="s">
        <v>45</v>
      </c>
      <c r="D2675" s="3" t="n">
        <v>46242</v>
      </c>
      <c r="E2675" s="2" t="str">
        <f aca="false">TEXT(D2675,"dddd")</f>
        <v>Saturday</v>
      </c>
      <c r="F2675" s="2" t="s">
        <v>457</v>
      </c>
      <c r="G2675" s="2" t="s">
        <v>458</v>
      </c>
      <c r="H2675" s="2" t="s">
        <v>459</v>
      </c>
      <c r="I2675" s="2" t="n">
        <f aca="false">IF(F2675="Present",9,IF(F2675="Half Day",4,0))</f>
        <v>9</v>
      </c>
      <c r="J2675" s="2"/>
      <c r="K2675" s="2"/>
    </row>
    <row r="2676" customFormat="false" ht="15" hidden="false" customHeight="false" outlineLevel="0" collapsed="false">
      <c r="A2676" s="2" t="s">
        <v>221</v>
      </c>
      <c r="B2676" s="2" t="s">
        <v>222</v>
      </c>
      <c r="C2676" s="2" t="s">
        <v>45</v>
      </c>
      <c r="D2676" s="3" t="n">
        <v>46243</v>
      </c>
      <c r="E2676" s="2" t="str">
        <f aca="false">TEXT(D2676,"dddd")</f>
        <v>Sunday</v>
      </c>
      <c r="F2676" s="2" t="s">
        <v>460</v>
      </c>
      <c r="G2676" s="2"/>
      <c r="H2676" s="2"/>
      <c r="I2676" s="2" t="n">
        <f aca="false">IF(F2676="Present",9,IF(F2676="Half Day",4,0))</f>
        <v>0</v>
      </c>
      <c r="J2676" s="2"/>
      <c r="K2676" s="2" t="s">
        <v>460</v>
      </c>
    </row>
    <row r="2677" customFormat="false" ht="15" hidden="false" customHeight="false" outlineLevel="0" collapsed="false">
      <c r="A2677" s="2" t="s">
        <v>221</v>
      </c>
      <c r="B2677" s="2" t="s">
        <v>222</v>
      </c>
      <c r="C2677" s="2" t="s">
        <v>45</v>
      </c>
      <c r="D2677" s="3" t="n">
        <v>46244</v>
      </c>
      <c r="E2677" s="2" t="str">
        <f aca="false">TEXT(D2677,"dddd")</f>
        <v>Monday</v>
      </c>
      <c r="F2677" s="2" t="s">
        <v>461</v>
      </c>
      <c r="G2677" s="2"/>
      <c r="H2677" s="2"/>
      <c r="I2677" s="2" t="n">
        <f aca="false">IF(F2677="Present",9,IF(F2677="Half Day",4,0))</f>
        <v>0</v>
      </c>
      <c r="J2677" s="2"/>
      <c r="K2677" s="2" t="s">
        <v>462</v>
      </c>
    </row>
    <row r="2678" customFormat="false" ht="15" hidden="false" customHeight="false" outlineLevel="0" collapsed="false">
      <c r="A2678" s="2" t="s">
        <v>221</v>
      </c>
      <c r="B2678" s="2" t="s">
        <v>222</v>
      </c>
      <c r="C2678" s="2" t="s">
        <v>45</v>
      </c>
      <c r="D2678" s="3" t="n">
        <v>46245</v>
      </c>
      <c r="E2678" s="2" t="str">
        <f aca="false">TEXT(D2678,"dddd")</f>
        <v>Tuesday</v>
      </c>
      <c r="F2678" s="2" t="s">
        <v>457</v>
      </c>
      <c r="G2678" s="2" t="s">
        <v>458</v>
      </c>
      <c r="H2678" s="2" t="s">
        <v>459</v>
      </c>
      <c r="I2678" s="2" t="n">
        <f aca="false">IF(F2678="Present",9,IF(F2678="Half Day",4,0))</f>
        <v>9</v>
      </c>
      <c r="J2678" s="2"/>
      <c r="K2678" s="2"/>
    </row>
    <row r="2679" customFormat="false" ht="15" hidden="false" customHeight="false" outlineLevel="0" collapsed="false">
      <c r="A2679" s="2" t="s">
        <v>221</v>
      </c>
      <c r="B2679" s="2" t="s">
        <v>222</v>
      </c>
      <c r="C2679" s="2" t="s">
        <v>45</v>
      </c>
      <c r="D2679" s="3" t="n">
        <v>46246</v>
      </c>
      <c r="E2679" s="2" t="str">
        <f aca="false">TEXT(D2679,"dddd")</f>
        <v>Wednesday</v>
      </c>
      <c r="F2679" s="2" t="s">
        <v>463</v>
      </c>
      <c r="G2679" s="2"/>
      <c r="H2679" s="2"/>
      <c r="I2679" s="2" t="n">
        <f aca="false">IF(F2679="Present",9,IF(F2679="Half Day",4,0))</f>
        <v>0</v>
      </c>
      <c r="J2679" s="2" t="s">
        <v>474</v>
      </c>
      <c r="K2679" s="2" t="s">
        <v>475</v>
      </c>
    </row>
    <row r="2680" customFormat="false" ht="15" hidden="false" customHeight="false" outlineLevel="0" collapsed="false">
      <c r="A2680" s="2" t="s">
        <v>221</v>
      </c>
      <c r="B2680" s="2" t="s">
        <v>222</v>
      </c>
      <c r="C2680" s="2" t="s">
        <v>45</v>
      </c>
      <c r="D2680" s="3" t="n">
        <v>46247</v>
      </c>
      <c r="E2680" s="2" t="str">
        <f aca="false">TEXT(D2680,"dddd")</f>
        <v>Thursday</v>
      </c>
      <c r="F2680" s="2" t="s">
        <v>457</v>
      </c>
      <c r="G2680" s="2" t="s">
        <v>458</v>
      </c>
      <c r="H2680" s="2" t="s">
        <v>459</v>
      </c>
      <c r="I2680" s="2" t="n">
        <f aca="false">IF(F2680="Present",9,IF(F2680="Half Day",4,0))</f>
        <v>9</v>
      </c>
      <c r="J2680" s="2"/>
      <c r="K2680" s="2"/>
    </row>
    <row r="2681" customFormat="false" ht="15" hidden="false" customHeight="false" outlineLevel="0" collapsed="false">
      <c r="A2681" s="2" t="s">
        <v>221</v>
      </c>
      <c r="B2681" s="2" t="s">
        <v>222</v>
      </c>
      <c r="C2681" s="2" t="s">
        <v>45</v>
      </c>
      <c r="D2681" s="3" t="n">
        <v>46248</v>
      </c>
      <c r="E2681" s="2" t="str">
        <f aca="false">TEXT(D2681,"dddd")</f>
        <v>Friday</v>
      </c>
      <c r="F2681" s="2" t="s">
        <v>457</v>
      </c>
      <c r="G2681" s="2" t="s">
        <v>458</v>
      </c>
      <c r="H2681" s="2" t="s">
        <v>459</v>
      </c>
      <c r="I2681" s="2" t="n">
        <f aca="false">IF(F2681="Present",9,IF(F2681="Half Day",4,0))</f>
        <v>9</v>
      </c>
      <c r="J2681" s="2"/>
      <c r="K2681" s="2"/>
    </row>
    <row r="2682" customFormat="false" ht="15" hidden="false" customHeight="false" outlineLevel="0" collapsed="false">
      <c r="A2682" s="2" t="s">
        <v>221</v>
      </c>
      <c r="B2682" s="2" t="s">
        <v>222</v>
      </c>
      <c r="C2682" s="2" t="s">
        <v>45</v>
      </c>
      <c r="D2682" s="3" t="n">
        <v>46249</v>
      </c>
      <c r="E2682" s="2" t="str">
        <f aca="false">TEXT(D2682,"dddd")</f>
        <v>Saturday</v>
      </c>
      <c r="F2682" s="2" t="s">
        <v>457</v>
      </c>
      <c r="G2682" s="2" t="s">
        <v>458</v>
      </c>
      <c r="H2682" s="2" t="s">
        <v>459</v>
      </c>
      <c r="I2682" s="2" t="n">
        <f aca="false">IF(F2682="Present",9,IF(F2682="Half Day",4,0))</f>
        <v>9</v>
      </c>
      <c r="J2682" s="2"/>
      <c r="K2682" s="2"/>
    </row>
    <row r="2683" customFormat="false" ht="15" hidden="false" customHeight="false" outlineLevel="0" collapsed="false">
      <c r="A2683" s="2" t="s">
        <v>221</v>
      </c>
      <c r="B2683" s="2" t="s">
        <v>222</v>
      </c>
      <c r="C2683" s="2" t="s">
        <v>45</v>
      </c>
      <c r="D2683" s="3" t="n">
        <v>46250</v>
      </c>
      <c r="E2683" s="2" t="str">
        <f aca="false">TEXT(D2683,"dddd")</f>
        <v>Sunday</v>
      </c>
      <c r="F2683" s="2" t="s">
        <v>460</v>
      </c>
      <c r="G2683" s="2"/>
      <c r="H2683" s="2"/>
      <c r="I2683" s="2" t="n">
        <f aca="false">IF(F2683="Present",9,IF(F2683="Half Day",4,0))</f>
        <v>0</v>
      </c>
      <c r="J2683" s="2"/>
      <c r="K2683" s="2" t="s">
        <v>460</v>
      </c>
    </row>
    <row r="2684" customFormat="false" ht="15" hidden="false" customHeight="false" outlineLevel="0" collapsed="false">
      <c r="A2684" s="2" t="s">
        <v>221</v>
      </c>
      <c r="B2684" s="2" t="s">
        <v>222</v>
      </c>
      <c r="C2684" s="2" t="s">
        <v>45</v>
      </c>
      <c r="D2684" s="3" t="n">
        <v>46251</v>
      </c>
      <c r="E2684" s="2" t="str">
        <f aca="false">TEXT(D2684,"dddd")</f>
        <v>Monday</v>
      </c>
      <c r="F2684" s="2" t="s">
        <v>457</v>
      </c>
      <c r="G2684" s="2" t="s">
        <v>458</v>
      </c>
      <c r="H2684" s="2" t="s">
        <v>459</v>
      </c>
      <c r="I2684" s="2" t="n">
        <f aca="false">IF(F2684="Present",9,IF(F2684="Half Day",4,0))</f>
        <v>9</v>
      </c>
      <c r="J2684" s="2"/>
      <c r="K2684" s="2"/>
    </row>
    <row r="2685" customFormat="false" ht="15" hidden="false" customHeight="false" outlineLevel="0" collapsed="false">
      <c r="A2685" s="2" t="s">
        <v>221</v>
      </c>
      <c r="B2685" s="2" t="s">
        <v>222</v>
      </c>
      <c r="C2685" s="2" t="s">
        <v>45</v>
      </c>
      <c r="D2685" s="3" t="n">
        <v>46252</v>
      </c>
      <c r="E2685" s="2" t="str">
        <f aca="false">TEXT(D2685,"dddd")</f>
        <v>Tuesday</v>
      </c>
      <c r="F2685" s="2" t="s">
        <v>457</v>
      </c>
      <c r="G2685" s="2" t="s">
        <v>458</v>
      </c>
      <c r="H2685" s="2" t="s">
        <v>459</v>
      </c>
      <c r="I2685" s="2" t="n">
        <f aca="false">IF(F2685="Present",9,IF(F2685="Half Day",4,0))</f>
        <v>9</v>
      </c>
      <c r="J2685" s="2"/>
      <c r="K2685" s="2"/>
    </row>
    <row r="2686" customFormat="false" ht="15" hidden="false" customHeight="false" outlineLevel="0" collapsed="false">
      <c r="A2686" s="2" t="s">
        <v>221</v>
      </c>
      <c r="B2686" s="2" t="s">
        <v>222</v>
      </c>
      <c r="C2686" s="2" t="s">
        <v>45</v>
      </c>
      <c r="D2686" s="3" t="n">
        <v>46253</v>
      </c>
      <c r="E2686" s="2" t="str">
        <f aca="false">TEXT(D2686,"dddd")</f>
        <v>Wednesday</v>
      </c>
      <c r="F2686" s="2" t="s">
        <v>457</v>
      </c>
      <c r="G2686" s="2" t="s">
        <v>458</v>
      </c>
      <c r="H2686" s="2" t="s">
        <v>459</v>
      </c>
      <c r="I2686" s="2" t="n">
        <f aca="false">IF(F2686="Present",9,IF(F2686="Half Day",4,0))</f>
        <v>9</v>
      </c>
      <c r="J2686" s="2"/>
      <c r="K2686" s="2"/>
    </row>
    <row r="2687" customFormat="false" ht="15" hidden="false" customHeight="false" outlineLevel="0" collapsed="false">
      <c r="A2687" s="2" t="s">
        <v>221</v>
      </c>
      <c r="B2687" s="2" t="s">
        <v>222</v>
      </c>
      <c r="C2687" s="2" t="s">
        <v>45</v>
      </c>
      <c r="D2687" s="3" t="n">
        <v>46254</v>
      </c>
      <c r="E2687" s="2" t="str">
        <f aca="false">TEXT(D2687,"dddd")</f>
        <v>Thursday</v>
      </c>
      <c r="F2687" s="2" t="s">
        <v>457</v>
      </c>
      <c r="G2687" s="2" t="s">
        <v>458</v>
      </c>
      <c r="H2687" s="2" t="s">
        <v>459</v>
      </c>
      <c r="I2687" s="2" t="n">
        <f aca="false">IF(F2687="Present",9,IF(F2687="Half Day",4,0))</f>
        <v>9</v>
      </c>
      <c r="J2687" s="2"/>
      <c r="K2687" s="2"/>
    </row>
    <row r="2688" customFormat="false" ht="15" hidden="false" customHeight="false" outlineLevel="0" collapsed="false">
      <c r="A2688" s="2" t="s">
        <v>221</v>
      </c>
      <c r="B2688" s="2" t="s">
        <v>222</v>
      </c>
      <c r="C2688" s="2" t="s">
        <v>45</v>
      </c>
      <c r="D2688" s="3" t="n">
        <v>46255</v>
      </c>
      <c r="E2688" s="2" t="str">
        <f aca="false">TEXT(D2688,"dddd")</f>
        <v>Friday</v>
      </c>
      <c r="F2688" s="2" t="s">
        <v>457</v>
      </c>
      <c r="G2688" s="2" t="s">
        <v>458</v>
      </c>
      <c r="H2688" s="2" t="s">
        <v>459</v>
      </c>
      <c r="I2688" s="2" t="n">
        <f aca="false">IF(F2688="Present",9,IF(F2688="Half Day",4,0))</f>
        <v>9</v>
      </c>
      <c r="J2688" s="2"/>
      <c r="K2688" s="2"/>
    </row>
    <row r="2689" customFormat="false" ht="15" hidden="false" customHeight="false" outlineLevel="0" collapsed="false">
      <c r="A2689" s="2" t="s">
        <v>221</v>
      </c>
      <c r="B2689" s="2" t="s">
        <v>222</v>
      </c>
      <c r="C2689" s="2" t="s">
        <v>45</v>
      </c>
      <c r="D2689" s="3" t="n">
        <v>46256</v>
      </c>
      <c r="E2689" s="2" t="str">
        <f aca="false">TEXT(D2689,"dddd")</f>
        <v>Saturday</v>
      </c>
      <c r="F2689" s="2" t="s">
        <v>457</v>
      </c>
      <c r="G2689" s="2" t="s">
        <v>458</v>
      </c>
      <c r="H2689" s="2" t="s">
        <v>459</v>
      </c>
      <c r="I2689" s="2" t="n">
        <f aca="false">IF(F2689="Present",9,IF(F2689="Half Day",4,0))</f>
        <v>9</v>
      </c>
      <c r="J2689" s="2"/>
      <c r="K2689" s="2"/>
    </row>
    <row r="2690" customFormat="false" ht="15" hidden="false" customHeight="false" outlineLevel="0" collapsed="false">
      <c r="A2690" s="2" t="s">
        <v>221</v>
      </c>
      <c r="B2690" s="2" t="s">
        <v>222</v>
      </c>
      <c r="C2690" s="2" t="s">
        <v>45</v>
      </c>
      <c r="D2690" s="3" t="n">
        <v>46257</v>
      </c>
      <c r="E2690" s="2" t="str">
        <f aca="false">TEXT(D2690,"dddd")</f>
        <v>Sunday</v>
      </c>
      <c r="F2690" s="2" t="s">
        <v>460</v>
      </c>
      <c r="G2690" s="2"/>
      <c r="H2690" s="2"/>
      <c r="I2690" s="2" t="n">
        <f aca="false">IF(F2690="Present",9,IF(F2690="Half Day",4,0))</f>
        <v>0</v>
      </c>
      <c r="J2690" s="2"/>
      <c r="K2690" s="2" t="s">
        <v>460</v>
      </c>
    </row>
    <row r="2691" customFormat="false" ht="15" hidden="false" customHeight="false" outlineLevel="0" collapsed="false">
      <c r="A2691" s="2" t="s">
        <v>221</v>
      </c>
      <c r="B2691" s="2" t="s">
        <v>222</v>
      </c>
      <c r="C2691" s="2" t="s">
        <v>45</v>
      </c>
      <c r="D2691" s="3" t="n">
        <v>46258</v>
      </c>
      <c r="E2691" s="2" t="str">
        <f aca="false">TEXT(D2691,"dddd")</f>
        <v>Monday</v>
      </c>
      <c r="F2691" s="2" t="s">
        <v>457</v>
      </c>
      <c r="G2691" s="2" t="s">
        <v>458</v>
      </c>
      <c r="H2691" s="2" t="s">
        <v>459</v>
      </c>
      <c r="I2691" s="2" t="n">
        <f aca="false">IF(F2691="Present",9,IF(F2691="Half Day",4,0))</f>
        <v>9</v>
      </c>
      <c r="J2691" s="2"/>
      <c r="K2691" s="2"/>
    </row>
    <row r="2692" customFormat="false" ht="15" hidden="false" customHeight="false" outlineLevel="0" collapsed="false">
      <c r="A2692" s="2" t="s">
        <v>221</v>
      </c>
      <c r="B2692" s="2" t="s">
        <v>222</v>
      </c>
      <c r="C2692" s="2" t="s">
        <v>45</v>
      </c>
      <c r="D2692" s="3" t="n">
        <v>46259</v>
      </c>
      <c r="E2692" s="2" t="str">
        <f aca="false">TEXT(D2692,"dddd")</f>
        <v>Tuesday</v>
      </c>
      <c r="F2692" s="2" t="s">
        <v>457</v>
      </c>
      <c r="G2692" s="2" t="s">
        <v>458</v>
      </c>
      <c r="H2692" s="2" t="s">
        <v>459</v>
      </c>
      <c r="I2692" s="2" t="n">
        <f aca="false">IF(F2692="Present",9,IF(F2692="Half Day",4,0))</f>
        <v>9</v>
      </c>
      <c r="J2692" s="2"/>
      <c r="K2692" s="2"/>
    </row>
    <row r="2693" customFormat="false" ht="15" hidden="false" customHeight="false" outlineLevel="0" collapsed="false">
      <c r="A2693" s="2" t="s">
        <v>221</v>
      </c>
      <c r="B2693" s="2" t="s">
        <v>222</v>
      </c>
      <c r="C2693" s="2" t="s">
        <v>45</v>
      </c>
      <c r="D2693" s="3" t="n">
        <v>46260</v>
      </c>
      <c r="E2693" s="2" t="str">
        <f aca="false">TEXT(D2693,"dddd")</f>
        <v>Wednesday</v>
      </c>
      <c r="F2693" s="2" t="s">
        <v>457</v>
      </c>
      <c r="G2693" s="2" t="s">
        <v>458</v>
      </c>
      <c r="H2693" s="2" t="s">
        <v>459</v>
      </c>
      <c r="I2693" s="2" t="n">
        <f aca="false">IF(F2693="Present",9,IF(F2693="Half Day",4,0))</f>
        <v>9</v>
      </c>
      <c r="J2693" s="2"/>
      <c r="K2693" s="2"/>
    </row>
    <row r="2694" customFormat="false" ht="15" hidden="false" customHeight="false" outlineLevel="0" collapsed="false">
      <c r="A2694" s="2" t="s">
        <v>221</v>
      </c>
      <c r="B2694" s="2" t="s">
        <v>222</v>
      </c>
      <c r="C2694" s="2" t="s">
        <v>45</v>
      </c>
      <c r="D2694" s="3" t="n">
        <v>46261</v>
      </c>
      <c r="E2694" s="2" t="str">
        <f aca="false">TEXT(D2694,"dddd")</f>
        <v>Thursday</v>
      </c>
      <c r="F2694" s="2" t="s">
        <v>457</v>
      </c>
      <c r="G2694" s="2" t="s">
        <v>458</v>
      </c>
      <c r="H2694" s="2" t="s">
        <v>459</v>
      </c>
      <c r="I2694" s="2" t="n">
        <f aca="false">IF(F2694="Present",9,IF(F2694="Half Day",4,0))</f>
        <v>9</v>
      </c>
      <c r="J2694" s="2"/>
      <c r="K2694" s="2"/>
    </row>
    <row r="2695" customFormat="false" ht="15" hidden="false" customHeight="false" outlineLevel="0" collapsed="false">
      <c r="A2695" s="2" t="s">
        <v>221</v>
      </c>
      <c r="B2695" s="2" t="s">
        <v>222</v>
      </c>
      <c r="C2695" s="2" t="s">
        <v>45</v>
      </c>
      <c r="D2695" s="3" t="n">
        <v>46262</v>
      </c>
      <c r="E2695" s="2" t="str">
        <f aca="false">TEXT(D2695,"dddd")</f>
        <v>Friday</v>
      </c>
      <c r="F2695" s="2" t="s">
        <v>461</v>
      </c>
      <c r="G2695" s="2"/>
      <c r="H2695" s="2"/>
      <c r="I2695" s="2" t="n">
        <f aca="false">IF(F2695="Present",9,IF(F2695="Half Day",4,0))</f>
        <v>0</v>
      </c>
      <c r="J2695" s="2"/>
      <c r="K2695" s="2" t="s">
        <v>462</v>
      </c>
    </row>
    <row r="2696" customFormat="false" ht="15" hidden="false" customHeight="false" outlineLevel="0" collapsed="false">
      <c r="A2696" s="2" t="s">
        <v>221</v>
      </c>
      <c r="B2696" s="2" t="s">
        <v>222</v>
      </c>
      <c r="C2696" s="2" t="s">
        <v>45</v>
      </c>
      <c r="D2696" s="3" t="n">
        <v>46263</v>
      </c>
      <c r="E2696" s="2" t="str">
        <f aca="false">TEXT(D2696,"dddd")</f>
        <v>Saturday</v>
      </c>
      <c r="F2696" s="2" t="s">
        <v>466</v>
      </c>
      <c r="G2696" s="2" t="s">
        <v>458</v>
      </c>
      <c r="H2696" s="2" t="s">
        <v>467</v>
      </c>
      <c r="I2696" s="2" t="n">
        <f aca="false">IF(F2696="Present",9,IF(F2696="Half Day",4,0))</f>
        <v>4</v>
      </c>
      <c r="J2696" s="2"/>
      <c r="K2696" s="2" t="s">
        <v>466</v>
      </c>
    </row>
    <row r="2697" customFormat="false" ht="15" hidden="false" customHeight="false" outlineLevel="0" collapsed="false">
      <c r="A2697" s="2" t="s">
        <v>221</v>
      </c>
      <c r="B2697" s="2" t="s">
        <v>222</v>
      </c>
      <c r="C2697" s="2" t="s">
        <v>45</v>
      </c>
      <c r="D2697" s="3" t="n">
        <v>46264</v>
      </c>
      <c r="E2697" s="2" t="str">
        <f aca="false">TEXT(D2697,"dddd")</f>
        <v>Sunday</v>
      </c>
      <c r="F2697" s="2" t="s">
        <v>460</v>
      </c>
      <c r="G2697" s="2"/>
      <c r="H2697" s="2"/>
      <c r="I2697" s="2" t="n">
        <f aca="false">IF(F2697="Present",9,IF(F2697="Half Day",4,0))</f>
        <v>0</v>
      </c>
      <c r="J2697" s="2"/>
      <c r="K2697" s="2" t="s">
        <v>460</v>
      </c>
    </row>
    <row r="2698" customFormat="false" ht="15" hidden="false" customHeight="false" outlineLevel="0" collapsed="false">
      <c r="A2698" s="2" t="s">
        <v>221</v>
      </c>
      <c r="B2698" s="2" t="s">
        <v>222</v>
      </c>
      <c r="C2698" s="2" t="s">
        <v>45</v>
      </c>
      <c r="D2698" s="3" t="n">
        <v>46265</v>
      </c>
      <c r="E2698" s="2" t="str">
        <f aca="false">TEXT(D2698,"dddd")</f>
        <v>Monday</v>
      </c>
      <c r="F2698" s="2" t="s">
        <v>457</v>
      </c>
      <c r="G2698" s="2" t="s">
        <v>458</v>
      </c>
      <c r="H2698" s="2" t="s">
        <v>459</v>
      </c>
      <c r="I2698" s="2" t="n">
        <f aca="false">IF(F2698="Present",9,IF(F2698="Half Day",4,0))</f>
        <v>9</v>
      </c>
      <c r="J2698" s="2"/>
      <c r="K2698" s="2"/>
    </row>
    <row r="2699" customFormat="false" ht="15" hidden="false" customHeight="false" outlineLevel="0" collapsed="false">
      <c r="A2699" s="2" t="s">
        <v>223</v>
      </c>
      <c r="B2699" s="2" t="s">
        <v>224</v>
      </c>
      <c r="C2699" s="2" t="s">
        <v>49</v>
      </c>
      <c r="D2699" s="3" t="n">
        <v>46235</v>
      </c>
      <c r="E2699" s="2" t="str">
        <f aca="false">TEXT(D2699,"dddd")</f>
        <v>Saturday</v>
      </c>
      <c r="F2699" s="2" t="s">
        <v>457</v>
      </c>
      <c r="G2699" s="2" t="s">
        <v>458</v>
      </c>
      <c r="H2699" s="2" t="s">
        <v>459</v>
      </c>
      <c r="I2699" s="2" t="n">
        <f aca="false">IF(F2699="Present",9,IF(F2699="Half Day",4,0))</f>
        <v>9</v>
      </c>
      <c r="J2699" s="2"/>
      <c r="K2699" s="2"/>
    </row>
    <row r="2700" customFormat="false" ht="15" hidden="false" customHeight="false" outlineLevel="0" collapsed="false">
      <c r="A2700" s="2" t="s">
        <v>223</v>
      </c>
      <c r="B2700" s="2" t="s">
        <v>224</v>
      </c>
      <c r="C2700" s="2" t="s">
        <v>49</v>
      </c>
      <c r="D2700" s="3" t="n">
        <v>46236</v>
      </c>
      <c r="E2700" s="2" t="str">
        <f aca="false">TEXT(D2700,"dddd")</f>
        <v>Sunday</v>
      </c>
      <c r="F2700" s="2" t="s">
        <v>460</v>
      </c>
      <c r="G2700" s="2"/>
      <c r="H2700" s="2"/>
      <c r="I2700" s="2" t="n">
        <f aca="false">IF(F2700="Present",9,IF(F2700="Half Day",4,0))</f>
        <v>0</v>
      </c>
      <c r="J2700" s="2"/>
      <c r="K2700" s="2" t="s">
        <v>460</v>
      </c>
    </row>
    <row r="2701" customFormat="false" ht="15" hidden="false" customHeight="false" outlineLevel="0" collapsed="false">
      <c r="A2701" s="2" t="s">
        <v>223</v>
      </c>
      <c r="B2701" s="2" t="s">
        <v>224</v>
      </c>
      <c r="C2701" s="2" t="s">
        <v>49</v>
      </c>
      <c r="D2701" s="3" t="n">
        <v>46237</v>
      </c>
      <c r="E2701" s="2" t="str">
        <f aca="false">TEXT(D2701,"dddd")</f>
        <v>Monday</v>
      </c>
      <c r="F2701" s="2" t="s">
        <v>457</v>
      </c>
      <c r="G2701" s="2" t="s">
        <v>458</v>
      </c>
      <c r="H2701" s="2" t="s">
        <v>459</v>
      </c>
      <c r="I2701" s="2" t="n">
        <f aca="false">IF(F2701="Present",9,IF(F2701="Half Day",4,0))</f>
        <v>9</v>
      </c>
      <c r="J2701" s="2"/>
      <c r="K2701" s="2"/>
    </row>
    <row r="2702" customFormat="false" ht="15" hidden="false" customHeight="false" outlineLevel="0" collapsed="false">
      <c r="A2702" s="2" t="s">
        <v>223</v>
      </c>
      <c r="B2702" s="2" t="s">
        <v>224</v>
      </c>
      <c r="C2702" s="2" t="s">
        <v>49</v>
      </c>
      <c r="D2702" s="3" t="n">
        <v>46238</v>
      </c>
      <c r="E2702" s="2" t="str">
        <f aca="false">TEXT(D2702,"dddd")</f>
        <v>Tuesday</v>
      </c>
      <c r="F2702" s="2" t="s">
        <v>457</v>
      </c>
      <c r="G2702" s="2" t="s">
        <v>458</v>
      </c>
      <c r="H2702" s="2" t="s">
        <v>459</v>
      </c>
      <c r="I2702" s="2" t="n">
        <f aca="false">IF(F2702="Present",9,IF(F2702="Half Day",4,0))</f>
        <v>9</v>
      </c>
      <c r="J2702" s="2"/>
      <c r="K2702" s="2"/>
    </row>
    <row r="2703" customFormat="false" ht="15" hidden="false" customHeight="false" outlineLevel="0" collapsed="false">
      <c r="A2703" s="2" t="s">
        <v>223</v>
      </c>
      <c r="B2703" s="2" t="s">
        <v>224</v>
      </c>
      <c r="C2703" s="2" t="s">
        <v>49</v>
      </c>
      <c r="D2703" s="3" t="n">
        <v>46239</v>
      </c>
      <c r="E2703" s="2" t="str">
        <f aca="false">TEXT(D2703,"dddd")</f>
        <v>Wednesday</v>
      </c>
      <c r="F2703" s="2" t="s">
        <v>457</v>
      </c>
      <c r="G2703" s="2" t="s">
        <v>458</v>
      </c>
      <c r="H2703" s="2" t="s">
        <v>459</v>
      </c>
      <c r="I2703" s="2" t="n">
        <f aca="false">IF(F2703="Present",9,IF(F2703="Half Day",4,0))</f>
        <v>9</v>
      </c>
      <c r="J2703" s="2"/>
      <c r="K2703" s="2"/>
    </row>
    <row r="2704" customFormat="false" ht="15" hidden="false" customHeight="false" outlineLevel="0" collapsed="false">
      <c r="A2704" s="2" t="s">
        <v>223</v>
      </c>
      <c r="B2704" s="2" t="s">
        <v>224</v>
      </c>
      <c r="C2704" s="2" t="s">
        <v>49</v>
      </c>
      <c r="D2704" s="3" t="n">
        <v>46240</v>
      </c>
      <c r="E2704" s="2" t="str">
        <f aca="false">TEXT(D2704,"dddd")</f>
        <v>Thursday</v>
      </c>
      <c r="F2704" s="2" t="s">
        <v>461</v>
      </c>
      <c r="G2704" s="2"/>
      <c r="H2704" s="2"/>
      <c r="I2704" s="2" t="n">
        <f aca="false">IF(F2704="Present",9,IF(F2704="Half Day",4,0))</f>
        <v>0</v>
      </c>
      <c r="J2704" s="2"/>
      <c r="K2704" s="2" t="s">
        <v>462</v>
      </c>
    </row>
    <row r="2705" customFormat="false" ht="15" hidden="false" customHeight="false" outlineLevel="0" collapsed="false">
      <c r="A2705" s="2" t="s">
        <v>223</v>
      </c>
      <c r="B2705" s="2" t="s">
        <v>224</v>
      </c>
      <c r="C2705" s="2" t="s">
        <v>49</v>
      </c>
      <c r="D2705" s="3" t="n">
        <v>46241</v>
      </c>
      <c r="E2705" s="2" t="str">
        <f aca="false">TEXT(D2705,"dddd")</f>
        <v>Friday</v>
      </c>
      <c r="F2705" s="2" t="s">
        <v>457</v>
      </c>
      <c r="G2705" s="2" t="s">
        <v>458</v>
      </c>
      <c r="H2705" s="2" t="s">
        <v>459</v>
      </c>
      <c r="I2705" s="2" t="n">
        <f aca="false">IF(F2705="Present",9,IF(F2705="Half Day",4,0))</f>
        <v>9</v>
      </c>
      <c r="J2705" s="2"/>
      <c r="K2705" s="2"/>
    </row>
    <row r="2706" customFormat="false" ht="15" hidden="false" customHeight="false" outlineLevel="0" collapsed="false">
      <c r="A2706" s="2" t="s">
        <v>223</v>
      </c>
      <c r="B2706" s="2" t="s">
        <v>224</v>
      </c>
      <c r="C2706" s="2" t="s">
        <v>49</v>
      </c>
      <c r="D2706" s="3" t="n">
        <v>46242</v>
      </c>
      <c r="E2706" s="2" t="str">
        <f aca="false">TEXT(D2706,"dddd")</f>
        <v>Saturday</v>
      </c>
      <c r="F2706" s="2" t="s">
        <v>457</v>
      </c>
      <c r="G2706" s="2" t="s">
        <v>458</v>
      </c>
      <c r="H2706" s="2" t="s">
        <v>459</v>
      </c>
      <c r="I2706" s="2" t="n">
        <f aca="false">IF(F2706="Present",9,IF(F2706="Half Day",4,0))</f>
        <v>9</v>
      </c>
      <c r="J2706" s="2"/>
      <c r="K2706" s="2"/>
    </row>
    <row r="2707" customFormat="false" ht="15" hidden="false" customHeight="false" outlineLevel="0" collapsed="false">
      <c r="A2707" s="2" t="s">
        <v>223</v>
      </c>
      <c r="B2707" s="2" t="s">
        <v>224</v>
      </c>
      <c r="C2707" s="2" t="s">
        <v>49</v>
      </c>
      <c r="D2707" s="3" t="n">
        <v>46243</v>
      </c>
      <c r="E2707" s="2" t="str">
        <f aca="false">TEXT(D2707,"dddd")</f>
        <v>Sunday</v>
      </c>
      <c r="F2707" s="2" t="s">
        <v>460</v>
      </c>
      <c r="G2707" s="2"/>
      <c r="H2707" s="2"/>
      <c r="I2707" s="2" t="n">
        <f aca="false">IF(F2707="Present",9,IF(F2707="Half Day",4,0))</f>
        <v>0</v>
      </c>
      <c r="J2707" s="2"/>
      <c r="K2707" s="2" t="s">
        <v>460</v>
      </c>
    </row>
    <row r="2708" customFormat="false" ht="15" hidden="false" customHeight="false" outlineLevel="0" collapsed="false">
      <c r="A2708" s="2" t="s">
        <v>223</v>
      </c>
      <c r="B2708" s="2" t="s">
        <v>224</v>
      </c>
      <c r="C2708" s="2" t="s">
        <v>49</v>
      </c>
      <c r="D2708" s="3" t="n">
        <v>46244</v>
      </c>
      <c r="E2708" s="2" t="str">
        <f aca="false">TEXT(D2708,"dddd")</f>
        <v>Monday</v>
      </c>
      <c r="F2708" s="2" t="s">
        <v>457</v>
      </c>
      <c r="G2708" s="2" t="s">
        <v>458</v>
      </c>
      <c r="H2708" s="2" t="s">
        <v>459</v>
      </c>
      <c r="I2708" s="2" t="n">
        <f aca="false">IF(F2708="Present",9,IF(F2708="Half Day",4,0))</f>
        <v>9</v>
      </c>
      <c r="J2708" s="2"/>
      <c r="K2708" s="2"/>
    </row>
    <row r="2709" customFormat="false" ht="15" hidden="false" customHeight="false" outlineLevel="0" collapsed="false">
      <c r="A2709" s="2" t="s">
        <v>223</v>
      </c>
      <c r="B2709" s="2" t="s">
        <v>224</v>
      </c>
      <c r="C2709" s="2" t="s">
        <v>49</v>
      </c>
      <c r="D2709" s="3" t="n">
        <v>46245</v>
      </c>
      <c r="E2709" s="2" t="str">
        <f aca="false">TEXT(D2709,"dddd")</f>
        <v>Tuesday</v>
      </c>
      <c r="F2709" s="2" t="s">
        <v>457</v>
      </c>
      <c r="G2709" s="2" t="s">
        <v>458</v>
      </c>
      <c r="H2709" s="2" t="s">
        <v>459</v>
      </c>
      <c r="I2709" s="2" t="n">
        <f aca="false">IF(F2709="Present",9,IF(F2709="Half Day",4,0))</f>
        <v>9</v>
      </c>
      <c r="J2709" s="2"/>
      <c r="K2709" s="2"/>
    </row>
    <row r="2710" customFormat="false" ht="15" hidden="false" customHeight="false" outlineLevel="0" collapsed="false">
      <c r="A2710" s="2" t="s">
        <v>223</v>
      </c>
      <c r="B2710" s="2" t="s">
        <v>224</v>
      </c>
      <c r="C2710" s="2" t="s">
        <v>49</v>
      </c>
      <c r="D2710" s="3" t="n">
        <v>46246</v>
      </c>
      <c r="E2710" s="2" t="str">
        <f aca="false">TEXT(D2710,"dddd")</f>
        <v>Wednesday</v>
      </c>
      <c r="F2710" s="2" t="s">
        <v>457</v>
      </c>
      <c r="G2710" s="2" t="s">
        <v>458</v>
      </c>
      <c r="H2710" s="2" t="s">
        <v>459</v>
      </c>
      <c r="I2710" s="2" t="n">
        <f aca="false">IF(F2710="Present",9,IF(F2710="Half Day",4,0))</f>
        <v>9</v>
      </c>
      <c r="J2710" s="2"/>
      <c r="K2710" s="2"/>
    </row>
    <row r="2711" customFormat="false" ht="15" hidden="false" customHeight="false" outlineLevel="0" collapsed="false">
      <c r="A2711" s="2" t="s">
        <v>223</v>
      </c>
      <c r="B2711" s="2" t="s">
        <v>224</v>
      </c>
      <c r="C2711" s="2" t="s">
        <v>49</v>
      </c>
      <c r="D2711" s="3" t="n">
        <v>46247</v>
      </c>
      <c r="E2711" s="2" t="str">
        <f aca="false">TEXT(D2711,"dddd")</f>
        <v>Thursday</v>
      </c>
      <c r="F2711" s="2" t="s">
        <v>463</v>
      </c>
      <c r="G2711" s="2"/>
      <c r="H2711" s="2"/>
      <c r="I2711" s="2" t="n">
        <f aca="false">IF(F2711="Present",9,IF(F2711="Half Day",4,0))</f>
        <v>0</v>
      </c>
      <c r="J2711" s="2" t="s">
        <v>468</v>
      </c>
      <c r="K2711" s="2" t="s">
        <v>469</v>
      </c>
    </row>
    <row r="2712" customFormat="false" ht="15" hidden="false" customHeight="false" outlineLevel="0" collapsed="false">
      <c r="A2712" s="2" t="s">
        <v>223</v>
      </c>
      <c r="B2712" s="2" t="s">
        <v>224</v>
      </c>
      <c r="C2712" s="2" t="s">
        <v>49</v>
      </c>
      <c r="D2712" s="3" t="n">
        <v>46248</v>
      </c>
      <c r="E2712" s="2" t="str">
        <f aca="false">TEXT(D2712,"dddd")</f>
        <v>Friday</v>
      </c>
      <c r="F2712" s="2" t="s">
        <v>457</v>
      </c>
      <c r="G2712" s="2" t="s">
        <v>458</v>
      </c>
      <c r="H2712" s="2" t="s">
        <v>459</v>
      </c>
      <c r="I2712" s="2" t="n">
        <f aca="false">IF(F2712="Present",9,IF(F2712="Half Day",4,0))</f>
        <v>9</v>
      </c>
      <c r="J2712" s="2"/>
      <c r="K2712" s="2"/>
    </row>
    <row r="2713" customFormat="false" ht="15" hidden="false" customHeight="false" outlineLevel="0" collapsed="false">
      <c r="A2713" s="2" t="s">
        <v>223</v>
      </c>
      <c r="B2713" s="2" t="s">
        <v>224</v>
      </c>
      <c r="C2713" s="2" t="s">
        <v>49</v>
      </c>
      <c r="D2713" s="3" t="n">
        <v>46249</v>
      </c>
      <c r="E2713" s="2" t="str">
        <f aca="false">TEXT(D2713,"dddd")</f>
        <v>Saturday</v>
      </c>
      <c r="F2713" s="2" t="s">
        <v>461</v>
      </c>
      <c r="G2713" s="2"/>
      <c r="H2713" s="2"/>
      <c r="I2713" s="2" t="n">
        <f aca="false">IF(F2713="Present",9,IF(F2713="Half Day",4,0))</f>
        <v>0</v>
      </c>
      <c r="J2713" s="2"/>
      <c r="K2713" s="2" t="s">
        <v>462</v>
      </c>
    </row>
    <row r="2714" customFormat="false" ht="15" hidden="false" customHeight="false" outlineLevel="0" collapsed="false">
      <c r="A2714" s="2" t="s">
        <v>223</v>
      </c>
      <c r="B2714" s="2" t="s">
        <v>224</v>
      </c>
      <c r="C2714" s="2" t="s">
        <v>49</v>
      </c>
      <c r="D2714" s="3" t="n">
        <v>46250</v>
      </c>
      <c r="E2714" s="2" t="str">
        <f aca="false">TEXT(D2714,"dddd")</f>
        <v>Sunday</v>
      </c>
      <c r="F2714" s="2" t="s">
        <v>460</v>
      </c>
      <c r="G2714" s="2"/>
      <c r="H2714" s="2"/>
      <c r="I2714" s="2" t="n">
        <f aca="false">IF(F2714="Present",9,IF(F2714="Half Day",4,0))</f>
        <v>0</v>
      </c>
      <c r="J2714" s="2"/>
      <c r="K2714" s="2" t="s">
        <v>460</v>
      </c>
    </row>
    <row r="2715" customFormat="false" ht="15" hidden="false" customHeight="false" outlineLevel="0" collapsed="false">
      <c r="A2715" s="2" t="s">
        <v>223</v>
      </c>
      <c r="B2715" s="2" t="s">
        <v>224</v>
      </c>
      <c r="C2715" s="2" t="s">
        <v>49</v>
      </c>
      <c r="D2715" s="3" t="n">
        <v>46251</v>
      </c>
      <c r="E2715" s="2" t="str">
        <f aca="false">TEXT(D2715,"dddd")</f>
        <v>Monday</v>
      </c>
      <c r="F2715" s="2" t="s">
        <v>461</v>
      </c>
      <c r="G2715" s="2"/>
      <c r="H2715" s="2"/>
      <c r="I2715" s="2" t="n">
        <f aca="false">IF(F2715="Present",9,IF(F2715="Half Day",4,0))</f>
        <v>0</v>
      </c>
      <c r="J2715" s="2"/>
      <c r="K2715" s="2" t="s">
        <v>462</v>
      </c>
    </row>
    <row r="2716" customFormat="false" ht="15" hidden="false" customHeight="false" outlineLevel="0" collapsed="false">
      <c r="A2716" s="2" t="s">
        <v>223</v>
      </c>
      <c r="B2716" s="2" t="s">
        <v>224</v>
      </c>
      <c r="C2716" s="2" t="s">
        <v>49</v>
      </c>
      <c r="D2716" s="3" t="n">
        <v>46252</v>
      </c>
      <c r="E2716" s="2" t="str">
        <f aca="false">TEXT(D2716,"dddd")</f>
        <v>Tuesday</v>
      </c>
      <c r="F2716" s="2" t="s">
        <v>457</v>
      </c>
      <c r="G2716" s="2" t="s">
        <v>458</v>
      </c>
      <c r="H2716" s="2" t="s">
        <v>459</v>
      </c>
      <c r="I2716" s="2" t="n">
        <f aca="false">IF(F2716="Present",9,IF(F2716="Half Day",4,0))</f>
        <v>9</v>
      </c>
      <c r="J2716" s="2"/>
      <c r="K2716" s="2"/>
    </row>
    <row r="2717" customFormat="false" ht="15" hidden="false" customHeight="false" outlineLevel="0" collapsed="false">
      <c r="A2717" s="2" t="s">
        <v>223</v>
      </c>
      <c r="B2717" s="2" t="s">
        <v>224</v>
      </c>
      <c r="C2717" s="2" t="s">
        <v>49</v>
      </c>
      <c r="D2717" s="3" t="n">
        <v>46253</v>
      </c>
      <c r="E2717" s="2" t="str">
        <f aca="false">TEXT(D2717,"dddd")</f>
        <v>Wednesday</v>
      </c>
      <c r="F2717" s="2" t="s">
        <v>457</v>
      </c>
      <c r="G2717" s="2" t="s">
        <v>458</v>
      </c>
      <c r="H2717" s="2" t="s">
        <v>459</v>
      </c>
      <c r="I2717" s="2" t="n">
        <f aca="false">IF(F2717="Present",9,IF(F2717="Half Day",4,0))</f>
        <v>9</v>
      </c>
      <c r="J2717" s="2"/>
      <c r="K2717" s="2"/>
    </row>
    <row r="2718" customFormat="false" ht="15" hidden="false" customHeight="false" outlineLevel="0" collapsed="false">
      <c r="A2718" s="2" t="s">
        <v>223</v>
      </c>
      <c r="B2718" s="2" t="s">
        <v>224</v>
      </c>
      <c r="C2718" s="2" t="s">
        <v>49</v>
      </c>
      <c r="D2718" s="3" t="n">
        <v>46254</v>
      </c>
      <c r="E2718" s="2" t="str">
        <f aca="false">TEXT(D2718,"dddd")</f>
        <v>Thursday</v>
      </c>
      <c r="F2718" s="2" t="s">
        <v>457</v>
      </c>
      <c r="G2718" s="2" t="s">
        <v>458</v>
      </c>
      <c r="H2718" s="2" t="s">
        <v>459</v>
      </c>
      <c r="I2718" s="2" t="n">
        <f aca="false">IF(F2718="Present",9,IF(F2718="Half Day",4,0))</f>
        <v>9</v>
      </c>
      <c r="J2718" s="2"/>
      <c r="K2718" s="2"/>
    </row>
    <row r="2719" customFormat="false" ht="15" hidden="false" customHeight="false" outlineLevel="0" collapsed="false">
      <c r="A2719" s="2" t="s">
        <v>223</v>
      </c>
      <c r="B2719" s="2" t="s">
        <v>224</v>
      </c>
      <c r="C2719" s="2" t="s">
        <v>49</v>
      </c>
      <c r="D2719" s="3" t="n">
        <v>46255</v>
      </c>
      <c r="E2719" s="2" t="str">
        <f aca="false">TEXT(D2719,"dddd")</f>
        <v>Friday</v>
      </c>
      <c r="F2719" s="2" t="s">
        <v>457</v>
      </c>
      <c r="G2719" s="2" t="s">
        <v>458</v>
      </c>
      <c r="H2719" s="2" t="s">
        <v>459</v>
      </c>
      <c r="I2719" s="2" t="n">
        <f aca="false">IF(F2719="Present",9,IF(F2719="Half Day",4,0))</f>
        <v>9</v>
      </c>
      <c r="J2719" s="2"/>
      <c r="K2719" s="2"/>
    </row>
    <row r="2720" customFormat="false" ht="15" hidden="false" customHeight="false" outlineLevel="0" collapsed="false">
      <c r="A2720" s="2" t="s">
        <v>223</v>
      </c>
      <c r="B2720" s="2" t="s">
        <v>224</v>
      </c>
      <c r="C2720" s="2" t="s">
        <v>49</v>
      </c>
      <c r="D2720" s="3" t="n">
        <v>46256</v>
      </c>
      <c r="E2720" s="2" t="str">
        <f aca="false">TEXT(D2720,"dddd")</f>
        <v>Saturday</v>
      </c>
      <c r="F2720" s="2" t="s">
        <v>457</v>
      </c>
      <c r="G2720" s="2" t="s">
        <v>458</v>
      </c>
      <c r="H2720" s="2" t="s">
        <v>459</v>
      </c>
      <c r="I2720" s="2" t="n">
        <f aca="false">IF(F2720="Present",9,IF(F2720="Half Day",4,0))</f>
        <v>9</v>
      </c>
      <c r="J2720" s="2"/>
      <c r="K2720" s="2"/>
    </row>
    <row r="2721" customFormat="false" ht="15" hidden="false" customHeight="false" outlineLevel="0" collapsed="false">
      <c r="A2721" s="2" t="s">
        <v>223</v>
      </c>
      <c r="B2721" s="2" t="s">
        <v>224</v>
      </c>
      <c r="C2721" s="2" t="s">
        <v>49</v>
      </c>
      <c r="D2721" s="3" t="n">
        <v>46257</v>
      </c>
      <c r="E2721" s="2" t="str">
        <f aca="false">TEXT(D2721,"dddd")</f>
        <v>Sunday</v>
      </c>
      <c r="F2721" s="2" t="s">
        <v>460</v>
      </c>
      <c r="G2721" s="2"/>
      <c r="H2721" s="2"/>
      <c r="I2721" s="2" t="n">
        <f aca="false">IF(F2721="Present",9,IF(F2721="Half Day",4,0))</f>
        <v>0</v>
      </c>
      <c r="J2721" s="2"/>
      <c r="K2721" s="2" t="s">
        <v>460</v>
      </c>
    </row>
    <row r="2722" customFormat="false" ht="15" hidden="false" customHeight="false" outlineLevel="0" collapsed="false">
      <c r="A2722" s="2" t="s">
        <v>223</v>
      </c>
      <c r="B2722" s="2" t="s">
        <v>224</v>
      </c>
      <c r="C2722" s="2" t="s">
        <v>49</v>
      </c>
      <c r="D2722" s="3" t="n">
        <v>46258</v>
      </c>
      <c r="E2722" s="2" t="str">
        <f aca="false">TEXT(D2722,"dddd")</f>
        <v>Monday</v>
      </c>
      <c r="F2722" s="2" t="s">
        <v>457</v>
      </c>
      <c r="G2722" s="2" t="s">
        <v>458</v>
      </c>
      <c r="H2722" s="2" t="s">
        <v>459</v>
      </c>
      <c r="I2722" s="2" t="n">
        <f aca="false">IF(F2722="Present",9,IF(F2722="Half Day",4,0))</f>
        <v>9</v>
      </c>
      <c r="J2722" s="2"/>
      <c r="K2722" s="2"/>
    </row>
    <row r="2723" customFormat="false" ht="15" hidden="false" customHeight="false" outlineLevel="0" collapsed="false">
      <c r="A2723" s="2" t="s">
        <v>223</v>
      </c>
      <c r="B2723" s="2" t="s">
        <v>224</v>
      </c>
      <c r="C2723" s="2" t="s">
        <v>49</v>
      </c>
      <c r="D2723" s="3" t="n">
        <v>46259</v>
      </c>
      <c r="E2723" s="2" t="str">
        <f aca="false">TEXT(D2723,"dddd")</f>
        <v>Tuesday</v>
      </c>
      <c r="F2723" s="2" t="s">
        <v>457</v>
      </c>
      <c r="G2723" s="2" t="s">
        <v>458</v>
      </c>
      <c r="H2723" s="2" t="s">
        <v>459</v>
      </c>
      <c r="I2723" s="2" t="n">
        <f aca="false">IF(F2723="Present",9,IF(F2723="Half Day",4,0))</f>
        <v>9</v>
      </c>
      <c r="J2723" s="2"/>
      <c r="K2723" s="2"/>
    </row>
    <row r="2724" customFormat="false" ht="15" hidden="false" customHeight="false" outlineLevel="0" collapsed="false">
      <c r="A2724" s="2" t="s">
        <v>223</v>
      </c>
      <c r="B2724" s="2" t="s">
        <v>224</v>
      </c>
      <c r="C2724" s="2" t="s">
        <v>49</v>
      </c>
      <c r="D2724" s="3" t="n">
        <v>46260</v>
      </c>
      <c r="E2724" s="2" t="str">
        <f aca="false">TEXT(D2724,"dddd")</f>
        <v>Wednesday</v>
      </c>
      <c r="F2724" s="2" t="s">
        <v>457</v>
      </c>
      <c r="G2724" s="2" t="s">
        <v>458</v>
      </c>
      <c r="H2724" s="2" t="s">
        <v>459</v>
      </c>
      <c r="I2724" s="2" t="n">
        <f aca="false">IF(F2724="Present",9,IF(F2724="Half Day",4,0))</f>
        <v>9</v>
      </c>
      <c r="J2724" s="2"/>
      <c r="K2724" s="2"/>
    </row>
    <row r="2725" customFormat="false" ht="15" hidden="false" customHeight="false" outlineLevel="0" collapsed="false">
      <c r="A2725" s="2" t="s">
        <v>223</v>
      </c>
      <c r="B2725" s="2" t="s">
        <v>224</v>
      </c>
      <c r="C2725" s="2" t="s">
        <v>49</v>
      </c>
      <c r="D2725" s="3" t="n">
        <v>46261</v>
      </c>
      <c r="E2725" s="2" t="str">
        <f aca="false">TEXT(D2725,"dddd")</f>
        <v>Thursday</v>
      </c>
      <c r="F2725" s="2" t="s">
        <v>457</v>
      </c>
      <c r="G2725" s="2" t="s">
        <v>458</v>
      </c>
      <c r="H2725" s="2" t="s">
        <v>459</v>
      </c>
      <c r="I2725" s="2" t="n">
        <f aca="false">IF(F2725="Present",9,IF(F2725="Half Day",4,0))</f>
        <v>9</v>
      </c>
      <c r="J2725" s="2"/>
      <c r="K2725" s="2"/>
    </row>
    <row r="2726" customFormat="false" ht="15" hidden="false" customHeight="false" outlineLevel="0" collapsed="false">
      <c r="A2726" s="2" t="s">
        <v>223</v>
      </c>
      <c r="B2726" s="2" t="s">
        <v>224</v>
      </c>
      <c r="C2726" s="2" t="s">
        <v>49</v>
      </c>
      <c r="D2726" s="3" t="n">
        <v>46262</v>
      </c>
      <c r="E2726" s="2" t="str">
        <f aca="false">TEXT(D2726,"dddd")</f>
        <v>Friday</v>
      </c>
      <c r="F2726" s="2" t="s">
        <v>457</v>
      </c>
      <c r="G2726" s="2" t="s">
        <v>458</v>
      </c>
      <c r="H2726" s="2" t="s">
        <v>459</v>
      </c>
      <c r="I2726" s="2" t="n">
        <f aca="false">IF(F2726="Present",9,IF(F2726="Half Day",4,0))</f>
        <v>9</v>
      </c>
      <c r="J2726" s="2"/>
      <c r="K2726" s="2"/>
    </row>
    <row r="2727" customFormat="false" ht="15" hidden="false" customHeight="false" outlineLevel="0" collapsed="false">
      <c r="A2727" s="2" t="s">
        <v>223</v>
      </c>
      <c r="B2727" s="2" t="s">
        <v>224</v>
      </c>
      <c r="C2727" s="2" t="s">
        <v>49</v>
      </c>
      <c r="D2727" s="3" t="n">
        <v>46263</v>
      </c>
      <c r="E2727" s="2" t="str">
        <f aca="false">TEXT(D2727,"dddd")</f>
        <v>Saturday</v>
      </c>
      <c r="F2727" s="2" t="s">
        <v>457</v>
      </c>
      <c r="G2727" s="2" t="s">
        <v>458</v>
      </c>
      <c r="H2727" s="2" t="s">
        <v>459</v>
      </c>
      <c r="I2727" s="2" t="n">
        <f aca="false">IF(F2727="Present",9,IF(F2727="Half Day",4,0))</f>
        <v>9</v>
      </c>
      <c r="J2727" s="2"/>
      <c r="K2727" s="2"/>
    </row>
    <row r="2728" customFormat="false" ht="15" hidden="false" customHeight="false" outlineLevel="0" collapsed="false">
      <c r="A2728" s="2" t="s">
        <v>223</v>
      </c>
      <c r="B2728" s="2" t="s">
        <v>224</v>
      </c>
      <c r="C2728" s="2" t="s">
        <v>49</v>
      </c>
      <c r="D2728" s="3" t="n">
        <v>46264</v>
      </c>
      <c r="E2728" s="2" t="str">
        <f aca="false">TEXT(D2728,"dddd")</f>
        <v>Sunday</v>
      </c>
      <c r="F2728" s="2" t="s">
        <v>460</v>
      </c>
      <c r="G2728" s="2"/>
      <c r="H2728" s="2"/>
      <c r="I2728" s="2" t="n">
        <f aca="false">IF(F2728="Present",9,IF(F2728="Half Day",4,0))</f>
        <v>0</v>
      </c>
      <c r="J2728" s="2"/>
      <c r="K2728" s="2" t="s">
        <v>460</v>
      </c>
    </row>
    <row r="2729" customFormat="false" ht="15" hidden="false" customHeight="false" outlineLevel="0" collapsed="false">
      <c r="A2729" s="2" t="s">
        <v>223</v>
      </c>
      <c r="B2729" s="2" t="s">
        <v>224</v>
      </c>
      <c r="C2729" s="2" t="s">
        <v>49</v>
      </c>
      <c r="D2729" s="3" t="n">
        <v>46265</v>
      </c>
      <c r="E2729" s="2" t="str">
        <f aca="false">TEXT(D2729,"dddd")</f>
        <v>Monday</v>
      </c>
      <c r="F2729" s="2" t="s">
        <v>466</v>
      </c>
      <c r="G2729" s="2" t="s">
        <v>458</v>
      </c>
      <c r="H2729" s="2" t="s">
        <v>467</v>
      </c>
      <c r="I2729" s="2" t="n">
        <f aca="false">IF(F2729="Present",9,IF(F2729="Half Day",4,0))</f>
        <v>4</v>
      </c>
      <c r="J2729" s="2"/>
      <c r="K2729" s="2" t="s">
        <v>466</v>
      </c>
    </row>
    <row r="2730" customFormat="false" ht="15" hidden="false" customHeight="false" outlineLevel="0" collapsed="false">
      <c r="A2730" s="2" t="s">
        <v>225</v>
      </c>
      <c r="B2730" s="2" t="s">
        <v>226</v>
      </c>
      <c r="C2730" s="2" t="s">
        <v>53</v>
      </c>
      <c r="D2730" s="3" t="n">
        <v>46235</v>
      </c>
      <c r="E2730" s="2" t="str">
        <f aca="false">TEXT(D2730,"dddd")</f>
        <v>Saturday</v>
      </c>
      <c r="F2730" s="2" t="s">
        <v>457</v>
      </c>
      <c r="G2730" s="2" t="s">
        <v>458</v>
      </c>
      <c r="H2730" s="2" t="s">
        <v>459</v>
      </c>
      <c r="I2730" s="2" t="n">
        <f aca="false">IF(F2730="Present",9,IF(F2730="Half Day",4,0))</f>
        <v>9</v>
      </c>
      <c r="J2730" s="2"/>
      <c r="K2730" s="2"/>
    </row>
    <row r="2731" customFormat="false" ht="15" hidden="false" customHeight="false" outlineLevel="0" collapsed="false">
      <c r="A2731" s="2" t="s">
        <v>225</v>
      </c>
      <c r="B2731" s="2" t="s">
        <v>226</v>
      </c>
      <c r="C2731" s="2" t="s">
        <v>53</v>
      </c>
      <c r="D2731" s="3" t="n">
        <v>46236</v>
      </c>
      <c r="E2731" s="2" t="str">
        <f aca="false">TEXT(D2731,"dddd")</f>
        <v>Sunday</v>
      </c>
      <c r="F2731" s="2" t="s">
        <v>460</v>
      </c>
      <c r="G2731" s="2"/>
      <c r="H2731" s="2"/>
      <c r="I2731" s="2" t="n">
        <f aca="false">IF(F2731="Present",9,IF(F2731="Half Day",4,0))</f>
        <v>0</v>
      </c>
      <c r="J2731" s="2"/>
      <c r="K2731" s="2" t="s">
        <v>460</v>
      </c>
    </row>
    <row r="2732" customFormat="false" ht="15" hidden="false" customHeight="false" outlineLevel="0" collapsed="false">
      <c r="A2732" s="2" t="s">
        <v>225</v>
      </c>
      <c r="B2732" s="2" t="s">
        <v>226</v>
      </c>
      <c r="C2732" s="2" t="s">
        <v>53</v>
      </c>
      <c r="D2732" s="3" t="n">
        <v>46237</v>
      </c>
      <c r="E2732" s="2" t="str">
        <f aca="false">TEXT(D2732,"dddd")</f>
        <v>Monday</v>
      </c>
      <c r="F2732" s="2" t="s">
        <v>457</v>
      </c>
      <c r="G2732" s="2" t="s">
        <v>458</v>
      </c>
      <c r="H2732" s="2" t="s">
        <v>459</v>
      </c>
      <c r="I2732" s="2" t="n">
        <f aca="false">IF(F2732="Present",9,IF(F2732="Half Day",4,0))</f>
        <v>9</v>
      </c>
      <c r="J2732" s="2"/>
      <c r="K2732" s="2"/>
    </row>
    <row r="2733" customFormat="false" ht="15" hidden="false" customHeight="false" outlineLevel="0" collapsed="false">
      <c r="A2733" s="2" t="s">
        <v>225</v>
      </c>
      <c r="B2733" s="2" t="s">
        <v>226</v>
      </c>
      <c r="C2733" s="2" t="s">
        <v>53</v>
      </c>
      <c r="D2733" s="3" t="n">
        <v>46238</v>
      </c>
      <c r="E2733" s="2" t="str">
        <f aca="false">TEXT(D2733,"dddd")</f>
        <v>Tuesday</v>
      </c>
      <c r="F2733" s="2" t="s">
        <v>457</v>
      </c>
      <c r="G2733" s="2" t="s">
        <v>458</v>
      </c>
      <c r="H2733" s="2" t="s">
        <v>459</v>
      </c>
      <c r="I2733" s="2" t="n">
        <f aca="false">IF(F2733="Present",9,IF(F2733="Half Day",4,0))</f>
        <v>9</v>
      </c>
      <c r="J2733" s="2"/>
      <c r="K2733" s="2"/>
    </row>
    <row r="2734" customFormat="false" ht="15" hidden="false" customHeight="false" outlineLevel="0" collapsed="false">
      <c r="A2734" s="2" t="s">
        <v>225</v>
      </c>
      <c r="B2734" s="2" t="s">
        <v>226</v>
      </c>
      <c r="C2734" s="2" t="s">
        <v>53</v>
      </c>
      <c r="D2734" s="3" t="n">
        <v>46239</v>
      </c>
      <c r="E2734" s="2" t="str">
        <f aca="false">TEXT(D2734,"dddd")</f>
        <v>Wednesday</v>
      </c>
      <c r="F2734" s="2" t="s">
        <v>457</v>
      </c>
      <c r="G2734" s="2" t="s">
        <v>458</v>
      </c>
      <c r="H2734" s="2" t="s">
        <v>459</v>
      </c>
      <c r="I2734" s="2" t="n">
        <f aca="false">IF(F2734="Present",9,IF(F2734="Half Day",4,0))</f>
        <v>9</v>
      </c>
      <c r="J2734" s="2"/>
      <c r="K2734" s="2"/>
    </row>
    <row r="2735" customFormat="false" ht="15" hidden="false" customHeight="false" outlineLevel="0" collapsed="false">
      <c r="A2735" s="2" t="s">
        <v>225</v>
      </c>
      <c r="B2735" s="2" t="s">
        <v>226</v>
      </c>
      <c r="C2735" s="2" t="s">
        <v>53</v>
      </c>
      <c r="D2735" s="3" t="n">
        <v>46240</v>
      </c>
      <c r="E2735" s="2" t="str">
        <f aca="false">TEXT(D2735,"dddd")</f>
        <v>Thursday</v>
      </c>
      <c r="F2735" s="2" t="s">
        <v>457</v>
      </c>
      <c r="G2735" s="2" t="s">
        <v>458</v>
      </c>
      <c r="H2735" s="2" t="s">
        <v>459</v>
      </c>
      <c r="I2735" s="2" t="n">
        <f aca="false">IF(F2735="Present",9,IF(F2735="Half Day",4,0))</f>
        <v>9</v>
      </c>
      <c r="J2735" s="2"/>
      <c r="K2735" s="2"/>
    </row>
    <row r="2736" customFormat="false" ht="15" hidden="false" customHeight="false" outlineLevel="0" collapsed="false">
      <c r="A2736" s="2" t="s">
        <v>225</v>
      </c>
      <c r="B2736" s="2" t="s">
        <v>226</v>
      </c>
      <c r="C2736" s="2" t="s">
        <v>53</v>
      </c>
      <c r="D2736" s="3" t="n">
        <v>46241</v>
      </c>
      <c r="E2736" s="2" t="str">
        <f aca="false">TEXT(D2736,"dddd")</f>
        <v>Friday</v>
      </c>
      <c r="F2736" s="2" t="s">
        <v>461</v>
      </c>
      <c r="G2736" s="2"/>
      <c r="H2736" s="2"/>
      <c r="I2736" s="2" t="n">
        <f aca="false">IF(F2736="Present",9,IF(F2736="Half Day",4,0))</f>
        <v>0</v>
      </c>
      <c r="J2736" s="2"/>
      <c r="K2736" s="2" t="s">
        <v>462</v>
      </c>
    </row>
    <row r="2737" customFormat="false" ht="15" hidden="false" customHeight="false" outlineLevel="0" collapsed="false">
      <c r="A2737" s="2" t="s">
        <v>225</v>
      </c>
      <c r="B2737" s="2" t="s">
        <v>226</v>
      </c>
      <c r="C2737" s="2" t="s">
        <v>53</v>
      </c>
      <c r="D2737" s="3" t="n">
        <v>46242</v>
      </c>
      <c r="E2737" s="2" t="str">
        <f aca="false">TEXT(D2737,"dddd")</f>
        <v>Saturday</v>
      </c>
      <c r="F2737" s="2" t="s">
        <v>457</v>
      </c>
      <c r="G2737" s="2" t="s">
        <v>458</v>
      </c>
      <c r="H2737" s="2" t="s">
        <v>459</v>
      </c>
      <c r="I2737" s="2" t="n">
        <f aca="false">IF(F2737="Present",9,IF(F2737="Half Day",4,0))</f>
        <v>9</v>
      </c>
      <c r="J2737" s="2"/>
      <c r="K2737" s="2"/>
    </row>
    <row r="2738" customFormat="false" ht="15" hidden="false" customHeight="false" outlineLevel="0" collapsed="false">
      <c r="A2738" s="2" t="s">
        <v>225</v>
      </c>
      <c r="B2738" s="2" t="s">
        <v>226</v>
      </c>
      <c r="C2738" s="2" t="s">
        <v>53</v>
      </c>
      <c r="D2738" s="3" t="n">
        <v>46243</v>
      </c>
      <c r="E2738" s="2" t="str">
        <f aca="false">TEXT(D2738,"dddd")</f>
        <v>Sunday</v>
      </c>
      <c r="F2738" s="2" t="s">
        <v>460</v>
      </c>
      <c r="G2738" s="2"/>
      <c r="H2738" s="2"/>
      <c r="I2738" s="2" t="n">
        <f aca="false">IF(F2738="Present",9,IF(F2738="Half Day",4,0))</f>
        <v>0</v>
      </c>
      <c r="J2738" s="2"/>
      <c r="K2738" s="2" t="s">
        <v>460</v>
      </c>
    </row>
    <row r="2739" customFormat="false" ht="15" hidden="false" customHeight="false" outlineLevel="0" collapsed="false">
      <c r="A2739" s="2" t="s">
        <v>225</v>
      </c>
      <c r="B2739" s="2" t="s">
        <v>226</v>
      </c>
      <c r="C2739" s="2" t="s">
        <v>53</v>
      </c>
      <c r="D2739" s="3" t="n">
        <v>46244</v>
      </c>
      <c r="E2739" s="2" t="str">
        <f aca="false">TEXT(D2739,"dddd")</f>
        <v>Monday</v>
      </c>
      <c r="F2739" s="2" t="s">
        <v>457</v>
      </c>
      <c r="G2739" s="2" t="s">
        <v>458</v>
      </c>
      <c r="H2739" s="2" t="s">
        <v>459</v>
      </c>
      <c r="I2739" s="2" t="n">
        <f aca="false">IF(F2739="Present",9,IF(F2739="Half Day",4,0))</f>
        <v>9</v>
      </c>
      <c r="J2739" s="2"/>
      <c r="K2739" s="2"/>
    </row>
    <row r="2740" customFormat="false" ht="15" hidden="false" customHeight="false" outlineLevel="0" collapsed="false">
      <c r="A2740" s="2" t="s">
        <v>225</v>
      </c>
      <c r="B2740" s="2" t="s">
        <v>226</v>
      </c>
      <c r="C2740" s="2" t="s">
        <v>53</v>
      </c>
      <c r="D2740" s="3" t="n">
        <v>46245</v>
      </c>
      <c r="E2740" s="2" t="str">
        <f aca="false">TEXT(D2740,"dddd")</f>
        <v>Tuesday</v>
      </c>
      <c r="F2740" s="2" t="s">
        <v>457</v>
      </c>
      <c r="G2740" s="2" t="s">
        <v>458</v>
      </c>
      <c r="H2740" s="2" t="s">
        <v>459</v>
      </c>
      <c r="I2740" s="2" t="n">
        <f aca="false">IF(F2740="Present",9,IF(F2740="Half Day",4,0))</f>
        <v>9</v>
      </c>
      <c r="J2740" s="2"/>
      <c r="K2740" s="2"/>
    </row>
    <row r="2741" customFormat="false" ht="15" hidden="false" customHeight="false" outlineLevel="0" collapsed="false">
      <c r="A2741" s="2" t="s">
        <v>225</v>
      </c>
      <c r="B2741" s="2" t="s">
        <v>226</v>
      </c>
      <c r="C2741" s="2" t="s">
        <v>53</v>
      </c>
      <c r="D2741" s="3" t="n">
        <v>46246</v>
      </c>
      <c r="E2741" s="2" t="str">
        <f aca="false">TEXT(D2741,"dddd")</f>
        <v>Wednesday</v>
      </c>
      <c r="F2741" s="2" t="s">
        <v>457</v>
      </c>
      <c r="G2741" s="2" t="s">
        <v>458</v>
      </c>
      <c r="H2741" s="2" t="s">
        <v>459</v>
      </c>
      <c r="I2741" s="2" t="n">
        <f aca="false">IF(F2741="Present",9,IF(F2741="Half Day",4,0))</f>
        <v>9</v>
      </c>
      <c r="J2741" s="2"/>
      <c r="K2741" s="2"/>
    </row>
    <row r="2742" customFormat="false" ht="15" hidden="false" customHeight="false" outlineLevel="0" collapsed="false">
      <c r="A2742" s="2" t="s">
        <v>225</v>
      </c>
      <c r="B2742" s="2" t="s">
        <v>226</v>
      </c>
      <c r="C2742" s="2" t="s">
        <v>53</v>
      </c>
      <c r="D2742" s="3" t="n">
        <v>46247</v>
      </c>
      <c r="E2742" s="2" t="str">
        <f aca="false">TEXT(D2742,"dddd")</f>
        <v>Thursday</v>
      </c>
      <c r="F2742" s="2" t="s">
        <v>457</v>
      </c>
      <c r="G2742" s="2" t="s">
        <v>458</v>
      </c>
      <c r="H2742" s="2" t="s">
        <v>459</v>
      </c>
      <c r="I2742" s="2" t="n">
        <f aca="false">IF(F2742="Present",9,IF(F2742="Half Day",4,0))</f>
        <v>9</v>
      </c>
      <c r="J2742" s="2"/>
      <c r="K2742" s="2"/>
    </row>
    <row r="2743" customFormat="false" ht="15" hidden="false" customHeight="false" outlineLevel="0" collapsed="false">
      <c r="A2743" s="2" t="s">
        <v>225</v>
      </c>
      <c r="B2743" s="2" t="s">
        <v>226</v>
      </c>
      <c r="C2743" s="2" t="s">
        <v>53</v>
      </c>
      <c r="D2743" s="3" t="n">
        <v>46248</v>
      </c>
      <c r="E2743" s="2" t="str">
        <f aca="false">TEXT(D2743,"dddd")</f>
        <v>Friday</v>
      </c>
      <c r="F2743" s="2" t="s">
        <v>457</v>
      </c>
      <c r="G2743" s="2" t="s">
        <v>458</v>
      </c>
      <c r="H2743" s="2" t="s">
        <v>459</v>
      </c>
      <c r="I2743" s="2" t="n">
        <f aca="false">IF(F2743="Present",9,IF(F2743="Half Day",4,0))</f>
        <v>9</v>
      </c>
      <c r="J2743" s="2"/>
      <c r="K2743" s="2"/>
    </row>
    <row r="2744" customFormat="false" ht="15" hidden="false" customHeight="false" outlineLevel="0" collapsed="false">
      <c r="A2744" s="2" t="s">
        <v>225</v>
      </c>
      <c r="B2744" s="2" t="s">
        <v>226</v>
      </c>
      <c r="C2744" s="2" t="s">
        <v>53</v>
      </c>
      <c r="D2744" s="3" t="n">
        <v>46249</v>
      </c>
      <c r="E2744" s="2" t="str">
        <f aca="false">TEXT(D2744,"dddd")</f>
        <v>Saturday</v>
      </c>
      <c r="F2744" s="2" t="s">
        <v>457</v>
      </c>
      <c r="G2744" s="2" t="s">
        <v>458</v>
      </c>
      <c r="H2744" s="2" t="s">
        <v>459</v>
      </c>
      <c r="I2744" s="2" t="n">
        <f aca="false">IF(F2744="Present",9,IF(F2744="Half Day",4,0))</f>
        <v>9</v>
      </c>
      <c r="J2744" s="2"/>
      <c r="K2744" s="2"/>
    </row>
    <row r="2745" customFormat="false" ht="15" hidden="false" customHeight="false" outlineLevel="0" collapsed="false">
      <c r="A2745" s="2" t="s">
        <v>225</v>
      </c>
      <c r="B2745" s="2" t="s">
        <v>226</v>
      </c>
      <c r="C2745" s="2" t="s">
        <v>53</v>
      </c>
      <c r="D2745" s="3" t="n">
        <v>46250</v>
      </c>
      <c r="E2745" s="2" t="str">
        <f aca="false">TEXT(D2745,"dddd")</f>
        <v>Sunday</v>
      </c>
      <c r="F2745" s="2" t="s">
        <v>460</v>
      </c>
      <c r="G2745" s="2"/>
      <c r="H2745" s="2"/>
      <c r="I2745" s="2" t="n">
        <f aca="false">IF(F2745="Present",9,IF(F2745="Half Day",4,0))</f>
        <v>0</v>
      </c>
      <c r="J2745" s="2"/>
      <c r="K2745" s="2" t="s">
        <v>460</v>
      </c>
    </row>
    <row r="2746" customFormat="false" ht="15" hidden="false" customHeight="false" outlineLevel="0" collapsed="false">
      <c r="A2746" s="2" t="s">
        <v>225</v>
      </c>
      <c r="B2746" s="2" t="s">
        <v>226</v>
      </c>
      <c r="C2746" s="2" t="s">
        <v>53</v>
      </c>
      <c r="D2746" s="3" t="n">
        <v>46251</v>
      </c>
      <c r="E2746" s="2" t="str">
        <f aca="false">TEXT(D2746,"dddd")</f>
        <v>Monday</v>
      </c>
      <c r="F2746" s="2" t="s">
        <v>457</v>
      </c>
      <c r="G2746" s="2" t="s">
        <v>458</v>
      </c>
      <c r="H2746" s="2" t="s">
        <v>459</v>
      </c>
      <c r="I2746" s="2" t="n">
        <f aca="false">IF(F2746="Present",9,IF(F2746="Half Day",4,0))</f>
        <v>9</v>
      </c>
      <c r="J2746" s="2"/>
      <c r="K2746" s="2"/>
    </row>
    <row r="2747" customFormat="false" ht="15" hidden="false" customHeight="false" outlineLevel="0" collapsed="false">
      <c r="A2747" s="2" t="s">
        <v>225</v>
      </c>
      <c r="B2747" s="2" t="s">
        <v>226</v>
      </c>
      <c r="C2747" s="2" t="s">
        <v>53</v>
      </c>
      <c r="D2747" s="3" t="n">
        <v>46252</v>
      </c>
      <c r="E2747" s="2" t="str">
        <f aca="false">TEXT(D2747,"dddd")</f>
        <v>Tuesday</v>
      </c>
      <c r="F2747" s="2" t="s">
        <v>457</v>
      </c>
      <c r="G2747" s="2" t="s">
        <v>458</v>
      </c>
      <c r="H2747" s="2" t="s">
        <v>459</v>
      </c>
      <c r="I2747" s="2" t="n">
        <f aca="false">IF(F2747="Present",9,IF(F2747="Half Day",4,0))</f>
        <v>9</v>
      </c>
      <c r="J2747" s="2"/>
      <c r="K2747" s="2"/>
    </row>
    <row r="2748" customFormat="false" ht="15" hidden="false" customHeight="false" outlineLevel="0" collapsed="false">
      <c r="A2748" s="2" t="s">
        <v>225</v>
      </c>
      <c r="B2748" s="2" t="s">
        <v>226</v>
      </c>
      <c r="C2748" s="2" t="s">
        <v>53</v>
      </c>
      <c r="D2748" s="3" t="n">
        <v>46253</v>
      </c>
      <c r="E2748" s="2" t="str">
        <f aca="false">TEXT(D2748,"dddd")</f>
        <v>Wednesday</v>
      </c>
      <c r="F2748" s="2" t="s">
        <v>457</v>
      </c>
      <c r="G2748" s="2" t="s">
        <v>458</v>
      </c>
      <c r="H2748" s="2" t="s">
        <v>459</v>
      </c>
      <c r="I2748" s="2" t="n">
        <f aca="false">IF(F2748="Present",9,IF(F2748="Half Day",4,0))</f>
        <v>9</v>
      </c>
      <c r="J2748" s="2"/>
      <c r="K2748" s="2"/>
    </row>
    <row r="2749" customFormat="false" ht="15" hidden="false" customHeight="false" outlineLevel="0" collapsed="false">
      <c r="A2749" s="2" t="s">
        <v>225</v>
      </c>
      <c r="B2749" s="2" t="s">
        <v>226</v>
      </c>
      <c r="C2749" s="2" t="s">
        <v>53</v>
      </c>
      <c r="D2749" s="3" t="n">
        <v>46254</v>
      </c>
      <c r="E2749" s="2" t="str">
        <f aca="false">TEXT(D2749,"dddd")</f>
        <v>Thursday</v>
      </c>
      <c r="F2749" s="2" t="s">
        <v>457</v>
      </c>
      <c r="G2749" s="2" t="s">
        <v>458</v>
      </c>
      <c r="H2749" s="2" t="s">
        <v>459</v>
      </c>
      <c r="I2749" s="2" t="n">
        <f aca="false">IF(F2749="Present",9,IF(F2749="Half Day",4,0))</f>
        <v>9</v>
      </c>
      <c r="J2749" s="2"/>
      <c r="K2749" s="2"/>
    </row>
    <row r="2750" customFormat="false" ht="15" hidden="false" customHeight="false" outlineLevel="0" collapsed="false">
      <c r="A2750" s="2" t="s">
        <v>225</v>
      </c>
      <c r="B2750" s="2" t="s">
        <v>226</v>
      </c>
      <c r="C2750" s="2" t="s">
        <v>53</v>
      </c>
      <c r="D2750" s="3" t="n">
        <v>46255</v>
      </c>
      <c r="E2750" s="2" t="str">
        <f aca="false">TEXT(D2750,"dddd")</f>
        <v>Friday</v>
      </c>
      <c r="F2750" s="2" t="s">
        <v>457</v>
      </c>
      <c r="G2750" s="2" t="s">
        <v>458</v>
      </c>
      <c r="H2750" s="2" t="s">
        <v>459</v>
      </c>
      <c r="I2750" s="2" t="n">
        <f aca="false">IF(F2750="Present",9,IF(F2750="Half Day",4,0))</f>
        <v>9</v>
      </c>
      <c r="J2750" s="2"/>
      <c r="K2750" s="2"/>
    </row>
    <row r="2751" customFormat="false" ht="15" hidden="false" customHeight="false" outlineLevel="0" collapsed="false">
      <c r="A2751" s="2" t="s">
        <v>225</v>
      </c>
      <c r="B2751" s="2" t="s">
        <v>226</v>
      </c>
      <c r="C2751" s="2" t="s">
        <v>53</v>
      </c>
      <c r="D2751" s="3" t="n">
        <v>46256</v>
      </c>
      <c r="E2751" s="2" t="str">
        <f aca="false">TEXT(D2751,"dddd")</f>
        <v>Saturday</v>
      </c>
      <c r="F2751" s="2" t="s">
        <v>457</v>
      </c>
      <c r="G2751" s="2" t="s">
        <v>458</v>
      </c>
      <c r="H2751" s="2" t="s">
        <v>459</v>
      </c>
      <c r="I2751" s="2" t="n">
        <f aca="false">IF(F2751="Present",9,IF(F2751="Half Day",4,0))</f>
        <v>9</v>
      </c>
      <c r="J2751" s="2"/>
      <c r="K2751" s="2"/>
    </row>
    <row r="2752" customFormat="false" ht="15" hidden="false" customHeight="false" outlineLevel="0" collapsed="false">
      <c r="A2752" s="2" t="s">
        <v>225</v>
      </c>
      <c r="B2752" s="2" t="s">
        <v>226</v>
      </c>
      <c r="C2752" s="2" t="s">
        <v>53</v>
      </c>
      <c r="D2752" s="3" t="n">
        <v>46257</v>
      </c>
      <c r="E2752" s="2" t="str">
        <f aca="false">TEXT(D2752,"dddd")</f>
        <v>Sunday</v>
      </c>
      <c r="F2752" s="2" t="s">
        <v>460</v>
      </c>
      <c r="G2752" s="2"/>
      <c r="H2752" s="2"/>
      <c r="I2752" s="2" t="n">
        <f aca="false">IF(F2752="Present",9,IF(F2752="Half Day",4,0))</f>
        <v>0</v>
      </c>
      <c r="J2752" s="2"/>
      <c r="K2752" s="2" t="s">
        <v>460</v>
      </c>
    </row>
    <row r="2753" customFormat="false" ht="15" hidden="false" customHeight="false" outlineLevel="0" collapsed="false">
      <c r="A2753" s="2" t="s">
        <v>225</v>
      </c>
      <c r="B2753" s="2" t="s">
        <v>226</v>
      </c>
      <c r="C2753" s="2" t="s">
        <v>53</v>
      </c>
      <c r="D2753" s="3" t="n">
        <v>46258</v>
      </c>
      <c r="E2753" s="2" t="str">
        <f aca="false">TEXT(D2753,"dddd")</f>
        <v>Monday</v>
      </c>
      <c r="F2753" s="2" t="s">
        <v>461</v>
      </c>
      <c r="G2753" s="2"/>
      <c r="H2753" s="2"/>
      <c r="I2753" s="2" t="n">
        <f aca="false">IF(F2753="Present",9,IF(F2753="Half Day",4,0))</f>
        <v>0</v>
      </c>
      <c r="J2753" s="2"/>
      <c r="K2753" s="2" t="s">
        <v>462</v>
      </c>
    </row>
    <row r="2754" customFormat="false" ht="15" hidden="false" customHeight="false" outlineLevel="0" collapsed="false">
      <c r="A2754" s="2" t="s">
        <v>225</v>
      </c>
      <c r="B2754" s="2" t="s">
        <v>226</v>
      </c>
      <c r="C2754" s="2" t="s">
        <v>53</v>
      </c>
      <c r="D2754" s="3" t="n">
        <v>46259</v>
      </c>
      <c r="E2754" s="2" t="str">
        <f aca="false">TEXT(D2754,"dddd")</f>
        <v>Tuesday</v>
      </c>
      <c r="F2754" s="2" t="s">
        <v>457</v>
      </c>
      <c r="G2754" s="2" t="s">
        <v>458</v>
      </c>
      <c r="H2754" s="2" t="s">
        <v>459</v>
      </c>
      <c r="I2754" s="2" t="n">
        <f aca="false">IF(F2754="Present",9,IF(F2754="Half Day",4,0))</f>
        <v>9</v>
      </c>
      <c r="J2754" s="2"/>
      <c r="K2754" s="2"/>
    </row>
    <row r="2755" customFormat="false" ht="15" hidden="false" customHeight="false" outlineLevel="0" collapsed="false">
      <c r="A2755" s="2" t="s">
        <v>225</v>
      </c>
      <c r="B2755" s="2" t="s">
        <v>226</v>
      </c>
      <c r="C2755" s="2" t="s">
        <v>53</v>
      </c>
      <c r="D2755" s="3" t="n">
        <v>46260</v>
      </c>
      <c r="E2755" s="2" t="str">
        <f aca="false">TEXT(D2755,"dddd")</f>
        <v>Wednesday</v>
      </c>
      <c r="F2755" s="2" t="s">
        <v>457</v>
      </c>
      <c r="G2755" s="2" t="s">
        <v>458</v>
      </c>
      <c r="H2755" s="2" t="s">
        <v>459</v>
      </c>
      <c r="I2755" s="2" t="n">
        <f aca="false">IF(F2755="Present",9,IF(F2755="Half Day",4,0))</f>
        <v>9</v>
      </c>
      <c r="J2755" s="2"/>
      <c r="K2755" s="2"/>
    </row>
    <row r="2756" customFormat="false" ht="15" hidden="false" customHeight="false" outlineLevel="0" collapsed="false">
      <c r="A2756" s="2" t="s">
        <v>225</v>
      </c>
      <c r="B2756" s="2" t="s">
        <v>226</v>
      </c>
      <c r="C2756" s="2" t="s">
        <v>53</v>
      </c>
      <c r="D2756" s="3" t="n">
        <v>46261</v>
      </c>
      <c r="E2756" s="2" t="str">
        <f aca="false">TEXT(D2756,"dddd")</f>
        <v>Thursday</v>
      </c>
      <c r="F2756" s="2" t="s">
        <v>457</v>
      </c>
      <c r="G2756" s="2" t="s">
        <v>458</v>
      </c>
      <c r="H2756" s="2" t="s">
        <v>459</v>
      </c>
      <c r="I2756" s="2" t="n">
        <f aca="false">IF(F2756="Present",9,IF(F2756="Half Day",4,0))</f>
        <v>9</v>
      </c>
      <c r="J2756" s="2"/>
      <c r="K2756" s="2"/>
    </row>
    <row r="2757" customFormat="false" ht="15" hidden="false" customHeight="false" outlineLevel="0" collapsed="false">
      <c r="A2757" s="2" t="s">
        <v>225</v>
      </c>
      <c r="B2757" s="2" t="s">
        <v>226</v>
      </c>
      <c r="C2757" s="2" t="s">
        <v>53</v>
      </c>
      <c r="D2757" s="3" t="n">
        <v>46262</v>
      </c>
      <c r="E2757" s="2" t="str">
        <f aca="false">TEXT(D2757,"dddd")</f>
        <v>Friday</v>
      </c>
      <c r="F2757" s="2" t="s">
        <v>457</v>
      </c>
      <c r="G2757" s="2" t="s">
        <v>458</v>
      </c>
      <c r="H2757" s="2" t="s">
        <v>459</v>
      </c>
      <c r="I2757" s="2" t="n">
        <f aca="false">IF(F2757="Present",9,IF(F2757="Half Day",4,0))</f>
        <v>9</v>
      </c>
      <c r="J2757" s="2"/>
      <c r="K2757" s="2"/>
    </row>
    <row r="2758" customFormat="false" ht="15" hidden="false" customHeight="false" outlineLevel="0" collapsed="false">
      <c r="A2758" s="2" t="s">
        <v>225</v>
      </c>
      <c r="B2758" s="2" t="s">
        <v>226</v>
      </c>
      <c r="C2758" s="2" t="s">
        <v>53</v>
      </c>
      <c r="D2758" s="3" t="n">
        <v>46263</v>
      </c>
      <c r="E2758" s="2" t="str">
        <f aca="false">TEXT(D2758,"dddd")</f>
        <v>Saturday</v>
      </c>
      <c r="F2758" s="2" t="s">
        <v>457</v>
      </c>
      <c r="G2758" s="2" t="s">
        <v>458</v>
      </c>
      <c r="H2758" s="2" t="s">
        <v>459</v>
      </c>
      <c r="I2758" s="2" t="n">
        <f aca="false">IF(F2758="Present",9,IF(F2758="Half Day",4,0))</f>
        <v>9</v>
      </c>
      <c r="J2758" s="2"/>
      <c r="K2758" s="2"/>
    </row>
    <row r="2759" customFormat="false" ht="15" hidden="false" customHeight="false" outlineLevel="0" collapsed="false">
      <c r="A2759" s="2" t="s">
        <v>225</v>
      </c>
      <c r="B2759" s="2" t="s">
        <v>226</v>
      </c>
      <c r="C2759" s="2" t="s">
        <v>53</v>
      </c>
      <c r="D2759" s="3" t="n">
        <v>46264</v>
      </c>
      <c r="E2759" s="2" t="str">
        <f aca="false">TEXT(D2759,"dddd")</f>
        <v>Sunday</v>
      </c>
      <c r="F2759" s="2" t="s">
        <v>460</v>
      </c>
      <c r="G2759" s="2"/>
      <c r="H2759" s="2"/>
      <c r="I2759" s="2" t="n">
        <f aca="false">IF(F2759="Present",9,IF(F2759="Half Day",4,0))</f>
        <v>0</v>
      </c>
      <c r="J2759" s="2"/>
      <c r="K2759" s="2" t="s">
        <v>460</v>
      </c>
    </row>
    <row r="2760" customFormat="false" ht="15" hidden="false" customHeight="false" outlineLevel="0" collapsed="false">
      <c r="A2760" s="2" t="s">
        <v>225</v>
      </c>
      <c r="B2760" s="2" t="s">
        <v>226</v>
      </c>
      <c r="C2760" s="2" t="s">
        <v>53</v>
      </c>
      <c r="D2760" s="3" t="n">
        <v>46265</v>
      </c>
      <c r="E2760" s="2" t="str">
        <f aca="false">TEXT(D2760,"dddd")</f>
        <v>Monday</v>
      </c>
      <c r="F2760" s="2" t="s">
        <v>457</v>
      </c>
      <c r="G2760" s="2" t="s">
        <v>458</v>
      </c>
      <c r="H2760" s="2" t="s">
        <v>459</v>
      </c>
      <c r="I2760" s="2" t="n">
        <f aca="false">IF(F2760="Present",9,IF(F2760="Half Day",4,0))</f>
        <v>9</v>
      </c>
      <c r="J2760" s="2"/>
      <c r="K2760" s="2"/>
    </row>
    <row r="2761" customFormat="false" ht="15" hidden="false" customHeight="false" outlineLevel="0" collapsed="false">
      <c r="A2761" s="2" t="s">
        <v>227</v>
      </c>
      <c r="B2761" s="2" t="s">
        <v>228</v>
      </c>
      <c r="C2761" s="2" t="s">
        <v>57</v>
      </c>
      <c r="D2761" s="3" t="n">
        <v>46235</v>
      </c>
      <c r="E2761" s="2" t="str">
        <f aca="false">TEXT(D2761,"dddd")</f>
        <v>Saturday</v>
      </c>
      <c r="F2761" s="2" t="s">
        <v>457</v>
      </c>
      <c r="G2761" s="2" t="s">
        <v>458</v>
      </c>
      <c r="H2761" s="2" t="s">
        <v>459</v>
      </c>
      <c r="I2761" s="2" t="n">
        <f aca="false">IF(F2761="Present",9,IF(F2761="Half Day",4,0))</f>
        <v>9</v>
      </c>
      <c r="J2761" s="2"/>
      <c r="K2761" s="2"/>
    </row>
    <row r="2762" customFormat="false" ht="15" hidden="false" customHeight="false" outlineLevel="0" collapsed="false">
      <c r="A2762" s="2" t="s">
        <v>227</v>
      </c>
      <c r="B2762" s="2" t="s">
        <v>228</v>
      </c>
      <c r="C2762" s="2" t="s">
        <v>57</v>
      </c>
      <c r="D2762" s="3" t="n">
        <v>46236</v>
      </c>
      <c r="E2762" s="2" t="str">
        <f aca="false">TEXT(D2762,"dddd")</f>
        <v>Sunday</v>
      </c>
      <c r="F2762" s="2" t="s">
        <v>460</v>
      </c>
      <c r="G2762" s="2"/>
      <c r="H2762" s="2"/>
      <c r="I2762" s="2" t="n">
        <f aca="false">IF(F2762="Present",9,IF(F2762="Half Day",4,0))</f>
        <v>0</v>
      </c>
      <c r="J2762" s="2"/>
      <c r="K2762" s="2" t="s">
        <v>460</v>
      </c>
    </row>
    <row r="2763" customFormat="false" ht="15" hidden="false" customHeight="false" outlineLevel="0" collapsed="false">
      <c r="A2763" s="2" t="s">
        <v>227</v>
      </c>
      <c r="B2763" s="2" t="s">
        <v>228</v>
      </c>
      <c r="C2763" s="2" t="s">
        <v>57</v>
      </c>
      <c r="D2763" s="3" t="n">
        <v>46237</v>
      </c>
      <c r="E2763" s="2" t="str">
        <f aca="false">TEXT(D2763,"dddd")</f>
        <v>Monday</v>
      </c>
      <c r="F2763" s="2" t="s">
        <v>457</v>
      </c>
      <c r="G2763" s="2" t="s">
        <v>458</v>
      </c>
      <c r="H2763" s="2" t="s">
        <v>459</v>
      </c>
      <c r="I2763" s="2" t="n">
        <f aca="false">IF(F2763="Present",9,IF(F2763="Half Day",4,0))</f>
        <v>9</v>
      </c>
      <c r="J2763" s="2"/>
      <c r="K2763" s="2"/>
    </row>
    <row r="2764" customFormat="false" ht="15" hidden="false" customHeight="false" outlineLevel="0" collapsed="false">
      <c r="A2764" s="2" t="s">
        <v>227</v>
      </c>
      <c r="B2764" s="2" t="s">
        <v>228</v>
      </c>
      <c r="C2764" s="2" t="s">
        <v>57</v>
      </c>
      <c r="D2764" s="3" t="n">
        <v>46238</v>
      </c>
      <c r="E2764" s="2" t="str">
        <f aca="false">TEXT(D2764,"dddd")</f>
        <v>Tuesday</v>
      </c>
      <c r="F2764" s="2" t="s">
        <v>457</v>
      </c>
      <c r="G2764" s="2" t="s">
        <v>458</v>
      </c>
      <c r="H2764" s="2" t="s">
        <v>459</v>
      </c>
      <c r="I2764" s="2" t="n">
        <f aca="false">IF(F2764="Present",9,IF(F2764="Half Day",4,0))</f>
        <v>9</v>
      </c>
      <c r="J2764" s="2"/>
      <c r="K2764" s="2"/>
    </row>
    <row r="2765" customFormat="false" ht="15" hidden="false" customHeight="false" outlineLevel="0" collapsed="false">
      <c r="A2765" s="2" t="s">
        <v>227</v>
      </c>
      <c r="B2765" s="2" t="s">
        <v>228</v>
      </c>
      <c r="C2765" s="2" t="s">
        <v>57</v>
      </c>
      <c r="D2765" s="3" t="n">
        <v>46239</v>
      </c>
      <c r="E2765" s="2" t="str">
        <f aca="false">TEXT(D2765,"dddd")</f>
        <v>Wednesday</v>
      </c>
      <c r="F2765" s="2" t="s">
        <v>457</v>
      </c>
      <c r="G2765" s="2" t="s">
        <v>458</v>
      </c>
      <c r="H2765" s="2" t="s">
        <v>459</v>
      </c>
      <c r="I2765" s="2" t="n">
        <f aca="false">IF(F2765="Present",9,IF(F2765="Half Day",4,0))</f>
        <v>9</v>
      </c>
      <c r="J2765" s="2"/>
      <c r="K2765" s="2"/>
    </row>
    <row r="2766" customFormat="false" ht="15" hidden="false" customHeight="false" outlineLevel="0" collapsed="false">
      <c r="A2766" s="2" t="s">
        <v>227</v>
      </c>
      <c r="B2766" s="2" t="s">
        <v>228</v>
      </c>
      <c r="C2766" s="2" t="s">
        <v>57</v>
      </c>
      <c r="D2766" s="3" t="n">
        <v>46240</v>
      </c>
      <c r="E2766" s="2" t="str">
        <f aca="false">TEXT(D2766,"dddd")</f>
        <v>Thursday</v>
      </c>
      <c r="F2766" s="2" t="s">
        <v>457</v>
      </c>
      <c r="G2766" s="2" t="s">
        <v>458</v>
      </c>
      <c r="H2766" s="2" t="s">
        <v>459</v>
      </c>
      <c r="I2766" s="2" t="n">
        <f aca="false">IF(F2766="Present",9,IF(F2766="Half Day",4,0))</f>
        <v>9</v>
      </c>
      <c r="J2766" s="2"/>
      <c r="K2766" s="2"/>
    </row>
    <row r="2767" customFormat="false" ht="15" hidden="false" customHeight="false" outlineLevel="0" collapsed="false">
      <c r="A2767" s="2" t="s">
        <v>227</v>
      </c>
      <c r="B2767" s="2" t="s">
        <v>228</v>
      </c>
      <c r="C2767" s="2" t="s">
        <v>57</v>
      </c>
      <c r="D2767" s="3" t="n">
        <v>46241</v>
      </c>
      <c r="E2767" s="2" t="str">
        <f aca="false">TEXT(D2767,"dddd")</f>
        <v>Friday</v>
      </c>
      <c r="F2767" s="2" t="s">
        <v>457</v>
      </c>
      <c r="G2767" s="2" t="s">
        <v>458</v>
      </c>
      <c r="H2767" s="2" t="s">
        <v>459</v>
      </c>
      <c r="I2767" s="2" t="n">
        <f aca="false">IF(F2767="Present",9,IF(F2767="Half Day",4,0))</f>
        <v>9</v>
      </c>
      <c r="J2767" s="2"/>
      <c r="K2767" s="2"/>
    </row>
    <row r="2768" customFormat="false" ht="15" hidden="false" customHeight="false" outlineLevel="0" collapsed="false">
      <c r="A2768" s="2" t="s">
        <v>227</v>
      </c>
      <c r="B2768" s="2" t="s">
        <v>228</v>
      </c>
      <c r="C2768" s="2" t="s">
        <v>57</v>
      </c>
      <c r="D2768" s="3" t="n">
        <v>46242</v>
      </c>
      <c r="E2768" s="2" t="str">
        <f aca="false">TEXT(D2768,"dddd")</f>
        <v>Saturday</v>
      </c>
      <c r="F2768" s="2" t="s">
        <v>457</v>
      </c>
      <c r="G2768" s="2" t="s">
        <v>458</v>
      </c>
      <c r="H2768" s="2" t="s">
        <v>459</v>
      </c>
      <c r="I2768" s="2" t="n">
        <f aca="false">IF(F2768="Present",9,IF(F2768="Half Day",4,0))</f>
        <v>9</v>
      </c>
      <c r="J2768" s="2"/>
      <c r="K2768" s="2"/>
    </row>
    <row r="2769" customFormat="false" ht="15" hidden="false" customHeight="false" outlineLevel="0" collapsed="false">
      <c r="A2769" s="2" t="s">
        <v>227</v>
      </c>
      <c r="B2769" s="2" t="s">
        <v>228</v>
      </c>
      <c r="C2769" s="2" t="s">
        <v>57</v>
      </c>
      <c r="D2769" s="3" t="n">
        <v>46243</v>
      </c>
      <c r="E2769" s="2" t="str">
        <f aca="false">TEXT(D2769,"dddd")</f>
        <v>Sunday</v>
      </c>
      <c r="F2769" s="2" t="s">
        <v>460</v>
      </c>
      <c r="G2769" s="2"/>
      <c r="H2769" s="2"/>
      <c r="I2769" s="2" t="n">
        <f aca="false">IF(F2769="Present",9,IF(F2769="Half Day",4,0))</f>
        <v>0</v>
      </c>
      <c r="J2769" s="2"/>
      <c r="K2769" s="2" t="s">
        <v>460</v>
      </c>
    </row>
    <row r="2770" customFormat="false" ht="15" hidden="false" customHeight="false" outlineLevel="0" collapsed="false">
      <c r="A2770" s="2" t="s">
        <v>227</v>
      </c>
      <c r="B2770" s="2" t="s">
        <v>228</v>
      </c>
      <c r="C2770" s="2" t="s">
        <v>57</v>
      </c>
      <c r="D2770" s="3" t="n">
        <v>46244</v>
      </c>
      <c r="E2770" s="2" t="str">
        <f aca="false">TEXT(D2770,"dddd")</f>
        <v>Monday</v>
      </c>
      <c r="F2770" s="2" t="s">
        <v>457</v>
      </c>
      <c r="G2770" s="2" t="s">
        <v>458</v>
      </c>
      <c r="H2770" s="2" t="s">
        <v>459</v>
      </c>
      <c r="I2770" s="2" t="n">
        <f aca="false">IF(F2770="Present",9,IF(F2770="Half Day",4,0))</f>
        <v>9</v>
      </c>
      <c r="J2770" s="2"/>
      <c r="K2770" s="2"/>
    </row>
    <row r="2771" customFormat="false" ht="15" hidden="false" customHeight="false" outlineLevel="0" collapsed="false">
      <c r="A2771" s="2" t="s">
        <v>227</v>
      </c>
      <c r="B2771" s="2" t="s">
        <v>228</v>
      </c>
      <c r="C2771" s="2" t="s">
        <v>57</v>
      </c>
      <c r="D2771" s="3" t="n">
        <v>46245</v>
      </c>
      <c r="E2771" s="2" t="str">
        <f aca="false">TEXT(D2771,"dddd")</f>
        <v>Tuesday</v>
      </c>
      <c r="F2771" s="2" t="s">
        <v>457</v>
      </c>
      <c r="G2771" s="2" t="s">
        <v>458</v>
      </c>
      <c r="H2771" s="2" t="s">
        <v>459</v>
      </c>
      <c r="I2771" s="2" t="n">
        <f aca="false">IF(F2771="Present",9,IF(F2771="Half Day",4,0))</f>
        <v>9</v>
      </c>
      <c r="J2771" s="2"/>
      <c r="K2771" s="2"/>
    </row>
    <row r="2772" customFormat="false" ht="15" hidden="false" customHeight="false" outlineLevel="0" collapsed="false">
      <c r="A2772" s="2" t="s">
        <v>227</v>
      </c>
      <c r="B2772" s="2" t="s">
        <v>228</v>
      </c>
      <c r="C2772" s="2" t="s">
        <v>57</v>
      </c>
      <c r="D2772" s="3" t="n">
        <v>46246</v>
      </c>
      <c r="E2772" s="2" t="str">
        <f aca="false">TEXT(D2772,"dddd")</f>
        <v>Wednesday</v>
      </c>
      <c r="F2772" s="2" t="s">
        <v>463</v>
      </c>
      <c r="G2772" s="2"/>
      <c r="H2772" s="2"/>
      <c r="I2772" s="2" t="n">
        <f aca="false">IF(F2772="Present",9,IF(F2772="Half Day",4,0))</f>
        <v>0</v>
      </c>
      <c r="J2772" s="2" t="s">
        <v>464</v>
      </c>
      <c r="K2772" s="2" t="s">
        <v>465</v>
      </c>
    </row>
    <row r="2773" customFormat="false" ht="15" hidden="false" customHeight="false" outlineLevel="0" collapsed="false">
      <c r="A2773" s="2" t="s">
        <v>227</v>
      </c>
      <c r="B2773" s="2" t="s">
        <v>228</v>
      </c>
      <c r="C2773" s="2" t="s">
        <v>57</v>
      </c>
      <c r="D2773" s="3" t="n">
        <v>46247</v>
      </c>
      <c r="E2773" s="2" t="str">
        <f aca="false">TEXT(D2773,"dddd")</f>
        <v>Thursday</v>
      </c>
      <c r="F2773" s="2" t="s">
        <v>457</v>
      </c>
      <c r="G2773" s="2" t="s">
        <v>458</v>
      </c>
      <c r="H2773" s="2" t="s">
        <v>459</v>
      </c>
      <c r="I2773" s="2" t="n">
        <f aca="false">IF(F2773="Present",9,IF(F2773="Half Day",4,0))</f>
        <v>9</v>
      </c>
      <c r="J2773" s="2"/>
      <c r="K2773" s="2"/>
    </row>
    <row r="2774" customFormat="false" ht="15" hidden="false" customHeight="false" outlineLevel="0" collapsed="false">
      <c r="A2774" s="2" t="s">
        <v>227</v>
      </c>
      <c r="B2774" s="2" t="s">
        <v>228</v>
      </c>
      <c r="C2774" s="2" t="s">
        <v>57</v>
      </c>
      <c r="D2774" s="3" t="n">
        <v>46248</v>
      </c>
      <c r="E2774" s="2" t="str">
        <f aca="false">TEXT(D2774,"dddd")</f>
        <v>Friday</v>
      </c>
      <c r="F2774" s="2" t="s">
        <v>457</v>
      </c>
      <c r="G2774" s="2" t="s">
        <v>458</v>
      </c>
      <c r="H2774" s="2" t="s">
        <v>459</v>
      </c>
      <c r="I2774" s="2" t="n">
        <f aca="false">IF(F2774="Present",9,IF(F2774="Half Day",4,0))</f>
        <v>9</v>
      </c>
      <c r="J2774" s="2"/>
      <c r="K2774" s="2"/>
    </row>
    <row r="2775" customFormat="false" ht="15" hidden="false" customHeight="false" outlineLevel="0" collapsed="false">
      <c r="A2775" s="2" t="s">
        <v>227</v>
      </c>
      <c r="B2775" s="2" t="s">
        <v>228</v>
      </c>
      <c r="C2775" s="2" t="s">
        <v>57</v>
      </c>
      <c r="D2775" s="3" t="n">
        <v>46249</v>
      </c>
      <c r="E2775" s="2" t="str">
        <f aca="false">TEXT(D2775,"dddd")</f>
        <v>Saturday</v>
      </c>
      <c r="F2775" s="2" t="s">
        <v>457</v>
      </c>
      <c r="G2775" s="2" t="s">
        <v>458</v>
      </c>
      <c r="H2775" s="2" t="s">
        <v>459</v>
      </c>
      <c r="I2775" s="2" t="n">
        <f aca="false">IF(F2775="Present",9,IF(F2775="Half Day",4,0))</f>
        <v>9</v>
      </c>
      <c r="J2775" s="2"/>
      <c r="K2775" s="2"/>
    </row>
    <row r="2776" customFormat="false" ht="15" hidden="false" customHeight="false" outlineLevel="0" collapsed="false">
      <c r="A2776" s="2" t="s">
        <v>227</v>
      </c>
      <c r="B2776" s="2" t="s">
        <v>228</v>
      </c>
      <c r="C2776" s="2" t="s">
        <v>57</v>
      </c>
      <c r="D2776" s="3" t="n">
        <v>46250</v>
      </c>
      <c r="E2776" s="2" t="str">
        <f aca="false">TEXT(D2776,"dddd")</f>
        <v>Sunday</v>
      </c>
      <c r="F2776" s="2" t="s">
        <v>460</v>
      </c>
      <c r="G2776" s="2"/>
      <c r="H2776" s="2"/>
      <c r="I2776" s="2" t="n">
        <f aca="false">IF(F2776="Present",9,IF(F2776="Half Day",4,0))</f>
        <v>0</v>
      </c>
      <c r="J2776" s="2"/>
      <c r="K2776" s="2" t="s">
        <v>460</v>
      </c>
    </row>
    <row r="2777" customFormat="false" ht="15" hidden="false" customHeight="false" outlineLevel="0" collapsed="false">
      <c r="A2777" s="2" t="s">
        <v>227</v>
      </c>
      <c r="B2777" s="2" t="s">
        <v>228</v>
      </c>
      <c r="C2777" s="2" t="s">
        <v>57</v>
      </c>
      <c r="D2777" s="3" t="n">
        <v>46251</v>
      </c>
      <c r="E2777" s="2" t="str">
        <f aca="false">TEXT(D2777,"dddd")</f>
        <v>Monday</v>
      </c>
      <c r="F2777" s="2" t="s">
        <v>461</v>
      </c>
      <c r="G2777" s="2"/>
      <c r="H2777" s="2"/>
      <c r="I2777" s="2" t="n">
        <f aca="false">IF(F2777="Present",9,IF(F2777="Half Day",4,0))</f>
        <v>0</v>
      </c>
      <c r="J2777" s="2"/>
      <c r="K2777" s="2" t="s">
        <v>462</v>
      </c>
    </row>
    <row r="2778" customFormat="false" ht="15" hidden="false" customHeight="false" outlineLevel="0" collapsed="false">
      <c r="A2778" s="2" t="s">
        <v>227</v>
      </c>
      <c r="B2778" s="2" t="s">
        <v>228</v>
      </c>
      <c r="C2778" s="2" t="s">
        <v>57</v>
      </c>
      <c r="D2778" s="3" t="n">
        <v>46252</v>
      </c>
      <c r="E2778" s="2" t="str">
        <f aca="false">TEXT(D2778,"dddd")</f>
        <v>Tuesday</v>
      </c>
      <c r="F2778" s="2" t="s">
        <v>457</v>
      </c>
      <c r="G2778" s="2" t="s">
        <v>458</v>
      </c>
      <c r="H2778" s="2" t="s">
        <v>459</v>
      </c>
      <c r="I2778" s="2" t="n">
        <f aca="false">IF(F2778="Present",9,IF(F2778="Half Day",4,0))</f>
        <v>9</v>
      </c>
      <c r="J2778" s="2"/>
      <c r="K2778" s="2"/>
    </row>
    <row r="2779" customFormat="false" ht="15" hidden="false" customHeight="false" outlineLevel="0" collapsed="false">
      <c r="A2779" s="2" t="s">
        <v>227</v>
      </c>
      <c r="B2779" s="2" t="s">
        <v>228</v>
      </c>
      <c r="C2779" s="2" t="s">
        <v>57</v>
      </c>
      <c r="D2779" s="3" t="n">
        <v>46253</v>
      </c>
      <c r="E2779" s="2" t="str">
        <f aca="false">TEXT(D2779,"dddd")</f>
        <v>Wednesday</v>
      </c>
      <c r="F2779" s="2" t="s">
        <v>457</v>
      </c>
      <c r="G2779" s="2" t="s">
        <v>458</v>
      </c>
      <c r="H2779" s="2" t="s">
        <v>459</v>
      </c>
      <c r="I2779" s="2" t="n">
        <f aca="false">IF(F2779="Present",9,IF(F2779="Half Day",4,0))</f>
        <v>9</v>
      </c>
      <c r="J2779" s="2"/>
      <c r="K2779" s="2"/>
    </row>
    <row r="2780" customFormat="false" ht="15" hidden="false" customHeight="false" outlineLevel="0" collapsed="false">
      <c r="A2780" s="2" t="s">
        <v>227</v>
      </c>
      <c r="B2780" s="2" t="s">
        <v>228</v>
      </c>
      <c r="C2780" s="2" t="s">
        <v>57</v>
      </c>
      <c r="D2780" s="3" t="n">
        <v>46254</v>
      </c>
      <c r="E2780" s="2" t="str">
        <f aca="false">TEXT(D2780,"dddd")</f>
        <v>Thursday</v>
      </c>
      <c r="F2780" s="2" t="s">
        <v>461</v>
      </c>
      <c r="G2780" s="2"/>
      <c r="H2780" s="2"/>
      <c r="I2780" s="2" t="n">
        <f aca="false">IF(F2780="Present",9,IF(F2780="Half Day",4,0))</f>
        <v>0</v>
      </c>
      <c r="J2780" s="2"/>
      <c r="K2780" s="2" t="s">
        <v>462</v>
      </c>
    </row>
    <row r="2781" customFormat="false" ht="15" hidden="false" customHeight="false" outlineLevel="0" collapsed="false">
      <c r="A2781" s="2" t="s">
        <v>227</v>
      </c>
      <c r="B2781" s="2" t="s">
        <v>228</v>
      </c>
      <c r="C2781" s="2" t="s">
        <v>57</v>
      </c>
      <c r="D2781" s="3" t="n">
        <v>46255</v>
      </c>
      <c r="E2781" s="2" t="str">
        <f aca="false">TEXT(D2781,"dddd")</f>
        <v>Friday</v>
      </c>
      <c r="F2781" s="2" t="s">
        <v>461</v>
      </c>
      <c r="G2781" s="2"/>
      <c r="H2781" s="2"/>
      <c r="I2781" s="2" t="n">
        <f aca="false">IF(F2781="Present",9,IF(F2781="Half Day",4,0))</f>
        <v>0</v>
      </c>
      <c r="J2781" s="2"/>
      <c r="K2781" s="2" t="s">
        <v>462</v>
      </c>
    </row>
    <row r="2782" customFormat="false" ht="15" hidden="false" customHeight="false" outlineLevel="0" collapsed="false">
      <c r="A2782" s="2" t="s">
        <v>227</v>
      </c>
      <c r="B2782" s="2" t="s">
        <v>228</v>
      </c>
      <c r="C2782" s="2" t="s">
        <v>57</v>
      </c>
      <c r="D2782" s="3" t="n">
        <v>46256</v>
      </c>
      <c r="E2782" s="2" t="str">
        <f aca="false">TEXT(D2782,"dddd")</f>
        <v>Saturday</v>
      </c>
      <c r="F2782" s="2" t="s">
        <v>461</v>
      </c>
      <c r="G2782" s="2"/>
      <c r="H2782" s="2"/>
      <c r="I2782" s="2" t="n">
        <f aca="false">IF(F2782="Present",9,IF(F2782="Half Day",4,0))</f>
        <v>0</v>
      </c>
      <c r="J2782" s="2"/>
      <c r="K2782" s="2" t="s">
        <v>462</v>
      </c>
    </row>
    <row r="2783" customFormat="false" ht="15" hidden="false" customHeight="false" outlineLevel="0" collapsed="false">
      <c r="A2783" s="2" t="s">
        <v>227</v>
      </c>
      <c r="B2783" s="2" t="s">
        <v>228</v>
      </c>
      <c r="C2783" s="2" t="s">
        <v>57</v>
      </c>
      <c r="D2783" s="3" t="n">
        <v>46257</v>
      </c>
      <c r="E2783" s="2" t="str">
        <f aca="false">TEXT(D2783,"dddd")</f>
        <v>Sunday</v>
      </c>
      <c r="F2783" s="2" t="s">
        <v>460</v>
      </c>
      <c r="G2783" s="2"/>
      <c r="H2783" s="2"/>
      <c r="I2783" s="2" t="n">
        <f aca="false">IF(F2783="Present",9,IF(F2783="Half Day",4,0))</f>
        <v>0</v>
      </c>
      <c r="J2783" s="2"/>
      <c r="K2783" s="2" t="s">
        <v>460</v>
      </c>
    </row>
    <row r="2784" customFormat="false" ht="15" hidden="false" customHeight="false" outlineLevel="0" collapsed="false">
      <c r="A2784" s="2" t="s">
        <v>227</v>
      </c>
      <c r="B2784" s="2" t="s">
        <v>228</v>
      </c>
      <c r="C2784" s="2" t="s">
        <v>57</v>
      </c>
      <c r="D2784" s="3" t="n">
        <v>46258</v>
      </c>
      <c r="E2784" s="2" t="str">
        <f aca="false">TEXT(D2784,"dddd")</f>
        <v>Monday</v>
      </c>
      <c r="F2784" s="2" t="s">
        <v>457</v>
      </c>
      <c r="G2784" s="2" t="s">
        <v>458</v>
      </c>
      <c r="H2784" s="2" t="s">
        <v>459</v>
      </c>
      <c r="I2784" s="2" t="n">
        <f aca="false">IF(F2784="Present",9,IF(F2784="Half Day",4,0))</f>
        <v>9</v>
      </c>
      <c r="J2784" s="2"/>
      <c r="K2784" s="2"/>
    </row>
    <row r="2785" customFormat="false" ht="15" hidden="false" customHeight="false" outlineLevel="0" collapsed="false">
      <c r="A2785" s="2" t="s">
        <v>227</v>
      </c>
      <c r="B2785" s="2" t="s">
        <v>228</v>
      </c>
      <c r="C2785" s="2" t="s">
        <v>57</v>
      </c>
      <c r="D2785" s="3" t="n">
        <v>46259</v>
      </c>
      <c r="E2785" s="2" t="str">
        <f aca="false">TEXT(D2785,"dddd")</f>
        <v>Tuesday</v>
      </c>
      <c r="F2785" s="2" t="s">
        <v>457</v>
      </c>
      <c r="G2785" s="2" t="s">
        <v>458</v>
      </c>
      <c r="H2785" s="2" t="s">
        <v>459</v>
      </c>
      <c r="I2785" s="2" t="n">
        <f aca="false">IF(F2785="Present",9,IF(F2785="Half Day",4,0))</f>
        <v>9</v>
      </c>
      <c r="J2785" s="2"/>
      <c r="K2785" s="2"/>
    </row>
    <row r="2786" customFormat="false" ht="15" hidden="false" customHeight="false" outlineLevel="0" collapsed="false">
      <c r="A2786" s="2" t="s">
        <v>227</v>
      </c>
      <c r="B2786" s="2" t="s">
        <v>228</v>
      </c>
      <c r="C2786" s="2" t="s">
        <v>57</v>
      </c>
      <c r="D2786" s="3" t="n">
        <v>46260</v>
      </c>
      <c r="E2786" s="2" t="str">
        <f aca="false">TEXT(D2786,"dddd")</f>
        <v>Wednesday</v>
      </c>
      <c r="F2786" s="2" t="s">
        <v>457</v>
      </c>
      <c r="G2786" s="2" t="s">
        <v>458</v>
      </c>
      <c r="H2786" s="2" t="s">
        <v>459</v>
      </c>
      <c r="I2786" s="2" t="n">
        <f aca="false">IF(F2786="Present",9,IF(F2786="Half Day",4,0))</f>
        <v>9</v>
      </c>
      <c r="J2786" s="2"/>
      <c r="K2786" s="2"/>
    </row>
    <row r="2787" customFormat="false" ht="15" hidden="false" customHeight="false" outlineLevel="0" collapsed="false">
      <c r="A2787" s="2" t="s">
        <v>227</v>
      </c>
      <c r="B2787" s="2" t="s">
        <v>228</v>
      </c>
      <c r="C2787" s="2" t="s">
        <v>57</v>
      </c>
      <c r="D2787" s="3" t="n">
        <v>46261</v>
      </c>
      <c r="E2787" s="2" t="str">
        <f aca="false">TEXT(D2787,"dddd")</f>
        <v>Thursday</v>
      </c>
      <c r="F2787" s="2" t="s">
        <v>457</v>
      </c>
      <c r="G2787" s="2" t="s">
        <v>458</v>
      </c>
      <c r="H2787" s="2" t="s">
        <v>459</v>
      </c>
      <c r="I2787" s="2" t="n">
        <f aca="false">IF(F2787="Present",9,IF(F2787="Half Day",4,0))</f>
        <v>9</v>
      </c>
      <c r="J2787" s="2"/>
      <c r="K2787" s="2"/>
    </row>
    <row r="2788" customFormat="false" ht="15" hidden="false" customHeight="false" outlineLevel="0" collapsed="false">
      <c r="A2788" s="2" t="s">
        <v>227</v>
      </c>
      <c r="B2788" s="2" t="s">
        <v>228</v>
      </c>
      <c r="C2788" s="2" t="s">
        <v>57</v>
      </c>
      <c r="D2788" s="3" t="n">
        <v>46262</v>
      </c>
      <c r="E2788" s="2" t="str">
        <f aca="false">TEXT(D2788,"dddd")</f>
        <v>Friday</v>
      </c>
      <c r="F2788" s="2" t="s">
        <v>457</v>
      </c>
      <c r="G2788" s="2" t="s">
        <v>458</v>
      </c>
      <c r="H2788" s="2" t="s">
        <v>459</v>
      </c>
      <c r="I2788" s="2" t="n">
        <f aca="false">IF(F2788="Present",9,IF(F2788="Half Day",4,0))</f>
        <v>9</v>
      </c>
      <c r="J2788" s="2"/>
      <c r="K2788" s="2"/>
    </row>
    <row r="2789" customFormat="false" ht="15" hidden="false" customHeight="false" outlineLevel="0" collapsed="false">
      <c r="A2789" s="2" t="s">
        <v>227</v>
      </c>
      <c r="B2789" s="2" t="s">
        <v>228</v>
      </c>
      <c r="C2789" s="2" t="s">
        <v>57</v>
      </c>
      <c r="D2789" s="3" t="n">
        <v>46263</v>
      </c>
      <c r="E2789" s="2" t="str">
        <f aca="false">TEXT(D2789,"dddd")</f>
        <v>Saturday</v>
      </c>
      <c r="F2789" s="2" t="s">
        <v>457</v>
      </c>
      <c r="G2789" s="2" t="s">
        <v>458</v>
      </c>
      <c r="H2789" s="2" t="s">
        <v>459</v>
      </c>
      <c r="I2789" s="2" t="n">
        <f aca="false">IF(F2789="Present",9,IF(F2789="Half Day",4,0))</f>
        <v>9</v>
      </c>
      <c r="J2789" s="2"/>
      <c r="K2789" s="2"/>
    </row>
    <row r="2790" customFormat="false" ht="15" hidden="false" customHeight="false" outlineLevel="0" collapsed="false">
      <c r="A2790" s="2" t="s">
        <v>227</v>
      </c>
      <c r="B2790" s="2" t="s">
        <v>228</v>
      </c>
      <c r="C2790" s="2" t="s">
        <v>57</v>
      </c>
      <c r="D2790" s="3" t="n">
        <v>46264</v>
      </c>
      <c r="E2790" s="2" t="str">
        <f aca="false">TEXT(D2790,"dddd")</f>
        <v>Sunday</v>
      </c>
      <c r="F2790" s="2" t="s">
        <v>460</v>
      </c>
      <c r="G2790" s="2"/>
      <c r="H2790" s="2"/>
      <c r="I2790" s="2" t="n">
        <f aca="false">IF(F2790="Present",9,IF(F2790="Half Day",4,0))</f>
        <v>0</v>
      </c>
      <c r="J2790" s="2"/>
      <c r="K2790" s="2" t="s">
        <v>460</v>
      </c>
    </row>
    <row r="2791" customFormat="false" ht="15" hidden="false" customHeight="false" outlineLevel="0" collapsed="false">
      <c r="A2791" s="2" t="s">
        <v>227</v>
      </c>
      <c r="B2791" s="2" t="s">
        <v>228</v>
      </c>
      <c r="C2791" s="2" t="s">
        <v>57</v>
      </c>
      <c r="D2791" s="3" t="n">
        <v>46265</v>
      </c>
      <c r="E2791" s="2" t="str">
        <f aca="false">TEXT(D2791,"dddd")</f>
        <v>Monday</v>
      </c>
      <c r="F2791" s="2" t="s">
        <v>457</v>
      </c>
      <c r="G2791" s="2" t="s">
        <v>458</v>
      </c>
      <c r="H2791" s="2" t="s">
        <v>459</v>
      </c>
      <c r="I2791" s="2" t="n">
        <f aca="false">IF(F2791="Present",9,IF(F2791="Half Day",4,0))</f>
        <v>9</v>
      </c>
      <c r="J2791" s="2"/>
      <c r="K2791" s="2"/>
    </row>
    <row r="2792" customFormat="false" ht="15" hidden="false" customHeight="false" outlineLevel="0" collapsed="false">
      <c r="A2792" s="2" t="s">
        <v>229</v>
      </c>
      <c r="B2792" s="2" t="s">
        <v>230</v>
      </c>
      <c r="C2792" s="2" t="s">
        <v>17</v>
      </c>
      <c r="D2792" s="3" t="n">
        <v>46235</v>
      </c>
      <c r="E2792" s="2" t="str">
        <f aca="false">TEXT(D2792,"dddd")</f>
        <v>Saturday</v>
      </c>
      <c r="F2792" s="2" t="s">
        <v>457</v>
      </c>
      <c r="G2792" s="2" t="s">
        <v>458</v>
      </c>
      <c r="H2792" s="2" t="s">
        <v>459</v>
      </c>
      <c r="I2792" s="2" t="n">
        <f aca="false">IF(F2792="Present",9,IF(F2792="Half Day",4,0))</f>
        <v>9</v>
      </c>
      <c r="J2792" s="2"/>
      <c r="K2792" s="2"/>
    </row>
    <row r="2793" customFormat="false" ht="15" hidden="false" customHeight="false" outlineLevel="0" collapsed="false">
      <c r="A2793" s="2" t="s">
        <v>229</v>
      </c>
      <c r="B2793" s="2" t="s">
        <v>230</v>
      </c>
      <c r="C2793" s="2" t="s">
        <v>17</v>
      </c>
      <c r="D2793" s="3" t="n">
        <v>46236</v>
      </c>
      <c r="E2793" s="2" t="str">
        <f aca="false">TEXT(D2793,"dddd")</f>
        <v>Sunday</v>
      </c>
      <c r="F2793" s="2" t="s">
        <v>460</v>
      </c>
      <c r="G2793" s="2"/>
      <c r="H2793" s="2"/>
      <c r="I2793" s="2" t="n">
        <f aca="false">IF(F2793="Present",9,IF(F2793="Half Day",4,0))</f>
        <v>0</v>
      </c>
      <c r="J2793" s="2"/>
      <c r="K2793" s="2" t="s">
        <v>460</v>
      </c>
    </row>
    <row r="2794" customFormat="false" ht="15" hidden="false" customHeight="false" outlineLevel="0" collapsed="false">
      <c r="A2794" s="2" t="s">
        <v>229</v>
      </c>
      <c r="B2794" s="2" t="s">
        <v>230</v>
      </c>
      <c r="C2794" s="2" t="s">
        <v>17</v>
      </c>
      <c r="D2794" s="3" t="n">
        <v>46237</v>
      </c>
      <c r="E2794" s="2" t="str">
        <f aca="false">TEXT(D2794,"dddd")</f>
        <v>Monday</v>
      </c>
      <c r="F2794" s="2" t="s">
        <v>461</v>
      </c>
      <c r="G2794" s="2"/>
      <c r="H2794" s="2"/>
      <c r="I2794" s="2" t="n">
        <f aca="false">IF(F2794="Present",9,IF(F2794="Half Day",4,0))</f>
        <v>0</v>
      </c>
      <c r="J2794" s="2"/>
      <c r="K2794" s="2" t="s">
        <v>462</v>
      </c>
    </row>
    <row r="2795" customFormat="false" ht="15" hidden="false" customHeight="false" outlineLevel="0" collapsed="false">
      <c r="A2795" s="2" t="s">
        <v>229</v>
      </c>
      <c r="B2795" s="2" t="s">
        <v>230</v>
      </c>
      <c r="C2795" s="2" t="s">
        <v>17</v>
      </c>
      <c r="D2795" s="3" t="n">
        <v>46238</v>
      </c>
      <c r="E2795" s="2" t="str">
        <f aca="false">TEXT(D2795,"dddd")</f>
        <v>Tuesday</v>
      </c>
      <c r="F2795" s="2" t="s">
        <v>457</v>
      </c>
      <c r="G2795" s="2" t="s">
        <v>458</v>
      </c>
      <c r="H2795" s="2" t="s">
        <v>459</v>
      </c>
      <c r="I2795" s="2" t="n">
        <f aca="false">IF(F2795="Present",9,IF(F2795="Half Day",4,0))</f>
        <v>9</v>
      </c>
      <c r="J2795" s="2"/>
      <c r="K2795" s="2"/>
    </row>
    <row r="2796" customFormat="false" ht="15" hidden="false" customHeight="false" outlineLevel="0" collapsed="false">
      <c r="A2796" s="2" t="s">
        <v>229</v>
      </c>
      <c r="B2796" s="2" t="s">
        <v>230</v>
      </c>
      <c r="C2796" s="2" t="s">
        <v>17</v>
      </c>
      <c r="D2796" s="3" t="n">
        <v>46239</v>
      </c>
      <c r="E2796" s="2" t="str">
        <f aca="false">TEXT(D2796,"dddd")</f>
        <v>Wednesday</v>
      </c>
      <c r="F2796" s="2" t="s">
        <v>457</v>
      </c>
      <c r="G2796" s="2" t="s">
        <v>458</v>
      </c>
      <c r="H2796" s="2" t="s">
        <v>459</v>
      </c>
      <c r="I2796" s="2" t="n">
        <f aca="false">IF(F2796="Present",9,IF(F2796="Half Day",4,0))</f>
        <v>9</v>
      </c>
      <c r="J2796" s="2"/>
      <c r="K2796" s="2"/>
    </row>
    <row r="2797" customFormat="false" ht="15" hidden="false" customHeight="false" outlineLevel="0" collapsed="false">
      <c r="A2797" s="2" t="s">
        <v>229</v>
      </c>
      <c r="B2797" s="2" t="s">
        <v>230</v>
      </c>
      <c r="C2797" s="2" t="s">
        <v>17</v>
      </c>
      <c r="D2797" s="3" t="n">
        <v>46240</v>
      </c>
      <c r="E2797" s="2" t="str">
        <f aca="false">TEXT(D2797,"dddd")</f>
        <v>Thursday</v>
      </c>
      <c r="F2797" s="2" t="s">
        <v>463</v>
      </c>
      <c r="G2797" s="2"/>
      <c r="H2797" s="2"/>
      <c r="I2797" s="2" t="n">
        <f aca="false">IF(F2797="Present",9,IF(F2797="Half Day",4,0))</f>
        <v>0</v>
      </c>
      <c r="J2797" s="2" t="s">
        <v>474</v>
      </c>
      <c r="K2797" s="2" t="s">
        <v>475</v>
      </c>
    </row>
    <row r="2798" customFormat="false" ht="15" hidden="false" customHeight="false" outlineLevel="0" collapsed="false">
      <c r="A2798" s="2" t="s">
        <v>229</v>
      </c>
      <c r="B2798" s="2" t="s">
        <v>230</v>
      </c>
      <c r="C2798" s="2" t="s">
        <v>17</v>
      </c>
      <c r="D2798" s="3" t="n">
        <v>46241</v>
      </c>
      <c r="E2798" s="2" t="str">
        <f aca="false">TEXT(D2798,"dddd")</f>
        <v>Friday</v>
      </c>
      <c r="F2798" s="2" t="s">
        <v>457</v>
      </c>
      <c r="G2798" s="2" t="s">
        <v>458</v>
      </c>
      <c r="H2798" s="2" t="s">
        <v>459</v>
      </c>
      <c r="I2798" s="2" t="n">
        <f aca="false">IF(F2798="Present",9,IF(F2798="Half Day",4,0))</f>
        <v>9</v>
      </c>
      <c r="J2798" s="2"/>
      <c r="K2798" s="2"/>
    </row>
    <row r="2799" customFormat="false" ht="15" hidden="false" customHeight="false" outlineLevel="0" collapsed="false">
      <c r="A2799" s="2" t="s">
        <v>229</v>
      </c>
      <c r="B2799" s="2" t="s">
        <v>230</v>
      </c>
      <c r="C2799" s="2" t="s">
        <v>17</v>
      </c>
      <c r="D2799" s="3" t="n">
        <v>46242</v>
      </c>
      <c r="E2799" s="2" t="str">
        <f aca="false">TEXT(D2799,"dddd")</f>
        <v>Saturday</v>
      </c>
      <c r="F2799" s="2" t="s">
        <v>457</v>
      </c>
      <c r="G2799" s="2" t="s">
        <v>458</v>
      </c>
      <c r="H2799" s="2" t="s">
        <v>459</v>
      </c>
      <c r="I2799" s="2" t="n">
        <f aca="false">IF(F2799="Present",9,IF(F2799="Half Day",4,0))</f>
        <v>9</v>
      </c>
      <c r="J2799" s="2"/>
      <c r="K2799" s="2"/>
    </row>
    <row r="2800" customFormat="false" ht="15" hidden="false" customHeight="false" outlineLevel="0" collapsed="false">
      <c r="A2800" s="2" t="s">
        <v>229</v>
      </c>
      <c r="B2800" s="2" t="s">
        <v>230</v>
      </c>
      <c r="C2800" s="2" t="s">
        <v>17</v>
      </c>
      <c r="D2800" s="3" t="n">
        <v>46243</v>
      </c>
      <c r="E2800" s="2" t="str">
        <f aca="false">TEXT(D2800,"dddd")</f>
        <v>Sunday</v>
      </c>
      <c r="F2800" s="2" t="s">
        <v>460</v>
      </c>
      <c r="G2800" s="2"/>
      <c r="H2800" s="2"/>
      <c r="I2800" s="2" t="n">
        <f aca="false">IF(F2800="Present",9,IF(F2800="Half Day",4,0))</f>
        <v>0</v>
      </c>
      <c r="J2800" s="2"/>
      <c r="K2800" s="2" t="s">
        <v>460</v>
      </c>
    </row>
    <row r="2801" customFormat="false" ht="15" hidden="false" customHeight="false" outlineLevel="0" collapsed="false">
      <c r="A2801" s="2" t="s">
        <v>229</v>
      </c>
      <c r="B2801" s="2" t="s">
        <v>230</v>
      </c>
      <c r="C2801" s="2" t="s">
        <v>17</v>
      </c>
      <c r="D2801" s="3" t="n">
        <v>46244</v>
      </c>
      <c r="E2801" s="2" t="str">
        <f aca="false">TEXT(D2801,"dddd")</f>
        <v>Monday</v>
      </c>
      <c r="F2801" s="2" t="s">
        <v>457</v>
      </c>
      <c r="G2801" s="2" t="s">
        <v>458</v>
      </c>
      <c r="H2801" s="2" t="s">
        <v>459</v>
      </c>
      <c r="I2801" s="2" t="n">
        <f aca="false">IF(F2801="Present",9,IF(F2801="Half Day",4,0))</f>
        <v>9</v>
      </c>
      <c r="J2801" s="2"/>
      <c r="K2801" s="2"/>
    </row>
    <row r="2802" customFormat="false" ht="15" hidden="false" customHeight="false" outlineLevel="0" collapsed="false">
      <c r="A2802" s="2" t="s">
        <v>229</v>
      </c>
      <c r="B2802" s="2" t="s">
        <v>230</v>
      </c>
      <c r="C2802" s="2" t="s">
        <v>17</v>
      </c>
      <c r="D2802" s="3" t="n">
        <v>46245</v>
      </c>
      <c r="E2802" s="2" t="str">
        <f aca="false">TEXT(D2802,"dddd")</f>
        <v>Tuesday</v>
      </c>
      <c r="F2802" s="2" t="s">
        <v>457</v>
      </c>
      <c r="G2802" s="2" t="s">
        <v>458</v>
      </c>
      <c r="H2802" s="2" t="s">
        <v>459</v>
      </c>
      <c r="I2802" s="2" t="n">
        <f aca="false">IF(F2802="Present",9,IF(F2802="Half Day",4,0))</f>
        <v>9</v>
      </c>
      <c r="J2802" s="2"/>
      <c r="K2802" s="2"/>
    </row>
    <row r="2803" customFormat="false" ht="15" hidden="false" customHeight="false" outlineLevel="0" collapsed="false">
      <c r="A2803" s="2" t="s">
        <v>229</v>
      </c>
      <c r="B2803" s="2" t="s">
        <v>230</v>
      </c>
      <c r="C2803" s="2" t="s">
        <v>17</v>
      </c>
      <c r="D2803" s="3" t="n">
        <v>46246</v>
      </c>
      <c r="E2803" s="2" t="str">
        <f aca="false">TEXT(D2803,"dddd")</f>
        <v>Wednesday</v>
      </c>
      <c r="F2803" s="2" t="s">
        <v>457</v>
      </c>
      <c r="G2803" s="2" t="s">
        <v>458</v>
      </c>
      <c r="H2803" s="2" t="s">
        <v>459</v>
      </c>
      <c r="I2803" s="2" t="n">
        <f aca="false">IF(F2803="Present",9,IF(F2803="Half Day",4,0))</f>
        <v>9</v>
      </c>
      <c r="J2803" s="2"/>
      <c r="K2803" s="2"/>
    </row>
    <row r="2804" customFormat="false" ht="15" hidden="false" customHeight="false" outlineLevel="0" collapsed="false">
      <c r="A2804" s="2" t="s">
        <v>229</v>
      </c>
      <c r="B2804" s="2" t="s">
        <v>230</v>
      </c>
      <c r="C2804" s="2" t="s">
        <v>17</v>
      </c>
      <c r="D2804" s="3" t="n">
        <v>46247</v>
      </c>
      <c r="E2804" s="2" t="str">
        <f aca="false">TEXT(D2804,"dddd")</f>
        <v>Thursday</v>
      </c>
      <c r="F2804" s="2" t="s">
        <v>457</v>
      </c>
      <c r="G2804" s="2" t="s">
        <v>458</v>
      </c>
      <c r="H2804" s="2" t="s">
        <v>459</v>
      </c>
      <c r="I2804" s="2" t="n">
        <f aca="false">IF(F2804="Present",9,IF(F2804="Half Day",4,0))</f>
        <v>9</v>
      </c>
      <c r="J2804" s="2"/>
      <c r="K2804" s="2"/>
    </row>
    <row r="2805" customFormat="false" ht="15" hidden="false" customHeight="false" outlineLevel="0" collapsed="false">
      <c r="A2805" s="2" t="s">
        <v>229</v>
      </c>
      <c r="B2805" s="2" t="s">
        <v>230</v>
      </c>
      <c r="C2805" s="2" t="s">
        <v>17</v>
      </c>
      <c r="D2805" s="3" t="n">
        <v>46248</v>
      </c>
      <c r="E2805" s="2" t="str">
        <f aca="false">TEXT(D2805,"dddd")</f>
        <v>Friday</v>
      </c>
      <c r="F2805" s="2" t="s">
        <v>457</v>
      </c>
      <c r="G2805" s="2" t="s">
        <v>458</v>
      </c>
      <c r="H2805" s="2" t="s">
        <v>459</v>
      </c>
      <c r="I2805" s="2" t="n">
        <f aca="false">IF(F2805="Present",9,IF(F2805="Half Day",4,0))</f>
        <v>9</v>
      </c>
      <c r="J2805" s="2"/>
      <c r="K2805" s="2"/>
    </row>
    <row r="2806" customFormat="false" ht="15" hidden="false" customHeight="false" outlineLevel="0" collapsed="false">
      <c r="A2806" s="2" t="s">
        <v>229</v>
      </c>
      <c r="B2806" s="2" t="s">
        <v>230</v>
      </c>
      <c r="C2806" s="2" t="s">
        <v>17</v>
      </c>
      <c r="D2806" s="3" t="n">
        <v>46249</v>
      </c>
      <c r="E2806" s="2" t="str">
        <f aca="false">TEXT(D2806,"dddd")</f>
        <v>Saturday</v>
      </c>
      <c r="F2806" s="2" t="s">
        <v>457</v>
      </c>
      <c r="G2806" s="2" t="s">
        <v>458</v>
      </c>
      <c r="H2806" s="2" t="s">
        <v>459</v>
      </c>
      <c r="I2806" s="2" t="n">
        <f aca="false">IF(F2806="Present",9,IF(F2806="Half Day",4,0))</f>
        <v>9</v>
      </c>
      <c r="J2806" s="2"/>
      <c r="K2806" s="2"/>
    </row>
    <row r="2807" customFormat="false" ht="15" hidden="false" customHeight="false" outlineLevel="0" collapsed="false">
      <c r="A2807" s="2" t="s">
        <v>229</v>
      </c>
      <c r="B2807" s="2" t="s">
        <v>230</v>
      </c>
      <c r="C2807" s="2" t="s">
        <v>17</v>
      </c>
      <c r="D2807" s="3" t="n">
        <v>46250</v>
      </c>
      <c r="E2807" s="2" t="str">
        <f aca="false">TEXT(D2807,"dddd")</f>
        <v>Sunday</v>
      </c>
      <c r="F2807" s="2" t="s">
        <v>460</v>
      </c>
      <c r="G2807" s="2"/>
      <c r="H2807" s="2"/>
      <c r="I2807" s="2" t="n">
        <f aca="false">IF(F2807="Present",9,IF(F2807="Half Day",4,0))</f>
        <v>0</v>
      </c>
      <c r="J2807" s="2"/>
      <c r="K2807" s="2" t="s">
        <v>460</v>
      </c>
    </row>
    <row r="2808" customFormat="false" ht="15" hidden="false" customHeight="false" outlineLevel="0" collapsed="false">
      <c r="A2808" s="2" t="s">
        <v>229</v>
      </c>
      <c r="B2808" s="2" t="s">
        <v>230</v>
      </c>
      <c r="C2808" s="2" t="s">
        <v>17</v>
      </c>
      <c r="D2808" s="3" t="n">
        <v>46251</v>
      </c>
      <c r="E2808" s="2" t="str">
        <f aca="false">TEXT(D2808,"dddd")</f>
        <v>Monday</v>
      </c>
      <c r="F2808" s="2" t="s">
        <v>457</v>
      </c>
      <c r="G2808" s="2" t="s">
        <v>458</v>
      </c>
      <c r="H2808" s="2" t="s">
        <v>459</v>
      </c>
      <c r="I2808" s="2" t="n">
        <f aca="false">IF(F2808="Present",9,IF(F2808="Half Day",4,0))</f>
        <v>9</v>
      </c>
      <c r="J2808" s="2"/>
      <c r="K2808" s="2"/>
    </row>
    <row r="2809" customFormat="false" ht="15" hidden="false" customHeight="false" outlineLevel="0" collapsed="false">
      <c r="A2809" s="2" t="s">
        <v>229</v>
      </c>
      <c r="B2809" s="2" t="s">
        <v>230</v>
      </c>
      <c r="C2809" s="2" t="s">
        <v>17</v>
      </c>
      <c r="D2809" s="3" t="n">
        <v>46252</v>
      </c>
      <c r="E2809" s="2" t="str">
        <f aca="false">TEXT(D2809,"dddd")</f>
        <v>Tuesday</v>
      </c>
      <c r="F2809" s="2" t="s">
        <v>461</v>
      </c>
      <c r="G2809" s="2"/>
      <c r="H2809" s="2"/>
      <c r="I2809" s="2" t="n">
        <f aca="false">IF(F2809="Present",9,IF(F2809="Half Day",4,0))</f>
        <v>0</v>
      </c>
      <c r="J2809" s="2"/>
      <c r="K2809" s="2" t="s">
        <v>462</v>
      </c>
    </row>
    <row r="2810" customFormat="false" ht="15" hidden="false" customHeight="false" outlineLevel="0" collapsed="false">
      <c r="A2810" s="2" t="s">
        <v>229</v>
      </c>
      <c r="B2810" s="2" t="s">
        <v>230</v>
      </c>
      <c r="C2810" s="2" t="s">
        <v>17</v>
      </c>
      <c r="D2810" s="3" t="n">
        <v>46253</v>
      </c>
      <c r="E2810" s="2" t="str">
        <f aca="false">TEXT(D2810,"dddd")</f>
        <v>Wednesday</v>
      </c>
      <c r="F2810" s="2" t="s">
        <v>457</v>
      </c>
      <c r="G2810" s="2" t="s">
        <v>458</v>
      </c>
      <c r="H2810" s="2" t="s">
        <v>459</v>
      </c>
      <c r="I2810" s="2" t="n">
        <f aca="false">IF(F2810="Present",9,IF(F2810="Half Day",4,0))</f>
        <v>9</v>
      </c>
      <c r="J2810" s="2"/>
      <c r="K2810" s="2"/>
    </row>
    <row r="2811" customFormat="false" ht="15" hidden="false" customHeight="false" outlineLevel="0" collapsed="false">
      <c r="A2811" s="2" t="s">
        <v>229</v>
      </c>
      <c r="B2811" s="2" t="s">
        <v>230</v>
      </c>
      <c r="C2811" s="2" t="s">
        <v>17</v>
      </c>
      <c r="D2811" s="3" t="n">
        <v>46254</v>
      </c>
      <c r="E2811" s="2" t="str">
        <f aca="false">TEXT(D2811,"dddd")</f>
        <v>Thursday</v>
      </c>
      <c r="F2811" s="2" t="s">
        <v>457</v>
      </c>
      <c r="G2811" s="2" t="s">
        <v>458</v>
      </c>
      <c r="H2811" s="2" t="s">
        <v>459</v>
      </c>
      <c r="I2811" s="2" t="n">
        <f aca="false">IF(F2811="Present",9,IF(F2811="Half Day",4,0))</f>
        <v>9</v>
      </c>
      <c r="J2811" s="2"/>
      <c r="K2811" s="2"/>
    </row>
    <row r="2812" customFormat="false" ht="15" hidden="false" customHeight="false" outlineLevel="0" collapsed="false">
      <c r="A2812" s="2" t="s">
        <v>229</v>
      </c>
      <c r="B2812" s="2" t="s">
        <v>230</v>
      </c>
      <c r="C2812" s="2" t="s">
        <v>17</v>
      </c>
      <c r="D2812" s="3" t="n">
        <v>46255</v>
      </c>
      <c r="E2812" s="2" t="str">
        <f aca="false">TEXT(D2812,"dddd")</f>
        <v>Friday</v>
      </c>
      <c r="F2812" s="2" t="s">
        <v>457</v>
      </c>
      <c r="G2812" s="2" t="s">
        <v>458</v>
      </c>
      <c r="H2812" s="2" t="s">
        <v>459</v>
      </c>
      <c r="I2812" s="2" t="n">
        <f aca="false">IF(F2812="Present",9,IF(F2812="Half Day",4,0))</f>
        <v>9</v>
      </c>
      <c r="J2812" s="2"/>
      <c r="K2812" s="2"/>
    </row>
    <row r="2813" customFormat="false" ht="15" hidden="false" customHeight="false" outlineLevel="0" collapsed="false">
      <c r="A2813" s="2" t="s">
        <v>229</v>
      </c>
      <c r="B2813" s="2" t="s">
        <v>230</v>
      </c>
      <c r="C2813" s="2" t="s">
        <v>17</v>
      </c>
      <c r="D2813" s="3" t="n">
        <v>46256</v>
      </c>
      <c r="E2813" s="2" t="str">
        <f aca="false">TEXT(D2813,"dddd")</f>
        <v>Saturday</v>
      </c>
      <c r="F2813" s="2" t="s">
        <v>457</v>
      </c>
      <c r="G2813" s="2" t="s">
        <v>458</v>
      </c>
      <c r="H2813" s="2" t="s">
        <v>459</v>
      </c>
      <c r="I2813" s="2" t="n">
        <f aca="false">IF(F2813="Present",9,IF(F2813="Half Day",4,0))</f>
        <v>9</v>
      </c>
      <c r="J2813" s="2"/>
      <c r="K2813" s="2"/>
    </row>
    <row r="2814" customFormat="false" ht="15" hidden="false" customHeight="false" outlineLevel="0" collapsed="false">
      <c r="A2814" s="2" t="s">
        <v>229</v>
      </c>
      <c r="B2814" s="2" t="s">
        <v>230</v>
      </c>
      <c r="C2814" s="2" t="s">
        <v>17</v>
      </c>
      <c r="D2814" s="3" t="n">
        <v>46257</v>
      </c>
      <c r="E2814" s="2" t="str">
        <f aca="false">TEXT(D2814,"dddd")</f>
        <v>Sunday</v>
      </c>
      <c r="F2814" s="2" t="s">
        <v>460</v>
      </c>
      <c r="G2814" s="2"/>
      <c r="H2814" s="2"/>
      <c r="I2814" s="2" t="n">
        <f aca="false">IF(F2814="Present",9,IF(F2814="Half Day",4,0))</f>
        <v>0</v>
      </c>
      <c r="J2814" s="2"/>
      <c r="K2814" s="2" t="s">
        <v>460</v>
      </c>
    </row>
    <row r="2815" customFormat="false" ht="15" hidden="false" customHeight="false" outlineLevel="0" collapsed="false">
      <c r="A2815" s="2" t="s">
        <v>229</v>
      </c>
      <c r="B2815" s="2" t="s">
        <v>230</v>
      </c>
      <c r="C2815" s="2" t="s">
        <v>17</v>
      </c>
      <c r="D2815" s="3" t="n">
        <v>46258</v>
      </c>
      <c r="E2815" s="2" t="str">
        <f aca="false">TEXT(D2815,"dddd")</f>
        <v>Monday</v>
      </c>
      <c r="F2815" s="2" t="s">
        <v>457</v>
      </c>
      <c r="G2815" s="2" t="s">
        <v>458</v>
      </c>
      <c r="H2815" s="2" t="s">
        <v>459</v>
      </c>
      <c r="I2815" s="2" t="n">
        <f aca="false">IF(F2815="Present",9,IF(F2815="Half Day",4,0))</f>
        <v>9</v>
      </c>
      <c r="J2815" s="2"/>
      <c r="K2815" s="2"/>
    </row>
    <row r="2816" customFormat="false" ht="15" hidden="false" customHeight="false" outlineLevel="0" collapsed="false">
      <c r="A2816" s="2" t="s">
        <v>229</v>
      </c>
      <c r="B2816" s="2" t="s">
        <v>230</v>
      </c>
      <c r="C2816" s="2" t="s">
        <v>17</v>
      </c>
      <c r="D2816" s="3" t="n">
        <v>46259</v>
      </c>
      <c r="E2816" s="2" t="str">
        <f aca="false">TEXT(D2816,"dddd")</f>
        <v>Tuesday</v>
      </c>
      <c r="F2816" s="2" t="s">
        <v>457</v>
      </c>
      <c r="G2816" s="2" t="s">
        <v>458</v>
      </c>
      <c r="H2816" s="2" t="s">
        <v>459</v>
      </c>
      <c r="I2816" s="2" t="n">
        <f aca="false">IF(F2816="Present",9,IF(F2816="Half Day",4,0))</f>
        <v>9</v>
      </c>
      <c r="J2816" s="2"/>
      <c r="K2816" s="2"/>
    </row>
    <row r="2817" customFormat="false" ht="15" hidden="false" customHeight="false" outlineLevel="0" collapsed="false">
      <c r="A2817" s="2" t="s">
        <v>229</v>
      </c>
      <c r="B2817" s="2" t="s">
        <v>230</v>
      </c>
      <c r="C2817" s="2" t="s">
        <v>17</v>
      </c>
      <c r="D2817" s="3" t="n">
        <v>46260</v>
      </c>
      <c r="E2817" s="2" t="str">
        <f aca="false">TEXT(D2817,"dddd")</f>
        <v>Wednesday</v>
      </c>
      <c r="F2817" s="2" t="s">
        <v>457</v>
      </c>
      <c r="G2817" s="2" t="s">
        <v>458</v>
      </c>
      <c r="H2817" s="2" t="s">
        <v>459</v>
      </c>
      <c r="I2817" s="2" t="n">
        <f aca="false">IF(F2817="Present",9,IF(F2817="Half Day",4,0))</f>
        <v>9</v>
      </c>
      <c r="J2817" s="2"/>
      <c r="K2817" s="2"/>
    </row>
    <row r="2818" customFormat="false" ht="15" hidden="false" customHeight="false" outlineLevel="0" collapsed="false">
      <c r="A2818" s="2" t="s">
        <v>229</v>
      </c>
      <c r="B2818" s="2" t="s">
        <v>230</v>
      </c>
      <c r="C2818" s="2" t="s">
        <v>17</v>
      </c>
      <c r="D2818" s="3" t="n">
        <v>46261</v>
      </c>
      <c r="E2818" s="2" t="str">
        <f aca="false">TEXT(D2818,"dddd")</f>
        <v>Thursday</v>
      </c>
      <c r="F2818" s="2" t="s">
        <v>457</v>
      </c>
      <c r="G2818" s="2" t="s">
        <v>458</v>
      </c>
      <c r="H2818" s="2" t="s">
        <v>459</v>
      </c>
      <c r="I2818" s="2" t="n">
        <f aca="false">IF(F2818="Present",9,IF(F2818="Half Day",4,0))</f>
        <v>9</v>
      </c>
      <c r="J2818" s="2"/>
      <c r="K2818" s="2"/>
    </row>
    <row r="2819" customFormat="false" ht="15" hidden="false" customHeight="false" outlineLevel="0" collapsed="false">
      <c r="A2819" s="2" t="s">
        <v>229</v>
      </c>
      <c r="B2819" s="2" t="s">
        <v>230</v>
      </c>
      <c r="C2819" s="2" t="s">
        <v>17</v>
      </c>
      <c r="D2819" s="3" t="n">
        <v>46262</v>
      </c>
      <c r="E2819" s="2" t="str">
        <f aca="false">TEXT(D2819,"dddd")</f>
        <v>Friday</v>
      </c>
      <c r="F2819" s="2" t="s">
        <v>457</v>
      </c>
      <c r="G2819" s="2" t="s">
        <v>458</v>
      </c>
      <c r="H2819" s="2" t="s">
        <v>459</v>
      </c>
      <c r="I2819" s="2" t="n">
        <f aca="false">IF(F2819="Present",9,IF(F2819="Half Day",4,0))</f>
        <v>9</v>
      </c>
      <c r="J2819" s="2"/>
      <c r="K2819" s="2"/>
    </row>
    <row r="2820" customFormat="false" ht="15" hidden="false" customHeight="false" outlineLevel="0" collapsed="false">
      <c r="A2820" s="2" t="s">
        <v>229</v>
      </c>
      <c r="B2820" s="2" t="s">
        <v>230</v>
      </c>
      <c r="C2820" s="2" t="s">
        <v>17</v>
      </c>
      <c r="D2820" s="3" t="n">
        <v>46263</v>
      </c>
      <c r="E2820" s="2" t="str">
        <f aca="false">TEXT(D2820,"dddd")</f>
        <v>Saturday</v>
      </c>
      <c r="F2820" s="2" t="s">
        <v>457</v>
      </c>
      <c r="G2820" s="2" t="s">
        <v>458</v>
      </c>
      <c r="H2820" s="2" t="s">
        <v>459</v>
      </c>
      <c r="I2820" s="2" t="n">
        <f aca="false">IF(F2820="Present",9,IF(F2820="Half Day",4,0))</f>
        <v>9</v>
      </c>
      <c r="J2820" s="2"/>
      <c r="K2820" s="2"/>
    </row>
    <row r="2821" customFormat="false" ht="15" hidden="false" customHeight="false" outlineLevel="0" collapsed="false">
      <c r="A2821" s="2" t="s">
        <v>229</v>
      </c>
      <c r="B2821" s="2" t="s">
        <v>230</v>
      </c>
      <c r="C2821" s="2" t="s">
        <v>17</v>
      </c>
      <c r="D2821" s="3" t="n">
        <v>46264</v>
      </c>
      <c r="E2821" s="2" t="str">
        <f aca="false">TEXT(D2821,"dddd")</f>
        <v>Sunday</v>
      </c>
      <c r="F2821" s="2" t="s">
        <v>460</v>
      </c>
      <c r="G2821" s="2"/>
      <c r="H2821" s="2"/>
      <c r="I2821" s="2" t="n">
        <f aca="false">IF(F2821="Present",9,IF(F2821="Half Day",4,0))</f>
        <v>0</v>
      </c>
      <c r="J2821" s="2"/>
      <c r="K2821" s="2" t="s">
        <v>460</v>
      </c>
    </row>
    <row r="2822" customFormat="false" ht="15" hidden="false" customHeight="false" outlineLevel="0" collapsed="false">
      <c r="A2822" s="2" t="s">
        <v>229</v>
      </c>
      <c r="B2822" s="2" t="s">
        <v>230</v>
      </c>
      <c r="C2822" s="2" t="s">
        <v>17</v>
      </c>
      <c r="D2822" s="3" t="n">
        <v>46265</v>
      </c>
      <c r="E2822" s="2" t="str">
        <f aca="false">TEXT(D2822,"dddd")</f>
        <v>Monday</v>
      </c>
      <c r="F2822" s="2" t="s">
        <v>457</v>
      </c>
      <c r="G2822" s="2" t="s">
        <v>458</v>
      </c>
      <c r="H2822" s="2" t="s">
        <v>459</v>
      </c>
      <c r="I2822" s="2" t="n">
        <f aca="false">IF(F2822="Present",9,IF(F2822="Half Day",4,0))</f>
        <v>9</v>
      </c>
      <c r="J2822" s="2"/>
      <c r="K2822" s="2"/>
    </row>
    <row r="2823" customFormat="false" ht="15" hidden="false" customHeight="false" outlineLevel="0" collapsed="false">
      <c r="A2823" s="2" t="s">
        <v>231</v>
      </c>
      <c r="B2823" s="2" t="s">
        <v>232</v>
      </c>
      <c r="C2823" s="2" t="s">
        <v>24</v>
      </c>
      <c r="D2823" s="3" t="n">
        <v>46235</v>
      </c>
      <c r="E2823" s="2" t="str">
        <f aca="false">TEXT(D2823,"dddd")</f>
        <v>Saturday</v>
      </c>
      <c r="F2823" s="2" t="s">
        <v>457</v>
      </c>
      <c r="G2823" s="2" t="s">
        <v>458</v>
      </c>
      <c r="H2823" s="2" t="s">
        <v>459</v>
      </c>
      <c r="I2823" s="2" t="n">
        <f aca="false">IF(F2823="Present",9,IF(F2823="Half Day",4,0))</f>
        <v>9</v>
      </c>
      <c r="J2823" s="2"/>
      <c r="K2823" s="2"/>
    </row>
    <row r="2824" customFormat="false" ht="15" hidden="false" customHeight="false" outlineLevel="0" collapsed="false">
      <c r="A2824" s="2" t="s">
        <v>231</v>
      </c>
      <c r="B2824" s="2" t="s">
        <v>232</v>
      </c>
      <c r="C2824" s="2" t="s">
        <v>24</v>
      </c>
      <c r="D2824" s="3" t="n">
        <v>46236</v>
      </c>
      <c r="E2824" s="2" t="str">
        <f aca="false">TEXT(D2824,"dddd")</f>
        <v>Sunday</v>
      </c>
      <c r="F2824" s="2" t="s">
        <v>460</v>
      </c>
      <c r="G2824" s="2"/>
      <c r="H2824" s="2"/>
      <c r="I2824" s="2" t="n">
        <f aca="false">IF(F2824="Present",9,IF(F2824="Half Day",4,0))</f>
        <v>0</v>
      </c>
      <c r="J2824" s="2"/>
      <c r="K2824" s="2" t="s">
        <v>460</v>
      </c>
    </row>
    <row r="2825" customFormat="false" ht="15" hidden="false" customHeight="false" outlineLevel="0" collapsed="false">
      <c r="A2825" s="2" t="s">
        <v>231</v>
      </c>
      <c r="B2825" s="2" t="s">
        <v>232</v>
      </c>
      <c r="C2825" s="2" t="s">
        <v>24</v>
      </c>
      <c r="D2825" s="3" t="n">
        <v>46237</v>
      </c>
      <c r="E2825" s="2" t="str">
        <f aca="false">TEXT(D2825,"dddd")</f>
        <v>Monday</v>
      </c>
      <c r="F2825" s="2" t="s">
        <v>457</v>
      </c>
      <c r="G2825" s="2" t="s">
        <v>458</v>
      </c>
      <c r="H2825" s="2" t="s">
        <v>459</v>
      </c>
      <c r="I2825" s="2" t="n">
        <f aca="false">IF(F2825="Present",9,IF(F2825="Half Day",4,0))</f>
        <v>9</v>
      </c>
      <c r="J2825" s="2"/>
      <c r="K2825" s="2"/>
    </row>
    <row r="2826" customFormat="false" ht="15" hidden="false" customHeight="false" outlineLevel="0" collapsed="false">
      <c r="A2826" s="2" t="s">
        <v>231</v>
      </c>
      <c r="B2826" s="2" t="s">
        <v>232</v>
      </c>
      <c r="C2826" s="2" t="s">
        <v>24</v>
      </c>
      <c r="D2826" s="3" t="n">
        <v>46238</v>
      </c>
      <c r="E2826" s="2" t="str">
        <f aca="false">TEXT(D2826,"dddd")</f>
        <v>Tuesday</v>
      </c>
      <c r="F2826" s="2" t="s">
        <v>461</v>
      </c>
      <c r="G2826" s="2"/>
      <c r="H2826" s="2"/>
      <c r="I2826" s="2" t="n">
        <f aca="false">IF(F2826="Present",9,IF(F2826="Half Day",4,0))</f>
        <v>0</v>
      </c>
      <c r="J2826" s="2"/>
      <c r="K2826" s="2" t="s">
        <v>462</v>
      </c>
    </row>
    <row r="2827" customFormat="false" ht="15" hidden="false" customHeight="false" outlineLevel="0" collapsed="false">
      <c r="A2827" s="2" t="s">
        <v>231</v>
      </c>
      <c r="B2827" s="2" t="s">
        <v>232</v>
      </c>
      <c r="C2827" s="2" t="s">
        <v>24</v>
      </c>
      <c r="D2827" s="3" t="n">
        <v>46239</v>
      </c>
      <c r="E2827" s="2" t="str">
        <f aca="false">TEXT(D2827,"dddd")</f>
        <v>Wednesday</v>
      </c>
      <c r="F2827" s="2" t="s">
        <v>457</v>
      </c>
      <c r="G2827" s="2" t="s">
        <v>458</v>
      </c>
      <c r="H2827" s="2" t="s">
        <v>459</v>
      </c>
      <c r="I2827" s="2" t="n">
        <f aca="false">IF(F2827="Present",9,IF(F2827="Half Day",4,0))</f>
        <v>9</v>
      </c>
      <c r="J2827" s="2"/>
      <c r="K2827" s="2"/>
    </row>
    <row r="2828" customFormat="false" ht="15" hidden="false" customHeight="false" outlineLevel="0" collapsed="false">
      <c r="A2828" s="2" t="s">
        <v>231</v>
      </c>
      <c r="B2828" s="2" t="s">
        <v>232</v>
      </c>
      <c r="C2828" s="2" t="s">
        <v>24</v>
      </c>
      <c r="D2828" s="3" t="n">
        <v>46240</v>
      </c>
      <c r="E2828" s="2" t="str">
        <f aca="false">TEXT(D2828,"dddd")</f>
        <v>Thursday</v>
      </c>
      <c r="F2828" s="2" t="s">
        <v>457</v>
      </c>
      <c r="G2828" s="2" t="s">
        <v>458</v>
      </c>
      <c r="H2828" s="2" t="s">
        <v>459</v>
      </c>
      <c r="I2828" s="2" t="n">
        <f aca="false">IF(F2828="Present",9,IF(F2828="Half Day",4,0))</f>
        <v>9</v>
      </c>
      <c r="J2828" s="2"/>
      <c r="K2828" s="2"/>
    </row>
    <row r="2829" customFormat="false" ht="15" hidden="false" customHeight="false" outlineLevel="0" collapsed="false">
      <c r="A2829" s="2" t="s">
        <v>231</v>
      </c>
      <c r="B2829" s="2" t="s">
        <v>232</v>
      </c>
      <c r="C2829" s="2" t="s">
        <v>24</v>
      </c>
      <c r="D2829" s="3" t="n">
        <v>46241</v>
      </c>
      <c r="E2829" s="2" t="str">
        <f aca="false">TEXT(D2829,"dddd")</f>
        <v>Friday</v>
      </c>
      <c r="F2829" s="2" t="s">
        <v>457</v>
      </c>
      <c r="G2829" s="2" t="s">
        <v>458</v>
      </c>
      <c r="H2829" s="2" t="s">
        <v>459</v>
      </c>
      <c r="I2829" s="2" t="n">
        <f aca="false">IF(F2829="Present",9,IF(F2829="Half Day",4,0))</f>
        <v>9</v>
      </c>
      <c r="J2829" s="2"/>
      <c r="K2829" s="2"/>
    </row>
    <row r="2830" customFormat="false" ht="15" hidden="false" customHeight="false" outlineLevel="0" collapsed="false">
      <c r="A2830" s="2" t="s">
        <v>231</v>
      </c>
      <c r="B2830" s="2" t="s">
        <v>232</v>
      </c>
      <c r="C2830" s="2" t="s">
        <v>24</v>
      </c>
      <c r="D2830" s="3" t="n">
        <v>46242</v>
      </c>
      <c r="E2830" s="2" t="str">
        <f aca="false">TEXT(D2830,"dddd")</f>
        <v>Saturday</v>
      </c>
      <c r="F2830" s="2" t="s">
        <v>457</v>
      </c>
      <c r="G2830" s="2" t="s">
        <v>458</v>
      </c>
      <c r="H2830" s="2" t="s">
        <v>459</v>
      </c>
      <c r="I2830" s="2" t="n">
        <f aca="false">IF(F2830="Present",9,IF(F2830="Half Day",4,0))</f>
        <v>9</v>
      </c>
      <c r="J2830" s="2"/>
      <c r="K2830" s="2"/>
    </row>
    <row r="2831" customFormat="false" ht="15" hidden="false" customHeight="false" outlineLevel="0" collapsed="false">
      <c r="A2831" s="2" t="s">
        <v>231</v>
      </c>
      <c r="B2831" s="2" t="s">
        <v>232</v>
      </c>
      <c r="C2831" s="2" t="s">
        <v>24</v>
      </c>
      <c r="D2831" s="3" t="n">
        <v>46243</v>
      </c>
      <c r="E2831" s="2" t="str">
        <f aca="false">TEXT(D2831,"dddd")</f>
        <v>Sunday</v>
      </c>
      <c r="F2831" s="2" t="s">
        <v>460</v>
      </c>
      <c r="G2831" s="2"/>
      <c r="H2831" s="2"/>
      <c r="I2831" s="2" t="n">
        <f aca="false">IF(F2831="Present",9,IF(F2831="Half Day",4,0))</f>
        <v>0</v>
      </c>
      <c r="J2831" s="2"/>
      <c r="K2831" s="2" t="s">
        <v>460</v>
      </c>
    </row>
    <row r="2832" customFormat="false" ht="15" hidden="false" customHeight="false" outlineLevel="0" collapsed="false">
      <c r="A2832" s="2" t="s">
        <v>231</v>
      </c>
      <c r="B2832" s="2" t="s">
        <v>232</v>
      </c>
      <c r="C2832" s="2" t="s">
        <v>24</v>
      </c>
      <c r="D2832" s="3" t="n">
        <v>46244</v>
      </c>
      <c r="E2832" s="2" t="str">
        <f aca="false">TEXT(D2832,"dddd")</f>
        <v>Monday</v>
      </c>
      <c r="F2832" s="2" t="s">
        <v>461</v>
      </c>
      <c r="G2832" s="2"/>
      <c r="H2832" s="2"/>
      <c r="I2832" s="2" t="n">
        <f aca="false">IF(F2832="Present",9,IF(F2832="Half Day",4,0))</f>
        <v>0</v>
      </c>
      <c r="J2832" s="2"/>
      <c r="K2832" s="2" t="s">
        <v>462</v>
      </c>
    </row>
    <row r="2833" customFormat="false" ht="15" hidden="false" customHeight="false" outlineLevel="0" collapsed="false">
      <c r="A2833" s="2" t="s">
        <v>231</v>
      </c>
      <c r="B2833" s="2" t="s">
        <v>232</v>
      </c>
      <c r="C2833" s="2" t="s">
        <v>24</v>
      </c>
      <c r="D2833" s="3" t="n">
        <v>46245</v>
      </c>
      <c r="E2833" s="2" t="str">
        <f aca="false">TEXT(D2833,"dddd")</f>
        <v>Tuesday</v>
      </c>
      <c r="F2833" s="2" t="s">
        <v>457</v>
      </c>
      <c r="G2833" s="2" t="s">
        <v>458</v>
      </c>
      <c r="H2833" s="2" t="s">
        <v>459</v>
      </c>
      <c r="I2833" s="2" t="n">
        <f aca="false">IF(F2833="Present",9,IF(F2833="Half Day",4,0))</f>
        <v>9</v>
      </c>
      <c r="J2833" s="2"/>
      <c r="K2833" s="2"/>
    </row>
    <row r="2834" customFormat="false" ht="15" hidden="false" customHeight="false" outlineLevel="0" collapsed="false">
      <c r="A2834" s="2" t="s">
        <v>231</v>
      </c>
      <c r="B2834" s="2" t="s">
        <v>232</v>
      </c>
      <c r="C2834" s="2" t="s">
        <v>24</v>
      </c>
      <c r="D2834" s="3" t="n">
        <v>46246</v>
      </c>
      <c r="E2834" s="2" t="str">
        <f aca="false">TEXT(D2834,"dddd")</f>
        <v>Wednesday</v>
      </c>
      <c r="F2834" s="2" t="s">
        <v>457</v>
      </c>
      <c r="G2834" s="2" t="s">
        <v>458</v>
      </c>
      <c r="H2834" s="2" t="s">
        <v>459</v>
      </c>
      <c r="I2834" s="2" t="n">
        <f aca="false">IF(F2834="Present",9,IF(F2834="Half Day",4,0))</f>
        <v>9</v>
      </c>
      <c r="J2834" s="2"/>
      <c r="K2834" s="2"/>
    </row>
    <row r="2835" customFormat="false" ht="15" hidden="false" customHeight="false" outlineLevel="0" collapsed="false">
      <c r="A2835" s="2" t="s">
        <v>231</v>
      </c>
      <c r="B2835" s="2" t="s">
        <v>232</v>
      </c>
      <c r="C2835" s="2" t="s">
        <v>24</v>
      </c>
      <c r="D2835" s="3" t="n">
        <v>46247</v>
      </c>
      <c r="E2835" s="2" t="str">
        <f aca="false">TEXT(D2835,"dddd")</f>
        <v>Thursday</v>
      </c>
      <c r="F2835" s="2" t="s">
        <v>457</v>
      </c>
      <c r="G2835" s="2" t="s">
        <v>458</v>
      </c>
      <c r="H2835" s="2" t="s">
        <v>459</v>
      </c>
      <c r="I2835" s="2" t="n">
        <f aca="false">IF(F2835="Present",9,IF(F2835="Half Day",4,0))</f>
        <v>9</v>
      </c>
      <c r="J2835" s="2"/>
      <c r="K2835" s="2"/>
    </row>
    <row r="2836" customFormat="false" ht="15" hidden="false" customHeight="false" outlineLevel="0" collapsed="false">
      <c r="A2836" s="2" t="s">
        <v>231</v>
      </c>
      <c r="B2836" s="2" t="s">
        <v>232</v>
      </c>
      <c r="C2836" s="2" t="s">
        <v>24</v>
      </c>
      <c r="D2836" s="3" t="n">
        <v>46248</v>
      </c>
      <c r="E2836" s="2" t="str">
        <f aca="false">TEXT(D2836,"dddd")</f>
        <v>Friday</v>
      </c>
      <c r="F2836" s="2" t="s">
        <v>461</v>
      </c>
      <c r="G2836" s="2"/>
      <c r="H2836" s="2"/>
      <c r="I2836" s="2" t="n">
        <f aca="false">IF(F2836="Present",9,IF(F2836="Half Day",4,0))</f>
        <v>0</v>
      </c>
      <c r="J2836" s="2"/>
      <c r="K2836" s="2" t="s">
        <v>462</v>
      </c>
    </row>
    <row r="2837" customFormat="false" ht="15" hidden="false" customHeight="false" outlineLevel="0" collapsed="false">
      <c r="A2837" s="2" t="s">
        <v>231</v>
      </c>
      <c r="B2837" s="2" t="s">
        <v>232</v>
      </c>
      <c r="C2837" s="2" t="s">
        <v>24</v>
      </c>
      <c r="D2837" s="3" t="n">
        <v>46249</v>
      </c>
      <c r="E2837" s="2" t="str">
        <f aca="false">TEXT(D2837,"dddd")</f>
        <v>Saturday</v>
      </c>
      <c r="F2837" s="2" t="s">
        <v>457</v>
      </c>
      <c r="G2837" s="2" t="s">
        <v>458</v>
      </c>
      <c r="H2837" s="2" t="s">
        <v>459</v>
      </c>
      <c r="I2837" s="2" t="n">
        <f aca="false">IF(F2837="Present",9,IF(F2837="Half Day",4,0))</f>
        <v>9</v>
      </c>
      <c r="J2837" s="2"/>
      <c r="K2837" s="2"/>
    </row>
    <row r="2838" customFormat="false" ht="15" hidden="false" customHeight="false" outlineLevel="0" collapsed="false">
      <c r="A2838" s="2" t="s">
        <v>231</v>
      </c>
      <c r="B2838" s="2" t="s">
        <v>232</v>
      </c>
      <c r="C2838" s="2" t="s">
        <v>24</v>
      </c>
      <c r="D2838" s="3" t="n">
        <v>46250</v>
      </c>
      <c r="E2838" s="2" t="str">
        <f aca="false">TEXT(D2838,"dddd")</f>
        <v>Sunday</v>
      </c>
      <c r="F2838" s="2" t="s">
        <v>460</v>
      </c>
      <c r="G2838" s="2"/>
      <c r="H2838" s="2"/>
      <c r="I2838" s="2" t="n">
        <f aca="false">IF(F2838="Present",9,IF(F2838="Half Day",4,0))</f>
        <v>0</v>
      </c>
      <c r="J2838" s="2"/>
      <c r="K2838" s="2" t="s">
        <v>460</v>
      </c>
    </row>
    <row r="2839" customFormat="false" ht="15" hidden="false" customHeight="false" outlineLevel="0" collapsed="false">
      <c r="A2839" s="2" t="s">
        <v>231</v>
      </c>
      <c r="B2839" s="2" t="s">
        <v>232</v>
      </c>
      <c r="C2839" s="2" t="s">
        <v>24</v>
      </c>
      <c r="D2839" s="3" t="n">
        <v>46251</v>
      </c>
      <c r="E2839" s="2" t="str">
        <f aca="false">TEXT(D2839,"dddd")</f>
        <v>Monday</v>
      </c>
      <c r="F2839" s="2" t="s">
        <v>457</v>
      </c>
      <c r="G2839" s="2" t="s">
        <v>458</v>
      </c>
      <c r="H2839" s="2" t="s">
        <v>459</v>
      </c>
      <c r="I2839" s="2" t="n">
        <f aca="false">IF(F2839="Present",9,IF(F2839="Half Day",4,0))</f>
        <v>9</v>
      </c>
      <c r="J2839" s="2"/>
      <c r="K2839" s="2"/>
    </row>
    <row r="2840" customFormat="false" ht="15" hidden="false" customHeight="false" outlineLevel="0" collapsed="false">
      <c r="A2840" s="2" t="s">
        <v>231</v>
      </c>
      <c r="B2840" s="2" t="s">
        <v>232</v>
      </c>
      <c r="C2840" s="2" t="s">
        <v>24</v>
      </c>
      <c r="D2840" s="3" t="n">
        <v>46252</v>
      </c>
      <c r="E2840" s="2" t="str">
        <f aca="false">TEXT(D2840,"dddd")</f>
        <v>Tuesday</v>
      </c>
      <c r="F2840" s="2" t="s">
        <v>457</v>
      </c>
      <c r="G2840" s="2" t="s">
        <v>458</v>
      </c>
      <c r="H2840" s="2" t="s">
        <v>459</v>
      </c>
      <c r="I2840" s="2" t="n">
        <f aca="false">IF(F2840="Present",9,IF(F2840="Half Day",4,0))</f>
        <v>9</v>
      </c>
      <c r="J2840" s="2"/>
      <c r="K2840" s="2"/>
    </row>
    <row r="2841" customFormat="false" ht="15" hidden="false" customHeight="false" outlineLevel="0" collapsed="false">
      <c r="A2841" s="2" t="s">
        <v>231</v>
      </c>
      <c r="B2841" s="2" t="s">
        <v>232</v>
      </c>
      <c r="C2841" s="2" t="s">
        <v>24</v>
      </c>
      <c r="D2841" s="3" t="n">
        <v>46253</v>
      </c>
      <c r="E2841" s="2" t="str">
        <f aca="false">TEXT(D2841,"dddd")</f>
        <v>Wednesday</v>
      </c>
      <c r="F2841" s="2" t="s">
        <v>457</v>
      </c>
      <c r="G2841" s="2" t="s">
        <v>458</v>
      </c>
      <c r="H2841" s="2" t="s">
        <v>459</v>
      </c>
      <c r="I2841" s="2" t="n">
        <f aca="false">IF(F2841="Present",9,IF(F2841="Half Day",4,0))</f>
        <v>9</v>
      </c>
      <c r="J2841" s="2"/>
      <c r="K2841" s="2"/>
    </row>
    <row r="2842" customFormat="false" ht="15" hidden="false" customHeight="false" outlineLevel="0" collapsed="false">
      <c r="A2842" s="2" t="s">
        <v>231</v>
      </c>
      <c r="B2842" s="2" t="s">
        <v>232</v>
      </c>
      <c r="C2842" s="2" t="s">
        <v>24</v>
      </c>
      <c r="D2842" s="3" t="n">
        <v>46254</v>
      </c>
      <c r="E2842" s="2" t="str">
        <f aca="false">TEXT(D2842,"dddd")</f>
        <v>Thursday</v>
      </c>
      <c r="F2842" s="2" t="s">
        <v>457</v>
      </c>
      <c r="G2842" s="2" t="s">
        <v>458</v>
      </c>
      <c r="H2842" s="2" t="s">
        <v>459</v>
      </c>
      <c r="I2842" s="2" t="n">
        <f aca="false">IF(F2842="Present",9,IF(F2842="Half Day",4,0))</f>
        <v>9</v>
      </c>
      <c r="J2842" s="2"/>
      <c r="K2842" s="2"/>
    </row>
    <row r="2843" customFormat="false" ht="15" hidden="false" customHeight="false" outlineLevel="0" collapsed="false">
      <c r="A2843" s="2" t="s">
        <v>231</v>
      </c>
      <c r="B2843" s="2" t="s">
        <v>232</v>
      </c>
      <c r="C2843" s="2" t="s">
        <v>24</v>
      </c>
      <c r="D2843" s="3" t="n">
        <v>46255</v>
      </c>
      <c r="E2843" s="2" t="str">
        <f aca="false">TEXT(D2843,"dddd")</f>
        <v>Friday</v>
      </c>
      <c r="F2843" s="2" t="s">
        <v>457</v>
      </c>
      <c r="G2843" s="2" t="s">
        <v>458</v>
      </c>
      <c r="H2843" s="2" t="s">
        <v>459</v>
      </c>
      <c r="I2843" s="2" t="n">
        <f aca="false">IF(F2843="Present",9,IF(F2843="Half Day",4,0))</f>
        <v>9</v>
      </c>
      <c r="J2843" s="2"/>
      <c r="K2843" s="2"/>
    </row>
    <row r="2844" customFormat="false" ht="15" hidden="false" customHeight="false" outlineLevel="0" collapsed="false">
      <c r="A2844" s="2" t="s">
        <v>231</v>
      </c>
      <c r="B2844" s="2" t="s">
        <v>232</v>
      </c>
      <c r="C2844" s="2" t="s">
        <v>24</v>
      </c>
      <c r="D2844" s="3" t="n">
        <v>46256</v>
      </c>
      <c r="E2844" s="2" t="str">
        <f aca="false">TEXT(D2844,"dddd")</f>
        <v>Saturday</v>
      </c>
      <c r="F2844" s="2" t="s">
        <v>457</v>
      </c>
      <c r="G2844" s="2" t="s">
        <v>458</v>
      </c>
      <c r="H2844" s="2" t="s">
        <v>459</v>
      </c>
      <c r="I2844" s="2" t="n">
        <f aca="false">IF(F2844="Present",9,IF(F2844="Half Day",4,0))</f>
        <v>9</v>
      </c>
      <c r="J2844" s="2"/>
      <c r="K2844" s="2"/>
    </row>
    <row r="2845" customFormat="false" ht="15" hidden="false" customHeight="false" outlineLevel="0" collapsed="false">
      <c r="A2845" s="2" t="s">
        <v>231</v>
      </c>
      <c r="B2845" s="2" t="s">
        <v>232</v>
      </c>
      <c r="C2845" s="2" t="s">
        <v>24</v>
      </c>
      <c r="D2845" s="3" t="n">
        <v>46257</v>
      </c>
      <c r="E2845" s="2" t="str">
        <f aca="false">TEXT(D2845,"dddd")</f>
        <v>Sunday</v>
      </c>
      <c r="F2845" s="2" t="s">
        <v>460</v>
      </c>
      <c r="G2845" s="2"/>
      <c r="H2845" s="2"/>
      <c r="I2845" s="2" t="n">
        <f aca="false">IF(F2845="Present",9,IF(F2845="Half Day",4,0))</f>
        <v>0</v>
      </c>
      <c r="J2845" s="2"/>
      <c r="K2845" s="2" t="s">
        <v>460</v>
      </c>
    </row>
    <row r="2846" customFormat="false" ht="15" hidden="false" customHeight="false" outlineLevel="0" collapsed="false">
      <c r="A2846" s="2" t="s">
        <v>231</v>
      </c>
      <c r="B2846" s="2" t="s">
        <v>232</v>
      </c>
      <c r="C2846" s="2" t="s">
        <v>24</v>
      </c>
      <c r="D2846" s="3" t="n">
        <v>46258</v>
      </c>
      <c r="E2846" s="2" t="str">
        <f aca="false">TEXT(D2846,"dddd")</f>
        <v>Monday</v>
      </c>
      <c r="F2846" s="2" t="s">
        <v>457</v>
      </c>
      <c r="G2846" s="2" t="s">
        <v>458</v>
      </c>
      <c r="H2846" s="2" t="s">
        <v>459</v>
      </c>
      <c r="I2846" s="2" t="n">
        <f aca="false">IF(F2846="Present",9,IF(F2846="Half Day",4,0))</f>
        <v>9</v>
      </c>
      <c r="J2846" s="2"/>
      <c r="K2846" s="2"/>
    </row>
    <row r="2847" customFormat="false" ht="15" hidden="false" customHeight="false" outlineLevel="0" collapsed="false">
      <c r="A2847" s="2" t="s">
        <v>231</v>
      </c>
      <c r="B2847" s="2" t="s">
        <v>232</v>
      </c>
      <c r="C2847" s="2" t="s">
        <v>24</v>
      </c>
      <c r="D2847" s="3" t="n">
        <v>46259</v>
      </c>
      <c r="E2847" s="2" t="str">
        <f aca="false">TEXT(D2847,"dddd")</f>
        <v>Tuesday</v>
      </c>
      <c r="F2847" s="2" t="s">
        <v>457</v>
      </c>
      <c r="G2847" s="2" t="s">
        <v>458</v>
      </c>
      <c r="H2847" s="2" t="s">
        <v>459</v>
      </c>
      <c r="I2847" s="2" t="n">
        <f aca="false">IF(F2847="Present",9,IF(F2847="Half Day",4,0))</f>
        <v>9</v>
      </c>
      <c r="J2847" s="2"/>
      <c r="K2847" s="2"/>
    </row>
    <row r="2848" customFormat="false" ht="15" hidden="false" customHeight="false" outlineLevel="0" collapsed="false">
      <c r="A2848" s="2" t="s">
        <v>231</v>
      </c>
      <c r="B2848" s="2" t="s">
        <v>232</v>
      </c>
      <c r="C2848" s="2" t="s">
        <v>24</v>
      </c>
      <c r="D2848" s="3" t="n">
        <v>46260</v>
      </c>
      <c r="E2848" s="2" t="str">
        <f aca="false">TEXT(D2848,"dddd")</f>
        <v>Wednesday</v>
      </c>
      <c r="F2848" s="2" t="s">
        <v>457</v>
      </c>
      <c r="G2848" s="2" t="s">
        <v>458</v>
      </c>
      <c r="H2848" s="2" t="s">
        <v>459</v>
      </c>
      <c r="I2848" s="2" t="n">
        <f aca="false">IF(F2848="Present",9,IF(F2848="Half Day",4,0))</f>
        <v>9</v>
      </c>
      <c r="J2848" s="2"/>
      <c r="K2848" s="2"/>
    </row>
    <row r="2849" customFormat="false" ht="15" hidden="false" customHeight="false" outlineLevel="0" collapsed="false">
      <c r="A2849" s="2" t="s">
        <v>231</v>
      </c>
      <c r="B2849" s="2" t="s">
        <v>232</v>
      </c>
      <c r="C2849" s="2" t="s">
        <v>24</v>
      </c>
      <c r="D2849" s="3" t="n">
        <v>46261</v>
      </c>
      <c r="E2849" s="2" t="str">
        <f aca="false">TEXT(D2849,"dddd")</f>
        <v>Thursday</v>
      </c>
      <c r="F2849" s="2" t="s">
        <v>457</v>
      </c>
      <c r="G2849" s="2" t="s">
        <v>458</v>
      </c>
      <c r="H2849" s="2" t="s">
        <v>459</v>
      </c>
      <c r="I2849" s="2" t="n">
        <f aca="false">IF(F2849="Present",9,IF(F2849="Half Day",4,0))</f>
        <v>9</v>
      </c>
      <c r="J2849" s="2"/>
      <c r="K2849" s="2"/>
    </row>
    <row r="2850" customFormat="false" ht="15" hidden="false" customHeight="false" outlineLevel="0" collapsed="false">
      <c r="A2850" s="2" t="s">
        <v>231</v>
      </c>
      <c r="B2850" s="2" t="s">
        <v>232</v>
      </c>
      <c r="C2850" s="2" t="s">
        <v>24</v>
      </c>
      <c r="D2850" s="3" t="n">
        <v>46262</v>
      </c>
      <c r="E2850" s="2" t="str">
        <f aca="false">TEXT(D2850,"dddd")</f>
        <v>Friday</v>
      </c>
      <c r="F2850" s="2" t="s">
        <v>457</v>
      </c>
      <c r="G2850" s="2" t="s">
        <v>458</v>
      </c>
      <c r="H2850" s="2" t="s">
        <v>459</v>
      </c>
      <c r="I2850" s="2" t="n">
        <f aca="false">IF(F2850="Present",9,IF(F2850="Half Day",4,0))</f>
        <v>9</v>
      </c>
      <c r="J2850" s="2"/>
      <c r="K2850" s="2"/>
    </row>
    <row r="2851" customFormat="false" ht="15" hidden="false" customHeight="false" outlineLevel="0" collapsed="false">
      <c r="A2851" s="2" t="s">
        <v>231</v>
      </c>
      <c r="B2851" s="2" t="s">
        <v>232</v>
      </c>
      <c r="C2851" s="2" t="s">
        <v>24</v>
      </c>
      <c r="D2851" s="3" t="n">
        <v>46263</v>
      </c>
      <c r="E2851" s="2" t="str">
        <f aca="false">TEXT(D2851,"dddd")</f>
        <v>Saturday</v>
      </c>
      <c r="F2851" s="2" t="s">
        <v>457</v>
      </c>
      <c r="G2851" s="2" t="s">
        <v>458</v>
      </c>
      <c r="H2851" s="2" t="s">
        <v>459</v>
      </c>
      <c r="I2851" s="2" t="n">
        <f aca="false">IF(F2851="Present",9,IF(F2851="Half Day",4,0))</f>
        <v>9</v>
      </c>
      <c r="J2851" s="2"/>
      <c r="K2851" s="2"/>
    </row>
    <row r="2852" customFormat="false" ht="15" hidden="false" customHeight="false" outlineLevel="0" collapsed="false">
      <c r="A2852" s="2" t="s">
        <v>231</v>
      </c>
      <c r="B2852" s="2" t="s">
        <v>232</v>
      </c>
      <c r="C2852" s="2" t="s">
        <v>24</v>
      </c>
      <c r="D2852" s="3" t="n">
        <v>46264</v>
      </c>
      <c r="E2852" s="2" t="str">
        <f aca="false">TEXT(D2852,"dddd")</f>
        <v>Sunday</v>
      </c>
      <c r="F2852" s="2" t="s">
        <v>460</v>
      </c>
      <c r="G2852" s="2"/>
      <c r="H2852" s="2"/>
      <c r="I2852" s="2" t="n">
        <f aca="false">IF(F2852="Present",9,IF(F2852="Half Day",4,0))</f>
        <v>0</v>
      </c>
      <c r="J2852" s="2"/>
      <c r="K2852" s="2" t="s">
        <v>460</v>
      </c>
    </row>
    <row r="2853" customFormat="false" ht="15" hidden="false" customHeight="false" outlineLevel="0" collapsed="false">
      <c r="A2853" s="2" t="s">
        <v>231</v>
      </c>
      <c r="B2853" s="2" t="s">
        <v>232</v>
      </c>
      <c r="C2853" s="2" t="s">
        <v>24</v>
      </c>
      <c r="D2853" s="3" t="n">
        <v>46265</v>
      </c>
      <c r="E2853" s="2" t="str">
        <f aca="false">TEXT(D2853,"dddd")</f>
        <v>Monday</v>
      </c>
      <c r="F2853" s="2" t="s">
        <v>457</v>
      </c>
      <c r="G2853" s="2" t="s">
        <v>458</v>
      </c>
      <c r="H2853" s="2" t="s">
        <v>459</v>
      </c>
      <c r="I2853" s="2" t="n">
        <f aca="false">IF(F2853="Present",9,IF(F2853="Half Day",4,0))</f>
        <v>9</v>
      </c>
      <c r="J2853" s="2"/>
      <c r="K2853" s="2"/>
    </row>
    <row r="2854" customFormat="false" ht="15" hidden="false" customHeight="false" outlineLevel="0" collapsed="false">
      <c r="A2854" s="2" t="s">
        <v>233</v>
      </c>
      <c r="B2854" s="2" t="s">
        <v>234</v>
      </c>
      <c r="C2854" s="2" t="s">
        <v>28</v>
      </c>
      <c r="D2854" s="3" t="n">
        <v>46235</v>
      </c>
      <c r="E2854" s="2" t="str">
        <f aca="false">TEXT(D2854,"dddd")</f>
        <v>Saturday</v>
      </c>
      <c r="F2854" s="2" t="s">
        <v>461</v>
      </c>
      <c r="G2854" s="2"/>
      <c r="H2854" s="2"/>
      <c r="I2854" s="2" t="n">
        <f aca="false">IF(F2854="Present",9,IF(F2854="Half Day",4,0))</f>
        <v>0</v>
      </c>
      <c r="J2854" s="2"/>
      <c r="K2854" s="2" t="s">
        <v>462</v>
      </c>
    </row>
    <row r="2855" customFormat="false" ht="15" hidden="false" customHeight="false" outlineLevel="0" collapsed="false">
      <c r="A2855" s="2" t="s">
        <v>233</v>
      </c>
      <c r="B2855" s="2" t="s">
        <v>234</v>
      </c>
      <c r="C2855" s="2" t="s">
        <v>28</v>
      </c>
      <c r="D2855" s="3" t="n">
        <v>46236</v>
      </c>
      <c r="E2855" s="2" t="str">
        <f aca="false">TEXT(D2855,"dddd")</f>
        <v>Sunday</v>
      </c>
      <c r="F2855" s="2" t="s">
        <v>460</v>
      </c>
      <c r="G2855" s="2"/>
      <c r="H2855" s="2"/>
      <c r="I2855" s="2" t="n">
        <f aca="false">IF(F2855="Present",9,IF(F2855="Half Day",4,0))</f>
        <v>0</v>
      </c>
      <c r="J2855" s="2"/>
      <c r="K2855" s="2" t="s">
        <v>460</v>
      </c>
    </row>
    <row r="2856" customFormat="false" ht="15" hidden="false" customHeight="false" outlineLevel="0" collapsed="false">
      <c r="A2856" s="2" t="s">
        <v>233</v>
      </c>
      <c r="B2856" s="2" t="s">
        <v>234</v>
      </c>
      <c r="C2856" s="2" t="s">
        <v>28</v>
      </c>
      <c r="D2856" s="3" t="n">
        <v>46237</v>
      </c>
      <c r="E2856" s="2" t="str">
        <f aca="false">TEXT(D2856,"dddd")</f>
        <v>Monday</v>
      </c>
      <c r="F2856" s="2" t="s">
        <v>457</v>
      </c>
      <c r="G2856" s="2" t="s">
        <v>458</v>
      </c>
      <c r="H2856" s="2" t="s">
        <v>459</v>
      </c>
      <c r="I2856" s="2" t="n">
        <f aca="false">IF(F2856="Present",9,IF(F2856="Half Day",4,0))</f>
        <v>9</v>
      </c>
      <c r="J2856" s="2"/>
      <c r="K2856" s="2"/>
    </row>
    <row r="2857" customFormat="false" ht="15" hidden="false" customHeight="false" outlineLevel="0" collapsed="false">
      <c r="A2857" s="2" t="s">
        <v>233</v>
      </c>
      <c r="B2857" s="2" t="s">
        <v>234</v>
      </c>
      <c r="C2857" s="2" t="s">
        <v>28</v>
      </c>
      <c r="D2857" s="3" t="n">
        <v>46238</v>
      </c>
      <c r="E2857" s="2" t="str">
        <f aca="false">TEXT(D2857,"dddd")</f>
        <v>Tuesday</v>
      </c>
      <c r="F2857" s="2" t="s">
        <v>457</v>
      </c>
      <c r="G2857" s="2" t="s">
        <v>458</v>
      </c>
      <c r="H2857" s="2" t="s">
        <v>459</v>
      </c>
      <c r="I2857" s="2" t="n">
        <f aca="false">IF(F2857="Present",9,IF(F2857="Half Day",4,0))</f>
        <v>9</v>
      </c>
      <c r="J2857" s="2"/>
      <c r="K2857" s="2"/>
    </row>
    <row r="2858" customFormat="false" ht="15" hidden="false" customHeight="false" outlineLevel="0" collapsed="false">
      <c r="A2858" s="2" t="s">
        <v>233</v>
      </c>
      <c r="B2858" s="2" t="s">
        <v>234</v>
      </c>
      <c r="C2858" s="2" t="s">
        <v>28</v>
      </c>
      <c r="D2858" s="3" t="n">
        <v>46239</v>
      </c>
      <c r="E2858" s="2" t="str">
        <f aca="false">TEXT(D2858,"dddd")</f>
        <v>Wednesday</v>
      </c>
      <c r="F2858" s="2" t="s">
        <v>457</v>
      </c>
      <c r="G2858" s="2" t="s">
        <v>458</v>
      </c>
      <c r="H2858" s="2" t="s">
        <v>459</v>
      </c>
      <c r="I2858" s="2" t="n">
        <f aca="false">IF(F2858="Present",9,IF(F2858="Half Day",4,0))</f>
        <v>9</v>
      </c>
      <c r="J2858" s="2"/>
      <c r="K2858" s="2"/>
    </row>
    <row r="2859" customFormat="false" ht="15" hidden="false" customHeight="false" outlineLevel="0" collapsed="false">
      <c r="A2859" s="2" t="s">
        <v>233</v>
      </c>
      <c r="B2859" s="2" t="s">
        <v>234</v>
      </c>
      <c r="C2859" s="2" t="s">
        <v>28</v>
      </c>
      <c r="D2859" s="3" t="n">
        <v>46240</v>
      </c>
      <c r="E2859" s="2" t="str">
        <f aca="false">TEXT(D2859,"dddd")</f>
        <v>Thursday</v>
      </c>
      <c r="F2859" s="2" t="s">
        <v>457</v>
      </c>
      <c r="G2859" s="2" t="s">
        <v>458</v>
      </c>
      <c r="H2859" s="2" t="s">
        <v>459</v>
      </c>
      <c r="I2859" s="2" t="n">
        <f aca="false">IF(F2859="Present",9,IF(F2859="Half Day",4,0))</f>
        <v>9</v>
      </c>
      <c r="J2859" s="2"/>
      <c r="K2859" s="2"/>
    </row>
    <row r="2860" customFormat="false" ht="15" hidden="false" customHeight="false" outlineLevel="0" collapsed="false">
      <c r="A2860" s="2" t="s">
        <v>233</v>
      </c>
      <c r="B2860" s="2" t="s">
        <v>234</v>
      </c>
      <c r="C2860" s="2" t="s">
        <v>28</v>
      </c>
      <c r="D2860" s="3" t="n">
        <v>46241</v>
      </c>
      <c r="E2860" s="2" t="str">
        <f aca="false">TEXT(D2860,"dddd")</f>
        <v>Friday</v>
      </c>
      <c r="F2860" s="2" t="s">
        <v>457</v>
      </c>
      <c r="G2860" s="2" t="s">
        <v>458</v>
      </c>
      <c r="H2860" s="2" t="s">
        <v>459</v>
      </c>
      <c r="I2860" s="2" t="n">
        <f aca="false">IF(F2860="Present",9,IF(F2860="Half Day",4,0))</f>
        <v>9</v>
      </c>
      <c r="J2860" s="2"/>
      <c r="K2860" s="2"/>
    </row>
    <row r="2861" customFormat="false" ht="15" hidden="false" customHeight="false" outlineLevel="0" collapsed="false">
      <c r="A2861" s="2" t="s">
        <v>233</v>
      </c>
      <c r="B2861" s="2" t="s">
        <v>234</v>
      </c>
      <c r="C2861" s="2" t="s">
        <v>28</v>
      </c>
      <c r="D2861" s="3" t="n">
        <v>46242</v>
      </c>
      <c r="E2861" s="2" t="str">
        <f aca="false">TEXT(D2861,"dddd")</f>
        <v>Saturday</v>
      </c>
      <c r="F2861" s="2" t="s">
        <v>457</v>
      </c>
      <c r="G2861" s="2" t="s">
        <v>458</v>
      </c>
      <c r="H2861" s="2" t="s">
        <v>459</v>
      </c>
      <c r="I2861" s="2" t="n">
        <f aca="false">IF(F2861="Present",9,IF(F2861="Half Day",4,0))</f>
        <v>9</v>
      </c>
      <c r="J2861" s="2"/>
      <c r="K2861" s="2"/>
    </row>
    <row r="2862" customFormat="false" ht="15" hidden="false" customHeight="false" outlineLevel="0" collapsed="false">
      <c r="A2862" s="2" t="s">
        <v>233</v>
      </c>
      <c r="B2862" s="2" t="s">
        <v>234</v>
      </c>
      <c r="C2862" s="2" t="s">
        <v>28</v>
      </c>
      <c r="D2862" s="3" t="n">
        <v>46243</v>
      </c>
      <c r="E2862" s="2" t="str">
        <f aca="false">TEXT(D2862,"dddd")</f>
        <v>Sunday</v>
      </c>
      <c r="F2862" s="2" t="s">
        <v>460</v>
      </c>
      <c r="G2862" s="2"/>
      <c r="H2862" s="2"/>
      <c r="I2862" s="2" t="n">
        <f aca="false">IF(F2862="Present",9,IF(F2862="Half Day",4,0))</f>
        <v>0</v>
      </c>
      <c r="J2862" s="2"/>
      <c r="K2862" s="2" t="s">
        <v>460</v>
      </c>
    </row>
    <row r="2863" customFormat="false" ht="15" hidden="false" customHeight="false" outlineLevel="0" collapsed="false">
      <c r="A2863" s="2" t="s">
        <v>233</v>
      </c>
      <c r="B2863" s="2" t="s">
        <v>234</v>
      </c>
      <c r="C2863" s="2" t="s">
        <v>28</v>
      </c>
      <c r="D2863" s="3" t="n">
        <v>46244</v>
      </c>
      <c r="E2863" s="2" t="str">
        <f aca="false">TEXT(D2863,"dddd")</f>
        <v>Monday</v>
      </c>
      <c r="F2863" s="2" t="s">
        <v>461</v>
      </c>
      <c r="G2863" s="2"/>
      <c r="H2863" s="2"/>
      <c r="I2863" s="2" t="n">
        <f aca="false">IF(F2863="Present",9,IF(F2863="Half Day",4,0))</f>
        <v>0</v>
      </c>
      <c r="J2863" s="2"/>
      <c r="K2863" s="2" t="s">
        <v>462</v>
      </c>
    </row>
    <row r="2864" customFormat="false" ht="15" hidden="false" customHeight="false" outlineLevel="0" collapsed="false">
      <c r="A2864" s="2" t="s">
        <v>233</v>
      </c>
      <c r="B2864" s="2" t="s">
        <v>234</v>
      </c>
      <c r="C2864" s="2" t="s">
        <v>28</v>
      </c>
      <c r="D2864" s="3" t="n">
        <v>46245</v>
      </c>
      <c r="E2864" s="2" t="str">
        <f aca="false">TEXT(D2864,"dddd")</f>
        <v>Tuesday</v>
      </c>
      <c r="F2864" s="2" t="s">
        <v>457</v>
      </c>
      <c r="G2864" s="2" t="s">
        <v>458</v>
      </c>
      <c r="H2864" s="2" t="s">
        <v>459</v>
      </c>
      <c r="I2864" s="2" t="n">
        <f aca="false">IF(F2864="Present",9,IF(F2864="Half Day",4,0))</f>
        <v>9</v>
      </c>
      <c r="J2864" s="2"/>
      <c r="K2864" s="2"/>
    </row>
    <row r="2865" customFormat="false" ht="15" hidden="false" customHeight="false" outlineLevel="0" collapsed="false">
      <c r="A2865" s="2" t="s">
        <v>233</v>
      </c>
      <c r="B2865" s="2" t="s">
        <v>234</v>
      </c>
      <c r="C2865" s="2" t="s">
        <v>28</v>
      </c>
      <c r="D2865" s="3" t="n">
        <v>46246</v>
      </c>
      <c r="E2865" s="2" t="str">
        <f aca="false">TEXT(D2865,"dddd")</f>
        <v>Wednesday</v>
      </c>
      <c r="F2865" s="2" t="s">
        <v>463</v>
      </c>
      <c r="G2865" s="2"/>
      <c r="H2865" s="2"/>
      <c r="I2865" s="2" t="n">
        <f aca="false">IF(F2865="Present",9,IF(F2865="Half Day",4,0))</f>
        <v>0</v>
      </c>
      <c r="J2865" s="2" t="s">
        <v>464</v>
      </c>
      <c r="K2865" s="2" t="s">
        <v>465</v>
      </c>
    </row>
    <row r="2866" customFormat="false" ht="15" hidden="false" customHeight="false" outlineLevel="0" collapsed="false">
      <c r="A2866" s="2" t="s">
        <v>233</v>
      </c>
      <c r="B2866" s="2" t="s">
        <v>234</v>
      </c>
      <c r="C2866" s="2" t="s">
        <v>28</v>
      </c>
      <c r="D2866" s="3" t="n">
        <v>46247</v>
      </c>
      <c r="E2866" s="2" t="str">
        <f aca="false">TEXT(D2866,"dddd")</f>
        <v>Thursday</v>
      </c>
      <c r="F2866" s="2" t="s">
        <v>457</v>
      </c>
      <c r="G2866" s="2" t="s">
        <v>458</v>
      </c>
      <c r="H2866" s="2" t="s">
        <v>459</v>
      </c>
      <c r="I2866" s="2" t="n">
        <f aca="false">IF(F2866="Present",9,IF(F2866="Half Day",4,0))</f>
        <v>9</v>
      </c>
      <c r="J2866" s="2"/>
      <c r="K2866" s="2"/>
    </row>
    <row r="2867" customFormat="false" ht="15" hidden="false" customHeight="false" outlineLevel="0" collapsed="false">
      <c r="A2867" s="2" t="s">
        <v>233</v>
      </c>
      <c r="B2867" s="2" t="s">
        <v>234</v>
      </c>
      <c r="C2867" s="2" t="s">
        <v>28</v>
      </c>
      <c r="D2867" s="3" t="n">
        <v>46248</v>
      </c>
      <c r="E2867" s="2" t="str">
        <f aca="false">TEXT(D2867,"dddd")</f>
        <v>Friday</v>
      </c>
      <c r="F2867" s="2" t="s">
        <v>457</v>
      </c>
      <c r="G2867" s="2" t="s">
        <v>458</v>
      </c>
      <c r="H2867" s="2" t="s">
        <v>459</v>
      </c>
      <c r="I2867" s="2" t="n">
        <f aca="false">IF(F2867="Present",9,IF(F2867="Half Day",4,0))</f>
        <v>9</v>
      </c>
      <c r="J2867" s="2"/>
      <c r="K2867" s="2"/>
    </row>
    <row r="2868" customFormat="false" ht="15" hidden="false" customHeight="false" outlineLevel="0" collapsed="false">
      <c r="A2868" s="2" t="s">
        <v>233</v>
      </c>
      <c r="B2868" s="2" t="s">
        <v>234</v>
      </c>
      <c r="C2868" s="2" t="s">
        <v>28</v>
      </c>
      <c r="D2868" s="3" t="n">
        <v>46249</v>
      </c>
      <c r="E2868" s="2" t="str">
        <f aca="false">TEXT(D2868,"dddd")</f>
        <v>Saturday</v>
      </c>
      <c r="F2868" s="2" t="s">
        <v>457</v>
      </c>
      <c r="G2868" s="2" t="s">
        <v>458</v>
      </c>
      <c r="H2868" s="2" t="s">
        <v>459</v>
      </c>
      <c r="I2868" s="2" t="n">
        <f aca="false">IF(F2868="Present",9,IF(F2868="Half Day",4,0))</f>
        <v>9</v>
      </c>
      <c r="J2868" s="2"/>
      <c r="K2868" s="2"/>
    </row>
    <row r="2869" customFormat="false" ht="15" hidden="false" customHeight="false" outlineLevel="0" collapsed="false">
      <c r="A2869" s="2" t="s">
        <v>233</v>
      </c>
      <c r="B2869" s="2" t="s">
        <v>234</v>
      </c>
      <c r="C2869" s="2" t="s">
        <v>28</v>
      </c>
      <c r="D2869" s="3" t="n">
        <v>46250</v>
      </c>
      <c r="E2869" s="2" t="str">
        <f aca="false">TEXT(D2869,"dddd")</f>
        <v>Sunday</v>
      </c>
      <c r="F2869" s="2" t="s">
        <v>460</v>
      </c>
      <c r="G2869" s="2"/>
      <c r="H2869" s="2"/>
      <c r="I2869" s="2" t="n">
        <f aca="false">IF(F2869="Present",9,IF(F2869="Half Day",4,0))</f>
        <v>0</v>
      </c>
      <c r="J2869" s="2"/>
      <c r="K2869" s="2" t="s">
        <v>460</v>
      </c>
    </row>
    <row r="2870" customFormat="false" ht="15" hidden="false" customHeight="false" outlineLevel="0" collapsed="false">
      <c r="A2870" s="2" t="s">
        <v>233</v>
      </c>
      <c r="B2870" s="2" t="s">
        <v>234</v>
      </c>
      <c r="C2870" s="2" t="s">
        <v>28</v>
      </c>
      <c r="D2870" s="3" t="n">
        <v>46251</v>
      </c>
      <c r="E2870" s="2" t="str">
        <f aca="false">TEXT(D2870,"dddd")</f>
        <v>Monday</v>
      </c>
      <c r="F2870" s="2" t="s">
        <v>457</v>
      </c>
      <c r="G2870" s="2" t="s">
        <v>458</v>
      </c>
      <c r="H2870" s="2" t="s">
        <v>459</v>
      </c>
      <c r="I2870" s="2" t="n">
        <f aca="false">IF(F2870="Present",9,IF(F2870="Half Day",4,0))</f>
        <v>9</v>
      </c>
      <c r="J2870" s="2"/>
      <c r="K2870" s="2"/>
    </row>
    <row r="2871" customFormat="false" ht="15" hidden="false" customHeight="false" outlineLevel="0" collapsed="false">
      <c r="A2871" s="2" t="s">
        <v>233</v>
      </c>
      <c r="B2871" s="2" t="s">
        <v>234</v>
      </c>
      <c r="C2871" s="2" t="s">
        <v>28</v>
      </c>
      <c r="D2871" s="3" t="n">
        <v>46252</v>
      </c>
      <c r="E2871" s="2" t="str">
        <f aca="false">TEXT(D2871,"dddd")</f>
        <v>Tuesday</v>
      </c>
      <c r="F2871" s="2" t="s">
        <v>457</v>
      </c>
      <c r="G2871" s="2" t="s">
        <v>458</v>
      </c>
      <c r="H2871" s="2" t="s">
        <v>459</v>
      </c>
      <c r="I2871" s="2" t="n">
        <f aca="false">IF(F2871="Present",9,IF(F2871="Half Day",4,0))</f>
        <v>9</v>
      </c>
      <c r="J2871" s="2"/>
      <c r="K2871" s="2"/>
    </row>
    <row r="2872" customFormat="false" ht="15" hidden="false" customHeight="false" outlineLevel="0" collapsed="false">
      <c r="A2872" s="2" t="s">
        <v>233</v>
      </c>
      <c r="B2872" s="2" t="s">
        <v>234</v>
      </c>
      <c r="C2872" s="2" t="s">
        <v>28</v>
      </c>
      <c r="D2872" s="3" t="n">
        <v>46253</v>
      </c>
      <c r="E2872" s="2" t="str">
        <f aca="false">TEXT(D2872,"dddd")</f>
        <v>Wednesday</v>
      </c>
      <c r="F2872" s="2" t="s">
        <v>457</v>
      </c>
      <c r="G2872" s="2" t="s">
        <v>458</v>
      </c>
      <c r="H2872" s="2" t="s">
        <v>459</v>
      </c>
      <c r="I2872" s="2" t="n">
        <f aca="false">IF(F2872="Present",9,IF(F2872="Half Day",4,0))</f>
        <v>9</v>
      </c>
      <c r="J2872" s="2"/>
      <c r="K2872" s="2"/>
    </row>
    <row r="2873" customFormat="false" ht="15" hidden="false" customHeight="false" outlineLevel="0" collapsed="false">
      <c r="A2873" s="2" t="s">
        <v>233</v>
      </c>
      <c r="B2873" s="2" t="s">
        <v>234</v>
      </c>
      <c r="C2873" s="2" t="s">
        <v>28</v>
      </c>
      <c r="D2873" s="3" t="n">
        <v>46254</v>
      </c>
      <c r="E2873" s="2" t="str">
        <f aca="false">TEXT(D2873,"dddd")</f>
        <v>Thursday</v>
      </c>
      <c r="F2873" s="2" t="s">
        <v>457</v>
      </c>
      <c r="G2873" s="2" t="s">
        <v>458</v>
      </c>
      <c r="H2873" s="2" t="s">
        <v>459</v>
      </c>
      <c r="I2873" s="2" t="n">
        <f aca="false">IF(F2873="Present",9,IF(F2873="Half Day",4,0))</f>
        <v>9</v>
      </c>
      <c r="J2873" s="2"/>
      <c r="K2873" s="2"/>
    </row>
    <row r="2874" customFormat="false" ht="15" hidden="false" customHeight="false" outlineLevel="0" collapsed="false">
      <c r="A2874" s="2" t="s">
        <v>233</v>
      </c>
      <c r="B2874" s="2" t="s">
        <v>234</v>
      </c>
      <c r="C2874" s="2" t="s">
        <v>28</v>
      </c>
      <c r="D2874" s="3" t="n">
        <v>46255</v>
      </c>
      <c r="E2874" s="2" t="str">
        <f aca="false">TEXT(D2874,"dddd")</f>
        <v>Friday</v>
      </c>
      <c r="F2874" s="2" t="s">
        <v>457</v>
      </c>
      <c r="G2874" s="2" t="s">
        <v>458</v>
      </c>
      <c r="H2874" s="2" t="s">
        <v>459</v>
      </c>
      <c r="I2874" s="2" t="n">
        <f aca="false">IF(F2874="Present",9,IF(F2874="Half Day",4,0))</f>
        <v>9</v>
      </c>
      <c r="J2874" s="2"/>
      <c r="K2874" s="2"/>
    </row>
    <row r="2875" customFormat="false" ht="15" hidden="false" customHeight="false" outlineLevel="0" collapsed="false">
      <c r="A2875" s="2" t="s">
        <v>233</v>
      </c>
      <c r="B2875" s="2" t="s">
        <v>234</v>
      </c>
      <c r="C2875" s="2" t="s">
        <v>28</v>
      </c>
      <c r="D2875" s="3" t="n">
        <v>46256</v>
      </c>
      <c r="E2875" s="2" t="str">
        <f aca="false">TEXT(D2875,"dddd")</f>
        <v>Saturday</v>
      </c>
      <c r="F2875" s="2" t="s">
        <v>457</v>
      </c>
      <c r="G2875" s="2" t="s">
        <v>458</v>
      </c>
      <c r="H2875" s="2" t="s">
        <v>459</v>
      </c>
      <c r="I2875" s="2" t="n">
        <f aca="false">IF(F2875="Present",9,IF(F2875="Half Day",4,0))</f>
        <v>9</v>
      </c>
      <c r="J2875" s="2"/>
      <c r="K2875" s="2"/>
    </row>
    <row r="2876" customFormat="false" ht="15" hidden="false" customHeight="false" outlineLevel="0" collapsed="false">
      <c r="A2876" s="2" t="s">
        <v>233</v>
      </c>
      <c r="B2876" s="2" t="s">
        <v>234</v>
      </c>
      <c r="C2876" s="2" t="s">
        <v>28</v>
      </c>
      <c r="D2876" s="3" t="n">
        <v>46257</v>
      </c>
      <c r="E2876" s="2" t="str">
        <f aca="false">TEXT(D2876,"dddd")</f>
        <v>Sunday</v>
      </c>
      <c r="F2876" s="2" t="s">
        <v>460</v>
      </c>
      <c r="G2876" s="2"/>
      <c r="H2876" s="2"/>
      <c r="I2876" s="2" t="n">
        <f aca="false">IF(F2876="Present",9,IF(F2876="Half Day",4,0))</f>
        <v>0</v>
      </c>
      <c r="J2876" s="2"/>
      <c r="K2876" s="2" t="s">
        <v>460</v>
      </c>
    </row>
    <row r="2877" customFormat="false" ht="15" hidden="false" customHeight="false" outlineLevel="0" collapsed="false">
      <c r="A2877" s="2" t="s">
        <v>233</v>
      </c>
      <c r="B2877" s="2" t="s">
        <v>234</v>
      </c>
      <c r="C2877" s="2" t="s">
        <v>28</v>
      </c>
      <c r="D2877" s="3" t="n">
        <v>46258</v>
      </c>
      <c r="E2877" s="2" t="str">
        <f aca="false">TEXT(D2877,"dddd")</f>
        <v>Monday</v>
      </c>
      <c r="F2877" s="2" t="s">
        <v>457</v>
      </c>
      <c r="G2877" s="2" t="s">
        <v>458</v>
      </c>
      <c r="H2877" s="2" t="s">
        <v>459</v>
      </c>
      <c r="I2877" s="2" t="n">
        <f aca="false">IF(F2877="Present",9,IF(F2877="Half Day",4,0))</f>
        <v>9</v>
      </c>
      <c r="J2877" s="2"/>
      <c r="K2877" s="2"/>
    </row>
    <row r="2878" customFormat="false" ht="15" hidden="false" customHeight="false" outlineLevel="0" collapsed="false">
      <c r="A2878" s="2" t="s">
        <v>233</v>
      </c>
      <c r="B2878" s="2" t="s">
        <v>234</v>
      </c>
      <c r="C2878" s="2" t="s">
        <v>28</v>
      </c>
      <c r="D2878" s="3" t="n">
        <v>46259</v>
      </c>
      <c r="E2878" s="2" t="str">
        <f aca="false">TEXT(D2878,"dddd")</f>
        <v>Tuesday</v>
      </c>
      <c r="F2878" s="2" t="s">
        <v>457</v>
      </c>
      <c r="G2878" s="2" t="s">
        <v>458</v>
      </c>
      <c r="H2878" s="2" t="s">
        <v>459</v>
      </c>
      <c r="I2878" s="2" t="n">
        <f aca="false">IF(F2878="Present",9,IF(F2878="Half Day",4,0))</f>
        <v>9</v>
      </c>
      <c r="J2878" s="2"/>
      <c r="K2878" s="2"/>
    </row>
    <row r="2879" customFormat="false" ht="15" hidden="false" customHeight="false" outlineLevel="0" collapsed="false">
      <c r="A2879" s="2" t="s">
        <v>233</v>
      </c>
      <c r="B2879" s="2" t="s">
        <v>234</v>
      </c>
      <c r="C2879" s="2" t="s">
        <v>28</v>
      </c>
      <c r="D2879" s="3" t="n">
        <v>46260</v>
      </c>
      <c r="E2879" s="2" t="str">
        <f aca="false">TEXT(D2879,"dddd")</f>
        <v>Wednesday</v>
      </c>
      <c r="F2879" s="2" t="s">
        <v>461</v>
      </c>
      <c r="G2879" s="2"/>
      <c r="H2879" s="2"/>
      <c r="I2879" s="2" t="n">
        <f aca="false">IF(F2879="Present",9,IF(F2879="Half Day",4,0))</f>
        <v>0</v>
      </c>
      <c r="J2879" s="2"/>
      <c r="K2879" s="2" t="s">
        <v>462</v>
      </c>
    </row>
    <row r="2880" customFormat="false" ht="15" hidden="false" customHeight="false" outlineLevel="0" collapsed="false">
      <c r="A2880" s="2" t="s">
        <v>233</v>
      </c>
      <c r="B2880" s="2" t="s">
        <v>234</v>
      </c>
      <c r="C2880" s="2" t="s">
        <v>28</v>
      </c>
      <c r="D2880" s="3" t="n">
        <v>46261</v>
      </c>
      <c r="E2880" s="2" t="str">
        <f aca="false">TEXT(D2880,"dddd")</f>
        <v>Thursday</v>
      </c>
      <c r="F2880" s="2" t="s">
        <v>457</v>
      </c>
      <c r="G2880" s="2" t="s">
        <v>458</v>
      </c>
      <c r="H2880" s="2" t="s">
        <v>459</v>
      </c>
      <c r="I2880" s="2" t="n">
        <f aca="false">IF(F2880="Present",9,IF(F2880="Half Day",4,0))</f>
        <v>9</v>
      </c>
      <c r="J2880" s="2"/>
      <c r="K2880" s="2"/>
    </row>
    <row r="2881" customFormat="false" ht="15" hidden="false" customHeight="false" outlineLevel="0" collapsed="false">
      <c r="A2881" s="2" t="s">
        <v>233</v>
      </c>
      <c r="B2881" s="2" t="s">
        <v>234</v>
      </c>
      <c r="C2881" s="2" t="s">
        <v>28</v>
      </c>
      <c r="D2881" s="3" t="n">
        <v>46262</v>
      </c>
      <c r="E2881" s="2" t="str">
        <f aca="false">TEXT(D2881,"dddd")</f>
        <v>Friday</v>
      </c>
      <c r="F2881" s="2" t="s">
        <v>457</v>
      </c>
      <c r="G2881" s="2" t="s">
        <v>458</v>
      </c>
      <c r="H2881" s="2" t="s">
        <v>459</v>
      </c>
      <c r="I2881" s="2" t="n">
        <f aca="false">IF(F2881="Present",9,IF(F2881="Half Day",4,0))</f>
        <v>9</v>
      </c>
      <c r="J2881" s="2"/>
      <c r="K2881" s="2"/>
    </row>
    <row r="2882" customFormat="false" ht="15" hidden="false" customHeight="false" outlineLevel="0" collapsed="false">
      <c r="A2882" s="2" t="s">
        <v>233</v>
      </c>
      <c r="B2882" s="2" t="s">
        <v>234</v>
      </c>
      <c r="C2882" s="2" t="s">
        <v>28</v>
      </c>
      <c r="D2882" s="3" t="n">
        <v>46263</v>
      </c>
      <c r="E2882" s="2" t="str">
        <f aca="false">TEXT(D2882,"dddd")</f>
        <v>Saturday</v>
      </c>
      <c r="F2882" s="2" t="s">
        <v>457</v>
      </c>
      <c r="G2882" s="2" t="s">
        <v>458</v>
      </c>
      <c r="H2882" s="2" t="s">
        <v>459</v>
      </c>
      <c r="I2882" s="2" t="n">
        <f aca="false">IF(F2882="Present",9,IF(F2882="Half Day",4,0))</f>
        <v>9</v>
      </c>
      <c r="J2882" s="2"/>
      <c r="K2882" s="2"/>
    </row>
    <row r="2883" customFormat="false" ht="15" hidden="false" customHeight="false" outlineLevel="0" collapsed="false">
      <c r="A2883" s="2" t="s">
        <v>233</v>
      </c>
      <c r="B2883" s="2" t="s">
        <v>234</v>
      </c>
      <c r="C2883" s="2" t="s">
        <v>28</v>
      </c>
      <c r="D2883" s="3" t="n">
        <v>46264</v>
      </c>
      <c r="E2883" s="2" t="str">
        <f aca="false">TEXT(D2883,"dddd")</f>
        <v>Sunday</v>
      </c>
      <c r="F2883" s="2" t="s">
        <v>460</v>
      </c>
      <c r="G2883" s="2"/>
      <c r="H2883" s="2"/>
      <c r="I2883" s="2" t="n">
        <f aca="false">IF(F2883="Present",9,IF(F2883="Half Day",4,0))</f>
        <v>0</v>
      </c>
      <c r="J2883" s="2"/>
      <c r="K2883" s="2" t="s">
        <v>460</v>
      </c>
    </row>
    <row r="2884" customFormat="false" ht="15" hidden="false" customHeight="false" outlineLevel="0" collapsed="false">
      <c r="A2884" s="2" t="s">
        <v>233</v>
      </c>
      <c r="B2884" s="2" t="s">
        <v>234</v>
      </c>
      <c r="C2884" s="2" t="s">
        <v>28</v>
      </c>
      <c r="D2884" s="3" t="n">
        <v>46265</v>
      </c>
      <c r="E2884" s="2" t="str">
        <f aca="false">TEXT(D2884,"dddd")</f>
        <v>Monday</v>
      </c>
      <c r="F2884" s="2" t="s">
        <v>457</v>
      </c>
      <c r="G2884" s="2" t="s">
        <v>458</v>
      </c>
      <c r="H2884" s="2" t="s">
        <v>459</v>
      </c>
      <c r="I2884" s="2" t="n">
        <f aca="false">IF(F2884="Present",9,IF(F2884="Half Day",4,0))</f>
        <v>9</v>
      </c>
      <c r="J2884" s="2"/>
      <c r="K2884" s="2"/>
    </row>
    <row r="2885" customFormat="false" ht="15" hidden="false" customHeight="false" outlineLevel="0" collapsed="false">
      <c r="A2885" s="2" t="s">
        <v>235</v>
      </c>
      <c r="B2885" s="2" t="s">
        <v>236</v>
      </c>
      <c r="C2885" s="2" t="s">
        <v>32</v>
      </c>
      <c r="D2885" s="3" t="n">
        <v>46235</v>
      </c>
      <c r="E2885" s="2" t="str">
        <f aca="false">TEXT(D2885,"dddd")</f>
        <v>Saturday</v>
      </c>
      <c r="F2885" s="2" t="s">
        <v>457</v>
      </c>
      <c r="G2885" s="2" t="s">
        <v>458</v>
      </c>
      <c r="H2885" s="2" t="s">
        <v>459</v>
      </c>
      <c r="I2885" s="2" t="n">
        <f aca="false">IF(F2885="Present",9,IF(F2885="Half Day",4,0))</f>
        <v>9</v>
      </c>
      <c r="J2885" s="2"/>
      <c r="K2885" s="2"/>
    </row>
    <row r="2886" customFormat="false" ht="15" hidden="false" customHeight="false" outlineLevel="0" collapsed="false">
      <c r="A2886" s="2" t="s">
        <v>235</v>
      </c>
      <c r="B2886" s="2" t="s">
        <v>236</v>
      </c>
      <c r="C2886" s="2" t="s">
        <v>32</v>
      </c>
      <c r="D2886" s="3" t="n">
        <v>46236</v>
      </c>
      <c r="E2886" s="2" t="str">
        <f aca="false">TEXT(D2886,"dddd")</f>
        <v>Sunday</v>
      </c>
      <c r="F2886" s="2" t="s">
        <v>460</v>
      </c>
      <c r="G2886" s="2"/>
      <c r="H2886" s="2"/>
      <c r="I2886" s="2" t="n">
        <f aca="false">IF(F2886="Present",9,IF(F2886="Half Day",4,0))</f>
        <v>0</v>
      </c>
      <c r="J2886" s="2"/>
      <c r="K2886" s="2" t="s">
        <v>460</v>
      </c>
    </row>
    <row r="2887" customFormat="false" ht="15" hidden="false" customHeight="false" outlineLevel="0" collapsed="false">
      <c r="A2887" s="2" t="s">
        <v>235</v>
      </c>
      <c r="B2887" s="2" t="s">
        <v>236</v>
      </c>
      <c r="C2887" s="2" t="s">
        <v>32</v>
      </c>
      <c r="D2887" s="3" t="n">
        <v>46237</v>
      </c>
      <c r="E2887" s="2" t="str">
        <f aca="false">TEXT(D2887,"dddd")</f>
        <v>Monday</v>
      </c>
      <c r="F2887" s="2" t="s">
        <v>457</v>
      </c>
      <c r="G2887" s="2" t="s">
        <v>458</v>
      </c>
      <c r="H2887" s="2" t="s">
        <v>459</v>
      </c>
      <c r="I2887" s="2" t="n">
        <f aca="false">IF(F2887="Present",9,IF(F2887="Half Day",4,0))</f>
        <v>9</v>
      </c>
      <c r="J2887" s="2"/>
      <c r="K2887" s="2"/>
    </row>
    <row r="2888" customFormat="false" ht="15" hidden="false" customHeight="false" outlineLevel="0" collapsed="false">
      <c r="A2888" s="2" t="s">
        <v>235</v>
      </c>
      <c r="B2888" s="2" t="s">
        <v>236</v>
      </c>
      <c r="C2888" s="2" t="s">
        <v>32</v>
      </c>
      <c r="D2888" s="3" t="n">
        <v>46238</v>
      </c>
      <c r="E2888" s="2" t="str">
        <f aca="false">TEXT(D2888,"dddd")</f>
        <v>Tuesday</v>
      </c>
      <c r="F2888" s="2" t="s">
        <v>457</v>
      </c>
      <c r="G2888" s="2" t="s">
        <v>458</v>
      </c>
      <c r="H2888" s="2" t="s">
        <v>459</v>
      </c>
      <c r="I2888" s="2" t="n">
        <f aca="false">IF(F2888="Present",9,IF(F2888="Half Day",4,0))</f>
        <v>9</v>
      </c>
      <c r="J2888" s="2"/>
      <c r="K2888" s="2"/>
    </row>
    <row r="2889" customFormat="false" ht="15" hidden="false" customHeight="false" outlineLevel="0" collapsed="false">
      <c r="A2889" s="2" t="s">
        <v>235</v>
      </c>
      <c r="B2889" s="2" t="s">
        <v>236</v>
      </c>
      <c r="C2889" s="2" t="s">
        <v>32</v>
      </c>
      <c r="D2889" s="3" t="n">
        <v>46239</v>
      </c>
      <c r="E2889" s="2" t="str">
        <f aca="false">TEXT(D2889,"dddd")</f>
        <v>Wednesday</v>
      </c>
      <c r="F2889" s="2" t="s">
        <v>457</v>
      </c>
      <c r="G2889" s="2" t="s">
        <v>458</v>
      </c>
      <c r="H2889" s="2" t="s">
        <v>459</v>
      </c>
      <c r="I2889" s="2" t="n">
        <f aca="false">IF(F2889="Present",9,IF(F2889="Half Day",4,0))</f>
        <v>9</v>
      </c>
      <c r="J2889" s="2"/>
      <c r="K2889" s="2"/>
    </row>
    <row r="2890" customFormat="false" ht="15" hidden="false" customHeight="false" outlineLevel="0" collapsed="false">
      <c r="A2890" s="2" t="s">
        <v>235</v>
      </c>
      <c r="B2890" s="2" t="s">
        <v>236</v>
      </c>
      <c r="C2890" s="2" t="s">
        <v>32</v>
      </c>
      <c r="D2890" s="3" t="n">
        <v>46240</v>
      </c>
      <c r="E2890" s="2" t="str">
        <f aca="false">TEXT(D2890,"dddd")</f>
        <v>Thursday</v>
      </c>
      <c r="F2890" s="2" t="s">
        <v>457</v>
      </c>
      <c r="G2890" s="2" t="s">
        <v>458</v>
      </c>
      <c r="H2890" s="2" t="s">
        <v>459</v>
      </c>
      <c r="I2890" s="2" t="n">
        <f aca="false">IF(F2890="Present",9,IF(F2890="Half Day",4,0))</f>
        <v>9</v>
      </c>
      <c r="J2890" s="2"/>
      <c r="K2890" s="2"/>
    </row>
    <row r="2891" customFormat="false" ht="15" hidden="false" customHeight="false" outlineLevel="0" collapsed="false">
      <c r="A2891" s="2" t="s">
        <v>235</v>
      </c>
      <c r="B2891" s="2" t="s">
        <v>236</v>
      </c>
      <c r="C2891" s="2" t="s">
        <v>32</v>
      </c>
      <c r="D2891" s="3" t="n">
        <v>46241</v>
      </c>
      <c r="E2891" s="2" t="str">
        <f aca="false">TEXT(D2891,"dddd")</f>
        <v>Friday</v>
      </c>
      <c r="F2891" s="2" t="s">
        <v>457</v>
      </c>
      <c r="G2891" s="2" t="s">
        <v>458</v>
      </c>
      <c r="H2891" s="2" t="s">
        <v>459</v>
      </c>
      <c r="I2891" s="2" t="n">
        <f aca="false">IF(F2891="Present",9,IF(F2891="Half Day",4,0))</f>
        <v>9</v>
      </c>
      <c r="J2891" s="2"/>
      <c r="K2891" s="2"/>
    </row>
    <row r="2892" customFormat="false" ht="15" hidden="false" customHeight="false" outlineLevel="0" collapsed="false">
      <c r="A2892" s="2" t="s">
        <v>235</v>
      </c>
      <c r="B2892" s="2" t="s">
        <v>236</v>
      </c>
      <c r="C2892" s="2" t="s">
        <v>32</v>
      </c>
      <c r="D2892" s="3" t="n">
        <v>46242</v>
      </c>
      <c r="E2892" s="2" t="str">
        <f aca="false">TEXT(D2892,"dddd")</f>
        <v>Saturday</v>
      </c>
      <c r="F2892" s="2" t="s">
        <v>457</v>
      </c>
      <c r="G2892" s="2" t="s">
        <v>458</v>
      </c>
      <c r="H2892" s="2" t="s">
        <v>459</v>
      </c>
      <c r="I2892" s="2" t="n">
        <f aca="false">IF(F2892="Present",9,IF(F2892="Half Day",4,0))</f>
        <v>9</v>
      </c>
      <c r="J2892" s="2"/>
      <c r="K2892" s="2"/>
    </row>
    <row r="2893" customFormat="false" ht="15" hidden="false" customHeight="false" outlineLevel="0" collapsed="false">
      <c r="A2893" s="2" t="s">
        <v>235</v>
      </c>
      <c r="B2893" s="2" t="s">
        <v>236</v>
      </c>
      <c r="C2893" s="2" t="s">
        <v>32</v>
      </c>
      <c r="D2893" s="3" t="n">
        <v>46243</v>
      </c>
      <c r="E2893" s="2" t="str">
        <f aca="false">TEXT(D2893,"dddd")</f>
        <v>Sunday</v>
      </c>
      <c r="F2893" s="2" t="s">
        <v>460</v>
      </c>
      <c r="G2893" s="2"/>
      <c r="H2893" s="2"/>
      <c r="I2893" s="2" t="n">
        <f aca="false">IF(F2893="Present",9,IF(F2893="Half Day",4,0))</f>
        <v>0</v>
      </c>
      <c r="J2893" s="2"/>
      <c r="K2893" s="2" t="s">
        <v>460</v>
      </c>
    </row>
    <row r="2894" customFormat="false" ht="15" hidden="false" customHeight="false" outlineLevel="0" collapsed="false">
      <c r="A2894" s="2" t="s">
        <v>235</v>
      </c>
      <c r="B2894" s="2" t="s">
        <v>236</v>
      </c>
      <c r="C2894" s="2" t="s">
        <v>32</v>
      </c>
      <c r="D2894" s="3" t="n">
        <v>46244</v>
      </c>
      <c r="E2894" s="2" t="str">
        <f aca="false">TEXT(D2894,"dddd")</f>
        <v>Monday</v>
      </c>
      <c r="F2894" s="2" t="s">
        <v>457</v>
      </c>
      <c r="G2894" s="2" t="s">
        <v>458</v>
      </c>
      <c r="H2894" s="2" t="s">
        <v>459</v>
      </c>
      <c r="I2894" s="2" t="n">
        <f aca="false">IF(F2894="Present",9,IF(F2894="Half Day",4,0))</f>
        <v>9</v>
      </c>
      <c r="J2894" s="2"/>
      <c r="K2894" s="2"/>
    </row>
    <row r="2895" customFormat="false" ht="15" hidden="false" customHeight="false" outlineLevel="0" collapsed="false">
      <c r="A2895" s="2" t="s">
        <v>235</v>
      </c>
      <c r="B2895" s="2" t="s">
        <v>236</v>
      </c>
      <c r="C2895" s="2" t="s">
        <v>32</v>
      </c>
      <c r="D2895" s="3" t="n">
        <v>46245</v>
      </c>
      <c r="E2895" s="2" t="str">
        <f aca="false">TEXT(D2895,"dddd")</f>
        <v>Tuesday</v>
      </c>
      <c r="F2895" s="2" t="s">
        <v>457</v>
      </c>
      <c r="G2895" s="2" t="s">
        <v>458</v>
      </c>
      <c r="H2895" s="2" t="s">
        <v>459</v>
      </c>
      <c r="I2895" s="2" t="n">
        <f aca="false">IF(F2895="Present",9,IF(F2895="Half Day",4,0))</f>
        <v>9</v>
      </c>
      <c r="J2895" s="2"/>
      <c r="K2895" s="2"/>
    </row>
    <row r="2896" customFormat="false" ht="15" hidden="false" customHeight="false" outlineLevel="0" collapsed="false">
      <c r="A2896" s="2" t="s">
        <v>235</v>
      </c>
      <c r="B2896" s="2" t="s">
        <v>236</v>
      </c>
      <c r="C2896" s="2" t="s">
        <v>32</v>
      </c>
      <c r="D2896" s="3" t="n">
        <v>46246</v>
      </c>
      <c r="E2896" s="2" t="str">
        <f aca="false">TEXT(D2896,"dddd")</f>
        <v>Wednesday</v>
      </c>
      <c r="F2896" s="2" t="s">
        <v>457</v>
      </c>
      <c r="G2896" s="2" t="s">
        <v>458</v>
      </c>
      <c r="H2896" s="2" t="s">
        <v>459</v>
      </c>
      <c r="I2896" s="2" t="n">
        <f aca="false">IF(F2896="Present",9,IF(F2896="Half Day",4,0))</f>
        <v>9</v>
      </c>
      <c r="J2896" s="2"/>
      <c r="K2896" s="2"/>
    </row>
    <row r="2897" customFormat="false" ht="15" hidden="false" customHeight="false" outlineLevel="0" collapsed="false">
      <c r="A2897" s="2" t="s">
        <v>235</v>
      </c>
      <c r="B2897" s="2" t="s">
        <v>236</v>
      </c>
      <c r="C2897" s="2" t="s">
        <v>32</v>
      </c>
      <c r="D2897" s="3" t="n">
        <v>46247</v>
      </c>
      <c r="E2897" s="2" t="str">
        <f aca="false">TEXT(D2897,"dddd")</f>
        <v>Thursday</v>
      </c>
      <c r="F2897" s="2" t="s">
        <v>457</v>
      </c>
      <c r="G2897" s="2" t="s">
        <v>458</v>
      </c>
      <c r="H2897" s="2" t="s">
        <v>459</v>
      </c>
      <c r="I2897" s="2" t="n">
        <f aca="false">IF(F2897="Present",9,IF(F2897="Half Day",4,0))</f>
        <v>9</v>
      </c>
      <c r="J2897" s="2"/>
      <c r="K2897" s="2"/>
    </row>
    <row r="2898" customFormat="false" ht="15" hidden="false" customHeight="false" outlineLevel="0" collapsed="false">
      <c r="A2898" s="2" t="s">
        <v>235</v>
      </c>
      <c r="B2898" s="2" t="s">
        <v>236</v>
      </c>
      <c r="C2898" s="2" t="s">
        <v>32</v>
      </c>
      <c r="D2898" s="3" t="n">
        <v>46248</v>
      </c>
      <c r="E2898" s="2" t="str">
        <f aca="false">TEXT(D2898,"dddd")</f>
        <v>Friday</v>
      </c>
      <c r="F2898" s="2" t="s">
        <v>457</v>
      </c>
      <c r="G2898" s="2" t="s">
        <v>458</v>
      </c>
      <c r="H2898" s="2" t="s">
        <v>459</v>
      </c>
      <c r="I2898" s="2" t="n">
        <f aca="false">IF(F2898="Present",9,IF(F2898="Half Day",4,0))</f>
        <v>9</v>
      </c>
      <c r="J2898" s="2"/>
      <c r="K2898" s="2"/>
    </row>
    <row r="2899" customFormat="false" ht="15" hidden="false" customHeight="false" outlineLevel="0" collapsed="false">
      <c r="A2899" s="2" t="s">
        <v>235</v>
      </c>
      <c r="B2899" s="2" t="s">
        <v>236</v>
      </c>
      <c r="C2899" s="2" t="s">
        <v>32</v>
      </c>
      <c r="D2899" s="3" t="n">
        <v>46249</v>
      </c>
      <c r="E2899" s="2" t="str">
        <f aca="false">TEXT(D2899,"dddd")</f>
        <v>Saturday</v>
      </c>
      <c r="F2899" s="2" t="s">
        <v>457</v>
      </c>
      <c r="G2899" s="2" t="s">
        <v>458</v>
      </c>
      <c r="H2899" s="2" t="s">
        <v>459</v>
      </c>
      <c r="I2899" s="2" t="n">
        <f aca="false">IF(F2899="Present",9,IF(F2899="Half Day",4,0))</f>
        <v>9</v>
      </c>
      <c r="J2899" s="2"/>
      <c r="K2899" s="2"/>
    </row>
    <row r="2900" customFormat="false" ht="15" hidden="false" customHeight="false" outlineLevel="0" collapsed="false">
      <c r="A2900" s="2" t="s">
        <v>235</v>
      </c>
      <c r="B2900" s="2" t="s">
        <v>236</v>
      </c>
      <c r="C2900" s="2" t="s">
        <v>32</v>
      </c>
      <c r="D2900" s="3" t="n">
        <v>46250</v>
      </c>
      <c r="E2900" s="2" t="str">
        <f aca="false">TEXT(D2900,"dddd")</f>
        <v>Sunday</v>
      </c>
      <c r="F2900" s="2" t="s">
        <v>460</v>
      </c>
      <c r="G2900" s="2"/>
      <c r="H2900" s="2"/>
      <c r="I2900" s="2" t="n">
        <f aca="false">IF(F2900="Present",9,IF(F2900="Half Day",4,0))</f>
        <v>0</v>
      </c>
      <c r="J2900" s="2"/>
      <c r="K2900" s="2" t="s">
        <v>460</v>
      </c>
    </row>
    <row r="2901" customFormat="false" ht="15" hidden="false" customHeight="false" outlineLevel="0" collapsed="false">
      <c r="A2901" s="2" t="s">
        <v>235</v>
      </c>
      <c r="B2901" s="2" t="s">
        <v>236</v>
      </c>
      <c r="C2901" s="2" t="s">
        <v>32</v>
      </c>
      <c r="D2901" s="3" t="n">
        <v>46251</v>
      </c>
      <c r="E2901" s="2" t="str">
        <f aca="false">TEXT(D2901,"dddd")</f>
        <v>Monday</v>
      </c>
      <c r="F2901" s="2" t="s">
        <v>457</v>
      </c>
      <c r="G2901" s="2" t="s">
        <v>458</v>
      </c>
      <c r="H2901" s="2" t="s">
        <v>459</v>
      </c>
      <c r="I2901" s="2" t="n">
        <f aca="false">IF(F2901="Present",9,IF(F2901="Half Day",4,0))</f>
        <v>9</v>
      </c>
      <c r="J2901" s="2"/>
      <c r="K2901" s="2"/>
    </row>
    <row r="2902" customFormat="false" ht="15" hidden="false" customHeight="false" outlineLevel="0" collapsed="false">
      <c r="A2902" s="2" t="s">
        <v>235</v>
      </c>
      <c r="B2902" s="2" t="s">
        <v>236</v>
      </c>
      <c r="C2902" s="2" t="s">
        <v>32</v>
      </c>
      <c r="D2902" s="3" t="n">
        <v>46252</v>
      </c>
      <c r="E2902" s="2" t="str">
        <f aca="false">TEXT(D2902,"dddd")</f>
        <v>Tuesday</v>
      </c>
      <c r="F2902" s="2" t="s">
        <v>457</v>
      </c>
      <c r="G2902" s="2" t="s">
        <v>458</v>
      </c>
      <c r="H2902" s="2" t="s">
        <v>459</v>
      </c>
      <c r="I2902" s="2" t="n">
        <f aca="false">IF(F2902="Present",9,IF(F2902="Half Day",4,0))</f>
        <v>9</v>
      </c>
      <c r="J2902" s="2"/>
      <c r="K2902" s="2"/>
    </row>
    <row r="2903" customFormat="false" ht="15" hidden="false" customHeight="false" outlineLevel="0" collapsed="false">
      <c r="A2903" s="2" t="s">
        <v>235</v>
      </c>
      <c r="B2903" s="2" t="s">
        <v>236</v>
      </c>
      <c r="C2903" s="2" t="s">
        <v>32</v>
      </c>
      <c r="D2903" s="3" t="n">
        <v>46253</v>
      </c>
      <c r="E2903" s="2" t="str">
        <f aca="false">TEXT(D2903,"dddd")</f>
        <v>Wednesday</v>
      </c>
      <c r="F2903" s="2" t="s">
        <v>457</v>
      </c>
      <c r="G2903" s="2" t="s">
        <v>458</v>
      </c>
      <c r="H2903" s="2" t="s">
        <v>459</v>
      </c>
      <c r="I2903" s="2" t="n">
        <f aca="false">IF(F2903="Present",9,IF(F2903="Half Day",4,0))</f>
        <v>9</v>
      </c>
      <c r="J2903" s="2"/>
      <c r="K2903" s="2"/>
    </row>
    <row r="2904" customFormat="false" ht="15" hidden="false" customHeight="false" outlineLevel="0" collapsed="false">
      <c r="A2904" s="2" t="s">
        <v>235</v>
      </c>
      <c r="B2904" s="2" t="s">
        <v>236</v>
      </c>
      <c r="C2904" s="2" t="s">
        <v>32</v>
      </c>
      <c r="D2904" s="3" t="n">
        <v>46254</v>
      </c>
      <c r="E2904" s="2" t="str">
        <f aca="false">TEXT(D2904,"dddd")</f>
        <v>Thursday</v>
      </c>
      <c r="F2904" s="2" t="s">
        <v>457</v>
      </c>
      <c r="G2904" s="2" t="s">
        <v>458</v>
      </c>
      <c r="H2904" s="2" t="s">
        <v>459</v>
      </c>
      <c r="I2904" s="2" t="n">
        <f aca="false">IF(F2904="Present",9,IF(F2904="Half Day",4,0))</f>
        <v>9</v>
      </c>
      <c r="J2904" s="2"/>
      <c r="K2904" s="2"/>
    </row>
    <row r="2905" customFormat="false" ht="15" hidden="false" customHeight="false" outlineLevel="0" collapsed="false">
      <c r="A2905" s="2" t="s">
        <v>235</v>
      </c>
      <c r="B2905" s="2" t="s">
        <v>236</v>
      </c>
      <c r="C2905" s="2" t="s">
        <v>32</v>
      </c>
      <c r="D2905" s="3" t="n">
        <v>46255</v>
      </c>
      <c r="E2905" s="2" t="str">
        <f aca="false">TEXT(D2905,"dddd")</f>
        <v>Friday</v>
      </c>
      <c r="F2905" s="2" t="s">
        <v>461</v>
      </c>
      <c r="G2905" s="2"/>
      <c r="H2905" s="2"/>
      <c r="I2905" s="2" t="n">
        <f aca="false">IF(F2905="Present",9,IF(F2905="Half Day",4,0))</f>
        <v>0</v>
      </c>
      <c r="J2905" s="2"/>
      <c r="K2905" s="2" t="s">
        <v>462</v>
      </c>
    </row>
    <row r="2906" customFormat="false" ht="15" hidden="false" customHeight="false" outlineLevel="0" collapsed="false">
      <c r="A2906" s="2" t="s">
        <v>235</v>
      </c>
      <c r="B2906" s="2" t="s">
        <v>236</v>
      </c>
      <c r="C2906" s="2" t="s">
        <v>32</v>
      </c>
      <c r="D2906" s="3" t="n">
        <v>46256</v>
      </c>
      <c r="E2906" s="2" t="str">
        <f aca="false">TEXT(D2906,"dddd")</f>
        <v>Saturday</v>
      </c>
      <c r="F2906" s="2" t="s">
        <v>457</v>
      </c>
      <c r="G2906" s="2" t="s">
        <v>458</v>
      </c>
      <c r="H2906" s="2" t="s">
        <v>459</v>
      </c>
      <c r="I2906" s="2" t="n">
        <f aca="false">IF(F2906="Present",9,IF(F2906="Half Day",4,0))</f>
        <v>9</v>
      </c>
      <c r="J2906" s="2"/>
      <c r="K2906" s="2"/>
    </row>
    <row r="2907" customFormat="false" ht="15" hidden="false" customHeight="false" outlineLevel="0" collapsed="false">
      <c r="A2907" s="2" t="s">
        <v>235</v>
      </c>
      <c r="B2907" s="2" t="s">
        <v>236</v>
      </c>
      <c r="C2907" s="2" t="s">
        <v>32</v>
      </c>
      <c r="D2907" s="3" t="n">
        <v>46257</v>
      </c>
      <c r="E2907" s="2" t="str">
        <f aca="false">TEXT(D2907,"dddd")</f>
        <v>Sunday</v>
      </c>
      <c r="F2907" s="2" t="s">
        <v>460</v>
      </c>
      <c r="G2907" s="2"/>
      <c r="H2907" s="2"/>
      <c r="I2907" s="2" t="n">
        <f aca="false">IF(F2907="Present",9,IF(F2907="Half Day",4,0))</f>
        <v>0</v>
      </c>
      <c r="J2907" s="2"/>
      <c r="K2907" s="2" t="s">
        <v>460</v>
      </c>
    </row>
    <row r="2908" customFormat="false" ht="15" hidden="false" customHeight="false" outlineLevel="0" collapsed="false">
      <c r="A2908" s="2" t="s">
        <v>235</v>
      </c>
      <c r="B2908" s="2" t="s">
        <v>236</v>
      </c>
      <c r="C2908" s="2" t="s">
        <v>32</v>
      </c>
      <c r="D2908" s="3" t="n">
        <v>46258</v>
      </c>
      <c r="E2908" s="2" t="str">
        <f aca="false">TEXT(D2908,"dddd")</f>
        <v>Monday</v>
      </c>
      <c r="F2908" s="2" t="s">
        <v>457</v>
      </c>
      <c r="G2908" s="2" t="s">
        <v>458</v>
      </c>
      <c r="H2908" s="2" t="s">
        <v>459</v>
      </c>
      <c r="I2908" s="2" t="n">
        <f aca="false">IF(F2908="Present",9,IF(F2908="Half Day",4,0))</f>
        <v>9</v>
      </c>
      <c r="J2908" s="2"/>
      <c r="K2908" s="2"/>
    </row>
    <row r="2909" customFormat="false" ht="15" hidden="false" customHeight="false" outlineLevel="0" collapsed="false">
      <c r="A2909" s="2" t="s">
        <v>235</v>
      </c>
      <c r="B2909" s="2" t="s">
        <v>236</v>
      </c>
      <c r="C2909" s="2" t="s">
        <v>32</v>
      </c>
      <c r="D2909" s="3" t="n">
        <v>46259</v>
      </c>
      <c r="E2909" s="2" t="str">
        <f aca="false">TEXT(D2909,"dddd")</f>
        <v>Tuesday</v>
      </c>
      <c r="F2909" s="2" t="s">
        <v>457</v>
      </c>
      <c r="G2909" s="2" t="s">
        <v>458</v>
      </c>
      <c r="H2909" s="2" t="s">
        <v>459</v>
      </c>
      <c r="I2909" s="2" t="n">
        <f aca="false">IF(F2909="Present",9,IF(F2909="Half Day",4,0))</f>
        <v>9</v>
      </c>
      <c r="J2909" s="2"/>
      <c r="K2909" s="2"/>
    </row>
    <row r="2910" customFormat="false" ht="15" hidden="false" customHeight="false" outlineLevel="0" collapsed="false">
      <c r="A2910" s="2" t="s">
        <v>235</v>
      </c>
      <c r="B2910" s="2" t="s">
        <v>236</v>
      </c>
      <c r="C2910" s="2" t="s">
        <v>32</v>
      </c>
      <c r="D2910" s="3" t="n">
        <v>46260</v>
      </c>
      <c r="E2910" s="2" t="str">
        <f aca="false">TEXT(D2910,"dddd")</f>
        <v>Wednesday</v>
      </c>
      <c r="F2910" s="2" t="s">
        <v>457</v>
      </c>
      <c r="G2910" s="2" t="s">
        <v>458</v>
      </c>
      <c r="H2910" s="2" t="s">
        <v>459</v>
      </c>
      <c r="I2910" s="2" t="n">
        <f aca="false">IF(F2910="Present",9,IF(F2910="Half Day",4,0))</f>
        <v>9</v>
      </c>
      <c r="J2910" s="2"/>
      <c r="K2910" s="2"/>
    </row>
    <row r="2911" customFormat="false" ht="15" hidden="false" customHeight="false" outlineLevel="0" collapsed="false">
      <c r="A2911" s="2" t="s">
        <v>235</v>
      </c>
      <c r="B2911" s="2" t="s">
        <v>236</v>
      </c>
      <c r="C2911" s="2" t="s">
        <v>32</v>
      </c>
      <c r="D2911" s="3" t="n">
        <v>46261</v>
      </c>
      <c r="E2911" s="2" t="str">
        <f aca="false">TEXT(D2911,"dddd")</f>
        <v>Thursday</v>
      </c>
      <c r="F2911" s="2" t="s">
        <v>463</v>
      </c>
      <c r="G2911" s="2"/>
      <c r="H2911" s="2"/>
      <c r="I2911" s="2" t="n">
        <f aca="false">IF(F2911="Present",9,IF(F2911="Half Day",4,0))</f>
        <v>0</v>
      </c>
      <c r="J2911" s="2" t="s">
        <v>470</v>
      </c>
      <c r="K2911" s="2" t="s">
        <v>471</v>
      </c>
    </row>
    <row r="2912" customFormat="false" ht="15" hidden="false" customHeight="false" outlineLevel="0" collapsed="false">
      <c r="A2912" s="2" t="s">
        <v>235</v>
      </c>
      <c r="B2912" s="2" t="s">
        <v>236</v>
      </c>
      <c r="C2912" s="2" t="s">
        <v>32</v>
      </c>
      <c r="D2912" s="3" t="n">
        <v>46262</v>
      </c>
      <c r="E2912" s="2" t="str">
        <f aca="false">TEXT(D2912,"dddd")</f>
        <v>Friday</v>
      </c>
      <c r="F2912" s="2" t="s">
        <v>457</v>
      </c>
      <c r="G2912" s="2" t="s">
        <v>458</v>
      </c>
      <c r="H2912" s="2" t="s">
        <v>459</v>
      </c>
      <c r="I2912" s="2" t="n">
        <f aca="false">IF(F2912="Present",9,IF(F2912="Half Day",4,0))</f>
        <v>9</v>
      </c>
      <c r="J2912" s="2"/>
      <c r="K2912" s="2"/>
    </row>
    <row r="2913" customFormat="false" ht="15" hidden="false" customHeight="false" outlineLevel="0" collapsed="false">
      <c r="A2913" s="2" t="s">
        <v>235</v>
      </c>
      <c r="B2913" s="2" t="s">
        <v>236</v>
      </c>
      <c r="C2913" s="2" t="s">
        <v>32</v>
      </c>
      <c r="D2913" s="3" t="n">
        <v>46263</v>
      </c>
      <c r="E2913" s="2" t="str">
        <f aca="false">TEXT(D2913,"dddd")</f>
        <v>Saturday</v>
      </c>
      <c r="F2913" s="2" t="s">
        <v>457</v>
      </c>
      <c r="G2913" s="2" t="s">
        <v>458</v>
      </c>
      <c r="H2913" s="2" t="s">
        <v>459</v>
      </c>
      <c r="I2913" s="2" t="n">
        <f aca="false">IF(F2913="Present",9,IF(F2913="Half Day",4,0))</f>
        <v>9</v>
      </c>
      <c r="J2913" s="2"/>
      <c r="K2913" s="2"/>
    </row>
    <row r="2914" customFormat="false" ht="15" hidden="false" customHeight="false" outlineLevel="0" collapsed="false">
      <c r="A2914" s="2" t="s">
        <v>235</v>
      </c>
      <c r="B2914" s="2" t="s">
        <v>236</v>
      </c>
      <c r="C2914" s="2" t="s">
        <v>32</v>
      </c>
      <c r="D2914" s="3" t="n">
        <v>46264</v>
      </c>
      <c r="E2914" s="2" t="str">
        <f aca="false">TEXT(D2914,"dddd")</f>
        <v>Sunday</v>
      </c>
      <c r="F2914" s="2" t="s">
        <v>460</v>
      </c>
      <c r="G2914" s="2"/>
      <c r="H2914" s="2"/>
      <c r="I2914" s="2" t="n">
        <f aca="false">IF(F2914="Present",9,IF(F2914="Half Day",4,0))</f>
        <v>0</v>
      </c>
      <c r="J2914" s="2"/>
      <c r="K2914" s="2" t="s">
        <v>460</v>
      </c>
    </row>
    <row r="2915" customFormat="false" ht="15" hidden="false" customHeight="false" outlineLevel="0" collapsed="false">
      <c r="A2915" s="2" t="s">
        <v>235</v>
      </c>
      <c r="B2915" s="2" t="s">
        <v>236</v>
      </c>
      <c r="C2915" s="2" t="s">
        <v>32</v>
      </c>
      <c r="D2915" s="3" t="n">
        <v>46265</v>
      </c>
      <c r="E2915" s="2" t="str">
        <f aca="false">TEXT(D2915,"dddd")</f>
        <v>Monday</v>
      </c>
      <c r="F2915" s="2" t="s">
        <v>457</v>
      </c>
      <c r="G2915" s="2" t="s">
        <v>458</v>
      </c>
      <c r="H2915" s="2" t="s">
        <v>459</v>
      </c>
      <c r="I2915" s="2" t="n">
        <f aca="false">IF(F2915="Present",9,IF(F2915="Half Day",4,0))</f>
        <v>9</v>
      </c>
      <c r="J2915" s="2"/>
      <c r="K2915" s="2"/>
    </row>
    <row r="2916" customFormat="false" ht="15" hidden="false" customHeight="false" outlineLevel="0" collapsed="false">
      <c r="A2916" s="2" t="s">
        <v>237</v>
      </c>
      <c r="B2916" s="2" t="s">
        <v>238</v>
      </c>
      <c r="C2916" s="2" t="s">
        <v>36</v>
      </c>
      <c r="D2916" s="3" t="n">
        <v>46235</v>
      </c>
      <c r="E2916" s="2" t="str">
        <f aca="false">TEXT(D2916,"dddd")</f>
        <v>Saturday</v>
      </c>
      <c r="F2916" s="2" t="s">
        <v>461</v>
      </c>
      <c r="G2916" s="2"/>
      <c r="H2916" s="2"/>
      <c r="I2916" s="2" t="n">
        <f aca="false">IF(F2916="Present",9,IF(F2916="Half Day",4,0))</f>
        <v>0</v>
      </c>
      <c r="J2916" s="2"/>
      <c r="K2916" s="2" t="s">
        <v>462</v>
      </c>
    </row>
    <row r="2917" customFormat="false" ht="15" hidden="false" customHeight="false" outlineLevel="0" collapsed="false">
      <c r="A2917" s="2" t="s">
        <v>237</v>
      </c>
      <c r="B2917" s="2" t="s">
        <v>238</v>
      </c>
      <c r="C2917" s="2" t="s">
        <v>36</v>
      </c>
      <c r="D2917" s="3" t="n">
        <v>46236</v>
      </c>
      <c r="E2917" s="2" t="str">
        <f aca="false">TEXT(D2917,"dddd")</f>
        <v>Sunday</v>
      </c>
      <c r="F2917" s="2" t="s">
        <v>460</v>
      </c>
      <c r="G2917" s="2"/>
      <c r="H2917" s="2"/>
      <c r="I2917" s="2" t="n">
        <f aca="false">IF(F2917="Present",9,IF(F2917="Half Day",4,0))</f>
        <v>0</v>
      </c>
      <c r="J2917" s="2"/>
      <c r="K2917" s="2" t="s">
        <v>460</v>
      </c>
    </row>
    <row r="2918" customFormat="false" ht="15" hidden="false" customHeight="false" outlineLevel="0" collapsed="false">
      <c r="A2918" s="2" t="s">
        <v>237</v>
      </c>
      <c r="B2918" s="2" t="s">
        <v>238</v>
      </c>
      <c r="C2918" s="2" t="s">
        <v>36</v>
      </c>
      <c r="D2918" s="3" t="n">
        <v>46237</v>
      </c>
      <c r="E2918" s="2" t="str">
        <f aca="false">TEXT(D2918,"dddd")</f>
        <v>Monday</v>
      </c>
      <c r="F2918" s="2" t="s">
        <v>457</v>
      </c>
      <c r="G2918" s="2" t="s">
        <v>458</v>
      </c>
      <c r="H2918" s="2" t="s">
        <v>459</v>
      </c>
      <c r="I2918" s="2" t="n">
        <f aca="false">IF(F2918="Present",9,IF(F2918="Half Day",4,0))</f>
        <v>9</v>
      </c>
      <c r="J2918" s="2"/>
      <c r="K2918" s="2"/>
    </row>
    <row r="2919" customFormat="false" ht="15" hidden="false" customHeight="false" outlineLevel="0" collapsed="false">
      <c r="A2919" s="2" t="s">
        <v>237</v>
      </c>
      <c r="B2919" s="2" t="s">
        <v>238</v>
      </c>
      <c r="C2919" s="2" t="s">
        <v>36</v>
      </c>
      <c r="D2919" s="3" t="n">
        <v>46238</v>
      </c>
      <c r="E2919" s="2" t="str">
        <f aca="false">TEXT(D2919,"dddd")</f>
        <v>Tuesday</v>
      </c>
      <c r="F2919" s="2" t="s">
        <v>457</v>
      </c>
      <c r="G2919" s="2" t="s">
        <v>458</v>
      </c>
      <c r="H2919" s="2" t="s">
        <v>459</v>
      </c>
      <c r="I2919" s="2" t="n">
        <f aca="false">IF(F2919="Present",9,IF(F2919="Half Day",4,0))</f>
        <v>9</v>
      </c>
      <c r="J2919" s="2"/>
      <c r="K2919" s="2"/>
    </row>
    <row r="2920" customFormat="false" ht="15" hidden="false" customHeight="false" outlineLevel="0" collapsed="false">
      <c r="A2920" s="2" t="s">
        <v>237</v>
      </c>
      <c r="B2920" s="2" t="s">
        <v>238</v>
      </c>
      <c r="C2920" s="2" t="s">
        <v>36</v>
      </c>
      <c r="D2920" s="3" t="n">
        <v>46239</v>
      </c>
      <c r="E2920" s="2" t="str">
        <f aca="false">TEXT(D2920,"dddd")</f>
        <v>Wednesday</v>
      </c>
      <c r="F2920" s="2" t="s">
        <v>457</v>
      </c>
      <c r="G2920" s="2" t="s">
        <v>458</v>
      </c>
      <c r="H2920" s="2" t="s">
        <v>459</v>
      </c>
      <c r="I2920" s="2" t="n">
        <f aca="false">IF(F2920="Present",9,IF(F2920="Half Day",4,0))</f>
        <v>9</v>
      </c>
      <c r="J2920" s="2"/>
      <c r="K2920" s="2"/>
    </row>
    <row r="2921" customFormat="false" ht="15" hidden="false" customHeight="false" outlineLevel="0" collapsed="false">
      <c r="A2921" s="2" t="s">
        <v>237</v>
      </c>
      <c r="B2921" s="2" t="s">
        <v>238</v>
      </c>
      <c r="C2921" s="2" t="s">
        <v>36</v>
      </c>
      <c r="D2921" s="3" t="n">
        <v>46240</v>
      </c>
      <c r="E2921" s="2" t="str">
        <f aca="false">TEXT(D2921,"dddd")</f>
        <v>Thursday</v>
      </c>
      <c r="F2921" s="2" t="s">
        <v>457</v>
      </c>
      <c r="G2921" s="2" t="s">
        <v>458</v>
      </c>
      <c r="H2921" s="2" t="s">
        <v>459</v>
      </c>
      <c r="I2921" s="2" t="n">
        <f aca="false">IF(F2921="Present",9,IF(F2921="Half Day",4,0))</f>
        <v>9</v>
      </c>
      <c r="J2921" s="2"/>
      <c r="K2921" s="2"/>
    </row>
    <row r="2922" customFormat="false" ht="15" hidden="false" customHeight="false" outlineLevel="0" collapsed="false">
      <c r="A2922" s="2" t="s">
        <v>237</v>
      </c>
      <c r="B2922" s="2" t="s">
        <v>238</v>
      </c>
      <c r="C2922" s="2" t="s">
        <v>36</v>
      </c>
      <c r="D2922" s="3" t="n">
        <v>46241</v>
      </c>
      <c r="E2922" s="2" t="str">
        <f aca="false">TEXT(D2922,"dddd")</f>
        <v>Friday</v>
      </c>
      <c r="F2922" s="2" t="s">
        <v>457</v>
      </c>
      <c r="G2922" s="2" t="s">
        <v>458</v>
      </c>
      <c r="H2922" s="2" t="s">
        <v>459</v>
      </c>
      <c r="I2922" s="2" t="n">
        <f aca="false">IF(F2922="Present",9,IF(F2922="Half Day",4,0))</f>
        <v>9</v>
      </c>
      <c r="J2922" s="2"/>
      <c r="K2922" s="2"/>
    </row>
    <row r="2923" customFormat="false" ht="15" hidden="false" customHeight="false" outlineLevel="0" collapsed="false">
      <c r="A2923" s="2" t="s">
        <v>237</v>
      </c>
      <c r="B2923" s="2" t="s">
        <v>238</v>
      </c>
      <c r="C2923" s="2" t="s">
        <v>36</v>
      </c>
      <c r="D2923" s="3" t="n">
        <v>46242</v>
      </c>
      <c r="E2923" s="2" t="str">
        <f aca="false">TEXT(D2923,"dddd")</f>
        <v>Saturday</v>
      </c>
      <c r="F2923" s="2" t="s">
        <v>457</v>
      </c>
      <c r="G2923" s="2" t="s">
        <v>458</v>
      </c>
      <c r="H2923" s="2" t="s">
        <v>459</v>
      </c>
      <c r="I2923" s="2" t="n">
        <f aca="false">IF(F2923="Present",9,IF(F2923="Half Day",4,0))</f>
        <v>9</v>
      </c>
      <c r="J2923" s="2"/>
      <c r="K2923" s="2"/>
    </row>
    <row r="2924" customFormat="false" ht="15" hidden="false" customHeight="false" outlineLevel="0" collapsed="false">
      <c r="A2924" s="2" t="s">
        <v>237</v>
      </c>
      <c r="B2924" s="2" t="s">
        <v>238</v>
      </c>
      <c r="C2924" s="2" t="s">
        <v>36</v>
      </c>
      <c r="D2924" s="3" t="n">
        <v>46243</v>
      </c>
      <c r="E2924" s="2" t="str">
        <f aca="false">TEXT(D2924,"dddd")</f>
        <v>Sunday</v>
      </c>
      <c r="F2924" s="2" t="s">
        <v>460</v>
      </c>
      <c r="G2924" s="2"/>
      <c r="H2924" s="2"/>
      <c r="I2924" s="2" t="n">
        <f aca="false">IF(F2924="Present",9,IF(F2924="Half Day",4,0))</f>
        <v>0</v>
      </c>
      <c r="J2924" s="2"/>
      <c r="K2924" s="2" t="s">
        <v>460</v>
      </c>
    </row>
    <row r="2925" customFormat="false" ht="15" hidden="false" customHeight="false" outlineLevel="0" collapsed="false">
      <c r="A2925" s="2" t="s">
        <v>237</v>
      </c>
      <c r="B2925" s="2" t="s">
        <v>238</v>
      </c>
      <c r="C2925" s="2" t="s">
        <v>36</v>
      </c>
      <c r="D2925" s="3" t="n">
        <v>46244</v>
      </c>
      <c r="E2925" s="2" t="str">
        <f aca="false">TEXT(D2925,"dddd")</f>
        <v>Monday</v>
      </c>
      <c r="F2925" s="2" t="s">
        <v>457</v>
      </c>
      <c r="G2925" s="2" t="s">
        <v>458</v>
      </c>
      <c r="H2925" s="2" t="s">
        <v>459</v>
      </c>
      <c r="I2925" s="2" t="n">
        <f aca="false">IF(F2925="Present",9,IF(F2925="Half Day",4,0))</f>
        <v>9</v>
      </c>
      <c r="J2925" s="2"/>
      <c r="K2925" s="2"/>
    </row>
    <row r="2926" customFormat="false" ht="15" hidden="false" customHeight="false" outlineLevel="0" collapsed="false">
      <c r="A2926" s="2" t="s">
        <v>237</v>
      </c>
      <c r="B2926" s="2" t="s">
        <v>238</v>
      </c>
      <c r="C2926" s="2" t="s">
        <v>36</v>
      </c>
      <c r="D2926" s="3" t="n">
        <v>46245</v>
      </c>
      <c r="E2926" s="2" t="str">
        <f aca="false">TEXT(D2926,"dddd")</f>
        <v>Tuesday</v>
      </c>
      <c r="F2926" s="2" t="s">
        <v>457</v>
      </c>
      <c r="G2926" s="2" t="s">
        <v>458</v>
      </c>
      <c r="H2926" s="2" t="s">
        <v>459</v>
      </c>
      <c r="I2926" s="2" t="n">
        <f aca="false">IF(F2926="Present",9,IF(F2926="Half Day",4,0))</f>
        <v>9</v>
      </c>
      <c r="J2926" s="2"/>
      <c r="K2926" s="2"/>
    </row>
    <row r="2927" customFormat="false" ht="15" hidden="false" customHeight="false" outlineLevel="0" collapsed="false">
      <c r="A2927" s="2" t="s">
        <v>237</v>
      </c>
      <c r="B2927" s="2" t="s">
        <v>238</v>
      </c>
      <c r="C2927" s="2" t="s">
        <v>36</v>
      </c>
      <c r="D2927" s="3" t="n">
        <v>46246</v>
      </c>
      <c r="E2927" s="2" t="str">
        <f aca="false">TEXT(D2927,"dddd")</f>
        <v>Wednesday</v>
      </c>
      <c r="F2927" s="2" t="s">
        <v>457</v>
      </c>
      <c r="G2927" s="2" t="s">
        <v>458</v>
      </c>
      <c r="H2927" s="2" t="s">
        <v>459</v>
      </c>
      <c r="I2927" s="2" t="n">
        <f aca="false">IF(F2927="Present",9,IF(F2927="Half Day",4,0))</f>
        <v>9</v>
      </c>
      <c r="J2927" s="2"/>
      <c r="K2927" s="2"/>
    </row>
    <row r="2928" customFormat="false" ht="15" hidden="false" customHeight="false" outlineLevel="0" collapsed="false">
      <c r="A2928" s="2" t="s">
        <v>237</v>
      </c>
      <c r="B2928" s="2" t="s">
        <v>238</v>
      </c>
      <c r="C2928" s="2" t="s">
        <v>36</v>
      </c>
      <c r="D2928" s="3" t="n">
        <v>46247</v>
      </c>
      <c r="E2928" s="2" t="str">
        <f aca="false">TEXT(D2928,"dddd")</f>
        <v>Thursday</v>
      </c>
      <c r="F2928" s="2" t="s">
        <v>457</v>
      </c>
      <c r="G2928" s="2" t="s">
        <v>458</v>
      </c>
      <c r="H2928" s="2" t="s">
        <v>459</v>
      </c>
      <c r="I2928" s="2" t="n">
        <f aca="false">IF(F2928="Present",9,IF(F2928="Half Day",4,0))</f>
        <v>9</v>
      </c>
      <c r="J2928" s="2"/>
      <c r="K2928" s="2"/>
    </row>
    <row r="2929" customFormat="false" ht="15" hidden="false" customHeight="false" outlineLevel="0" collapsed="false">
      <c r="A2929" s="2" t="s">
        <v>237</v>
      </c>
      <c r="B2929" s="2" t="s">
        <v>238</v>
      </c>
      <c r="C2929" s="2" t="s">
        <v>36</v>
      </c>
      <c r="D2929" s="3" t="n">
        <v>46248</v>
      </c>
      <c r="E2929" s="2" t="str">
        <f aca="false">TEXT(D2929,"dddd")</f>
        <v>Friday</v>
      </c>
      <c r="F2929" s="2" t="s">
        <v>457</v>
      </c>
      <c r="G2929" s="2" t="s">
        <v>458</v>
      </c>
      <c r="H2929" s="2" t="s">
        <v>459</v>
      </c>
      <c r="I2929" s="2" t="n">
        <f aca="false">IF(F2929="Present",9,IF(F2929="Half Day",4,0))</f>
        <v>9</v>
      </c>
      <c r="J2929" s="2"/>
      <c r="K2929" s="2"/>
    </row>
    <row r="2930" customFormat="false" ht="15" hidden="false" customHeight="false" outlineLevel="0" collapsed="false">
      <c r="A2930" s="2" t="s">
        <v>237</v>
      </c>
      <c r="B2930" s="2" t="s">
        <v>238</v>
      </c>
      <c r="C2930" s="2" t="s">
        <v>36</v>
      </c>
      <c r="D2930" s="3" t="n">
        <v>46249</v>
      </c>
      <c r="E2930" s="2" t="str">
        <f aca="false">TEXT(D2930,"dddd")</f>
        <v>Saturday</v>
      </c>
      <c r="F2930" s="2" t="s">
        <v>457</v>
      </c>
      <c r="G2930" s="2" t="s">
        <v>458</v>
      </c>
      <c r="H2930" s="2" t="s">
        <v>459</v>
      </c>
      <c r="I2930" s="2" t="n">
        <f aca="false">IF(F2930="Present",9,IF(F2930="Half Day",4,0))</f>
        <v>9</v>
      </c>
      <c r="J2930" s="2"/>
      <c r="K2930" s="2"/>
    </row>
    <row r="2931" customFormat="false" ht="15" hidden="false" customHeight="false" outlineLevel="0" collapsed="false">
      <c r="A2931" s="2" t="s">
        <v>237</v>
      </c>
      <c r="B2931" s="2" t="s">
        <v>238</v>
      </c>
      <c r="C2931" s="2" t="s">
        <v>36</v>
      </c>
      <c r="D2931" s="3" t="n">
        <v>46250</v>
      </c>
      <c r="E2931" s="2" t="str">
        <f aca="false">TEXT(D2931,"dddd")</f>
        <v>Sunday</v>
      </c>
      <c r="F2931" s="2" t="s">
        <v>460</v>
      </c>
      <c r="G2931" s="2"/>
      <c r="H2931" s="2"/>
      <c r="I2931" s="2" t="n">
        <f aca="false">IF(F2931="Present",9,IF(F2931="Half Day",4,0))</f>
        <v>0</v>
      </c>
      <c r="J2931" s="2"/>
      <c r="K2931" s="2" t="s">
        <v>460</v>
      </c>
    </row>
    <row r="2932" customFormat="false" ht="15" hidden="false" customHeight="false" outlineLevel="0" collapsed="false">
      <c r="A2932" s="2" t="s">
        <v>237</v>
      </c>
      <c r="B2932" s="2" t="s">
        <v>238</v>
      </c>
      <c r="C2932" s="2" t="s">
        <v>36</v>
      </c>
      <c r="D2932" s="3" t="n">
        <v>46251</v>
      </c>
      <c r="E2932" s="2" t="str">
        <f aca="false">TEXT(D2932,"dddd")</f>
        <v>Monday</v>
      </c>
      <c r="F2932" s="2" t="s">
        <v>457</v>
      </c>
      <c r="G2932" s="2" t="s">
        <v>458</v>
      </c>
      <c r="H2932" s="2" t="s">
        <v>459</v>
      </c>
      <c r="I2932" s="2" t="n">
        <f aca="false">IF(F2932="Present",9,IF(F2932="Half Day",4,0))</f>
        <v>9</v>
      </c>
      <c r="J2932" s="2"/>
      <c r="K2932" s="2"/>
    </row>
    <row r="2933" customFormat="false" ht="15" hidden="false" customHeight="false" outlineLevel="0" collapsed="false">
      <c r="A2933" s="2" t="s">
        <v>237</v>
      </c>
      <c r="B2933" s="2" t="s">
        <v>238</v>
      </c>
      <c r="C2933" s="2" t="s">
        <v>36</v>
      </c>
      <c r="D2933" s="3" t="n">
        <v>46252</v>
      </c>
      <c r="E2933" s="2" t="str">
        <f aca="false">TEXT(D2933,"dddd")</f>
        <v>Tuesday</v>
      </c>
      <c r="F2933" s="2" t="s">
        <v>457</v>
      </c>
      <c r="G2933" s="2" t="s">
        <v>458</v>
      </c>
      <c r="H2933" s="2" t="s">
        <v>459</v>
      </c>
      <c r="I2933" s="2" t="n">
        <f aca="false">IF(F2933="Present",9,IF(F2933="Half Day",4,0))</f>
        <v>9</v>
      </c>
      <c r="J2933" s="2"/>
      <c r="K2933" s="2"/>
    </row>
    <row r="2934" customFormat="false" ht="15" hidden="false" customHeight="false" outlineLevel="0" collapsed="false">
      <c r="A2934" s="2" t="s">
        <v>237</v>
      </c>
      <c r="B2934" s="2" t="s">
        <v>238</v>
      </c>
      <c r="C2934" s="2" t="s">
        <v>36</v>
      </c>
      <c r="D2934" s="3" t="n">
        <v>46253</v>
      </c>
      <c r="E2934" s="2" t="str">
        <f aca="false">TEXT(D2934,"dddd")</f>
        <v>Wednesday</v>
      </c>
      <c r="F2934" s="2" t="s">
        <v>457</v>
      </c>
      <c r="G2934" s="2" t="s">
        <v>458</v>
      </c>
      <c r="H2934" s="2" t="s">
        <v>459</v>
      </c>
      <c r="I2934" s="2" t="n">
        <f aca="false">IF(F2934="Present",9,IF(F2934="Half Day",4,0))</f>
        <v>9</v>
      </c>
      <c r="J2934" s="2"/>
      <c r="K2934" s="2"/>
    </row>
    <row r="2935" customFormat="false" ht="15" hidden="false" customHeight="false" outlineLevel="0" collapsed="false">
      <c r="A2935" s="2" t="s">
        <v>237</v>
      </c>
      <c r="B2935" s="2" t="s">
        <v>238</v>
      </c>
      <c r="C2935" s="2" t="s">
        <v>36</v>
      </c>
      <c r="D2935" s="3" t="n">
        <v>46254</v>
      </c>
      <c r="E2935" s="2" t="str">
        <f aca="false">TEXT(D2935,"dddd")</f>
        <v>Thursday</v>
      </c>
      <c r="F2935" s="2" t="s">
        <v>457</v>
      </c>
      <c r="G2935" s="2" t="s">
        <v>458</v>
      </c>
      <c r="H2935" s="2" t="s">
        <v>459</v>
      </c>
      <c r="I2935" s="2" t="n">
        <f aca="false">IF(F2935="Present",9,IF(F2935="Half Day",4,0))</f>
        <v>9</v>
      </c>
      <c r="J2935" s="2"/>
      <c r="K2935" s="2"/>
    </row>
    <row r="2936" customFormat="false" ht="15" hidden="false" customHeight="false" outlineLevel="0" collapsed="false">
      <c r="A2936" s="2" t="s">
        <v>237</v>
      </c>
      <c r="B2936" s="2" t="s">
        <v>238</v>
      </c>
      <c r="C2936" s="2" t="s">
        <v>36</v>
      </c>
      <c r="D2936" s="3" t="n">
        <v>46255</v>
      </c>
      <c r="E2936" s="2" t="str">
        <f aca="false">TEXT(D2936,"dddd")</f>
        <v>Friday</v>
      </c>
      <c r="F2936" s="2" t="s">
        <v>457</v>
      </c>
      <c r="G2936" s="2" t="s">
        <v>458</v>
      </c>
      <c r="H2936" s="2" t="s">
        <v>459</v>
      </c>
      <c r="I2936" s="2" t="n">
        <f aca="false">IF(F2936="Present",9,IF(F2936="Half Day",4,0))</f>
        <v>9</v>
      </c>
      <c r="J2936" s="2"/>
      <c r="K2936" s="2"/>
    </row>
    <row r="2937" customFormat="false" ht="15" hidden="false" customHeight="false" outlineLevel="0" collapsed="false">
      <c r="A2937" s="2" t="s">
        <v>237</v>
      </c>
      <c r="B2937" s="2" t="s">
        <v>238</v>
      </c>
      <c r="C2937" s="2" t="s">
        <v>36</v>
      </c>
      <c r="D2937" s="3" t="n">
        <v>46256</v>
      </c>
      <c r="E2937" s="2" t="str">
        <f aca="false">TEXT(D2937,"dddd")</f>
        <v>Saturday</v>
      </c>
      <c r="F2937" s="2" t="s">
        <v>457</v>
      </c>
      <c r="G2937" s="2" t="s">
        <v>458</v>
      </c>
      <c r="H2937" s="2" t="s">
        <v>459</v>
      </c>
      <c r="I2937" s="2" t="n">
        <f aca="false">IF(F2937="Present",9,IF(F2937="Half Day",4,0))</f>
        <v>9</v>
      </c>
      <c r="J2937" s="2"/>
      <c r="K2937" s="2"/>
    </row>
    <row r="2938" customFormat="false" ht="15" hidden="false" customHeight="false" outlineLevel="0" collapsed="false">
      <c r="A2938" s="2" t="s">
        <v>237</v>
      </c>
      <c r="B2938" s="2" t="s">
        <v>238</v>
      </c>
      <c r="C2938" s="2" t="s">
        <v>36</v>
      </c>
      <c r="D2938" s="3" t="n">
        <v>46257</v>
      </c>
      <c r="E2938" s="2" t="str">
        <f aca="false">TEXT(D2938,"dddd")</f>
        <v>Sunday</v>
      </c>
      <c r="F2938" s="2" t="s">
        <v>460</v>
      </c>
      <c r="G2938" s="2"/>
      <c r="H2938" s="2"/>
      <c r="I2938" s="2" t="n">
        <f aca="false">IF(F2938="Present",9,IF(F2938="Half Day",4,0))</f>
        <v>0</v>
      </c>
      <c r="J2938" s="2"/>
      <c r="K2938" s="2" t="s">
        <v>460</v>
      </c>
    </row>
    <row r="2939" customFormat="false" ht="15" hidden="false" customHeight="false" outlineLevel="0" collapsed="false">
      <c r="A2939" s="2" t="s">
        <v>237</v>
      </c>
      <c r="B2939" s="2" t="s">
        <v>238</v>
      </c>
      <c r="C2939" s="2" t="s">
        <v>36</v>
      </c>
      <c r="D2939" s="3" t="n">
        <v>46258</v>
      </c>
      <c r="E2939" s="2" t="str">
        <f aca="false">TEXT(D2939,"dddd")</f>
        <v>Monday</v>
      </c>
      <c r="F2939" s="2" t="s">
        <v>457</v>
      </c>
      <c r="G2939" s="2" t="s">
        <v>458</v>
      </c>
      <c r="H2939" s="2" t="s">
        <v>459</v>
      </c>
      <c r="I2939" s="2" t="n">
        <f aca="false">IF(F2939="Present",9,IF(F2939="Half Day",4,0))</f>
        <v>9</v>
      </c>
      <c r="J2939" s="2"/>
      <c r="K2939" s="2"/>
    </row>
    <row r="2940" customFormat="false" ht="15" hidden="false" customHeight="false" outlineLevel="0" collapsed="false">
      <c r="A2940" s="2" t="s">
        <v>237</v>
      </c>
      <c r="B2940" s="2" t="s">
        <v>238</v>
      </c>
      <c r="C2940" s="2" t="s">
        <v>36</v>
      </c>
      <c r="D2940" s="3" t="n">
        <v>46259</v>
      </c>
      <c r="E2940" s="2" t="str">
        <f aca="false">TEXT(D2940,"dddd")</f>
        <v>Tuesday</v>
      </c>
      <c r="F2940" s="2" t="s">
        <v>457</v>
      </c>
      <c r="G2940" s="2" t="s">
        <v>458</v>
      </c>
      <c r="H2940" s="2" t="s">
        <v>459</v>
      </c>
      <c r="I2940" s="2" t="n">
        <f aca="false">IF(F2940="Present",9,IF(F2940="Half Day",4,0))</f>
        <v>9</v>
      </c>
      <c r="J2940" s="2"/>
      <c r="K2940" s="2"/>
    </row>
    <row r="2941" customFormat="false" ht="15" hidden="false" customHeight="false" outlineLevel="0" collapsed="false">
      <c r="A2941" s="2" t="s">
        <v>237</v>
      </c>
      <c r="B2941" s="2" t="s">
        <v>238</v>
      </c>
      <c r="C2941" s="2" t="s">
        <v>36</v>
      </c>
      <c r="D2941" s="3" t="n">
        <v>46260</v>
      </c>
      <c r="E2941" s="2" t="str">
        <f aca="false">TEXT(D2941,"dddd")</f>
        <v>Wednesday</v>
      </c>
      <c r="F2941" s="2" t="s">
        <v>457</v>
      </c>
      <c r="G2941" s="2" t="s">
        <v>458</v>
      </c>
      <c r="H2941" s="2" t="s">
        <v>459</v>
      </c>
      <c r="I2941" s="2" t="n">
        <f aca="false">IF(F2941="Present",9,IF(F2941="Half Day",4,0))</f>
        <v>9</v>
      </c>
      <c r="J2941" s="2"/>
      <c r="K2941" s="2"/>
    </row>
    <row r="2942" customFormat="false" ht="15" hidden="false" customHeight="false" outlineLevel="0" collapsed="false">
      <c r="A2942" s="2" t="s">
        <v>237</v>
      </c>
      <c r="B2942" s="2" t="s">
        <v>238</v>
      </c>
      <c r="C2942" s="2" t="s">
        <v>36</v>
      </c>
      <c r="D2942" s="3" t="n">
        <v>46261</v>
      </c>
      <c r="E2942" s="2" t="str">
        <f aca="false">TEXT(D2942,"dddd")</f>
        <v>Thursday</v>
      </c>
      <c r="F2942" s="2" t="s">
        <v>466</v>
      </c>
      <c r="G2942" s="2" t="s">
        <v>458</v>
      </c>
      <c r="H2942" s="2" t="s">
        <v>467</v>
      </c>
      <c r="I2942" s="2" t="n">
        <f aca="false">IF(F2942="Present",9,IF(F2942="Half Day",4,0))</f>
        <v>4</v>
      </c>
      <c r="J2942" s="2"/>
      <c r="K2942" s="2" t="s">
        <v>466</v>
      </c>
    </row>
    <row r="2943" customFormat="false" ht="15" hidden="false" customHeight="false" outlineLevel="0" collapsed="false">
      <c r="A2943" s="2" t="s">
        <v>237</v>
      </c>
      <c r="B2943" s="2" t="s">
        <v>238</v>
      </c>
      <c r="C2943" s="2" t="s">
        <v>36</v>
      </c>
      <c r="D2943" s="3" t="n">
        <v>46262</v>
      </c>
      <c r="E2943" s="2" t="str">
        <f aca="false">TEXT(D2943,"dddd")</f>
        <v>Friday</v>
      </c>
      <c r="F2943" s="2" t="s">
        <v>457</v>
      </c>
      <c r="G2943" s="2" t="s">
        <v>458</v>
      </c>
      <c r="H2943" s="2" t="s">
        <v>459</v>
      </c>
      <c r="I2943" s="2" t="n">
        <f aca="false">IF(F2943="Present",9,IF(F2943="Half Day",4,0))</f>
        <v>9</v>
      </c>
      <c r="J2943" s="2"/>
      <c r="K2943" s="2"/>
    </row>
    <row r="2944" customFormat="false" ht="15" hidden="false" customHeight="false" outlineLevel="0" collapsed="false">
      <c r="A2944" s="2" t="s">
        <v>237</v>
      </c>
      <c r="B2944" s="2" t="s">
        <v>238</v>
      </c>
      <c r="C2944" s="2" t="s">
        <v>36</v>
      </c>
      <c r="D2944" s="3" t="n">
        <v>46263</v>
      </c>
      <c r="E2944" s="2" t="str">
        <f aca="false">TEXT(D2944,"dddd")</f>
        <v>Saturday</v>
      </c>
      <c r="F2944" s="2" t="s">
        <v>457</v>
      </c>
      <c r="G2944" s="2" t="s">
        <v>458</v>
      </c>
      <c r="H2944" s="2" t="s">
        <v>459</v>
      </c>
      <c r="I2944" s="2" t="n">
        <f aca="false">IF(F2944="Present",9,IF(F2944="Half Day",4,0))</f>
        <v>9</v>
      </c>
      <c r="J2944" s="2"/>
      <c r="K2944" s="2"/>
    </row>
    <row r="2945" customFormat="false" ht="15" hidden="false" customHeight="false" outlineLevel="0" collapsed="false">
      <c r="A2945" s="2" t="s">
        <v>237</v>
      </c>
      <c r="B2945" s="2" t="s">
        <v>238</v>
      </c>
      <c r="C2945" s="2" t="s">
        <v>36</v>
      </c>
      <c r="D2945" s="3" t="n">
        <v>46264</v>
      </c>
      <c r="E2945" s="2" t="str">
        <f aca="false">TEXT(D2945,"dddd")</f>
        <v>Sunday</v>
      </c>
      <c r="F2945" s="2" t="s">
        <v>460</v>
      </c>
      <c r="G2945" s="2"/>
      <c r="H2945" s="2"/>
      <c r="I2945" s="2" t="n">
        <f aca="false">IF(F2945="Present",9,IF(F2945="Half Day",4,0))</f>
        <v>0</v>
      </c>
      <c r="J2945" s="2"/>
      <c r="K2945" s="2" t="s">
        <v>460</v>
      </c>
    </row>
    <row r="2946" customFormat="false" ht="15" hidden="false" customHeight="false" outlineLevel="0" collapsed="false">
      <c r="A2946" s="2" t="s">
        <v>237</v>
      </c>
      <c r="B2946" s="2" t="s">
        <v>238</v>
      </c>
      <c r="C2946" s="2" t="s">
        <v>36</v>
      </c>
      <c r="D2946" s="3" t="n">
        <v>46265</v>
      </c>
      <c r="E2946" s="2" t="str">
        <f aca="false">TEXT(D2946,"dddd")</f>
        <v>Monday</v>
      </c>
      <c r="F2946" s="2" t="s">
        <v>457</v>
      </c>
      <c r="G2946" s="2" t="s">
        <v>458</v>
      </c>
      <c r="H2946" s="2" t="s">
        <v>459</v>
      </c>
      <c r="I2946" s="2" t="n">
        <f aca="false">IF(F2946="Present",9,IF(F2946="Half Day",4,0))</f>
        <v>9</v>
      </c>
      <c r="J2946" s="2"/>
      <c r="K2946" s="2"/>
    </row>
    <row r="2947" customFormat="false" ht="15" hidden="false" customHeight="false" outlineLevel="0" collapsed="false">
      <c r="A2947" s="2" t="s">
        <v>239</v>
      </c>
      <c r="B2947" s="2" t="s">
        <v>240</v>
      </c>
      <c r="C2947" s="2" t="s">
        <v>41</v>
      </c>
      <c r="D2947" s="3" t="n">
        <v>46235</v>
      </c>
      <c r="E2947" s="2" t="str">
        <f aca="false">TEXT(D2947,"dddd")</f>
        <v>Saturday</v>
      </c>
      <c r="F2947" s="2" t="s">
        <v>457</v>
      </c>
      <c r="G2947" s="2" t="s">
        <v>458</v>
      </c>
      <c r="H2947" s="2" t="s">
        <v>459</v>
      </c>
      <c r="I2947" s="2" t="n">
        <f aca="false">IF(F2947="Present",9,IF(F2947="Half Day",4,0))</f>
        <v>9</v>
      </c>
      <c r="J2947" s="2"/>
      <c r="K2947" s="2"/>
    </row>
    <row r="2948" customFormat="false" ht="15" hidden="false" customHeight="false" outlineLevel="0" collapsed="false">
      <c r="A2948" s="2" t="s">
        <v>239</v>
      </c>
      <c r="B2948" s="2" t="s">
        <v>240</v>
      </c>
      <c r="C2948" s="2" t="s">
        <v>41</v>
      </c>
      <c r="D2948" s="3" t="n">
        <v>46236</v>
      </c>
      <c r="E2948" s="2" t="str">
        <f aca="false">TEXT(D2948,"dddd")</f>
        <v>Sunday</v>
      </c>
      <c r="F2948" s="2" t="s">
        <v>460</v>
      </c>
      <c r="G2948" s="2"/>
      <c r="H2948" s="2"/>
      <c r="I2948" s="2" t="n">
        <f aca="false">IF(F2948="Present",9,IF(F2948="Half Day",4,0))</f>
        <v>0</v>
      </c>
      <c r="J2948" s="2"/>
      <c r="K2948" s="2" t="s">
        <v>460</v>
      </c>
    </row>
    <row r="2949" customFormat="false" ht="15" hidden="false" customHeight="false" outlineLevel="0" collapsed="false">
      <c r="A2949" s="2" t="s">
        <v>239</v>
      </c>
      <c r="B2949" s="2" t="s">
        <v>240</v>
      </c>
      <c r="C2949" s="2" t="s">
        <v>41</v>
      </c>
      <c r="D2949" s="3" t="n">
        <v>46237</v>
      </c>
      <c r="E2949" s="2" t="str">
        <f aca="false">TEXT(D2949,"dddd")</f>
        <v>Monday</v>
      </c>
      <c r="F2949" s="2" t="s">
        <v>457</v>
      </c>
      <c r="G2949" s="2" t="s">
        <v>458</v>
      </c>
      <c r="H2949" s="2" t="s">
        <v>459</v>
      </c>
      <c r="I2949" s="2" t="n">
        <f aca="false">IF(F2949="Present",9,IF(F2949="Half Day",4,0))</f>
        <v>9</v>
      </c>
      <c r="J2949" s="2"/>
      <c r="K2949" s="2"/>
    </row>
    <row r="2950" customFormat="false" ht="15" hidden="false" customHeight="false" outlineLevel="0" collapsed="false">
      <c r="A2950" s="2" t="s">
        <v>239</v>
      </c>
      <c r="B2950" s="2" t="s">
        <v>240</v>
      </c>
      <c r="C2950" s="2" t="s">
        <v>41</v>
      </c>
      <c r="D2950" s="3" t="n">
        <v>46238</v>
      </c>
      <c r="E2950" s="2" t="str">
        <f aca="false">TEXT(D2950,"dddd")</f>
        <v>Tuesday</v>
      </c>
      <c r="F2950" s="2" t="s">
        <v>457</v>
      </c>
      <c r="G2950" s="2" t="s">
        <v>458</v>
      </c>
      <c r="H2950" s="2" t="s">
        <v>459</v>
      </c>
      <c r="I2950" s="2" t="n">
        <f aca="false">IF(F2950="Present",9,IF(F2950="Half Day",4,0))</f>
        <v>9</v>
      </c>
      <c r="J2950" s="2"/>
      <c r="K2950" s="2"/>
    </row>
    <row r="2951" customFormat="false" ht="15" hidden="false" customHeight="false" outlineLevel="0" collapsed="false">
      <c r="A2951" s="2" t="s">
        <v>239</v>
      </c>
      <c r="B2951" s="2" t="s">
        <v>240</v>
      </c>
      <c r="C2951" s="2" t="s">
        <v>41</v>
      </c>
      <c r="D2951" s="3" t="n">
        <v>46239</v>
      </c>
      <c r="E2951" s="2" t="str">
        <f aca="false">TEXT(D2951,"dddd")</f>
        <v>Wednesday</v>
      </c>
      <c r="F2951" s="2" t="s">
        <v>457</v>
      </c>
      <c r="G2951" s="2" t="s">
        <v>458</v>
      </c>
      <c r="H2951" s="2" t="s">
        <v>459</v>
      </c>
      <c r="I2951" s="2" t="n">
        <f aca="false">IF(F2951="Present",9,IF(F2951="Half Day",4,0))</f>
        <v>9</v>
      </c>
      <c r="J2951" s="2"/>
      <c r="K2951" s="2"/>
    </row>
    <row r="2952" customFormat="false" ht="15" hidden="false" customHeight="false" outlineLevel="0" collapsed="false">
      <c r="A2952" s="2" t="s">
        <v>239</v>
      </c>
      <c r="B2952" s="2" t="s">
        <v>240</v>
      </c>
      <c r="C2952" s="2" t="s">
        <v>41</v>
      </c>
      <c r="D2952" s="3" t="n">
        <v>46240</v>
      </c>
      <c r="E2952" s="2" t="str">
        <f aca="false">TEXT(D2952,"dddd")</f>
        <v>Thursday</v>
      </c>
      <c r="F2952" s="2" t="s">
        <v>463</v>
      </c>
      <c r="G2952" s="2"/>
      <c r="H2952" s="2"/>
      <c r="I2952" s="2" t="n">
        <f aca="false">IF(F2952="Present",9,IF(F2952="Half Day",4,0))</f>
        <v>0</v>
      </c>
      <c r="J2952" s="2" t="s">
        <v>474</v>
      </c>
      <c r="K2952" s="2" t="s">
        <v>475</v>
      </c>
    </row>
    <row r="2953" customFormat="false" ht="15" hidden="false" customHeight="false" outlineLevel="0" collapsed="false">
      <c r="A2953" s="2" t="s">
        <v>239</v>
      </c>
      <c r="B2953" s="2" t="s">
        <v>240</v>
      </c>
      <c r="C2953" s="2" t="s">
        <v>41</v>
      </c>
      <c r="D2953" s="3" t="n">
        <v>46241</v>
      </c>
      <c r="E2953" s="2" t="str">
        <f aca="false">TEXT(D2953,"dddd")</f>
        <v>Friday</v>
      </c>
      <c r="F2953" s="2" t="s">
        <v>461</v>
      </c>
      <c r="G2953" s="2"/>
      <c r="H2953" s="2"/>
      <c r="I2953" s="2" t="n">
        <f aca="false">IF(F2953="Present",9,IF(F2953="Half Day",4,0))</f>
        <v>0</v>
      </c>
      <c r="J2953" s="2"/>
      <c r="K2953" s="2" t="s">
        <v>462</v>
      </c>
    </row>
    <row r="2954" customFormat="false" ht="15" hidden="false" customHeight="false" outlineLevel="0" collapsed="false">
      <c r="A2954" s="2" t="s">
        <v>239</v>
      </c>
      <c r="B2954" s="2" t="s">
        <v>240</v>
      </c>
      <c r="C2954" s="2" t="s">
        <v>41</v>
      </c>
      <c r="D2954" s="3" t="n">
        <v>46242</v>
      </c>
      <c r="E2954" s="2" t="str">
        <f aca="false">TEXT(D2954,"dddd")</f>
        <v>Saturday</v>
      </c>
      <c r="F2954" s="2" t="s">
        <v>457</v>
      </c>
      <c r="G2954" s="2" t="s">
        <v>458</v>
      </c>
      <c r="H2954" s="2" t="s">
        <v>459</v>
      </c>
      <c r="I2954" s="2" t="n">
        <f aca="false">IF(F2954="Present",9,IF(F2954="Half Day",4,0))</f>
        <v>9</v>
      </c>
      <c r="J2954" s="2"/>
      <c r="K2954" s="2"/>
    </row>
    <row r="2955" customFormat="false" ht="15" hidden="false" customHeight="false" outlineLevel="0" collapsed="false">
      <c r="A2955" s="2" t="s">
        <v>239</v>
      </c>
      <c r="B2955" s="2" t="s">
        <v>240</v>
      </c>
      <c r="C2955" s="2" t="s">
        <v>41</v>
      </c>
      <c r="D2955" s="3" t="n">
        <v>46243</v>
      </c>
      <c r="E2955" s="2" t="str">
        <f aca="false">TEXT(D2955,"dddd")</f>
        <v>Sunday</v>
      </c>
      <c r="F2955" s="2" t="s">
        <v>460</v>
      </c>
      <c r="G2955" s="2"/>
      <c r="H2955" s="2"/>
      <c r="I2955" s="2" t="n">
        <f aca="false">IF(F2955="Present",9,IF(F2955="Half Day",4,0))</f>
        <v>0</v>
      </c>
      <c r="J2955" s="2"/>
      <c r="K2955" s="2" t="s">
        <v>460</v>
      </c>
    </row>
    <row r="2956" customFormat="false" ht="15" hidden="false" customHeight="false" outlineLevel="0" collapsed="false">
      <c r="A2956" s="2" t="s">
        <v>239</v>
      </c>
      <c r="B2956" s="2" t="s">
        <v>240</v>
      </c>
      <c r="C2956" s="2" t="s">
        <v>41</v>
      </c>
      <c r="D2956" s="3" t="n">
        <v>46244</v>
      </c>
      <c r="E2956" s="2" t="str">
        <f aca="false">TEXT(D2956,"dddd")</f>
        <v>Monday</v>
      </c>
      <c r="F2956" s="2" t="s">
        <v>457</v>
      </c>
      <c r="G2956" s="2" t="s">
        <v>458</v>
      </c>
      <c r="H2956" s="2" t="s">
        <v>459</v>
      </c>
      <c r="I2956" s="2" t="n">
        <f aca="false">IF(F2956="Present",9,IF(F2956="Half Day",4,0))</f>
        <v>9</v>
      </c>
      <c r="J2956" s="2"/>
      <c r="K2956" s="2"/>
    </row>
    <row r="2957" customFormat="false" ht="15" hidden="false" customHeight="false" outlineLevel="0" collapsed="false">
      <c r="A2957" s="2" t="s">
        <v>239</v>
      </c>
      <c r="B2957" s="2" t="s">
        <v>240</v>
      </c>
      <c r="C2957" s="2" t="s">
        <v>41</v>
      </c>
      <c r="D2957" s="3" t="n">
        <v>46245</v>
      </c>
      <c r="E2957" s="2" t="str">
        <f aca="false">TEXT(D2957,"dddd")</f>
        <v>Tuesday</v>
      </c>
      <c r="F2957" s="2" t="s">
        <v>457</v>
      </c>
      <c r="G2957" s="2" t="s">
        <v>458</v>
      </c>
      <c r="H2957" s="2" t="s">
        <v>459</v>
      </c>
      <c r="I2957" s="2" t="n">
        <f aca="false">IF(F2957="Present",9,IF(F2957="Half Day",4,0))</f>
        <v>9</v>
      </c>
      <c r="J2957" s="2"/>
      <c r="K2957" s="2"/>
    </row>
    <row r="2958" customFormat="false" ht="15" hidden="false" customHeight="false" outlineLevel="0" collapsed="false">
      <c r="A2958" s="2" t="s">
        <v>239</v>
      </c>
      <c r="B2958" s="2" t="s">
        <v>240</v>
      </c>
      <c r="C2958" s="2" t="s">
        <v>41</v>
      </c>
      <c r="D2958" s="3" t="n">
        <v>46246</v>
      </c>
      <c r="E2958" s="2" t="str">
        <f aca="false">TEXT(D2958,"dddd")</f>
        <v>Wednesday</v>
      </c>
      <c r="F2958" s="2" t="s">
        <v>461</v>
      </c>
      <c r="G2958" s="2"/>
      <c r="H2958" s="2"/>
      <c r="I2958" s="2" t="n">
        <f aca="false">IF(F2958="Present",9,IF(F2958="Half Day",4,0))</f>
        <v>0</v>
      </c>
      <c r="J2958" s="2"/>
      <c r="K2958" s="2" t="s">
        <v>462</v>
      </c>
    </row>
    <row r="2959" customFormat="false" ht="15" hidden="false" customHeight="false" outlineLevel="0" collapsed="false">
      <c r="A2959" s="2" t="s">
        <v>239</v>
      </c>
      <c r="B2959" s="2" t="s">
        <v>240</v>
      </c>
      <c r="C2959" s="2" t="s">
        <v>41</v>
      </c>
      <c r="D2959" s="3" t="n">
        <v>46247</v>
      </c>
      <c r="E2959" s="2" t="str">
        <f aca="false">TEXT(D2959,"dddd")</f>
        <v>Thursday</v>
      </c>
      <c r="F2959" s="2" t="s">
        <v>457</v>
      </c>
      <c r="G2959" s="2" t="s">
        <v>458</v>
      </c>
      <c r="H2959" s="2" t="s">
        <v>459</v>
      </c>
      <c r="I2959" s="2" t="n">
        <f aca="false">IF(F2959="Present",9,IF(F2959="Half Day",4,0))</f>
        <v>9</v>
      </c>
      <c r="J2959" s="2"/>
      <c r="K2959" s="2"/>
    </row>
    <row r="2960" customFormat="false" ht="15" hidden="false" customHeight="false" outlineLevel="0" collapsed="false">
      <c r="A2960" s="2" t="s">
        <v>239</v>
      </c>
      <c r="B2960" s="2" t="s">
        <v>240</v>
      </c>
      <c r="C2960" s="2" t="s">
        <v>41</v>
      </c>
      <c r="D2960" s="3" t="n">
        <v>46248</v>
      </c>
      <c r="E2960" s="2" t="str">
        <f aca="false">TEXT(D2960,"dddd")</f>
        <v>Friday</v>
      </c>
      <c r="F2960" s="2" t="s">
        <v>457</v>
      </c>
      <c r="G2960" s="2" t="s">
        <v>458</v>
      </c>
      <c r="H2960" s="2" t="s">
        <v>459</v>
      </c>
      <c r="I2960" s="2" t="n">
        <f aca="false">IF(F2960="Present",9,IF(F2960="Half Day",4,0))</f>
        <v>9</v>
      </c>
      <c r="J2960" s="2"/>
      <c r="K2960" s="2"/>
    </row>
    <row r="2961" customFormat="false" ht="15" hidden="false" customHeight="false" outlineLevel="0" collapsed="false">
      <c r="A2961" s="2" t="s">
        <v>239</v>
      </c>
      <c r="B2961" s="2" t="s">
        <v>240</v>
      </c>
      <c r="C2961" s="2" t="s">
        <v>41</v>
      </c>
      <c r="D2961" s="3" t="n">
        <v>46249</v>
      </c>
      <c r="E2961" s="2" t="str">
        <f aca="false">TEXT(D2961,"dddd")</f>
        <v>Saturday</v>
      </c>
      <c r="F2961" s="2" t="s">
        <v>457</v>
      </c>
      <c r="G2961" s="2" t="s">
        <v>458</v>
      </c>
      <c r="H2961" s="2" t="s">
        <v>459</v>
      </c>
      <c r="I2961" s="2" t="n">
        <f aca="false">IF(F2961="Present",9,IF(F2961="Half Day",4,0))</f>
        <v>9</v>
      </c>
      <c r="J2961" s="2"/>
      <c r="K2961" s="2"/>
    </row>
    <row r="2962" customFormat="false" ht="15" hidden="false" customHeight="false" outlineLevel="0" collapsed="false">
      <c r="A2962" s="2" t="s">
        <v>239</v>
      </c>
      <c r="B2962" s="2" t="s">
        <v>240</v>
      </c>
      <c r="C2962" s="2" t="s">
        <v>41</v>
      </c>
      <c r="D2962" s="3" t="n">
        <v>46250</v>
      </c>
      <c r="E2962" s="2" t="str">
        <f aca="false">TEXT(D2962,"dddd")</f>
        <v>Sunday</v>
      </c>
      <c r="F2962" s="2" t="s">
        <v>460</v>
      </c>
      <c r="G2962" s="2"/>
      <c r="H2962" s="2"/>
      <c r="I2962" s="2" t="n">
        <f aca="false">IF(F2962="Present",9,IF(F2962="Half Day",4,0))</f>
        <v>0</v>
      </c>
      <c r="J2962" s="2"/>
      <c r="K2962" s="2" t="s">
        <v>460</v>
      </c>
    </row>
    <row r="2963" customFormat="false" ht="15" hidden="false" customHeight="false" outlineLevel="0" collapsed="false">
      <c r="A2963" s="2" t="s">
        <v>239</v>
      </c>
      <c r="B2963" s="2" t="s">
        <v>240</v>
      </c>
      <c r="C2963" s="2" t="s">
        <v>41</v>
      </c>
      <c r="D2963" s="3" t="n">
        <v>46251</v>
      </c>
      <c r="E2963" s="2" t="str">
        <f aca="false">TEXT(D2963,"dddd")</f>
        <v>Monday</v>
      </c>
      <c r="F2963" s="2" t="s">
        <v>461</v>
      </c>
      <c r="G2963" s="2"/>
      <c r="H2963" s="2"/>
      <c r="I2963" s="2" t="n">
        <f aca="false">IF(F2963="Present",9,IF(F2963="Half Day",4,0))</f>
        <v>0</v>
      </c>
      <c r="J2963" s="2"/>
      <c r="K2963" s="2" t="s">
        <v>462</v>
      </c>
    </row>
    <row r="2964" customFormat="false" ht="15" hidden="false" customHeight="false" outlineLevel="0" collapsed="false">
      <c r="A2964" s="2" t="s">
        <v>239</v>
      </c>
      <c r="B2964" s="2" t="s">
        <v>240</v>
      </c>
      <c r="C2964" s="2" t="s">
        <v>41</v>
      </c>
      <c r="D2964" s="3" t="n">
        <v>46252</v>
      </c>
      <c r="E2964" s="2" t="str">
        <f aca="false">TEXT(D2964,"dddd")</f>
        <v>Tuesday</v>
      </c>
      <c r="F2964" s="2" t="s">
        <v>461</v>
      </c>
      <c r="G2964" s="2"/>
      <c r="H2964" s="2"/>
      <c r="I2964" s="2" t="n">
        <f aca="false">IF(F2964="Present",9,IF(F2964="Half Day",4,0))</f>
        <v>0</v>
      </c>
      <c r="J2964" s="2"/>
      <c r="K2964" s="2" t="s">
        <v>462</v>
      </c>
    </row>
    <row r="2965" customFormat="false" ht="15" hidden="false" customHeight="false" outlineLevel="0" collapsed="false">
      <c r="A2965" s="2" t="s">
        <v>239</v>
      </c>
      <c r="B2965" s="2" t="s">
        <v>240</v>
      </c>
      <c r="C2965" s="2" t="s">
        <v>41</v>
      </c>
      <c r="D2965" s="3" t="n">
        <v>46253</v>
      </c>
      <c r="E2965" s="2" t="str">
        <f aca="false">TEXT(D2965,"dddd")</f>
        <v>Wednesday</v>
      </c>
      <c r="F2965" s="2" t="s">
        <v>457</v>
      </c>
      <c r="G2965" s="2" t="s">
        <v>458</v>
      </c>
      <c r="H2965" s="2" t="s">
        <v>459</v>
      </c>
      <c r="I2965" s="2" t="n">
        <f aca="false">IF(F2965="Present",9,IF(F2965="Half Day",4,0))</f>
        <v>9</v>
      </c>
      <c r="J2965" s="2"/>
      <c r="K2965" s="2"/>
    </row>
    <row r="2966" customFormat="false" ht="15" hidden="false" customHeight="false" outlineLevel="0" collapsed="false">
      <c r="A2966" s="2" t="s">
        <v>239</v>
      </c>
      <c r="B2966" s="2" t="s">
        <v>240</v>
      </c>
      <c r="C2966" s="2" t="s">
        <v>41</v>
      </c>
      <c r="D2966" s="3" t="n">
        <v>46254</v>
      </c>
      <c r="E2966" s="2" t="str">
        <f aca="false">TEXT(D2966,"dddd")</f>
        <v>Thursday</v>
      </c>
      <c r="F2966" s="2" t="s">
        <v>457</v>
      </c>
      <c r="G2966" s="2" t="s">
        <v>458</v>
      </c>
      <c r="H2966" s="2" t="s">
        <v>459</v>
      </c>
      <c r="I2966" s="2" t="n">
        <f aca="false">IF(F2966="Present",9,IF(F2966="Half Day",4,0))</f>
        <v>9</v>
      </c>
      <c r="J2966" s="2"/>
      <c r="K2966" s="2"/>
    </row>
    <row r="2967" customFormat="false" ht="15" hidden="false" customHeight="false" outlineLevel="0" collapsed="false">
      <c r="A2967" s="2" t="s">
        <v>239</v>
      </c>
      <c r="B2967" s="2" t="s">
        <v>240</v>
      </c>
      <c r="C2967" s="2" t="s">
        <v>41</v>
      </c>
      <c r="D2967" s="3" t="n">
        <v>46255</v>
      </c>
      <c r="E2967" s="2" t="str">
        <f aca="false">TEXT(D2967,"dddd")</f>
        <v>Friday</v>
      </c>
      <c r="F2967" s="2" t="s">
        <v>457</v>
      </c>
      <c r="G2967" s="2" t="s">
        <v>458</v>
      </c>
      <c r="H2967" s="2" t="s">
        <v>459</v>
      </c>
      <c r="I2967" s="2" t="n">
        <f aca="false">IF(F2967="Present",9,IF(F2967="Half Day",4,0))</f>
        <v>9</v>
      </c>
      <c r="J2967" s="2"/>
      <c r="K2967" s="2"/>
    </row>
    <row r="2968" customFormat="false" ht="15" hidden="false" customHeight="false" outlineLevel="0" collapsed="false">
      <c r="A2968" s="2" t="s">
        <v>239</v>
      </c>
      <c r="B2968" s="2" t="s">
        <v>240</v>
      </c>
      <c r="C2968" s="2" t="s">
        <v>41</v>
      </c>
      <c r="D2968" s="3" t="n">
        <v>46256</v>
      </c>
      <c r="E2968" s="2" t="str">
        <f aca="false">TEXT(D2968,"dddd")</f>
        <v>Saturday</v>
      </c>
      <c r="F2968" s="2" t="s">
        <v>457</v>
      </c>
      <c r="G2968" s="2" t="s">
        <v>458</v>
      </c>
      <c r="H2968" s="2" t="s">
        <v>459</v>
      </c>
      <c r="I2968" s="2" t="n">
        <f aca="false">IF(F2968="Present",9,IF(F2968="Half Day",4,0))</f>
        <v>9</v>
      </c>
      <c r="J2968" s="2"/>
      <c r="K2968" s="2"/>
    </row>
    <row r="2969" customFormat="false" ht="15" hidden="false" customHeight="false" outlineLevel="0" collapsed="false">
      <c r="A2969" s="2" t="s">
        <v>239</v>
      </c>
      <c r="B2969" s="2" t="s">
        <v>240</v>
      </c>
      <c r="C2969" s="2" t="s">
        <v>41</v>
      </c>
      <c r="D2969" s="3" t="n">
        <v>46257</v>
      </c>
      <c r="E2969" s="2" t="str">
        <f aca="false">TEXT(D2969,"dddd")</f>
        <v>Sunday</v>
      </c>
      <c r="F2969" s="2" t="s">
        <v>460</v>
      </c>
      <c r="G2969" s="2"/>
      <c r="H2969" s="2"/>
      <c r="I2969" s="2" t="n">
        <f aca="false">IF(F2969="Present",9,IF(F2969="Half Day",4,0))</f>
        <v>0</v>
      </c>
      <c r="J2969" s="2"/>
      <c r="K2969" s="2" t="s">
        <v>460</v>
      </c>
    </row>
    <row r="2970" customFormat="false" ht="15" hidden="false" customHeight="false" outlineLevel="0" collapsed="false">
      <c r="A2970" s="2" t="s">
        <v>239</v>
      </c>
      <c r="B2970" s="2" t="s">
        <v>240</v>
      </c>
      <c r="C2970" s="2" t="s">
        <v>41</v>
      </c>
      <c r="D2970" s="3" t="n">
        <v>46258</v>
      </c>
      <c r="E2970" s="2" t="str">
        <f aca="false">TEXT(D2970,"dddd")</f>
        <v>Monday</v>
      </c>
      <c r="F2970" s="2" t="s">
        <v>457</v>
      </c>
      <c r="G2970" s="2" t="s">
        <v>458</v>
      </c>
      <c r="H2970" s="2" t="s">
        <v>459</v>
      </c>
      <c r="I2970" s="2" t="n">
        <f aca="false">IF(F2970="Present",9,IF(F2970="Half Day",4,0))</f>
        <v>9</v>
      </c>
      <c r="J2970" s="2"/>
      <c r="K2970" s="2"/>
    </row>
    <row r="2971" customFormat="false" ht="15" hidden="false" customHeight="false" outlineLevel="0" collapsed="false">
      <c r="A2971" s="2" t="s">
        <v>239</v>
      </c>
      <c r="B2971" s="2" t="s">
        <v>240</v>
      </c>
      <c r="C2971" s="2" t="s">
        <v>41</v>
      </c>
      <c r="D2971" s="3" t="n">
        <v>46259</v>
      </c>
      <c r="E2971" s="2" t="str">
        <f aca="false">TEXT(D2971,"dddd")</f>
        <v>Tuesday</v>
      </c>
      <c r="F2971" s="2" t="s">
        <v>457</v>
      </c>
      <c r="G2971" s="2" t="s">
        <v>458</v>
      </c>
      <c r="H2971" s="2" t="s">
        <v>459</v>
      </c>
      <c r="I2971" s="2" t="n">
        <f aca="false">IF(F2971="Present",9,IF(F2971="Half Day",4,0))</f>
        <v>9</v>
      </c>
      <c r="J2971" s="2"/>
      <c r="K2971" s="2"/>
    </row>
    <row r="2972" customFormat="false" ht="15" hidden="false" customHeight="false" outlineLevel="0" collapsed="false">
      <c r="A2972" s="2" t="s">
        <v>239</v>
      </c>
      <c r="B2972" s="2" t="s">
        <v>240</v>
      </c>
      <c r="C2972" s="2" t="s">
        <v>41</v>
      </c>
      <c r="D2972" s="3" t="n">
        <v>46260</v>
      </c>
      <c r="E2972" s="2" t="str">
        <f aca="false">TEXT(D2972,"dddd")</f>
        <v>Wednesday</v>
      </c>
      <c r="F2972" s="2" t="s">
        <v>457</v>
      </c>
      <c r="G2972" s="2" t="s">
        <v>458</v>
      </c>
      <c r="H2972" s="2" t="s">
        <v>459</v>
      </c>
      <c r="I2972" s="2" t="n">
        <f aca="false">IF(F2972="Present",9,IF(F2972="Half Day",4,0))</f>
        <v>9</v>
      </c>
      <c r="J2972" s="2"/>
      <c r="K2972" s="2"/>
    </row>
    <row r="2973" customFormat="false" ht="15" hidden="false" customHeight="false" outlineLevel="0" collapsed="false">
      <c r="A2973" s="2" t="s">
        <v>239</v>
      </c>
      <c r="B2973" s="2" t="s">
        <v>240</v>
      </c>
      <c r="C2973" s="2" t="s">
        <v>41</v>
      </c>
      <c r="D2973" s="3" t="n">
        <v>46261</v>
      </c>
      <c r="E2973" s="2" t="str">
        <f aca="false">TEXT(D2973,"dddd")</f>
        <v>Thursday</v>
      </c>
      <c r="F2973" s="2" t="s">
        <v>457</v>
      </c>
      <c r="G2973" s="2" t="s">
        <v>458</v>
      </c>
      <c r="H2973" s="2" t="s">
        <v>459</v>
      </c>
      <c r="I2973" s="2" t="n">
        <f aca="false">IF(F2973="Present",9,IF(F2973="Half Day",4,0))</f>
        <v>9</v>
      </c>
      <c r="J2973" s="2"/>
      <c r="K2973" s="2"/>
    </row>
    <row r="2974" customFormat="false" ht="15" hidden="false" customHeight="false" outlineLevel="0" collapsed="false">
      <c r="A2974" s="2" t="s">
        <v>239</v>
      </c>
      <c r="B2974" s="2" t="s">
        <v>240</v>
      </c>
      <c r="C2974" s="2" t="s">
        <v>41</v>
      </c>
      <c r="D2974" s="3" t="n">
        <v>46262</v>
      </c>
      <c r="E2974" s="2" t="str">
        <f aca="false">TEXT(D2974,"dddd")</f>
        <v>Friday</v>
      </c>
      <c r="F2974" s="2" t="s">
        <v>457</v>
      </c>
      <c r="G2974" s="2" t="s">
        <v>458</v>
      </c>
      <c r="H2974" s="2" t="s">
        <v>459</v>
      </c>
      <c r="I2974" s="2" t="n">
        <f aca="false">IF(F2974="Present",9,IF(F2974="Half Day",4,0))</f>
        <v>9</v>
      </c>
      <c r="J2974" s="2"/>
      <c r="K2974" s="2"/>
    </row>
    <row r="2975" customFormat="false" ht="15" hidden="false" customHeight="false" outlineLevel="0" collapsed="false">
      <c r="A2975" s="2" t="s">
        <v>239</v>
      </c>
      <c r="B2975" s="2" t="s">
        <v>240</v>
      </c>
      <c r="C2975" s="2" t="s">
        <v>41</v>
      </c>
      <c r="D2975" s="3" t="n">
        <v>46263</v>
      </c>
      <c r="E2975" s="2" t="str">
        <f aca="false">TEXT(D2975,"dddd")</f>
        <v>Saturday</v>
      </c>
      <c r="F2975" s="2" t="s">
        <v>457</v>
      </c>
      <c r="G2975" s="2" t="s">
        <v>458</v>
      </c>
      <c r="H2975" s="2" t="s">
        <v>459</v>
      </c>
      <c r="I2975" s="2" t="n">
        <f aca="false">IF(F2975="Present",9,IF(F2975="Half Day",4,0))</f>
        <v>9</v>
      </c>
      <c r="J2975" s="2"/>
      <c r="K2975" s="2"/>
    </row>
    <row r="2976" customFormat="false" ht="15" hidden="false" customHeight="false" outlineLevel="0" collapsed="false">
      <c r="A2976" s="2" t="s">
        <v>239</v>
      </c>
      <c r="B2976" s="2" t="s">
        <v>240</v>
      </c>
      <c r="C2976" s="2" t="s">
        <v>41</v>
      </c>
      <c r="D2976" s="3" t="n">
        <v>46264</v>
      </c>
      <c r="E2976" s="2" t="str">
        <f aca="false">TEXT(D2976,"dddd")</f>
        <v>Sunday</v>
      </c>
      <c r="F2976" s="2" t="s">
        <v>460</v>
      </c>
      <c r="G2976" s="2"/>
      <c r="H2976" s="2"/>
      <c r="I2976" s="2" t="n">
        <f aca="false">IF(F2976="Present",9,IF(F2976="Half Day",4,0))</f>
        <v>0</v>
      </c>
      <c r="J2976" s="2"/>
      <c r="K2976" s="2" t="s">
        <v>460</v>
      </c>
    </row>
    <row r="2977" customFormat="false" ht="15" hidden="false" customHeight="false" outlineLevel="0" collapsed="false">
      <c r="A2977" s="2" t="s">
        <v>239</v>
      </c>
      <c r="B2977" s="2" t="s">
        <v>240</v>
      </c>
      <c r="C2977" s="2" t="s">
        <v>41</v>
      </c>
      <c r="D2977" s="3" t="n">
        <v>46265</v>
      </c>
      <c r="E2977" s="2" t="str">
        <f aca="false">TEXT(D2977,"dddd")</f>
        <v>Monday</v>
      </c>
      <c r="F2977" s="2" t="s">
        <v>457</v>
      </c>
      <c r="G2977" s="2" t="s">
        <v>458</v>
      </c>
      <c r="H2977" s="2" t="s">
        <v>459</v>
      </c>
      <c r="I2977" s="2" t="n">
        <f aca="false">IF(F2977="Present",9,IF(F2977="Half Day",4,0))</f>
        <v>9</v>
      </c>
      <c r="J2977" s="2"/>
      <c r="K2977" s="2"/>
    </row>
    <row r="2978" customFormat="false" ht="15" hidden="false" customHeight="false" outlineLevel="0" collapsed="false">
      <c r="A2978" s="2" t="s">
        <v>241</v>
      </c>
      <c r="B2978" s="2" t="s">
        <v>242</v>
      </c>
      <c r="C2978" s="2" t="s">
        <v>45</v>
      </c>
      <c r="D2978" s="3" t="n">
        <v>46235</v>
      </c>
      <c r="E2978" s="2" t="str">
        <f aca="false">TEXT(D2978,"dddd")</f>
        <v>Saturday</v>
      </c>
      <c r="F2978" s="2" t="s">
        <v>463</v>
      </c>
      <c r="G2978" s="2"/>
      <c r="H2978" s="2"/>
      <c r="I2978" s="2" t="n">
        <f aca="false">IF(F2978="Present",9,IF(F2978="Half Day",4,0))</f>
        <v>0</v>
      </c>
      <c r="J2978" s="2" t="s">
        <v>470</v>
      </c>
      <c r="K2978" s="2" t="s">
        <v>471</v>
      </c>
    </row>
    <row r="2979" customFormat="false" ht="15" hidden="false" customHeight="false" outlineLevel="0" collapsed="false">
      <c r="A2979" s="2" t="s">
        <v>241</v>
      </c>
      <c r="B2979" s="2" t="s">
        <v>242</v>
      </c>
      <c r="C2979" s="2" t="s">
        <v>45</v>
      </c>
      <c r="D2979" s="3" t="n">
        <v>46236</v>
      </c>
      <c r="E2979" s="2" t="str">
        <f aca="false">TEXT(D2979,"dddd")</f>
        <v>Sunday</v>
      </c>
      <c r="F2979" s="2" t="s">
        <v>460</v>
      </c>
      <c r="G2979" s="2"/>
      <c r="H2979" s="2"/>
      <c r="I2979" s="2" t="n">
        <f aca="false">IF(F2979="Present",9,IF(F2979="Half Day",4,0))</f>
        <v>0</v>
      </c>
      <c r="J2979" s="2"/>
      <c r="K2979" s="2" t="s">
        <v>460</v>
      </c>
    </row>
    <row r="2980" customFormat="false" ht="15" hidden="false" customHeight="false" outlineLevel="0" collapsed="false">
      <c r="A2980" s="2" t="s">
        <v>241</v>
      </c>
      <c r="B2980" s="2" t="s">
        <v>242</v>
      </c>
      <c r="C2980" s="2" t="s">
        <v>45</v>
      </c>
      <c r="D2980" s="3" t="n">
        <v>46237</v>
      </c>
      <c r="E2980" s="2" t="str">
        <f aca="false">TEXT(D2980,"dddd")</f>
        <v>Monday</v>
      </c>
      <c r="F2980" s="2" t="s">
        <v>463</v>
      </c>
      <c r="G2980" s="2"/>
      <c r="H2980" s="2"/>
      <c r="I2980" s="2" t="n">
        <f aca="false">IF(F2980="Present",9,IF(F2980="Half Day",4,0))</f>
        <v>0</v>
      </c>
      <c r="J2980" s="2" t="s">
        <v>474</v>
      </c>
      <c r="K2980" s="2" t="s">
        <v>475</v>
      </c>
    </row>
    <row r="2981" customFormat="false" ht="15" hidden="false" customHeight="false" outlineLevel="0" collapsed="false">
      <c r="A2981" s="2" t="s">
        <v>241</v>
      </c>
      <c r="B2981" s="2" t="s">
        <v>242</v>
      </c>
      <c r="C2981" s="2" t="s">
        <v>45</v>
      </c>
      <c r="D2981" s="3" t="n">
        <v>46238</v>
      </c>
      <c r="E2981" s="2" t="str">
        <f aca="false">TEXT(D2981,"dddd")</f>
        <v>Tuesday</v>
      </c>
      <c r="F2981" s="2" t="s">
        <v>457</v>
      </c>
      <c r="G2981" s="2" t="s">
        <v>458</v>
      </c>
      <c r="H2981" s="2" t="s">
        <v>459</v>
      </c>
      <c r="I2981" s="2" t="n">
        <f aca="false">IF(F2981="Present",9,IF(F2981="Half Day",4,0))</f>
        <v>9</v>
      </c>
      <c r="J2981" s="2"/>
      <c r="K2981" s="2"/>
    </row>
    <row r="2982" customFormat="false" ht="15" hidden="false" customHeight="false" outlineLevel="0" collapsed="false">
      <c r="A2982" s="2" t="s">
        <v>241</v>
      </c>
      <c r="B2982" s="2" t="s">
        <v>242</v>
      </c>
      <c r="C2982" s="2" t="s">
        <v>45</v>
      </c>
      <c r="D2982" s="3" t="n">
        <v>46239</v>
      </c>
      <c r="E2982" s="2" t="str">
        <f aca="false">TEXT(D2982,"dddd")</f>
        <v>Wednesday</v>
      </c>
      <c r="F2982" s="2" t="s">
        <v>457</v>
      </c>
      <c r="G2982" s="2" t="s">
        <v>458</v>
      </c>
      <c r="H2982" s="2" t="s">
        <v>459</v>
      </c>
      <c r="I2982" s="2" t="n">
        <f aca="false">IF(F2982="Present",9,IF(F2982="Half Day",4,0))</f>
        <v>9</v>
      </c>
      <c r="J2982" s="2"/>
      <c r="K2982" s="2"/>
    </row>
    <row r="2983" customFormat="false" ht="15" hidden="false" customHeight="false" outlineLevel="0" collapsed="false">
      <c r="A2983" s="2" t="s">
        <v>241</v>
      </c>
      <c r="B2983" s="2" t="s">
        <v>242</v>
      </c>
      <c r="C2983" s="2" t="s">
        <v>45</v>
      </c>
      <c r="D2983" s="3" t="n">
        <v>46240</v>
      </c>
      <c r="E2983" s="2" t="str">
        <f aca="false">TEXT(D2983,"dddd")</f>
        <v>Thursday</v>
      </c>
      <c r="F2983" s="2" t="s">
        <v>457</v>
      </c>
      <c r="G2983" s="2" t="s">
        <v>458</v>
      </c>
      <c r="H2983" s="2" t="s">
        <v>459</v>
      </c>
      <c r="I2983" s="2" t="n">
        <f aca="false">IF(F2983="Present",9,IF(F2983="Half Day",4,0))</f>
        <v>9</v>
      </c>
      <c r="J2983" s="2"/>
      <c r="K2983" s="2"/>
    </row>
    <row r="2984" customFormat="false" ht="15" hidden="false" customHeight="false" outlineLevel="0" collapsed="false">
      <c r="A2984" s="2" t="s">
        <v>241</v>
      </c>
      <c r="B2984" s="2" t="s">
        <v>242</v>
      </c>
      <c r="C2984" s="2" t="s">
        <v>45</v>
      </c>
      <c r="D2984" s="3" t="n">
        <v>46241</v>
      </c>
      <c r="E2984" s="2" t="str">
        <f aca="false">TEXT(D2984,"dddd")</f>
        <v>Friday</v>
      </c>
      <c r="F2984" s="2" t="s">
        <v>457</v>
      </c>
      <c r="G2984" s="2" t="s">
        <v>458</v>
      </c>
      <c r="H2984" s="2" t="s">
        <v>459</v>
      </c>
      <c r="I2984" s="2" t="n">
        <f aca="false">IF(F2984="Present",9,IF(F2984="Half Day",4,0))</f>
        <v>9</v>
      </c>
      <c r="J2984" s="2"/>
      <c r="K2984" s="2"/>
    </row>
    <row r="2985" customFormat="false" ht="15" hidden="false" customHeight="false" outlineLevel="0" collapsed="false">
      <c r="A2985" s="2" t="s">
        <v>241</v>
      </c>
      <c r="B2985" s="2" t="s">
        <v>242</v>
      </c>
      <c r="C2985" s="2" t="s">
        <v>45</v>
      </c>
      <c r="D2985" s="3" t="n">
        <v>46242</v>
      </c>
      <c r="E2985" s="2" t="str">
        <f aca="false">TEXT(D2985,"dddd")</f>
        <v>Saturday</v>
      </c>
      <c r="F2985" s="2" t="s">
        <v>457</v>
      </c>
      <c r="G2985" s="2" t="s">
        <v>458</v>
      </c>
      <c r="H2985" s="2" t="s">
        <v>459</v>
      </c>
      <c r="I2985" s="2" t="n">
        <f aca="false">IF(F2985="Present",9,IF(F2985="Half Day",4,0))</f>
        <v>9</v>
      </c>
      <c r="J2985" s="2"/>
      <c r="K2985" s="2"/>
    </row>
    <row r="2986" customFormat="false" ht="15" hidden="false" customHeight="false" outlineLevel="0" collapsed="false">
      <c r="A2986" s="2" t="s">
        <v>241</v>
      </c>
      <c r="B2986" s="2" t="s">
        <v>242</v>
      </c>
      <c r="C2986" s="2" t="s">
        <v>45</v>
      </c>
      <c r="D2986" s="3" t="n">
        <v>46243</v>
      </c>
      <c r="E2986" s="2" t="str">
        <f aca="false">TEXT(D2986,"dddd")</f>
        <v>Sunday</v>
      </c>
      <c r="F2986" s="2" t="s">
        <v>460</v>
      </c>
      <c r="G2986" s="2"/>
      <c r="H2986" s="2"/>
      <c r="I2986" s="2" t="n">
        <f aca="false">IF(F2986="Present",9,IF(F2986="Half Day",4,0))</f>
        <v>0</v>
      </c>
      <c r="J2986" s="2"/>
      <c r="K2986" s="2" t="s">
        <v>460</v>
      </c>
    </row>
    <row r="2987" customFormat="false" ht="15" hidden="false" customHeight="false" outlineLevel="0" collapsed="false">
      <c r="A2987" s="2" t="s">
        <v>241</v>
      </c>
      <c r="B2987" s="2" t="s">
        <v>242</v>
      </c>
      <c r="C2987" s="2" t="s">
        <v>45</v>
      </c>
      <c r="D2987" s="3" t="n">
        <v>46244</v>
      </c>
      <c r="E2987" s="2" t="str">
        <f aca="false">TEXT(D2987,"dddd")</f>
        <v>Monday</v>
      </c>
      <c r="F2987" s="2" t="s">
        <v>457</v>
      </c>
      <c r="G2987" s="2" t="s">
        <v>458</v>
      </c>
      <c r="H2987" s="2" t="s">
        <v>459</v>
      </c>
      <c r="I2987" s="2" t="n">
        <f aca="false">IF(F2987="Present",9,IF(F2987="Half Day",4,0))</f>
        <v>9</v>
      </c>
      <c r="J2987" s="2"/>
      <c r="K2987" s="2"/>
    </row>
    <row r="2988" customFormat="false" ht="15" hidden="false" customHeight="false" outlineLevel="0" collapsed="false">
      <c r="A2988" s="2" t="s">
        <v>241</v>
      </c>
      <c r="B2988" s="2" t="s">
        <v>242</v>
      </c>
      <c r="C2988" s="2" t="s">
        <v>45</v>
      </c>
      <c r="D2988" s="3" t="n">
        <v>46245</v>
      </c>
      <c r="E2988" s="2" t="str">
        <f aca="false">TEXT(D2988,"dddd")</f>
        <v>Tuesday</v>
      </c>
      <c r="F2988" s="2" t="s">
        <v>461</v>
      </c>
      <c r="G2988" s="2"/>
      <c r="H2988" s="2"/>
      <c r="I2988" s="2" t="n">
        <f aca="false">IF(F2988="Present",9,IF(F2988="Half Day",4,0))</f>
        <v>0</v>
      </c>
      <c r="J2988" s="2"/>
      <c r="K2988" s="2" t="s">
        <v>462</v>
      </c>
    </row>
    <row r="2989" customFormat="false" ht="15" hidden="false" customHeight="false" outlineLevel="0" collapsed="false">
      <c r="A2989" s="2" t="s">
        <v>241</v>
      </c>
      <c r="B2989" s="2" t="s">
        <v>242</v>
      </c>
      <c r="C2989" s="2" t="s">
        <v>45</v>
      </c>
      <c r="D2989" s="3" t="n">
        <v>46246</v>
      </c>
      <c r="E2989" s="2" t="str">
        <f aca="false">TEXT(D2989,"dddd")</f>
        <v>Wednesday</v>
      </c>
      <c r="F2989" s="2" t="s">
        <v>461</v>
      </c>
      <c r="G2989" s="2"/>
      <c r="H2989" s="2"/>
      <c r="I2989" s="2" t="n">
        <f aca="false">IF(F2989="Present",9,IF(F2989="Half Day",4,0))</f>
        <v>0</v>
      </c>
      <c r="J2989" s="2"/>
      <c r="K2989" s="2" t="s">
        <v>462</v>
      </c>
    </row>
    <row r="2990" customFormat="false" ht="15" hidden="false" customHeight="false" outlineLevel="0" collapsed="false">
      <c r="A2990" s="2" t="s">
        <v>241</v>
      </c>
      <c r="B2990" s="2" t="s">
        <v>242</v>
      </c>
      <c r="C2990" s="2" t="s">
        <v>45</v>
      </c>
      <c r="D2990" s="3" t="n">
        <v>46247</v>
      </c>
      <c r="E2990" s="2" t="str">
        <f aca="false">TEXT(D2990,"dddd")</f>
        <v>Thursday</v>
      </c>
      <c r="F2990" s="2" t="s">
        <v>457</v>
      </c>
      <c r="G2990" s="2" t="s">
        <v>458</v>
      </c>
      <c r="H2990" s="2" t="s">
        <v>459</v>
      </c>
      <c r="I2990" s="2" t="n">
        <f aca="false">IF(F2990="Present",9,IF(F2990="Half Day",4,0))</f>
        <v>9</v>
      </c>
      <c r="J2990" s="2"/>
      <c r="K2990" s="2"/>
    </row>
    <row r="2991" customFormat="false" ht="15" hidden="false" customHeight="false" outlineLevel="0" collapsed="false">
      <c r="A2991" s="2" t="s">
        <v>241</v>
      </c>
      <c r="B2991" s="2" t="s">
        <v>242</v>
      </c>
      <c r="C2991" s="2" t="s">
        <v>45</v>
      </c>
      <c r="D2991" s="3" t="n">
        <v>46248</v>
      </c>
      <c r="E2991" s="2" t="str">
        <f aca="false">TEXT(D2991,"dddd")</f>
        <v>Friday</v>
      </c>
      <c r="F2991" s="2" t="s">
        <v>457</v>
      </c>
      <c r="G2991" s="2" t="s">
        <v>458</v>
      </c>
      <c r="H2991" s="2" t="s">
        <v>459</v>
      </c>
      <c r="I2991" s="2" t="n">
        <f aca="false">IF(F2991="Present",9,IF(F2991="Half Day",4,0))</f>
        <v>9</v>
      </c>
      <c r="J2991" s="2"/>
      <c r="K2991" s="2"/>
    </row>
    <row r="2992" customFormat="false" ht="15" hidden="false" customHeight="false" outlineLevel="0" collapsed="false">
      <c r="A2992" s="2" t="s">
        <v>241</v>
      </c>
      <c r="B2992" s="2" t="s">
        <v>242</v>
      </c>
      <c r="C2992" s="2" t="s">
        <v>45</v>
      </c>
      <c r="D2992" s="3" t="n">
        <v>46249</v>
      </c>
      <c r="E2992" s="2" t="str">
        <f aca="false">TEXT(D2992,"dddd")</f>
        <v>Saturday</v>
      </c>
      <c r="F2992" s="2" t="s">
        <v>457</v>
      </c>
      <c r="G2992" s="2" t="s">
        <v>458</v>
      </c>
      <c r="H2992" s="2" t="s">
        <v>459</v>
      </c>
      <c r="I2992" s="2" t="n">
        <f aca="false">IF(F2992="Present",9,IF(F2992="Half Day",4,0))</f>
        <v>9</v>
      </c>
      <c r="J2992" s="2"/>
      <c r="K2992" s="2"/>
    </row>
    <row r="2993" customFormat="false" ht="15" hidden="false" customHeight="false" outlineLevel="0" collapsed="false">
      <c r="A2993" s="2" t="s">
        <v>241</v>
      </c>
      <c r="B2993" s="2" t="s">
        <v>242</v>
      </c>
      <c r="C2993" s="2" t="s">
        <v>45</v>
      </c>
      <c r="D2993" s="3" t="n">
        <v>46250</v>
      </c>
      <c r="E2993" s="2" t="str">
        <f aca="false">TEXT(D2993,"dddd")</f>
        <v>Sunday</v>
      </c>
      <c r="F2993" s="2" t="s">
        <v>460</v>
      </c>
      <c r="G2993" s="2"/>
      <c r="H2993" s="2"/>
      <c r="I2993" s="2" t="n">
        <f aca="false">IF(F2993="Present",9,IF(F2993="Half Day",4,0))</f>
        <v>0</v>
      </c>
      <c r="J2993" s="2"/>
      <c r="K2993" s="2" t="s">
        <v>460</v>
      </c>
    </row>
    <row r="2994" customFormat="false" ht="15" hidden="false" customHeight="false" outlineLevel="0" collapsed="false">
      <c r="A2994" s="2" t="s">
        <v>241</v>
      </c>
      <c r="B2994" s="2" t="s">
        <v>242</v>
      </c>
      <c r="C2994" s="2" t="s">
        <v>45</v>
      </c>
      <c r="D2994" s="3" t="n">
        <v>46251</v>
      </c>
      <c r="E2994" s="2" t="str">
        <f aca="false">TEXT(D2994,"dddd")</f>
        <v>Monday</v>
      </c>
      <c r="F2994" s="2" t="s">
        <v>461</v>
      </c>
      <c r="G2994" s="2"/>
      <c r="H2994" s="2"/>
      <c r="I2994" s="2" t="n">
        <f aca="false">IF(F2994="Present",9,IF(F2994="Half Day",4,0))</f>
        <v>0</v>
      </c>
      <c r="J2994" s="2"/>
      <c r="K2994" s="2" t="s">
        <v>462</v>
      </c>
    </row>
    <row r="2995" customFormat="false" ht="15" hidden="false" customHeight="false" outlineLevel="0" collapsed="false">
      <c r="A2995" s="2" t="s">
        <v>241</v>
      </c>
      <c r="B2995" s="2" t="s">
        <v>242</v>
      </c>
      <c r="C2995" s="2" t="s">
        <v>45</v>
      </c>
      <c r="D2995" s="3" t="n">
        <v>46252</v>
      </c>
      <c r="E2995" s="2" t="str">
        <f aca="false">TEXT(D2995,"dddd")</f>
        <v>Tuesday</v>
      </c>
      <c r="F2995" s="2" t="s">
        <v>461</v>
      </c>
      <c r="G2995" s="2"/>
      <c r="H2995" s="2"/>
      <c r="I2995" s="2" t="n">
        <f aca="false">IF(F2995="Present",9,IF(F2995="Half Day",4,0))</f>
        <v>0</v>
      </c>
      <c r="J2995" s="2"/>
      <c r="K2995" s="2" t="s">
        <v>462</v>
      </c>
    </row>
    <row r="2996" customFormat="false" ht="15" hidden="false" customHeight="false" outlineLevel="0" collapsed="false">
      <c r="A2996" s="2" t="s">
        <v>241</v>
      </c>
      <c r="B2996" s="2" t="s">
        <v>242</v>
      </c>
      <c r="C2996" s="2" t="s">
        <v>45</v>
      </c>
      <c r="D2996" s="3" t="n">
        <v>46253</v>
      </c>
      <c r="E2996" s="2" t="str">
        <f aca="false">TEXT(D2996,"dddd")</f>
        <v>Wednesday</v>
      </c>
      <c r="F2996" s="2" t="s">
        <v>461</v>
      </c>
      <c r="G2996" s="2"/>
      <c r="H2996" s="2"/>
      <c r="I2996" s="2" t="n">
        <f aca="false">IF(F2996="Present",9,IF(F2996="Half Day",4,0))</f>
        <v>0</v>
      </c>
      <c r="J2996" s="2"/>
      <c r="K2996" s="2" t="s">
        <v>462</v>
      </c>
    </row>
    <row r="2997" customFormat="false" ht="15" hidden="false" customHeight="false" outlineLevel="0" collapsed="false">
      <c r="A2997" s="2" t="s">
        <v>241</v>
      </c>
      <c r="B2997" s="2" t="s">
        <v>242</v>
      </c>
      <c r="C2997" s="2" t="s">
        <v>45</v>
      </c>
      <c r="D2997" s="3" t="n">
        <v>46254</v>
      </c>
      <c r="E2997" s="2" t="str">
        <f aca="false">TEXT(D2997,"dddd")</f>
        <v>Thursday</v>
      </c>
      <c r="F2997" s="2" t="s">
        <v>461</v>
      </c>
      <c r="G2997" s="2"/>
      <c r="H2997" s="2"/>
      <c r="I2997" s="2" t="n">
        <f aca="false">IF(F2997="Present",9,IF(F2997="Half Day",4,0))</f>
        <v>0</v>
      </c>
      <c r="J2997" s="2"/>
      <c r="K2997" s="2" t="s">
        <v>462</v>
      </c>
    </row>
    <row r="2998" customFormat="false" ht="15" hidden="false" customHeight="false" outlineLevel="0" collapsed="false">
      <c r="A2998" s="2" t="s">
        <v>241</v>
      </c>
      <c r="B2998" s="2" t="s">
        <v>242</v>
      </c>
      <c r="C2998" s="2" t="s">
        <v>45</v>
      </c>
      <c r="D2998" s="3" t="n">
        <v>46255</v>
      </c>
      <c r="E2998" s="2" t="str">
        <f aca="false">TEXT(D2998,"dddd")</f>
        <v>Friday</v>
      </c>
      <c r="F2998" s="2" t="s">
        <v>457</v>
      </c>
      <c r="G2998" s="2" t="s">
        <v>458</v>
      </c>
      <c r="H2998" s="2" t="s">
        <v>459</v>
      </c>
      <c r="I2998" s="2" t="n">
        <f aca="false">IF(F2998="Present",9,IF(F2998="Half Day",4,0))</f>
        <v>9</v>
      </c>
      <c r="J2998" s="2"/>
      <c r="K2998" s="2"/>
    </row>
    <row r="2999" customFormat="false" ht="15" hidden="false" customHeight="false" outlineLevel="0" collapsed="false">
      <c r="A2999" s="2" t="s">
        <v>241</v>
      </c>
      <c r="B2999" s="2" t="s">
        <v>242</v>
      </c>
      <c r="C2999" s="2" t="s">
        <v>45</v>
      </c>
      <c r="D2999" s="3" t="n">
        <v>46256</v>
      </c>
      <c r="E2999" s="2" t="str">
        <f aca="false">TEXT(D2999,"dddd")</f>
        <v>Saturday</v>
      </c>
      <c r="F2999" s="2" t="s">
        <v>457</v>
      </c>
      <c r="G2999" s="2" t="s">
        <v>458</v>
      </c>
      <c r="H2999" s="2" t="s">
        <v>459</v>
      </c>
      <c r="I2999" s="2" t="n">
        <f aca="false">IF(F2999="Present",9,IF(F2999="Half Day",4,0))</f>
        <v>9</v>
      </c>
      <c r="J2999" s="2"/>
      <c r="K2999" s="2"/>
    </row>
    <row r="3000" customFormat="false" ht="15" hidden="false" customHeight="false" outlineLevel="0" collapsed="false">
      <c r="A3000" s="2" t="s">
        <v>241</v>
      </c>
      <c r="B3000" s="2" t="s">
        <v>242</v>
      </c>
      <c r="C3000" s="2" t="s">
        <v>45</v>
      </c>
      <c r="D3000" s="3" t="n">
        <v>46257</v>
      </c>
      <c r="E3000" s="2" t="str">
        <f aca="false">TEXT(D3000,"dddd")</f>
        <v>Sunday</v>
      </c>
      <c r="F3000" s="2" t="s">
        <v>460</v>
      </c>
      <c r="G3000" s="2"/>
      <c r="H3000" s="2"/>
      <c r="I3000" s="2" t="n">
        <f aca="false">IF(F3000="Present",9,IF(F3000="Half Day",4,0))</f>
        <v>0</v>
      </c>
      <c r="J3000" s="2"/>
      <c r="K3000" s="2" t="s">
        <v>460</v>
      </c>
    </row>
    <row r="3001" customFormat="false" ht="15" hidden="false" customHeight="false" outlineLevel="0" collapsed="false">
      <c r="A3001" s="2" t="s">
        <v>241</v>
      </c>
      <c r="B3001" s="2" t="s">
        <v>242</v>
      </c>
      <c r="C3001" s="2" t="s">
        <v>45</v>
      </c>
      <c r="D3001" s="3" t="n">
        <v>46258</v>
      </c>
      <c r="E3001" s="2" t="str">
        <f aca="false">TEXT(D3001,"dddd")</f>
        <v>Monday</v>
      </c>
      <c r="F3001" s="2" t="s">
        <v>461</v>
      </c>
      <c r="G3001" s="2"/>
      <c r="H3001" s="2"/>
      <c r="I3001" s="2" t="n">
        <f aca="false">IF(F3001="Present",9,IF(F3001="Half Day",4,0))</f>
        <v>0</v>
      </c>
      <c r="J3001" s="2"/>
      <c r="K3001" s="2" t="s">
        <v>462</v>
      </c>
    </row>
    <row r="3002" customFormat="false" ht="15" hidden="false" customHeight="false" outlineLevel="0" collapsed="false">
      <c r="A3002" s="2" t="s">
        <v>241</v>
      </c>
      <c r="B3002" s="2" t="s">
        <v>242</v>
      </c>
      <c r="C3002" s="2" t="s">
        <v>45</v>
      </c>
      <c r="D3002" s="3" t="n">
        <v>46259</v>
      </c>
      <c r="E3002" s="2" t="str">
        <f aca="false">TEXT(D3002,"dddd")</f>
        <v>Tuesday</v>
      </c>
      <c r="F3002" s="2" t="s">
        <v>457</v>
      </c>
      <c r="G3002" s="2" t="s">
        <v>458</v>
      </c>
      <c r="H3002" s="2" t="s">
        <v>459</v>
      </c>
      <c r="I3002" s="2" t="n">
        <f aca="false">IF(F3002="Present",9,IF(F3002="Half Day",4,0))</f>
        <v>9</v>
      </c>
      <c r="J3002" s="2"/>
      <c r="K3002" s="2"/>
    </row>
    <row r="3003" customFormat="false" ht="15" hidden="false" customHeight="false" outlineLevel="0" collapsed="false">
      <c r="A3003" s="2" t="s">
        <v>241</v>
      </c>
      <c r="B3003" s="2" t="s">
        <v>242</v>
      </c>
      <c r="C3003" s="2" t="s">
        <v>45</v>
      </c>
      <c r="D3003" s="3" t="n">
        <v>46260</v>
      </c>
      <c r="E3003" s="2" t="str">
        <f aca="false">TEXT(D3003,"dddd")</f>
        <v>Wednesday</v>
      </c>
      <c r="F3003" s="2" t="s">
        <v>457</v>
      </c>
      <c r="G3003" s="2" t="s">
        <v>458</v>
      </c>
      <c r="H3003" s="2" t="s">
        <v>459</v>
      </c>
      <c r="I3003" s="2" t="n">
        <f aca="false">IF(F3003="Present",9,IF(F3003="Half Day",4,0))</f>
        <v>9</v>
      </c>
      <c r="J3003" s="2"/>
      <c r="K3003" s="2"/>
    </row>
    <row r="3004" customFormat="false" ht="15" hidden="false" customHeight="false" outlineLevel="0" collapsed="false">
      <c r="A3004" s="2" t="s">
        <v>241</v>
      </c>
      <c r="B3004" s="2" t="s">
        <v>242</v>
      </c>
      <c r="C3004" s="2" t="s">
        <v>45</v>
      </c>
      <c r="D3004" s="3" t="n">
        <v>46261</v>
      </c>
      <c r="E3004" s="2" t="str">
        <f aca="false">TEXT(D3004,"dddd")</f>
        <v>Thursday</v>
      </c>
      <c r="F3004" s="2" t="s">
        <v>466</v>
      </c>
      <c r="G3004" s="2" t="s">
        <v>458</v>
      </c>
      <c r="H3004" s="2" t="s">
        <v>467</v>
      </c>
      <c r="I3004" s="2" t="n">
        <f aca="false">IF(F3004="Present",9,IF(F3004="Half Day",4,0))</f>
        <v>4</v>
      </c>
      <c r="J3004" s="2"/>
      <c r="K3004" s="2" t="s">
        <v>466</v>
      </c>
    </row>
    <row r="3005" customFormat="false" ht="15" hidden="false" customHeight="false" outlineLevel="0" collapsed="false">
      <c r="A3005" s="2" t="s">
        <v>241</v>
      </c>
      <c r="B3005" s="2" t="s">
        <v>242</v>
      </c>
      <c r="C3005" s="2" t="s">
        <v>45</v>
      </c>
      <c r="D3005" s="3" t="n">
        <v>46262</v>
      </c>
      <c r="E3005" s="2" t="str">
        <f aca="false">TEXT(D3005,"dddd")</f>
        <v>Friday</v>
      </c>
      <c r="F3005" s="2" t="s">
        <v>457</v>
      </c>
      <c r="G3005" s="2" t="s">
        <v>458</v>
      </c>
      <c r="H3005" s="2" t="s">
        <v>459</v>
      </c>
      <c r="I3005" s="2" t="n">
        <f aca="false">IF(F3005="Present",9,IF(F3005="Half Day",4,0))</f>
        <v>9</v>
      </c>
      <c r="J3005" s="2"/>
      <c r="K3005" s="2"/>
    </row>
    <row r="3006" customFormat="false" ht="15" hidden="false" customHeight="false" outlineLevel="0" collapsed="false">
      <c r="A3006" s="2" t="s">
        <v>241</v>
      </c>
      <c r="B3006" s="2" t="s">
        <v>242</v>
      </c>
      <c r="C3006" s="2" t="s">
        <v>45</v>
      </c>
      <c r="D3006" s="3" t="n">
        <v>46263</v>
      </c>
      <c r="E3006" s="2" t="str">
        <f aca="false">TEXT(D3006,"dddd")</f>
        <v>Saturday</v>
      </c>
      <c r="F3006" s="2" t="s">
        <v>457</v>
      </c>
      <c r="G3006" s="2" t="s">
        <v>458</v>
      </c>
      <c r="H3006" s="2" t="s">
        <v>459</v>
      </c>
      <c r="I3006" s="2" t="n">
        <f aca="false">IF(F3006="Present",9,IF(F3006="Half Day",4,0))</f>
        <v>9</v>
      </c>
      <c r="J3006" s="2"/>
      <c r="K3006" s="2"/>
    </row>
    <row r="3007" customFormat="false" ht="15" hidden="false" customHeight="false" outlineLevel="0" collapsed="false">
      <c r="A3007" s="2" t="s">
        <v>241</v>
      </c>
      <c r="B3007" s="2" t="s">
        <v>242</v>
      </c>
      <c r="C3007" s="2" t="s">
        <v>45</v>
      </c>
      <c r="D3007" s="3" t="n">
        <v>46264</v>
      </c>
      <c r="E3007" s="2" t="str">
        <f aca="false">TEXT(D3007,"dddd")</f>
        <v>Sunday</v>
      </c>
      <c r="F3007" s="2" t="s">
        <v>460</v>
      </c>
      <c r="G3007" s="2"/>
      <c r="H3007" s="2"/>
      <c r="I3007" s="2" t="n">
        <f aca="false">IF(F3007="Present",9,IF(F3007="Half Day",4,0))</f>
        <v>0</v>
      </c>
      <c r="J3007" s="2"/>
      <c r="K3007" s="2" t="s">
        <v>460</v>
      </c>
    </row>
    <row r="3008" customFormat="false" ht="15" hidden="false" customHeight="false" outlineLevel="0" collapsed="false">
      <c r="A3008" s="2" t="s">
        <v>241</v>
      </c>
      <c r="B3008" s="2" t="s">
        <v>242</v>
      </c>
      <c r="C3008" s="2" t="s">
        <v>45</v>
      </c>
      <c r="D3008" s="3" t="n">
        <v>46265</v>
      </c>
      <c r="E3008" s="2" t="str">
        <f aca="false">TEXT(D3008,"dddd")</f>
        <v>Monday</v>
      </c>
      <c r="F3008" s="2" t="s">
        <v>457</v>
      </c>
      <c r="G3008" s="2" t="s">
        <v>458</v>
      </c>
      <c r="H3008" s="2" t="s">
        <v>459</v>
      </c>
      <c r="I3008" s="2" t="n">
        <f aca="false">IF(F3008="Present",9,IF(F3008="Half Day",4,0))</f>
        <v>9</v>
      </c>
      <c r="J3008" s="2"/>
      <c r="K3008" s="2"/>
    </row>
    <row r="3009" customFormat="false" ht="15" hidden="false" customHeight="false" outlineLevel="0" collapsed="false">
      <c r="A3009" s="2" t="s">
        <v>243</v>
      </c>
      <c r="B3009" s="2" t="s">
        <v>244</v>
      </c>
      <c r="C3009" s="2" t="s">
        <v>49</v>
      </c>
      <c r="D3009" s="3" t="n">
        <v>46235</v>
      </c>
      <c r="E3009" s="2" t="str">
        <f aca="false">TEXT(D3009,"dddd")</f>
        <v>Saturday</v>
      </c>
      <c r="F3009" s="2" t="s">
        <v>461</v>
      </c>
      <c r="G3009" s="2"/>
      <c r="H3009" s="2"/>
      <c r="I3009" s="2" t="n">
        <f aca="false">IF(F3009="Present",9,IF(F3009="Half Day",4,0))</f>
        <v>0</v>
      </c>
      <c r="J3009" s="2"/>
      <c r="K3009" s="2" t="s">
        <v>462</v>
      </c>
    </row>
    <row r="3010" customFormat="false" ht="15" hidden="false" customHeight="false" outlineLevel="0" collapsed="false">
      <c r="A3010" s="2" t="s">
        <v>243</v>
      </c>
      <c r="B3010" s="2" t="s">
        <v>244</v>
      </c>
      <c r="C3010" s="2" t="s">
        <v>49</v>
      </c>
      <c r="D3010" s="3" t="n">
        <v>46236</v>
      </c>
      <c r="E3010" s="2" t="str">
        <f aca="false">TEXT(D3010,"dddd")</f>
        <v>Sunday</v>
      </c>
      <c r="F3010" s="2" t="s">
        <v>460</v>
      </c>
      <c r="G3010" s="2"/>
      <c r="H3010" s="2"/>
      <c r="I3010" s="2" t="n">
        <f aca="false">IF(F3010="Present",9,IF(F3010="Half Day",4,0))</f>
        <v>0</v>
      </c>
      <c r="J3010" s="2"/>
      <c r="K3010" s="2" t="s">
        <v>460</v>
      </c>
    </row>
    <row r="3011" customFormat="false" ht="15" hidden="false" customHeight="false" outlineLevel="0" collapsed="false">
      <c r="A3011" s="2" t="s">
        <v>243</v>
      </c>
      <c r="B3011" s="2" t="s">
        <v>244</v>
      </c>
      <c r="C3011" s="2" t="s">
        <v>49</v>
      </c>
      <c r="D3011" s="3" t="n">
        <v>46237</v>
      </c>
      <c r="E3011" s="2" t="str">
        <f aca="false">TEXT(D3011,"dddd")</f>
        <v>Monday</v>
      </c>
      <c r="F3011" s="2" t="s">
        <v>457</v>
      </c>
      <c r="G3011" s="2" t="s">
        <v>458</v>
      </c>
      <c r="H3011" s="2" t="s">
        <v>459</v>
      </c>
      <c r="I3011" s="2" t="n">
        <f aca="false">IF(F3011="Present",9,IF(F3011="Half Day",4,0))</f>
        <v>9</v>
      </c>
      <c r="J3011" s="2"/>
      <c r="K3011" s="2"/>
    </row>
    <row r="3012" customFormat="false" ht="15" hidden="false" customHeight="false" outlineLevel="0" collapsed="false">
      <c r="A3012" s="2" t="s">
        <v>243</v>
      </c>
      <c r="B3012" s="2" t="s">
        <v>244</v>
      </c>
      <c r="C3012" s="2" t="s">
        <v>49</v>
      </c>
      <c r="D3012" s="3" t="n">
        <v>46238</v>
      </c>
      <c r="E3012" s="2" t="str">
        <f aca="false">TEXT(D3012,"dddd")</f>
        <v>Tuesday</v>
      </c>
      <c r="F3012" s="2" t="s">
        <v>457</v>
      </c>
      <c r="G3012" s="2" t="s">
        <v>458</v>
      </c>
      <c r="H3012" s="2" t="s">
        <v>459</v>
      </c>
      <c r="I3012" s="2" t="n">
        <f aca="false">IF(F3012="Present",9,IF(F3012="Half Day",4,0))</f>
        <v>9</v>
      </c>
      <c r="J3012" s="2"/>
      <c r="K3012" s="2"/>
    </row>
    <row r="3013" customFormat="false" ht="15" hidden="false" customHeight="false" outlineLevel="0" collapsed="false">
      <c r="A3013" s="2" t="s">
        <v>243</v>
      </c>
      <c r="B3013" s="2" t="s">
        <v>244</v>
      </c>
      <c r="C3013" s="2" t="s">
        <v>49</v>
      </c>
      <c r="D3013" s="3" t="n">
        <v>46239</v>
      </c>
      <c r="E3013" s="2" t="str">
        <f aca="false">TEXT(D3013,"dddd")</f>
        <v>Wednesday</v>
      </c>
      <c r="F3013" s="2" t="s">
        <v>457</v>
      </c>
      <c r="G3013" s="2" t="s">
        <v>458</v>
      </c>
      <c r="H3013" s="2" t="s">
        <v>459</v>
      </c>
      <c r="I3013" s="2" t="n">
        <f aca="false">IF(F3013="Present",9,IF(F3013="Half Day",4,0))</f>
        <v>9</v>
      </c>
      <c r="J3013" s="2"/>
      <c r="K3013" s="2"/>
    </row>
    <row r="3014" customFormat="false" ht="15" hidden="false" customHeight="false" outlineLevel="0" collapsed="false">
      <c r="A3014" s="2" t="s">
        <v>243</v>
      </c>
      <c r="B3014" s="2" t="s">
        <v>244</v>
      </c>
      <c r="C3014" s="2" t="s">
        <v>49</v>
      </c>
      <c r="D3014" s="3" t="n">
        <v>46240</v>
      </c>
      <c r="E3014" s="2" t="str">
        <f aca="false">TEXT(D3014,"dddd")</f>
        <v>Thursday</v>
      </c>
      <c r="F3014" s="2" t="s">
        <v>457</v>
      </c>
      <c r="G3014" s="2" t="s">
        <v>458</v>
      </c>
      <c r="H3014" s="2" t="s">
        <v>459</v>
      </c>
      <c r="I3014" s="2" t="n">
        <f aca="false">IF(F3014="Present",9,IF(F3014="Half Day",4,0))</f>
        <v>9</v>
      </c>
      <c r="J3014" s="2"/>
      <c r="K3014" s="2"/>
    </row>
    <row r="3015" customFormat="false" ht="15" hidden="false" customHeight="false" outlineLevel="0" collapsed="false">
      <c r="A3015" s="2" t="s">
        <v>243</v>
      </c>
      <c r="B3015" s="2" t="s">
        <v>244</v>
      </c>
      <c r="C3015" s="2" t="s">
        <v>49</v>
      </c>
      <c r="D3015" s="3" t="n">
        <v>46241</v>
      </c>
      <c r="E3015" s="2" t="str">
        <f aca="false">TEXT(D3015,"dddd")</f>
        <v>Friday</v>
      </c>
      <c r="F3015" s="2" t="s">
        <v>457</v>
      </c>
      <c r="G3015" s="2" t="s">
        <v>458</v>
      </c>
      <c r="H3015" s="2" t="s">
        <v>459</v>
      </c>
      <c r="I3015" s="2" t="n">
        <f aca="false">IF(F3015="Present",9,IF(F3015="Half Day",4,0))</f>
        <v>9</v>
      </c>
      <c r="J3015" s="2"/>
      <c r="K3015" s="2"/>
    </row>
    <row r="3016" customFormat="false" ht="15" hidden="false" customHeight="false" outlineLevel="0" collapsed="false">
      <c r="A3016" s="2" t="s">
        <v>243</v>
      </c>
      <c r="B3016" s="2" t="s">
        <v>244</v>
      </c>
      <c r="C3016" s="2" t="s">
        <v>49</v>
      </c>
      <c r="D3016" s="3" t="n">
        <v>46242</v>
      </c>
      <c r="E3016" s="2" t="str">
        <f aca="false">TEXT(D3016,"dddd")</f>
        <v>Saturday</v>
      </c>
      <c r="F3016" s="2" t="s">
        <v>457</v>
      </c>
      <c r="G3016" s="2" t="s">
        <v>458</v>
      </c>
      <c r="H3016" s="2" t="s">
        <v>459</v>
      </c>
      <c r="I3016" s="2" t="n">
        <f aca="false">IF(F3016="Present",9,IF(F3016="Half Day",4,0))</f>
        <v>9</v>
      </c>
      <c r="J3016" s="2"/>
      <c r="K3016" s="2"/>
    </row>
    <row r="3017" customFormat="false" ht="15" hidden="false" customHeight="false" outlineLevel="0" collapsed="false">
      <c r="A3017" s="2" t="s">
        <v>243</v>
      </c>
      <c r="B3017" s="2" t="s">
        <v>244</v>
      </c>
      <c r="C3017" s="2" t="s">
        <v>49</v>
      </c>
      <c r="D3017" s="3" t="n">
        <v>46243</v>
      </c>
      <c r="E3017" s="2" t="str">
        <f aca="false">TEXT(D3017,"dddd")</f>
        <v>Sunday</v>
      </c>
      <c r="F3017" s="2" t="s">
        <v>460</v>
      </c>
      <c r="G3017" s="2"/>
      <c r="H3017" s="2"/>
      <c r="I3017" s="2" t="n">
        <f aca="false">IF(F3017="Present",9,IF(F3017="Half Day",4,0))</f>
        <v>0</v>
      </c>
      <c r="J3017" s="2"/>
      <c r="K3017" s="2" t="s">
        <v>460</v>
      </c>
    </row>
    <row r="3018" customFormat="false" ht="15" hidden="false" customHeight="false" outlineLevel="0" collapsed="false">
      <c r="A3018" s="2" t="s">
        <v>243</v>
      </c>
      <c r="B3018" s="2" t="s">
        <v>244</v>
      </c>
      <c r="C3018" s="2" t="s">
        <v>49</v>
      </c>
      <c r="D3018" s="3" t="n">
        <v>46244</v>
      </c>
      <c r="E3018" s="2" t="str">
        <f aca="false">TEXT(D3018,"dddd")</f>
        <v>Monday</v>
      </c>
      <c r="F3018" s="2" t="s">
        <v>457</v>
      </c>
      <c r="G3018" s="2" t="s">
        <v>458</v>
      </c>
      <c r="H3018" s="2" t="s">
        <v>459</v>
      </c>
      <c r="I3018" s="2" t="n">
        <f aca="false">IF(F3018="Present",9,IF(F3018="Half Day",4,0))</f>
        <v>9</v>
      </c>
      <c r="J3018" s="2"/>
      <c r="K3018" s="2"/>
    </row>
    <row r="3019" customFormat="false" ht="15" hidden="false" customHeight="false" outlineLevel="0" collapsed="false">
      <c r="A3019" s="2" t="s">
        <v>243</v>
      </c>
      <c r="B3019" s="2" t="s">
        <v>244</v>
      </c>
      <c r="C3019" s="2" t="s">
        <v>49</v>
      </c>
      <c r="D3019" s="3" t="n">
        <v>46245</v>
      </c>
      <c r="E3019" s="2" t="str">
        <f aca="false">TEXT(D3019,"dddd")</f>
        <v>Tuesday</v>
      </c>
      <c r="F3019" s="2" t="s">
        <v>457</v>
      </c>
      <c r="G3019" s="2" t="s">
        <v>458</v>
      </c>
      <c r="H3019" s="2" t="s">
        <v>459</v>
      </c>
      <c r="I3019" s="2" t="n">
        <f aca="false">IF(F3019="Present",9,IF(F3019="Half Day",4,0))</f>
        <v>9</v>
      </c>
      <c r="J3019" s="2"/>
      <c r="K3019" s="2"/>
    </row>
    <row r="3020" customFormat="false" ht="15" hidden="false" customHeight="false" outlineLevel="0" collapsed="false">
      <c r="A3020" s="2" t="s">
        <v>243</v>
      </c>
      <c r="B3020" s="2" t="s">
        <v>244</v>
      </c>
      <c r="C3020" s="2" t="s">
        <v>49</v>
      </c>
      <c r="D3020" s="3" t="n">
        <v>46246</v>
      </c>
      <c r="E3020" s="2" t="str">
        <f aca="false">TEXT(D3020,"dddd")</f>
        <v>Wednesday</v>
      </c>
      <c r="F3020" s="2" t="s">
        <v>466</v>
      </c>
      <c r="G3020" s="2" t="s">
        <v>458</v>
      </c>
      <c r="H3020" s="2" t="s">
        <v>467</v>
      </c>
      <c r="I3020" s="2" t="n">
        <f aca="false">IF(F3020="Present",9,IF(F3020="Half Day",4,0))</f>
        <v>4</v>
      </c>
      <c r="J3020" s="2"/>
      <c r="K3020" s="2" t="s">
        <v>466</v>
      </c>
    </row>
    <row r="3021" customFormat="false" ht="15" hidden="false" customHeight="false" outlineLevel="0" collapsed="false">
      <c r="A3021" s="2" t="s">
        <v>243</v>
      </c>
      <c r="B3021" s="2" t="s">
        <v>244</v>
      </c>
      <c r="C3021" s="2" t="s">
        <v>49</v>
      </c>
      <c r="D3021" s="3" t="n">
        <v>46247</v>
      </c>
      <c r="E3021" s="2" t="str">
        <f aca="false">TEXT(D3021,"dddd")</f>
        <v>Thursday</v>
      </c>
      <c r="F3021" s="2" t="s">
        <v>457</v>
      </c>
      <c r="G3021" s="2" t="s">
        <v>458</v>
      </c>
      <c r="H3021" s="2" t="s">
        <v>459</v>
      </c>
      <c r="I3021" s="2" t="n">
        <f aca="false">IF(F3021="Present",9,IF(F3021="Half Day",4,0))</f>
        <v>9</v>
      </c>
      <c r="J3021" s="2"/>
      <c r="K3021" s="2"/>
    </row>
    <row r="3022" customFormat="false" ht="15" hidden="false" customHeight="false" outlineLevel="0" collapsed="false">
      <c r="A3022" s="2" t="s">
        <v>243</v>
      </c>
      <c r="B3022" s="2" t="s">
        <v>244</v>
      </c>
      <c r="C3022" s="2" t="s">
        <v>49</v>
      </c>
      <c r="D3022" s="3" t="n">
        <v>46248</v>
      </c>
      <c r="E3022" s="2" t="str">
        <f aca="false">TEXT(D3022,"dddd")</f>
        <v>Friday</v>
      </c>
      <c r="F3022" s="2" t="s">
        <v>457</v>
      </c>
      <c r="G3022" s="2" t="s">
        <v>458</v>
      </c>
      <c r="H3022" s="2" t="s">
        <v>459</v>
      </c>
      <c r="I3022" s="2" t="n">
        <f aca="false">IF(F3022="Present",9,IF(F3022="Half Day",4,0))</f>
        <v>9</v>
      </c>
      <c r="J3022" s="2"/>
      <c r="K3022" s="2"/>
    </row>
    <row r="3023" customFormat="false" ht="15" hidden="false" customHeight="false" outlineLevel="0" collapsed="false">
      <c r="A3023" s="2" t="s">
        <v>243</v>
      </c>
      <c r="B3023" s="2" t="s">
        <v>244</v>
      </c>
      <c r="C3023" s="2" t="s">
        <v>49</v>
      </c>
      <c r="D3023" s="3" t="n">
        <v>46249</v>
      </c>
      <c r="E3023" s="2" t="str">
        <f aca="false">TEXT(D3023,"dddd")</f>
        <v>Saturday</v>
      </c>
      <c r="F3023" s="2" t="s">
        <v>457</v>
      </c>
      <c r="G3023" s="2" t="s">
        <v>458</v>
      </c>
      <c r="H3023" s="2" t="s">
        <v>459</v>
      </c>
      <c r="I3023" s="2" t="n">
        <f aca="false">IF(F3023="Present",9,IF(F3023="Half Day",4,0))</f>
        <v>9</v>
      </c>
      <c r="J3023" s="2"/>
      <c r="K3023" s="2"/>
    </row>
    <row r="3024" customFormat="false" ht="15" hidden="false" customHeight="false" outlineLevel="0" collapsed="false">
      <c r="A3024" s="2" t="s">
        <v>243</v>
      </c>
      <c r="B3024" s="2" t="s">
        <v>244</v>
      </c>
      <c r="C3024" s="2" t="s">
        <v>49</v>
      </c>
      <c r="D3024" s="3" t="n">
        <v>46250</v>
      </c>
      <c r="E3024" s="2" t="str">
        <f aca="false">TEXT(D3024,"dddd")</f>
        <v>Sunday</v>
      </c>
      <c r="F3024" s="2" t="s">
        <v>460</v>
      </c>
      <c r="G3024" s="2"/>
      <c r="H3024" s="2"/>
      <c r="I3024" s="2" t="n">
        <f aca="false">IF(F3024="Present",9,IF(F3024="Half Day",4,0))</f>
        <v>0</v>
      </c>
      <c r="J3024" s="2"/>
      <c r="K3024" s="2" t="s">
        <v>460</v>
      </c>
    </row>
    <row r="3025" customFormat="false" ht="15" hidden="false" customHeight="false" outlineLevel="0" collapsed="false">
      <c r="A3025" s="2" t="s">
        <v>243</v>
      </c>
      <c r="B3025" s="2" t="s">
        <v>244</v>
      </c>
      <c r="C3025" s="2" t="s">
        <v>49</v>
      </c>
      <c r="D3025" s="3" t="n">
        <v>46251</v>
      </c>
      <c r="E3025" s="2" t="str">
        <f aca="false">TEXT(D3025,"dddd")</f>
        <v>Monday</v>
      </c>
      <c r="F3025" s="2" t="s">
        <v>457</v>
      </c>
      <c r="G3025" s="2" t="s">
        <v>458</v>
      </c>
      <c r="H3025" s="2" t="s">
        <v>459</v>
      </c>
      <c r="I3025" s="2" t="n">
        <f aca="false">IF(F3025="Present",9,IF(F3025="Half Day",4,0))</f>
        <v>9</v>
      </c>
      <c r="J3025" s="2"/>
      <c r="K3025" s="2"/>
    </row>
    <row r="3026" customFormat="false" ht="15" hidden="false" customHeight="false" outlineLevel="0" collapsed="false">
      <c r="A3026" s="2" t="s">
        <v>243</v>
      </c>
      <c r="B3026" s="2" t="s">
        <v>244</v>
      </c>
      <c r="C3026" s="2" t="s">
        <v>49</v>
      </c>
      <c r="D3026" s="3" t="n">
        <v>46252</v>
      </c>
      <c r="E3026" s="2" t="str">
        <f aca="false">TEXT(D3026,"dddd")</f>
        <v>Tuesday</v>
      </c>
      <c r="F3026" s="2" t="s">
        <v>457</v>
      </c>
      <c r="G3026" s="2" t="s">
        <v>458</v>
      </c>
      <c r="H3026" s="2" t="s">
        <v>459</v>
      </c>
      <c r="I3026" s="2" t="n">
        <f aca="false">IF(F3026="Present",9,IF(F3026="Half Day",4,0))</f>
        <v>9</v>
      </c>
      <c r="J3026" s="2"/>
      <c r="K3026" s="2"/>
    </row>
    <row r="3027" customFormat="false" ht="15" hidden="false" customHeight="false" outlineLevel="0" collapsed="false">
      <c r="A3027" s="2" t="s">
        <v>243</v>
      </c>
      <c r="B3027" s="2" t="s">
        <v>244</v>
      </c>
      <c r="C3027" s="2" t="s">
        <v>49</v>
      </c>
      <c r="D3027" s="3" t="n">
        <v>46253</v>
      </c>
      <c r="E3027" s="2" t="str">
        <f aca="false">TEXT(D3027,"dddd")</f>
        <v>Wednesday</v>
      </c>
      <c r="F3027" s="2" t="s">
        <v>457</v>
      </c>
      <c r="G3027" s="2" t="s">
        <v>458</v>
      </c>
      <c r="H3027" s="2" t="s">
        <v>459</v>
      </c>
      <c r="I3027" s="2" t="n">
        <f aca="false">IF(F3027="Present",9,IF(F3027="Half Day",4,0))</f>
        <v>9</v>
      </c>
      <c r="J3027" s="2"/>
      <c r="K3027" s="2"/>
    </row>
    <row r="3028" customFormat="false" ht="15" hidden="false" customHeight="false" outlineLevel="0" collapsed="false">
      <c r="A3028" s="2" t="s">
        <v>243</v>
      </c>
      <c r="B3028" s="2" t="s">
        <v>244</v>
      </c>
      <c r="C3028" s="2" t="s">
        <v>49</v>
      </c>
      <c r="D3028" s="3" t="n">
        <v>46254</v>
      </c>
      <c r="E3028" s="2" t="str">
        <f aca="false">TEXT(D3028,"dddd")</f>
        <v>Thursday</v>
      </c>
      <c r="F3028" s="2" t="s">
        <v>457</v>
      </c>
      <c r="G3028" s="2" t="s">
        <v>458</v>
      </c>
      <c r="H3028" s="2" t="s">
        <v>459</v>
      </c>
      <c r="I3028" s="2" t="n">
        <f aca="false">IF(F3028="Present",9,IF(F3028="Half Day",4,0))</f>
        <v>9</v>
      </c>
      <c r="J3028" s="2"/>
      <c r="K3028" s="2"/>
    </row>
    <row r="3029" customFormat="false" ht="15" hidden="false" customHeight="false" outlineLevel="0" collapsed="false">
      <c r="A3029" s="2" t="s">
        <v>243</v>
      </c>
      <c r="B3029" s="2" t="s">
        <v>244</v>
      </c>
      <c r="C3029" s="2" t="s">
        <v>49</v>
      </c>
      <c r="D3029" s="3" t="n">
        <v>46255</v>
      </c>
      <c r="E3029" s="2" t="str">
        <f aca="false">TEXT(D3029,"dddd")</f>
        <v>Friday</v>
      </c>
      <c r="F3029" s="2" t="s">
        <v>457</v>
      </c>
      <c r="G3029" s="2" t="s">
        <v>458</v>
      </c>
      <c r="H3029" s="2" t="s">
        <v>459</v>
      </c>
      <c r="I3029" s="2" t="n">
        <f aca="false">IF(F3029="Present",9,IF(F3029="Half Day",4,0))</f>
        <v>9</v>
      </c>
      <c r="J3029" s="2"/>
      <c r="K3029" s="2"/>
    </row>
    <row r="3030" customFormat="false" ht="15" hidden="false" customHeight="false" outlineLevel="0" collapsed="false">
      <c r="A3030" s="2" t="s">
        <v>243</v>
      </c>
      <c r="B3030" s="2" t="s">
        <v>244</v>
      </c>
      <c r="C3030" s="2" t="s">
        <v>49</v>
      </c>
      <c r="D3030" s="3" t="n">
        <v>46256</v>
      </c>
      <c r="E3030" s="2" t="str">
        <f aca="false">TEXT(D3030,"dddd")</f>
        <v>Saturday</v>
      </c>
      <c r="F3030" s="2" t="s">
        <v>457</v>
      </c>
      <c r="G3030" s="2" t="s">
        <v>458</v>
      </c>
      <c r="H3030" s="2" t="s">
        <v>459</v>
      </c>
      <c r="I3030" s="2" t="n">
        <f aca="false">IF(F3030="Present",9,IF(F3030="Half Day",4,0))</f>
        <v>9</v>
      </c>
      <c r="J3030" s="2"/>
      <c r="K3030" s="2"/>
    </row>
    <row r="3031" customFormat="false" ht="15" hidden="false" customHeight="false" outlineLevel="0" collapsed="false">
      <c r="A3031" s="2" t="s">
        <v>243</v>
      </c>
      <c r="B3031" s="2" t="s">
        <v>244</v>
      </c>
      <c r="C3031" s="2" t="s">
        <v>49</v>
      </c>
      <c r="D3031" s="3" t="n">
        <v>46257</v>
      </c>
      <c r="E3031" s="2" t="str">
        <f aca="false">TEXT(D3031,"dddd")</f>
        <v>Sunday</v>
      </c>
      <c r="F3031" s="2" t="s">
        <v>460</v>
      </c>
      <c r="G3031" s="2"/>
      <c r="H3031" s="2"/>
      <c r="I3031" s="2" t="n">
        <f aca="false">IF(F3031="Present",9,IF(F3031="Half Day",4,0))</f>
        <v>0</v>
      </c>
      <c r="J3031" s="2"/>
      <c r="K3031" s="2" t="s">
        <v>460</v>
      </c>
    </row>
    <row r="3032" customFormat="false" ht="15" hidden="false" customHeight="false" outlineLevel="0" collapsed="false">
      <c r="A3032" s="2" t="s">
        <v>243</v>
      </c>
      <c r="B3032" s="2" t="s">
        <v>244</v>
      </c>
      <c r="C3032" s="2" t="s">
        <v>49</v>
      </c>
      <c r="D3032" s="3" t="n">
        <v>46258</v>
      </c>
      <c r="E3032" s="2" t="str">
        <f aca="false">TEXT(D3032,"dddd")</f>
        <v>Monday</v>
      </c>
      <c r="F3032" s="2" t="s">
        <v>457</v>
      </c>
      <c r="G3032" s="2" t="s">
        <v>458</v>
      </c>
      <c r="H3032" s="2" t="s">
        <v>459</v>
      </c>
      <c r="I3032" s="2" t="n">
        <f aca="false">IF(F3032="Present",9,IF(F3032="Half Day",4,0))</f>
        <v>9</v>
      </c>
      <c r="J3032" s="2"/>
      <c r="K3032" s="2"/>
    </row>
    <row r="3033" customFormat="false" ht="15" hidden="false" customHeight="false" outlineLevel="0" collapsed="false">
      <c r="A3033" s="2" t="s">
        <v>243</v>
      </c>
      <c r="B3033" s="2" t="s">
        <v>244</v>
      </c>
      <c r="C3033" s="2" t="s">
        <v>49</v>
      </c>
      <c r="D3033" s="3" t="n">
        <v>46259</v>
      </c>
      <c r="E3033" s="2" t="str">
        <f aca="false">TEXT(D3033,"dddd")</f>
        <v>Tuesday</v>
      </c>
      <c r="F3033" s="2" t="s">
        <v>457</v>
      </c>
      <c r="G3033" s="2" t="s">
        <v>458</v>
      </c>
      <c r="H3033" s="2" t="s">
        <v>459</v>
      </c>
      <c r="I3033" s="2" t="n">
        <f aca="false">IF(F3033="Present",9,IF(F3033="Half Day",4,0))</f>
        <v>9</v>
      </c>
      <c r="J3033" s="2"/>
      <c r="K3033" s="2"/>
    </row>
    <row r="3034" customFormat="false" ht="15" hidden="false" customHeight="false" outlineLevel="0" collapsed="false">
      <c r="A3034" s="2" t="s">
        <v>243</v>
      </c>
      <c r="B3034" s="2" t="s">
        <v>244</v>
      </c>
      <c r="C3034" s="2" t="s">
        <v>49</v>
      </c>
      <c r="D3034" s="3" t="n">
        <v>46260</v>
      </c>
      <c r="E3034" s="2" t="str">
        <f aca="false">TEXT(D3034,"dddd")</f>
        <v>Wednesday</v>
      </c>
      <c r="F3034" s="2" t="s">
        <v>457</v>
      </c>
      <c r="G3034" s="2" t="s">
        <v>458</v>
      </c>
      <c r="H3034" s="2" t="s">
        <v>459</v>
      </c>
      <c r="I3034" s="2" t="n">
        <f aca="false">IF(F3034="Present",9,IF(F3034="Half Day",4,0))</f>
        <v>9</v>
      </c>
      <c r="J3034" s="2"/>
      <c r="K3034" s="2"/>
    </row>
    <row r="3035" customFormat="false" ht="15" hidden="false" customHeight="false" outlineLevel="0" collapsed="false">
      <c r="A3035" s="2" t="s">
        <v>243</v>
      </c>
      <c r="B3035" s="2" t="s">
        <v>244</v>
      </c>
      <c r="C3035" s="2" t="s">
        <v>49</v>
      </c>
      <c r="D3035" s="3" t="n">
        <v>46261</v>
      </c>
      <c r="E3035" s="2" t="str">
        <f aca="false">TEXT(D3035,"dddd")</f>
        <v>Thursday</v>
      </c>
      <c r="F3035" s="2" t="s">
        <v>457</v>
      </c>
      <c r="G3035" s="2" t="s">
        <v>458</v>
      </c>
      <c r="H3035" s="2" t="s">
        <v>459</v>
      </c>
      <c r="I3035" s="2" t="n">
        <f aca="false">IF(F3035="Present",9,IF(F3035="Half Day",4,0))</f>
        <v>9</v>
      </c>
      <c r="J3035" s="2"/>
      <c r="K3035" s="2"/>
    </row>
    <row r="3036" customFormat="false" ht="15" hidden="false" customHeight="false" outlineLevel="0" collapsed="false">
      <c r="A3036" s="2" t="s">
        <v>243</v>
      </c>
      <c r="B3036" s="2" t="s">
        <v>244</v>
      </c>
      <c r="C3036" s="2" t="s">
        <v>49</v>
      </c>
      <c r="D3036" s="3" t="n">
        <v>46262</v>
      </c>
      <c r="E3036" s="2" t="str">
        <f aca="false">TEXT(D3036,"dddd")</f>
        <v>Friday</v>
      </c>
      <c r="F3036" s="2" t="s">
        <v>457</v>
      </c>
      <c r="G3036" s="2" t="s">
        <v>458</v>
      </c>
      <c r="H3036" s="2" t="s">
        <v>459</v>
      </c>
      <c r="I3036" s="2" t="n">
        <f aca="false">IF(F3036="Present",9,IF(F3036="Half Day",4,0))</f>
        <v>9</v>
      </c>
      <c r="J3036" s="2"/>
      <c r="K3036" s="2"/>
    </row>
    <row r="3037" customFormat="false" ht="15" hidden="false" customHeight="false" outlineLevel="0" collapsed="false">
      <c r="A3037" s="2" t="s">
        <v>243</v>
      </c>
      <c r="B3037" s="2" t="s">
        <v>244</v>
      </c>
      <c r="C3037" s="2" t="s">
        <v>49</v>
      </c>
      <c r="D3037" s="3" t="n">
        <v>46263</v>
      </c>
      <c r="E3037" s="2" t="str">
        <f aca="false">TEXT(D3037,"dddd")</f>
        <v>Saturday</v>
      </c>
      <c r="F3037" s="2" t="s">
        <v>457</v>
      </c>
      <c r="G3037" s="2" t="s">
        <v>458</v>
      </c>
      <c r="H3037" s="2" t="s">
        <v>459</v>
      </c>
      <c r="I3037" s="2" t="n">
        <f aca="false">IF(F3037="Present",9,IF(F3037="Half Day",4,0))</f>
        <v>9</v>
      </c>
      <c r="J3037" s="2"/>
      <c r="K3037" s="2"/>
    </row>
    <row r="3038" customFormat="false" ht="15" hidden="false" customHeight="false" outlineLevel="0" collapsed="false">
      <c r="A3038" s="2" t="s">
        <v>243</v>
      </c>
      <c r="B3038" s="2" t="s">
        <v>244</v>
      </c>
      <c r="C3038" s="2" t="s">
        <v>49</v>
      </c>
      <c r="D3038" s="3" t="n">
        <v>46264</v>
      </c>
      <c r="E3038" s="2" t="str">
        <f aca="false">TEXT(D3038,"dddd")</f>
        <v>Sunday</v>
      </c>
      <c r="F3038" s="2" t="s">
        <v>460</v>
      </c>
      <c r="G3038" s="2"/>
      <c r="H3038" s="2"/>
      <c r="I3038" s="2" t="n">
        <f aca="false">IF(F3038="Present",9,IF(F3038="Half Day",4,0))</f>
        <v>0</v>
      </c>
      <c r="J3038" s="2"/>
      <c r="K3038" s="2" t="s">
        <v>460</v>
      </c>
    </row>
    <row r="3039" customFormat="false" ht="15" hidden="false" customHeight="false" outlineLevel="0" collapsed="false">
      <c r="A3039" s="2" t="s">
        <v>243</v>
      </c>
      <c r="B3039" s="2" t="s">
        <v>244</v>
      </c>
      <c r="C3039" s="2" t="s">
        <v>49</v>
      </c>
      <c r="D3039" s="3" t="n">
        <v>46265</v>
      </c>
      <c r="E3039" s="2" t="str">
        <f aca="false">TEXT(D3039,"dddd")</f>
        <v>Monday</v>
      </c>
      <c r="F3039" s="2" t="s">
        <v>457</v>
      </c>
      <c r="G3039" s="2" t="s">
        <v>458</v>
      </c>
      <c r="H3039" s="2" t="s">
        <v>459</v>
      </c>
      <c r="I3039" s="2" t="n">
        <f aca="false">IF(F3039="Present",9,IF(F3039="Half Day",4,0))</f>
        <v>9</v>
      </c>
      <c r="J3039" s="2"/>
      <c r="K3039" s="2"/>
    </row>
    <row r="3040" customFormat="false" ht="15" hidden="false" customHeight="false" outlineLevel="0" collapsed="false">
      <c r="A3040" s="2" t="s">
        <v>245</v>
      </c>
      <c r="B3040" s="2" t="s">
        <v>246</v>
      </c>
      <c r="C3040" s="2" t="s">
        <v>53</v>
      </c>
      <c r="D3040" s="3" t="n">
        <v>46235</v>
      </c>
      <c r="E3040" s="2" t="str">
        <f aca="false">TEXT(D3040,"dddd")</f>
        <v>Saturday</v>
      </c>
      <c r="F3040" s="2" t="s">
        <v>457</v>
      </c>
      <c r="G3040" s="2" t="s">
        <v>458</v>
      </c>
      <c r="H3040" s="2" t="s">
        <v>459</v>
      </c>
      <c r="I3040" s="2" t="n">
        <f aca="false">IF(F3040="Present",9,IF(F3040="Half Day",4,0))</f>
        <v>9</v>
      </c>
      <c r="J3040" s="2"/>
      <c r="K3040" s="2"/>
    </row>
    <row r="3041" customFormat="false" ht="15" hidden="false" customHeight="false" outlineLevel="0" collapsed="false">
      <c r="A3041" s="2" t="s">
        <v>245</v>
      </c>
      <c r="B3041" s="2" t="s">
        <v>246</v>
      </c>
      <c r="C3041" s="2" t="s">
        <v>53</v>
      </c>
      <c r="D3041" s="3" t="n">
        <v>46236</v>
      </c>
      <c r="E3041" s="2" t="str">
        <f aca="false">TEXT(D3041,"dddd")</f>
        <v>Sunday</v>
      </c>
      <c r="F3041" s="2" t="s">
        <v>460</v>
      </c>
      <c r="G3041" s="2"/>
      <c r="H3041" s="2"/>
      <c r="I3041" s="2" t="n">
        <f aca="false">IF(F3041="Present",9,IF(F3041="Half Day",4,0))</f>
        <v>0</v>
      </c>
      <c r="J3041" s="2"/>
      <c r="K3041" s="2" t="s">
        <v>460</v>
      </c>
    </row>
    <row r="3042" customFormat="false" ht="15" hidden="false" customHeight="false" outlineLevel="0" collapsed="false">
      <c r="A3042" s="2" t="s">
        <v>245</v>
      </c>
      <c r="B3042" s="2" t="s">
        <v>246</v>
      </c>
      <c r="C3042" s="2" t="s">
        <v>53</v>
      </c>
      <c r="D3042" s="3" t="n">
        <v>46237</v>
      </c>
      <c r="E3042" s="2" t="str">
        <f aca="false">TEXT(D3042,"dddd")</f>
        <v>Monday</v>
      </c>
      <c r="F3042" s="2" t="s">
        <v>457</v>
      </c>
      <c r="G3042" s="2" t="s">
        <v>458</v>
      </c>
      <c r="H3042" s="2" t="s">
        <v>459</v>
      </c>
      <c r="I3042" s="2" t="n">
        <f aca="false">IF(F3042="Present",9,IF(F3042="Half Day",4,0))</f>
        <v>9</v>
      </c>
      <c r="J3042" s="2"/>
      <c r="K3042" s="2"/>
    </row>
    <row r="3043" customFormat="false" ht="15" hidden="false" customHeight="false" outlineLevel="0" collapsed="false">
      <c r="A3043" s="2" t="s">
        <v>245</v>
      </c>
      <c r="B3043" s="2" t="s">
        <v>246</v>
      </c>
      <c r="C3043" s="2" t="s">
        <v>53</v>
      </c>
      <c r="D3043" s="3" t="n">
        <v>46238</v>
      </c>
      <c r="E3043" s="2" t="str">
        <f aca="false">TEXT(D3043,"dddd")</f>
        <v>Tuesday</v>
      </c>
      <c r="F3043" s="2" t="s">
        <v>457</v>
      </c>
      <c r="G3043" s="2" t="s">
        <v>458</v>
      </c>
      <c r="H3043" s="2" t="s">
        <v>459</v>
      </c>
      <c r="I3043" s="2" t="n">
        <f aca="false">IF(F3043="Present",9,IF(F3043="Half Day",4,0))</f>
        <v>9</v>
      </c>
      <c r="J3043" s="2"/>
      <c r="K3043" s="2"/>
    </row>
    <row r="3044" customFormat="false" ht="15" hidden="false" customHeight="false" outlineLevel="0" collapsed="false">
      <c r="A3044" s="2" t="s">
        <v>245</v>
      </c>
      <c r="B3044" s="2" t="s">
        <v>246</v>
      </c>
      <c r="C3044" s="2" t="s">
        <v>53</v>
      </c>
      <c r="D3044" s="3" t="n">
        <v>46239</v>
      </c>
      <c r="E3044" s="2" t="str">
        <f aca="false">TEXT(D3044,"dddd")</f>
        <v>Wednesday</v>
      </c>
      <c r="F3044" s="2" t="s">
        <v>457</v>
      </c>
      <c r="G3044" s="2" t="s">
        <v>458</v>
      </c>
      <c r="H3044" s="2" t="s">
        <v>459</v>
      </c>
      <c r="I3044" s="2" t="n">
        <f aca="false">IF(F3044="Present",9,IF(F3044="Half Day",4,0))</f>
        <v>9</v>
      </c>
      <c r="J3044" s="2"/>
      <c r="K3044" s="2"/>
    </row>
    <row r="3045" customFormat="false" ht="15" hidden="false" customHeight="false" outlineLevel="0" collapsed="false">
      <c r="A3045" s="2" t="s">
        <v>245</v>
      </c>
      <c r="B3045" s="2" t="s">
        <v>246</v>
      </c>
      <c r="C3045" s="2" t="s">
        <v>53</v>
      </c>
      <c r="D3045" s="3" t="n">
        <v>46240</v>
      </c>
      <c r="E3045" s="2" t="str">
        <f aca="false">TEXT(D3045,"dddd")</f>
        <v>Thursday</v>
      </c>
      <c r="F3045" s="2" t="s">
        <v>457</v>
      </c>
      <c r="G3045" s="2" t="s">
        <v>458</v>
      </c>
      <c r="H3045" s="2" t="s">
        <v>459</v>
      </c>
      <c r="I3045" s="2" t="n">
        <f aca="false">IF(F3045="Present",9,IF(F3045="Half Day",4,0))</f>
        <v>9</v>
      </c>
      <c r="J3045" s="2"/>
      <c r="K3045" s="2"/>
    </row>
    <row r="3046" customFormat="false" ht="15" hidden="false" customHeight="false" outlineLevel="0" collapsed="false">
      <c r="A3046" s="2" t="s">
        <v>245</v>
      </c>
      <c r="B3046" s="2" t="s">
        <v>246</v>
      </c>
      <c r="C3046" s="2" t="s">
        <v>53</v>
      </c>
      <c r="D3046" s="3" t="n">
        <v>46241</v>
      </c>
      <c r="E3046" s="2" t="str">
        <f aca="false">TEXT(D3046,"dddd")</f>
        <v>Friday</v>
      </c>
      <c r="F3046" s="2" t="s">
        <v>457</v>
      </c>
      <c r="G3046" s="2" t="s">
        <v>458</v>
      </c>
      <c r="H3046" s="2" t="s">
        <v>459</v>
      </c>
      <c r="I3046" s="2" t="n">
        <f aca="false">IF(F3046="Present",9,IF(F3046="Half Day",4,0))</f>
        <v>9</v>
      </c>
      <c r="J3046" s="2"/>
      <c r="K3046" s="2"/>
    </row>
    <row r="3047" customFormat="false" ht="15" hidden="false" customHeight="false" outlineLevel="0" collapsed="false">
      <c r="A3047" s="2" t="s">
        <v>245</v>
      </c>
      <c r="B3047" s="2" t="s">
        <v>246</v>
      </c>
      <c r="C3047" s="2" t="s">
        <v>53</v>
      </c>
      <c r="D3047" s="3" t="n">
        <v>46242</v>
      </c>
      <c r="E3047" s="2" t="str">
        <f aca="false">TEXT(D3047,"dddd")</f>
        <v>Saturday</v>
      </c>
      <c r="F3047" s="2" t="s">
        <v>457</v>
      </c>
      <c r="G3047" s="2" t="s">
        <v>458</v>
      </c>
      <c r="H3047" s="2" t="s">
        <v>459</v>
      </c>
      <c r="I3047" s="2" t="n">
        <f aca="false">IF(F3047="Present",9,IF(F3047="Half Day",4,0))</f>
        <v>9</v>
      </c>
      <c r="J3047" s="2"/>
      <c r="K3047" s="2"/>
    </row>
    <row r="3048" customFormat="false" ht="15" hidden="false" customHeight="false" outlineLevel="0" collapsed="false">
      <c r="A3048" s="2" t="s">
        <v>245</v>
      </c>
      <c r="B3048" s="2" t="s">
        <v>246</v>
      </c>
      <c r="C3048" s="2" t="s">
        <v>53</v>
      </c>
      <c r="D3048" s="3" t="n">
        <v>46243</v>
      </c>
      <c r="E3048" s="2" t="str">
        <f aca="false">TEXT(D3048,"dddd")</f>
        <v>Sunday</v>
      </c>
      <c r="F3048" s="2" t="s">
        <v>460</v>
      </c>
      <c r="G3048" s="2"/>
      <c r="H3048" s="2"/>
      <c r="I3048" s="2" t="n">
        <f aca="false">IF(F3048="Present",9,IF(F3048="Half Day",4,0))</f>
        <v>0</v>
      </c>
      <c r="J3048" s="2"/>
      <c r="K3048" s="2" t="s">
        <v>460</v>
      </c>
    </row>
    <row r="3049" customFormat="false" ht="15" hidden="false" customHeight="false" outlineLevel="0" collapsed="false">
      <c r="A3049" s="2" t="s">
        <v>245</v>
      </c>
      <c r="B3049" s="2" t="s">
        <v>246</v>
      </c>
      <c r="C3049" s="2" t="s">
        <v>53</v>
      </c>
      <c r="D3049" s="3" t="n">
        <v>46244</v>
      </c>
      <c r="E3049" s="2" t="str">
        <f aca="false">TEXT(D3049,"dddd")</f>
        <v>Monday</v>
      </c>
      <c r="F3049" s="2" t="s">
        <v>457</v>
      </c>
      <c r="G3049" s="2" t="s">
        <v>458</v>
      </c>
      <c r="H3049" s="2" t="s">
        <v>459</v>
      </c>
      <c r="I3049" s="2" t="n">
        <f aca="false">IF(F3049="Present",9,IF(F3049="Half Day",4,0))</f>
        <v>9</v>
      </c>
      <c r="J3049" s="2"/>
      <c r="K3049" s="2"/>
    </row>
    <row r="3050" customFormat="false" ht="15" hidden="false" customHeight="false" outlineLevel="0" collapsed="false">
      <c r="A3050" s="2" t="s">
        <v>245</v>
      </c>
      <c r="B3050" s="2" t="s">
        <v>246</v>
      </c>
      <c r="C3050" s="2" t="s">
        <v>53</v>
      </c>
      <c r="D3050" s="3" t="n">
        <v>46245</v>
      </c>
      <c r="E3050" s="2" t="str">
        <f aca="false">TEXT(D3050,"dddd")</f>
        <v>Tuesday</v>
      </c>
      <c r="F3050" s="2" t="s">
        <v>457</v>
      </c>
      <c r="G3050" s="2" t="s">
        <v>458</v>
      </c>
      <c r="H3050" s="2" t="s">
        <v>459</v>
      </c>
      <c r="I3050" s="2" t="n">
        <f aca="false">IF(F3050="Present",9,IF(F3050="Half Day",4,0))</f>
        <v>9</v>
      </c>
      <c r="J3050" s="2"/>
      <c r="K3050" s="2"/>
    </row>
    <row r="3051" customFormat="false" ht="15" hidden="false" customHeight="false" outlineLevel="0" collapsed="false">
      <c r="A3051" s="2" t="s">
        <v>245</v>
      </c>
      <c r="B3051" s="2" t="s">
        <v>246</v>
      </c>
      <c r="C3051" s="2" t="s">
        <v>53</v>
      </c>
      <c r="D3051" s="3" t="n">
        <v>46246</v>
      </c>
      <c r="E3051" s="2" t="str">
        <f aca="false">TEXT(D3051,"dddd")</f>
        <v>Wednesday</v>
      </c>
      <c r="F3051" s="2" t="s">
        <v>457</v>
      </c>
      <c r="G3051" s="2" t="s">
        <v>458</v>
      </c>
      <c r="H3051" s="2" t="s">
        <v>459</v>
      </c>
      <c r="I3051" s="2" t="n">
        <f aca="false">IF(F3051="Present",9,IF(F3051="Half Day",4,0))</f>
        <v>9</v>
      </c>
      <c r="J3051" s="2"/>
      <c r="K3051" s="2"/>
    </row>
    <row r="3052" customFormat="false" ht="15" hidden="false" customHeight="false" outlineLevel="0" collapsed="false">
      <c r="A3052" s="2" t="s">
        <v>245</v>
      </c>
      <c r="B3052" s="2" t="s">
        <v>246</v>
      </c>
      <c r="C3052" s="2" t="s">
        <v>53</v>
      </c>
      <c r="D3052" s="3" t="n">
        <v>46247</v>
      </c>
      <c r="E3052" s="2" t="str">
        <f aca="false">TEXT(D3052,"dddd")</f>
        <v>Thursday</v>
      </c>
      <c r="F3052" s="2" t="s">
        <v>457</v>
      </c>
      <c r="G3052" s="2" t="s">
        <v>458</v>
      </c>
      <c r="H3052" s="2" t="s">
        <v>459</v>
      </c>
      <c r="I3052" s="2" t="n">
        <f aca="false">IF(F3052="Present",9,IF(F3052="Half Day",4,0))</f>
        <v>9</v>
      </c>
      <c r="J3052" s="2"/>
      <c r="K3052" s="2"/>
    </row>
    <row r="3053" customFormat="false" ht="15" hidden="false" customHeight="false" outlineLevel="0" collapsed="false">
      <c r="A3053" s="2" t="s">
        <v>245</v>
      </c>
      <c r="B3053" s="2" t="s">
        <v>246</v>
      </c>
      <c r="C3053" s="2" t="s">
        <v>53</v>
      </c>
      <c r="D3053" s="3" t="n">
        <v>46248</v>
      </c>
      <c r="E3053" s="2" t="str">
        <f aca="false">TEXT(D3053,"dddd")</f>
        <v>Friday</v>
      </c>
      <c r="F3053" s="2" t="s">
        <v>457</v>
      </c>
      <c r="G3053" s="2" t="s">
        <v>458</v>
      </c>
      <c r="H3053" s="2" t="s">
        <v>459</v>
      </c>
      <c r="I3053" s="2" t="n">
        <f aca="false">IF(F3053="Present",9,IF(F3053="Half Day",4,0))</f>
        <v>9</v>
      </c>
      <c r="J3053" s="2"/>
      <c r="K3053" s="2"/>
    </row>
    <row r="3054" customFormat="false" ht="15" hidden="false" customHeight="false" outlineLevel="0" collapsed="false">
      <c r="A3054" s="2" t="s">
        <v>245</v>
      </c>
      <c r="B3054" s="2" t="s">
        <v>246</v>
      </c>
      <c r="C3054" s="2" t="s">
        <v>53</v>
      </c>
      <c r="D3054" s="3" t="n">
        <v>46249</v>
      </c>
      <c r="E3054" s="2" t="str">
        <f aca="false">TEXT(D3054,"dddd")</f>
        <v>Saturday</v>
      </c>
      <c r="F3054" s="2" t="s">
        <v>457</v>
      </c>
      <c r="G3054" s="2" t="s">
        <v>458</v>
      </c>
      <c r="H3054" s="2" t="s">
        <v>459</v>
      </c>
      <c r="I3054" s="2" t="n">
        <f aca="false">IF(F3054="Present",9,IF(F3054="Half Day",4,0))</f>
        <v>9</v>
      </c>
      <c r="J3054" s="2"/>
      <c r="K3054" s="2"/>
    </row>
    <row r="3055" customFormat="false" ht="15" hidden="false" customHeight="false" outlineLevel="0" collapsed="false">
      <c r="A3055" s="2" t="s">
        <v>245</v>
      </c>
      <c r="B3055" s="2" t="s">
        <v>246</v>
      </c>
      <c r="C3055" s="2" t="s">
        <v>53</v>
      </c>
      <c r="D3055" s="3" t="n">
        <v>46250</v>
      </c>
      <c r="E3055" s="2" t="str">
        <f aca="false">TEXT(D3055,"dddd")</f>
        <v>Sunday</v>
      </c>
      <c r="F3055" s="2" t="s">
        <v>460</v>
      </c>
      <c r="G3055" s="2"/>
      <c r="H3055" s="2"/>
      <c r="I3055" s="2" t="n">
        <f aca="false">IF(F3055="Present",9,IF(F3055="Half Day",4,0))</f>
        <v>0</v>
      </c>
      <c r="J3055" s="2"/>
      <c r="K3055" s="2" t="s">
        <v>460</v>
      </c>
    </row>
    <row r="3056" customFormat="false" ht="15" hidden="false" customHeight="false" outlineLevel="0" collapsed="false">
      <c r="A3056" s="2" t="s">
        <v>245</v>
      </c>
      <c r="B3056" s="2" t="s">
        <v>246</v>
      </c>
      <c r="C3056" s="2" t="s">
        <v>53</v>
      </c>
      <c r="D3056" s="3" t="n">
        <v>46251</v>
      </c>
      <c r="E3056" s="2" t="str">
        <f aca="false">TEXT(D3056,"dddd")</f>
        <v>Monday</v>
      </c>
      <c r="F3056" s="2" t="s">
        <v>457</v>
      </c>
      <c r="G3056" s="2" t="s">
        <v>458</v>
      </c>
      <c r="H3056" s="2" t="s">
        <v>459</v>
      </c>
      <c r="I3056" s="2" t="n">
        <f aca="false">IF(F3056="Present",9,IF(F3056="Half Day",4,0))</f>
        <v>9</v>
      </c>
      <c r="J3056" s="2"/>
      <c r="K3056" s="2"/>
    </row>
    <row r="3057" customFormat="false" ht="15" hidden="false" customHeight="false" outlineLevel="0" collapsed="false">
      <c r="A3057" s="2" t="s">
        <v>245</v>
      </c>
      <c r="B3057" s="2" t="s">
        <v>246</v>
      </c>
      <c r="C3057" s="2" t="s">
        <v>53</v>
      </c>
      <c r="D3057" s="3" t="n">
        <v>46252</v>
      </c>
      <c r="E3057" s="2" t="str">
        <f aca="false">TEXT(D3057,"dddd")</f>
        <v>Tuesday</v>
      </c>
      <c r="F3057" s="2" t="s">
        <v>457</v>
      </c>
      <c r="G3057" s="2" t="s">
        <v>458</v>
      </c>
      <c r="H3057" s="2" t="s">
        <v>459</v>
      </c>
      <c r="I3057" s="2" t="n">
        <f aca="false">IF(F3057="Present",9,IF(F3057="Half Day",4,0))</f>
        <v>9</v>
      </c>
      <c r="J3057" s="2"/>
      <c r="K3057" s="2"/>
    </row>
    <row r="3058" customFormat="false" ht="15" hidden="false" customHeight="false" outlineLevel="0" collapsed="false">
      <c r="A3058" s="2" t="s">
        <v>245</v>
      </c>
      <c r="B3058" s="2" t="s">
        <v>246</v>
      </c>
      <c r="C3058" s="2" t="s">
        <v>53</v>
      </c>
      <c r="D3058" s="3" t="n">
        <v>46253</v>
      </c>
      <c r="E3058" s="2" t="str">
        <f aca="false">TEXT(D3058,"dddd")</f>
        <v>Wednesday</v>
      </c>
      <c r="F3058" s="2" t="s">
        <v>457</v>
      </c>
      <c r="G3058" s="2" t="s">
        <v>458</v>
      </c>
      <c r="H3058" s="2" t="s">
        <v>459</v>
      </c>
      <c r="I3058" s="2" t="n">
        <f aca="false">IF(F3058="Present",9,IF(F3058="Half Day",4,0))</f>
        <v>9</v>
      </c>
      <c r="J3058" s="2"/>
      <c r="K3058" s="2"/>
    </row>
    <row r="3059" customFormat="false" ht="15" hidden="false" customHeight="false" outlineLevel="0" collapsed="false">
      <c r="A3059" s="2" t="s">
        <v>245</v>
      </c>
      <c r="B3059" s="2" t="s">
        <v>246</v>
      </c>
      <c r="C3059" s="2" t="s">
        <v>53</v>
      </c>
      <c r="D3059" s="3" t="n">
        <v>46254</v>
      </c>
      <c r="E3059" s="2" t="str">
        <f aca="false">TEXT(D3059,"dddd")</f>
        <v>Thursday</v>
      </c>
      <c r="F3059" s="2" t="s">
        <v>457</v>
      </c>
      <c r="G3059" s="2" t="s">
        <v>458</v>
      </c>
      <c r="H3059" s="2" t="s">
        <v>459</v>
      </c>
      <c r="I3059" s="2" t="n">
        <f aca="false">IF(F3059="Present",9,IF(F3059="Half Day",4,0))</f>
        <v>9</v>
      </c>
      <c r="J3059" s="2"/>
      <c r="K3059" s="2"/>
    </row>
    <row r="3060" customFormat="false" ht="15" hidden="false" customHeight="false" outlineLevel="0" collapsed="false">
      <c r="A3060" s="2" t="s">
        <v>245</v>
      </c>
      <c r="B3060" s="2" t="s">
        <v>246</v>
      </c>
      <c r="C3060" s="2" t="s">
        <v>53</v>
      </c>
      <c r="D3060" s="3" t="n">
        <v>46255</v>
      </c>
      <c r="E3060" s="2" t="str">
        <f aca="false">TEXT(D3060,"dddd")</f>
        <v>Friday</v>
      </c>
      <c r="F3060" s="2" t="s">
        <v>457</v>
      </c>
      <c r="G3060" s="2" t="s">
        <v>458</v>
      </c>
      <c r="H3060" s="2" t="s">
        <v>459</v>
      </c>
      <c r="I3060" s="2" t="n">
        <f aca="false">IF(F3060="Present",9,IF(F3060="Half Day",4,0))</f>
        <v>9</v>
      </c>
      <c r="J3060" s="2"/>
      <c r="K3060" s="2"/>
    </row>
    <row r="3061" customFormat="false" ht="15" hidden="false" customHeight="false" outlineLevel="0" collapsed="false">
      <c r="A3061" s="2" t="s">
        <v>245</v>
      </c>
      <c r="B3061" s="2" t="s">
        <v>246</v>
      </c>
      <c r="C3061" s="2" t="s">
        <v>53</v>
      </c>
      <c r="D3061" s="3" t="n">
        <v>46256</v>
      </c>
      <c r="E3061" s="2" t="str">
        <f aca="false">TEXT(D3061,"dddd")</f>
        <v>Saturday</v>
      </c>
      <c r="F3061" s="2" t="s">
        <v>457</v>
      </c>
      <c r="G3061" s="2" t="s">
        <v>458</v>
      </c>
      <c r="H3061" s="2" t="s">
        <v>459</v>
      </c>
      <c r="I3061" s="2" t="n">
        <f aca="false">IF(F3061="Present",9,IF(F3061="Half Day",4,0))</f>
        <v>9</v>
      </c>
      <c r="J3061" s="2"/>
      <c r="K3061" s="2"/>
    </row>
    <row r="3062" customFormat="false" ht="15" hidden="false" customHeight="false" outlineLevel="0" collapsed="false">
      <c r="A3062" s="2" t="s">
        <v>245</v>
      </c>
      <c r="B3062" s="2" t="s">
        <v>246</v>
      </c>
      <c r="C3062" s="2" t="s">
        <v>53</v>
      </c>
      <c r="D3062" s="3" t="n">
        <v>46257</v>
      </c>
      <c r="E3062" s="2" t="str">
        <f aca="false">TEXT(D3062,"dddd")</f>
        <v>Sunday</v>
      </c>
      <c r="F3062" s="2" t="s">
        <v>460</v>
      </c>
      <c r="G3062" s="2"/>
      <c r="H3062" s="2"/>
      <c r="I3062" s="2" t="n">
        <f aca="false">IF(F3062="Present",9,IF(F3062="Half Day",4,0))</f>
        <v>0</v>
      </c>
      <c r="J3062" s="2"/>
      <c r="K3062" s="2" t="s">
        <v>460</v>
      </c>
    </row>
    <row r="3063" customFormat="false" ht="15" hidden="false" customHeight="false" outlineLevel="0" collapsed="false">
      <c r="A3063" s="2" t="s">
        <v>245</v>
      </c>
      <c r="B3063" s="2" t="s">
        <v>246</v>
      </c>
      <c r="C3063" s="2" t="s">
        <v>53</v>
      </c>
      <c r="D3063" s="3" t="n">
        <v>46258</v>
      </c>
      <c r="E3063" s="2" t="str">
        <f aca="false">TEXT(D3063,"dddd")</f>
        <v>Monday</v>
      </c>
      <c r="F3063" s="2" t="s">
        <v>457</v>
      </c>
      <c r="G3063" s="2" t="s">
        <v>458</v>
      </c>
      <c r="H3063" s="2" t="s">
        <v>459</v>
      </c>
      <c r="I3063" s="2" t="n">
        <f aca="false">IF(F3063="Present",9,IF(F3063="Half Day",4,0))</f>
        <v>9</v>
      </c>
      <c r="J3063" s="2"/>
      <c r="K3063" s="2"/>
    </row>
    <row r="3064" customFormat="false" ht="15" hidden="false" customHeight="false" outlineLevel="0" collapsed="false">
      <c r="A3064" s="2" t="s">
        <v>245</v>
      </c>
      <c r="B3064" s="2" t="s">
        <v>246</v>
      </c>
      <c r="C3064" s="2" t="s">
        <v>53</v>
      </c>
      <c r="D3064" s="3" t="n">
        <v>46259</v>
      </c>
      <c r="E3064" s="2" t="str">
        <f aca="false">TEXT(D3064,"dddd")</f>
        <v>Tuesday</v>
      </c>
      <c r="F3064" s="2" t="s">
        <v>461</v>
      </c>
      <c r="G3064" s="2"/>
      <c r="H3064" s="2"/>
      <c r="I3064" s="2" t="n">
        <f aca="false">IF(F3064="Present",9,IF(F3064="Half Day",4,0))</f>
        <v>0</v>
      </c>
      <c r="J3064" s="2"/>
      <c r="K3064" s="2" t="s">
        <v>462</v>
      </c>
    </row>
    <row r="3065" customFormat="false" ht="15" hidden="false" customHeight="false" outlineLevel="0" collapsed="false">
      <c r="A3065" s="2" t="s">
        <v>245</v>
      </c>
      <c r="B3065" s="2" t="s">
        <v>246</v>
      </c>
      <c r="C3065" s="2" t="s">
        <v>53</v>
      </c>
      <c r="D3065" s="3" t="n">
        <v>46260</v>
      </c>
      <c r="E3065" s="2" t="str">
        <f aca="false">TEXT(D3065,"dddd")</f>
        <v>Wednesday</v>
      </c>
      <c r="F3065" s="2" t="s">
        <v>457</v>
      </c>
      <c r="G3065" s="2" t="s">
        <v>458</v>
      </c>
      <c r="H3065" s="2" t="s">
        <v>459</v>
      </c>
      <c r="I3065" s="2" t="n">
        <f aca="false">IF(F3065="Present",9,IF(F3065="Half Day",4,0))</f>
        <v>9</v>
      </c>
      <c r="J3065" s="2"/>
      <c r="K3065" s="2"/>
    </row>
    <row r="3066" customFormat="false" ht="15" hidden="false" customHeight="false" outlineLevel="0" collapsed="false">
      <c r="A3066" s="2" t="s">
        <v>245</v>
      </c>
      <c r="B3066" s="2" t="s">
        <v>246</v>
      </c>
      <c r="C3066" s="2" t="s">
        <v>53</v>
      </c>
      <c r="D3066" s="3" t="n">
        <v>46261</v>
      </c>
      <c r="E3066" s="2" t="str">
        <f aca="false">TEXT(D3066,"dddd")</f>
        <v>Thursday</v>
      </c>
      <c r="F3066" s="2" t="s">
        <v>457</v>
      </c>
      <c r="G3066" s="2" t="s">
        <v>458</v>
      </c>
      <c r="H3066" s="2" t="s">
        <v>459</v>
      </c>
      <c r="I3066" s="2" t="n">
        <f aca="false">IF(F3066="Present",9,IF(F3066="Half Day",4,0))</f>
        <v>9</v>
      </c>
      <c r="J3066" s="2"/>
      <c r="K3066" s="2"/>
    </row>
    <row r="3067" customFormat="false" ht="15" hidden="false" customHeight="false" outlineLevel="0" collapsed="false">
      <c r="A3067" s="2" t="s">
        <v>245</v>
      </c>
      <c r="B3067" s="2" t="s">
        <v>246</v>
      </c>
      <c r="C3067" s="2" t="s">
        <v>53</v>
      </c>
      <c r="D3067" s="3" t="n">
        <v>46262</v>
      </c>
      <c r="E3067" s="2" t="str">
        <f aca="false">TEXT(D3067,"dddd")</f>
        <v>Friday</v>
      </c>
      <c r="F3067" s="2" t="s">
        <v>457</v>
      </c>
      <c r="G3067" s="2" t="s">
        <v>458</v>
      </c>
      <c r="H3067" s="2" t="s">
        <v>459</v>
      </c>
      <c r="I3067" s="2" t="n">
        <f aca="false">IF(F3067="Present",9,IF(F3067="Half Day",4,0))</f>
        <v>9</v>
      </c>
      <c r="J3067" s="2"/>
      <c r="K3067" s="2"/>
    </row>
    <row r="3068" customFormat="false" ht="15" hidden="false" customHeight="false" outlineLevel="0" collapsed="false">
      <c r="A3068" s="2" t="s">
        <v>245</v>
      </c>
      <c r="B3068" s="2" t="s">
        <v>246</v>
      </c>
      <c r="C3068" s="2" t="s">
        <v>53</v>
      </c>
      <c r="D3068" s="3" t="n">
        <v>46263</v>
      </c>
      <c r="E3068" s="2" t="str">
        <f aca="false">TEXT(D3068,"dddd")</f>
        <v>Saturday</v>
      </c>
      <c r="F3068" s="2" t="s">
        <v>457</v>
      </c>
      <c r="G3068" s="2" t="s">
        <v>458</v>
      </c>
      <c r="H3068" s="2" t="s">
        <v>459</v>
      </c>
      <c r="I3068" s="2" t="n">
        <f aca="false">IF(F3068="Present",9,IF(F3068="Half Day",4,0))</f>
        <v>9</v>
      </c>
      <c r="J3068" s="2"/>
      <c r="K3068" s="2"/>
    </row>
    <row r="3069" customFormat="false" ht="15" hidden="false" customHeight="false" outlineLevel="0" collapsed="false">
      <c r="A3069" s="2" t="s">
        <v>245</v>
      </c>
      <c r="B3069" s="2" t="s">
        <v>246</v>
      </c>
      <c r="C3069" s="2" t="s">
        <v>53</v>
      </c>
      <c r="D3069" s="3" t="n">
        <v>46264</v>
      </c>
      <c r="E3069" s="2" t="str">
        <f aca="false">TEXT(D3069,"dddd")</f>
        <v>Sunday</v>
      </c>
      <c r="F3069" s="2" t="s">
        <v>460</v>
      </c>
      <c r="G3069" s="2"/>
      <c r="H3069" s="2"/>
      <c r="I3069" s="2" t="n">
        <f aca="false">IF(F3069="Present",9,IF(F3069="Half Day",4,0))</f>
        <v>0</v>
      </c>
      <c r="J3069" s="2"/>
      <c r="K3069" s="2" t="s">
        <v>460</v>
      </c>
    </row>
    <row r="3070" customFormat="false" ht="15" hidden="false" customHeight="false" outlineLevel="0" collapsed="false">
      <c r="A3070" s="2" t="s">
        <v>245</v>
      </c>
      <c r="B3070" s="2" t="s">
        <v>246</v>
      </c>
      <c r="C3070" s="2" t="s">
        <v>53</v>
      </c>
      <c r="D3070" s="3" t="n">
        <v>46265</v>
      </c>
      <c r="E3070" s="2" t="str">
        <f aca="false">TEXT(D3070,"dddd")</f>
        <v>Monday</v>
      </c>
      <c r="F3070" s="2" t="s">
        <v>457</v>
      </c>
      <c r="G3070" s="2" t="s">
        <v>458</v>
      </c>
      <c r="H3070" s="2" t="s">
        <v>459</v>
      </c>
      <c r="I3070" s="2" t="n">
        <f aca="false">IF(F3070="Present",9,IF(F3070="Half Day",4,0))</f>
        <v>9</v>
      </c>
      <c r="J3070" s="2"/>
      <c r="K3070" s="2"/>
    </row>
    <row r="3071" customFormat="false" ht="15" hidden="false" customHeight="false" outlineLevel="0" collapsed="false">
      <c r="A3071" s="2" t="s">
        <v>247</v>
      </c>
      <c r="B3071" s="2" t="s">
        <v>248</v>
      </c>
      <c r="C3071" s="2" t="s">
        <v>57</v>
      </c>
      <c r="D3071" s="3" t="n">
        <v>46235</v>
      </c>
      <c r="E3071" s="2" t="str">
        <f aca="false">TEXT(D3071,"dddd")</f>
        <v>Saturday</v>
      </c>
      <c r="F3071" s="2" t="s">
        <v>457</v>
      </c>
      <c r="G3071" s="2" t="s">
        <v>458</v>
      </c>
      <c r="H3071" s="2" t="s">
        <v>459</v>
      </c>
      <c r="I3071" s="2" t="n">
        <f aca="false">IF(F3071="Present",9,IF(F3071="Half Day",4,0))</f>
        <v>9</v>
      </c>
      <c r="J3071" s="2"/>
      <c r="K3071" s="2"/>
    </row>
    <row r="3072" customFormat="false" ht="15" hidden="false" customHeight="false" outlineLevel="0" collapsed="false">
      <c r="A3072" s="2" t="s">
        <v>247</v>
      </c>
      <c r="B3072" s="2" t="s">
        <v>248</v>
      </c>
      <c r="C3072" s="2" t="s">
        <v>57</v>
      </c>
      <c r="D3072" s="3" t="n">
        <v>46236</v>
      </c>
      <c r="E3072" s="2" t="str">
        <f aca="false">TEXT(D3072,"dddd")</f>
        <v>Sunday</v>
      </c>
      <c r="F3072" s="2" t="s">
        <v>460</v>
      </c>
      <c r="G3072" s="2"/>
      <c r="H3072" s="2"/>
      <c r="I3072" s="2" t="n">
        <f aca="false">IF(F3072="Present",9,IF(F3072="Half Day",4,0))</f>
        <v>0</v>
      </c>
      <c r="J3072" s="2"/>
      <c r="K3072" s="2" t="s">
        <v>460</v>
      </c>
    </row>
    <row r="3073" customFormat="false" ht="15" hidden="false" customHeight="false" outlineLevel="0" collapsed="false">
      <c r="A3073" s="2" t="s">
        <v>247</v>
      </c>
      <c r="B3073" s="2" t="s">
        <v>248</v>
      </c>
      <c r="C3073" s="2" t="s">
        <v>57</v>
      </c>
      <c r="D3073" s="3" t="n">
        <v>46237</v>
      </c>
      <c r="E3073" s="2" t="str">
        <f aca="false">TEXT(D3073,"dddd")</f>
        <v>Monday</v>
      </c>
      <c r="F3073" s="2" t="s">
        <v>461</v>
      </c>
      <c r="G3073" s="2"/>
      <c r="H3073" s="2"/>
      <c r="I3073" s="2" t="n">
        <f aca="false">IF(F3073="Present",9,IF(F3073="Half Day",4,0))</f>
        <v>0</v>
      </c>
      <c r="J3073" s="2"/>
      <c r="K3073" s="2" t="s">
        <v>462</v>
      </c>
    </row>
    <row r="3074" customFormat="false" ht="15" hidden="false" customHeight="false" outlineLevel="0" collapsed="false">
      <c r="A3074" s="2" t="s">
        <v>247</v>
      </c>
      <c r="B3074" s="2" t="s">
        <v>248</v>
      </c>
      <c r="C3074" s="2" t="s">
        <v>57</v>
      </c>
      <c r="D3074" s="3" t="n">
        <v>46238</v>
      </c>
      <c r="E3074" s="2" t="str">
        <f aca="false">TEXT(D3074,"dddd")</f>
        <v>Tuesday</v>
      </c>
      <c r="F3074" s="2" t="s">
        <v>457</v>
      </c>
      <c r="G3074" s="2" t="s">
        <v>458</v>
      </c>
      <c r="H3074" s="2" t="s">
        <v>459</v>
      </c>
      <c r="I3074" s="2" t="n">
        <f aca="false">IF(F3074="Present",9,IF(F3074="Half Day",4,0))</f>
        <v>9</v>
      </c>
      <c r="J3074" s="2"/>
      <c r="K3074" s="2"/>
    </row>
    <row r="3075" customFormat="false" ht="15" hidden="false" customHeight="false" outlineLevel="0" collapsed="false">
      <c r="A3075" s="2" t="s">
        <v>247</v>
      </c>
      <c r="B3075" s="2" t="s">
        <v>248</v>
      </c>
      <c r="C3075" s="2" t="s">
        <v>57</v>
      </c>
      <c r="D3075" s="3" t="n">
        <v>46239</v>
      </c>
      <c r="E3075" s="2" t="str">
        <f aca="false">TEXT(D3075,"dddd")</f>
        <v>Wednesday</v>
      </c>
      <c r="F3075" s="2" t="s">
        <v>457</v>
      </c>
      <c r="G3075" s="2" t="s">
        <v>458</v>
      </c>
      <c r="H3075" s="2" t="s">
        <v>459</v>
      </c>
      <c r="I3075" s="2" t="n">
        <f aca="false">IF(F3075="Present",9,IF(F3075="Half Day",4,0))</f>
        <v>9</v>
      </c>
      <c r="J3075" s="2"/>
      <c r="K3075" s="2"/>
    </row>
    <row r="3076" customFormat="false" ht="15" hidden="false" customHeight="false" outlineLevel="0" collapsed="false">
      <c r="A3076" s="2" t="s">
        <v>247</v>
      </c>
      <c r="B3076" s="2" t="s">
        <v>248</v>
      </c>
      <c r="C3076" s="2" t="s">
        <v>57</v>
      </c>
      <c r="D3076" s="3" t="n">
        <v>46240</v>
      </c>
      <c r="E3076" s="2" t="str">
        <f aca="false">TEXT(D3076,"dddd")</f>
        <v>Thursday</v>
      </c>
      <c r="F3076" s="2" t="s">
        <v>466</v>
      </c>
      <c r="G3076" s="2" t="s">
        <v>458</v>
      </c>
      <c r="H3076" s="2" t="s">
        <v>467</v>
      </c>
      <c r="I3076" s="2" t="n">
        <f aca="false">IF(F3076="Present",9,IF(F3076="Half Day",4,0))</f>
        <v>4</v>
      </c>
      <c r="J3076" s="2"/>
      <c r="K3076" s="2" t="s">
        <v>466</v>
      </c>
    </row>
    <row r="3077" customFormat="false" ht="15" hidden="false" customHeight="false" outlineLevel="0" collapsed="false">
      <c r="A3077" s="2" t="s">
        <v>247</v>
      </c>
      <c r="B3077" s="2" t="s">
        <v>248</v>
      </c>
      <c r="C3077" s="2" t="s">
        <v>57</v>
      </c>
      <c r="D3077" s="3" t="n">
        <v>46241</v>
      </c>
      <c r="E3077" s="2" t="str">
        <f aca="false">TEXT(D3077,"dddd")</f>
        <v>Friday</v>
      </c>
      <c r="F3077" s="2" t="s">
        <v>457</v>
      </c>
      <c r="G3077" s="2" t="s">
        <v>458</v>
      </c>
      <c r="H3077" s="2" t="s">
        <v>459</v>
      </c>
      <c r="I3077" s="2" t="n">
        <f aca="false">IF(F3077="Present",9,IF(F3077="Half Day",4,0))</f>
        <v>9</v>
      </c>
      <c r="J3077" s="2"/>
      <c r="K3077" s="2"/>
    </row>
    <row r="3078" customFormat="false" ht="15" hidden="false" customHeight="false" outlineLevel="0" collapsed="false">
      <c r="A3078" s="2" t="s">
        <v>247</v>
      </c>
      <c r="B3078" s="2" t="s">
        <v>248</v>
      </c>
      <c r="C3078" s="2" t="s">
        <v>57</v>
      </c>
      <c r="D3078" s="3" t="n">
        <v>46242</v>
      </c>
      <c r="E3078" s="2" t="str">
        <f aca="false">TEXT(D3078,"dddd")</f>
        <v>Saturday</v>
      </c>
      <c r="F3078" s="2" t="s">
        <v>457</v>
      </c>
      <c r="G3078" s="2" t="s">
        <v>458</v>
      </c>
      <c r="H3078" s="2" t="s">
        <v>459</v>
      </c>
      <c r="I3078" s="2" t="n">
        <f aca="false">IF(F3078="Present",9,IF(F3078="Half Day",4,0))</f>
        <v>9</v>
      </c>
      <c r="J3078" s="2"/>
      <c r="K3078" s="2"/>
    </row>
    <row r="3079" customFormat="false" ht="15" hidden="false" customHeight="false" outlineLevel="0" collapsed="false">
      <c r="A3079" s="2" t="s">
        <v>247</v>
      </c>
      <c r="B3079" s="2" t="s">
        <v>248</v>
      </c>
      <c r="C3079" s="2" t="s">
        <v>57</v>
      </c>
      <c r="D3079" s="3" t="n">
        <v>46243</v>
      </c>
      <c r="E3079" s="2" t="str">
        <f aca="false">TEXT(D3079,"dddd")</f>
        <v>Sunday</v>
      </c>
      <c r="F3079" s="2" t="s">
        <v>460</v>
      </c>
      <c r="G3079" s="2"/>
      <c r="H3079" s="2"/>
      <c r="I3079" s="2" t="n">
        <f aca="false">IF(F3079="Present",9,IF(F3079="Half Day",4,0))</f>
        <v>0</v>
      </c>
      <c r="J3079" s="2"/>
      <c r="K3079" s="2" t="s">
        <v>460</v>
      </c>
    </row>
    <row r="3080" customFormat="false" ht="15" hidden="false" customHeight="false" outlineLevel="0" collapsed="false">
      <c r="A3080" s="2" t="s">
        <v>247</v>
      </c>
      <c r="B3080" s="2" t="s">
        <v>248</v>
      </c>
      <c r="C3080" s="2" t="s">
        <v>57</v>
      </c>
      <c r="D3080" s="3" t="n">
        <v>46244</v>
      </c>
      <c r="E3080" s="2" t="str">
        <f aca="false">TEXT(D3080,"dddd")</f>
        <v>Monday</v>
      </c>
      <c r="F3080" s="2" t="s">
        <v>457</v>
      </c>
      <c r="G3080" s="2" t="s">
        <v>458</v>
      </c>
      <c r="H3080" s="2" t="s">
        <v>459</v>
      </c>
      <c r="I3080" s="2" t="n">
        <f aca="false">IF(F3080="Present",9,IF(F3080="Half Day",4,0))</f>
        <v>9</v>
      </c>
      <c r="J3080" s="2"/>
      <c r="K3080" s="2"/>
    </row>
    <row r="3081" customFormat="false" ht="15" hidden="false" customHeight="false" outlineLevel="0" collapsed="false">
      <c r="A3081" s="2" t="s">
        <v>247</v>
      </c>
      <c r="B3081" s="2" t="s">
        <v>248</v>
      </c>
      <c r="C3081" s="2" t="s">
        <v>57</v>
      </c>
      <c r="D3081" s="3" t="n">
        <v>46245</v>
      </c>
      <c r="E3081" s="2" t="str">
        <f aca="false">TEXT(D3081,"dddd")</f>
        <v>Tuesday</v>
      </c>
      <c r="F3081" s="2" t="s">
        <v>457</v>
      </c>
      <c r="G3081" s="2" t="s">
        <v>458</v>
      </c>
      <c r="H3081" s="2" t="s">
        <v>459</v>
      </c>
      <c r="I3081" s="2" t="n">
        <f aca="false">IF(F3081="Present",9,IF(F3081="Half Day",4,0))</f>
        <v>9</v>
      </c>
      <c r="J3081" s="2"/>
      <c r="K3081" s="2"/>
    </row>
    <row r="3082" customFormat="false" ht="15" hidden="false" customHeight="false" outlineLevel="0" collapsed="false">
      <c r="A3082" s="2" t="s">
        <v>247</v>
      </c>
      <c r="B3082" s="2" t="s">
        <v>248</v>
      </c>
      <c r="C3082" s="2" t="s">
        <v>57</v>
      </c>
      <c r="D3082" s="3" t="n">
        <v>46246</v>
      </c>
      <c r="E3082" s="2" t="str">
        <f aca="false">TEXT(D3082,"dddd")</f>
        <v>Wednesday</v>
      </c>
      <c r="F3082" s="2" t="s">
        <v>457</v>
      </c>
      <c r="G3082" s="2" t="s">
        <v>458</v>
      </c>
      <c r="H3082" s="2" t="s">
        <v>459</v>
      </c>
      <c r="I3082" s="2" t="n">
        <f aca="false">IF(F3082="Present",9,IF(F3082="Half Day",4,0))</f>
        <v>9</v>
      </c>
      <c r="J3082" s="2"/>
      <c r="K3082" s="2"/>
    </row>
    <row r="3083" customFormat="false" ht="15" hidden="false" customHeight="false" outlineLevel="0" collapsed="false">
      <c r="A3083" s="2" t="s">
        <v>247</v>
      </c>
      <c r="B3083" s="2" t="s">
        <v>248</v>
      </c>
      <c r="C3083" s="2" t="s">
        <v>57</v>
      </c>
      <c r="D3083" s="3" t="n">
        <v>46247</v>
      </c>
      <c r="E3083" s="2" t="str">
        <f aca="false">TEXT(D3083,"dddd")</f>
        <v>Thursday</v>
      </c>
      <c r="F3083" s="2" t="s">
        <v>457</v>
      </c>
      <c r="G3083" s="2" t="s">
        <v>458</v>
      </c>
      <c r="H3083" s="2" t="s">
        <v>459</v>
      </c>
      <c r="I3083" s="2" t="n">
        <f aca="false">IF(F3083="Present",9,IF(F3083="Half Day",4,0))</f>
        <v>9</v>
      </c>
      <c r="J3083" s="2"/>
      <c r="K3083" s="2"/>
    </row>
    <row r="3084" customFormat="false" ht="15" hidden="false" customHeight="false" outlineLevel="0" collapsed="false">
      <c r="A3084" s="2" t="s">
        <v>247</v>
      </c>
      <c r="B3084" s="2" t="s">
        <v>248</v>
      </c>
      <c r="C3084" s="2" t="s">
        <v>57</v>
      </c>
      <c r="D3084" s="3" t="n">
        <v>46248</v>
      </c>
      <c r="E3084" s="2" t="str">
        <f aca="false">TEXT(D3084,"dddd")</f>
        <v>Friday</v>
      </c>
      <c r="F3084" s="2" t="s">
        <v>457</v>
      </c>
      <c r="G3084" s="2" t="s">
        <v>458</v>
      </c>
      <c r="H3084" s="2" t="s">
        <v>459</v>
      </c>
      <c r="I3084" s="2" t="n">
        <f aca="false">IF(F3084="Present",9,IF(F3084="Half Day",4,0))</f>
        <v>9</v>
      </c>
      <c r="J3084" s="2"/>
      <c r="K3084" s="2"/>
    </row>
    <row r="3085" customFormat="false" ht="15" hidden="false" customHeight="false" outlineLevel="0" collapsed="false">
      <c r="A3085" s="2" t="s">
        <v>247</v>
      </c>
      <c r="B3085" s="2" t="s">
        <v>248</v>
      </c>
      <c r="C3085" s="2" t="s">
        <v>57</v>
      </c>
      <c r="D3085" s="3" t="n">
        <v>46249</v>
      </c>
      <c r="E3085" s="2" t="str">
        <f aca="false">TEXT(D3085,"dddd")</f>
        <v>Saturday</v>
      </c>
      <c r="F3085" s="2" t="s">
        <v>457</v>
      </c>
      <c r="G3085" s="2" t="s">
        <v>458</v>
      </c>
      <c r="H3085" s="2" t="s">
        <v>459</v>
      </c>
      <c r="I3085" s="2" t="n">
        <f aca="false">IF(F3085="Present",9,IF(F3085="Half Day",4,0))</f>
        <v>9</v>
      </c>
      <c r="J3085" s="2"/>
      <c r="K3085" s="2"/>
    </row>
    <row r="3086" customFormat="false" ht="15" hidden="false" customHeight="false" outlineLevel="0" collapsed="false">
      <c r="A3086" s="2" t="s">
        <v>247</v>
      </c>
      <c r="B3086" s="2" t="s">
        <v>248</v>
      </c>
      <c r="C3086" s="2" t="s">
        <v>57</v>
      </c>
      <c r="D3086" s="3" t="n">
        <v>46250</v>
      </c>
      <c r="E3086" s="2" t="str">
        <f aca="false">TEXT(D3086,"dddd")</f>
        <v>Sunday</v>
      </c>
      <c r="F3086" s="2" t="s">
        <v>460</v>
      </c>
      <c r="G3086" s="2"/>
      <c r="H3086" s="2"/>
      <c r="I3086" s="2" t="n">
        <f aca="false">IF(F3086="Present",9,IF(F3086="Half Day",4,0))</f>
        <v>0</v>
      </c>
      <c r="J3086" s="2"/>
      <c r="K3086" s="2" t="s">
        <v>460</v>
      </c>
    </row>
    <row r="3087" customFormat="false" ht="15" hidden="false" customHeight="false" outlineLevel="0" collapsed="false">
      <c r="A3087" s="2" t="s">
        <v>247</v>
      </c>
      <c r="B3087" s="2" t="s">
        <v>248</v>
      </c>
      <c r="C3087" s="2" t="s">
        <v>57</v>
      </c>
      <c r="D3087" s="3" t="n">
        <v>46251</v>
      </c>
      <c r="E3087" s="2" t="str">
        <f aca="false">TEXT(D3087,"dddd")</f>
        <v>Monday</v>
      </c>
      <c r="F3087" s="2" t="s">
        <v>457</v>
      </c>
      <c r="G3087" s="2" t="s">
        <v>458</v>
      </c>
      <c r="H3087" s="2" t="s">
        <v>459</v>
      </c>
      <c r="I3087" s="2" t="n">
        <f aca="false">IF(F3087="Present",9,IF(F3087="Half Day",4,0))</f>
        <v>9</v>
      </c>
      <c r="J3087" s="2"/>
      <c r="K3087" s="2"/>
    </row>
    <row r="3088" customFormat="false" ht="15" hidden="false" customHeight="false" outlineLevel="0" collapsed="false">
      <c r="A3088" s="2" t="s">
        <v>247</v>
      </c>
      <c r="B3088" s="2" t="s">
        <v>248</v>
      </c>
      <c r="C3088" s="2" t="s">
        <v>57</v>
      </c>
      <c r="D3088" s="3" t="n">
        <v>46252</v>
      </c>
      <c r="E3088" s="2" t="str">
        <f aca="false">TEXT(D3088,"dddd")</f>
        <v>Tuesday</v>
      </c>
      <c r="F3088" s="2" t="s">
        <v>457</v>
      </c>
      <c r="G3088" s="2" t="s">
        <v>458</v>
      </c>
      <c r="H3088" s="2" t="s">
        <v>459</v>
      </c>
      <c r="I3088" s="2" t="n">
        <f aca="false">IF(F3088="Present",9,IF(F3088="Half Day",4,0))</f>
        <v>9</v>
      </c>
      <c r="J3088" s="2"/>
      <c r="K3088" s="2"/>
    </row>
    <row r="3089" customFormat="false" ht="15" hidden="false" customHeight="false" outlineLevel="0" collapsed="false">
      <c r="A3089" s="2" t="s">
        <v>247</v>
      </c>
      <c r="B3089" s="2" t="s">
        <v>248</v>
      </c>
      <c r="C3089" s="2" t="s">
        <v>57</v>
      </c>
      <c r="D3089" s="3" t="n">
        <v>46253</v>
      </c>
      <c r="E3089" s="2" t="str">
        <f aca="false">TEXT(D3089,"dddd")</f>
        <v>Wednesday</v>
      </c>
      <c r="F3089" s="2" t="s">
        <v>457</v>
      </c>
      <c r="G3089" s="2" t="s">
        <v>458</v>
      </c>
      <c r="H3089" s="2" t="s">
        <v>459</v>
      </c>
      <c r="I3089" s="2" t="n">
        <f aca="false">IF(F3089="Present",9,IF(F3089="Half Day",4,0))</f>
        <v>9</v>
      </c>
      <c r="J3089" s="2"/>
      <c r="K3089" s="2"/>
    </row>
    <row r="3090" customFormat="false" ht="15" hidden="false" customHeight="false" outlineLevel="0" collapsed="false">
      <c r="A3090" s="2" t="s">
        <v>247</v>
      </c>
      <c r="B3090" s="2" t="s">
        <v>248</v>
      </c>
      <c r="C3090" s="2" t="s">
        <v>57</v>
      </c>
      <c r="D3090" s="3" t="n">
        <v>46254</v>
      </c>
      <c r="E3090" s="2" t="str">
        <f aca="false">TEXT(D3090,"dddd")</f>
        <v>Thursday</v>
      </c>
      <c r="F3090" s="2" t="s">
        <v>457</v>
      </c>
      <c r="G3090" s="2" t="s">
        <v>458</v>
      </c>
      <c r="H3090" s="2" t="s">
        <v>459</v>
      </c>
      <c r="I3090" s="2" t="n">
        <f aca="false">IF(F3090="Present",9,IF(F3090="Half Day",4,0))</f>
        <v>9</v>
      </c>
      <c r="J3090" s="2"/>
      <c r="K3090" s="2"/>
    </row>
    <row r="3091" customFormat="false" ht="15" hidden="false" customHeight="false" outlineLevel="0" collapsed="false">
      <c r="A3091" s="2" t="s">
        <v>247</v>
      </c>
      <c r="B3091" s="2" t="s">
        <v>248</v>
      </c>
      <c r="C3091" s="2" t="s">
        <v>57</v>
      </c>
      <c r="D3091" s="3" t="n">
        <v>46255</v>
      </c>
      <c r="E3091" s="2" t="str">
        <f aca="false">TEXT(D3091,"dddd")</f>
        <v>Friday</v>
      </c>
      <c r="F3091" s="2" t="s">
        <v>457</v>
      </c>
      <c r="G3091" s="2" t="s">
        <v>458</v>
      </c>
      <c r="H3091" s="2" t="s">
        <v>459</v>
      </c>
      <c r="I3091" s="2" t="n">
        <f aca="false">IF(F3091="Present",9,IF(F3091="Half Day",4,0))</f>
        <v>9</v>
      </c>
      <c r="J3091" s="2"/>
      <c r="K3091" s="2"/>
    </row>
    <row r="3092" customFormat="false" ht="15" hidden="false" customHeight="false" outlineLevel="0" collapsed="false">
      <c r="A3092" s="2" t="s">
        <v>247</v>
      </c>
      <c r="B3092" s="2" t="s">
        <v>248</v>
      </c>
      <c r="C3092" s="2" t="s">
        <v>57</v>
      </c>
      <c r="D3092" s="3" t="n">
        <v>46256</v>
      </c>
      <c r="E3092" s="2" t="str">
        <f aca="false">TEXT(D3092,"dddd")</f>
        <v>Saturday</v>
      </c>
      <c r="F3092" s="2" t="s">
        <v>457</v>
      </c>
      <c r="G3092" s="2" t="s">
        <v>458</v>
      </c>
      <c r="H3092" s="2" t="s">
        <v>459</v>
      </c>
      <c r="I3092" s="2" t="n">
        <f aca="false">IF(F3092="Present",9,IF(F3092="Half Day",4,0))</f>
        <v>9</v>
      </c>
      <c r="J3092" s="2"/>
      <c r="K3092" s="2"/>
    </row>
    <row r="3093" customFormat="false" ht="15" hidden="false" customHeight="false" outlineLevel="0" collapsed="false">
      <c r="A3093" s="2" t="s">
        <v>247</v>
      </c>
      <c r="B3093" s="2" t="s">
        <v>248</v>
      </c>
      <c r="C3093" s="2" t="s">
        <v>57</v>
      </c>
      <c r="D3093" s="3" t="n">
        <v>46257</v>
      </c>
      <c r="E3093" s="2" t="str">
        <f aca="false">TEXT(D3093,"dddd")</f>
        <v>Sunday</v>
      </c>
      <c r="F3093" s="2" t="s">
        <v>460</v>
      </c>
      <c r="G3093" s="2"/>
      <c r="H3093" s="2"/>
      <c r="I3093" s="2" t="n">
        <f aca="false">IF(F3093="Present",9,IF(F3093="Half Day",4,0))</f>
        <v>0</v>
      </c>
      <c r="J3093" s="2"/>
      <c r="K3093" s="2" t="s">
        <v>460</v>
      </c>
    </row>
    <row r="3094" customFormat="false" ht="15" hidden="false" customHeight="false" outlineLevel="0" collapsed="false">
      <c r="A3094" s="2" t="s">
        <v>247</v>
      </c>
      <c r="B3094" s="2" t="s">
        <v>248</v>
      </c>
      <c r="C3094" s="2" t="s">
        <v>57</v>
      </c>
      <c r="D3094" s="3" t="n">
        <v>46258</v>
      </c>
      <c r="E3094" s="2" t="str">
        <f aca="false">TEXT(D3094,"dddd")</f>
        <v>Monday</v>
      </c>
      <c r="F3094" s="2" t="s">
        <v>461</v>
      </c>
      <c r="G3094" s="2"/>
      <c r="H3094" s="2"/>
      <c r="I3094" s="2" t="n">
        <f aca="false">IF(F3094="Present",9,IF(F3094="Half Day",4,0))</f>
        <v>0</v>
      </c>
      <c r="J3094" s="2"/>
      <c r="K3094" s="2" t="s">
        <v>462</v>
      </c>
    </row>
    <row r="3095" customFormat="false" ht="15" hidden="false" customHeight="false" outlineLevel="0" collapsed="false">
      <c r="A3095" s="2" t="s">
        <v>247</v>
      </c>
      <c r="B3095" s="2" t="s">
        <v>248</v>
      </c>
      <c r="C3095" s="2" t="s">
        <v>57</v>
      </c>
      <c r="D3095" s="3" t="n">
        <v>46259</v>
      </c>
      <c r="E3095" s="2" t="str">
        <f aca="false">TEXT(D3095,"dddd")</f>
        <v>Tuesday</v>
      </c>
      <c r="F3095" s="2" t="s">
        <v>457</v>
      </c>
      <c r="G3095" s="2" t="s">
        <v>458</v>
      </c>
      <c r="H3095" s="2" t="s">
        <v>459</v>
      </c>
      <c r="I3095" s="2" t="n">
        <f aca="false">IF(F3095="Present",9,IF(F3095="Half Day",4,0))</f>
        <v>9</v>
      </c>
      <c r="J3095" s="2"/>
      <c r="K3095" s="2"/>
    </row>
    <row r="3096" customFormat="false" ht="15" hidden="false" customHeight="false" outlineLevel="0" collapsed="false">
      <c r="A3096" s="2" t="s">
        <v>247</v>
      </c>
      <c r="B3096" s="2" t="s">
        <v>248</v>
      </c>
      <c r="C3096" s="2" t="s">
        <v>57</v>
      </c>
      <c r="D3096" s="3" t="n">
        <v>46260</v>
      </c>
      <c r="E3096" s="2" t="str">
        <f aca="false">TEXT(D3096,"dddd")</f>
        <v>Wednesday</v>
      </c>
      <c r="F3096" s="2" t="s">
        <v>457</v>
      </c>
      <c r="G3096" s="2" t="s">
        <v>458</v>
      </c>
      <c r="H3096" s="2" t="s">
        <v>459</v>
      </c>
      <c r="I3096" s="2" t="n">
        <f aca="false">IF(F3096="Present",9,IF(F3096="Half Day",4,0))</f>
        <v>9</v>
      </c>
      <c r="J3096" s="2"/>
      <c r="K3096" s="2"/>
    </row>
    <row r="3097" customFormat="false" ht="15" hidden="false" customHeight="false" outlineLevel="0" collapsed="false">
      <c r="A3097" s="2" t="s">
        <v>247</v>
      </c>
      <c r="B3097" s="2" t="s">
        <v>248</v>
      </c>
      <c r="C3097" s="2" t="s">
        <v>57</v>
      </c>
      <c r="D3097" s="3" t="n">
        <v>46261</v>
      </c>
      <c r="E3097" s="2" t="str">
        <f aca="false">TEXT(D3097,"dddd")</f>
        <v>Thursday</v>
      </c>
      <c r="F3097" s="2" t="s">
        <v>457</v>
      </c>
      <c r="G3097" s="2" t="s">
        <v>458</v>
      </c>
      <c r="H3097" s="2" t="s">
        <v>459</v>
      </c>
      <c r="I3097" s="2" t="n">
        <f aca="false">IF(F3097="Present",9,IF(F3097="Half Day",4,0))</f>
        <v>9</v>
      </c>
      <c r="J3097" s="2"/>
      <c r="K3097" s="2"/>
    </row>
    <row r="3098" customFormat="false" ht="15" hidden="false" customHeight="false" outlineLevel="0" collapsed="false">
      <c r="A3098" s="2" t="s">
        <v>247</v>
      </c>
      <c r="B3098" s="2" t="s">
        <v>248</v>
      </c>
      <c r="C3098" s="2" t="s">
        <v>57</v>
      </c>
      <c r="D3098" s="3" t="n">
        <v>46262</v>
      </c>
      <c r="E3098" s="2" t="str">
        <f aca="false">TEXT(D3098,"dddd")</f>
        <v>Friday</v>
      </c>
      <c r="F3098" s="2" t="s">
        <v>457</v>
      </c>
      <c r="G3098" s="2" t="s">
        <v>458</v>
      </c>
      <c r="H3098" s="2" t="s">
        <v>459</v>
      </c>
      <c r="I3098" s="2" t="n">
        <f aca="false">IF(F3098="Present",9,IF(F3098="Half Day",4,0))</f>
        <v>9</v>
      </c>
      <c r="J3098" s="2"/>
      <c r="K3098" s="2"/>
    </row>
    <row r="3099" customFormat="false" ht="15" hidden="false" customHeight="false" outlineLevel="0" collapsed="false">
      <c r="A3099" s="2" t="s">
        <v>247</v>
      </c>
      <c r="B3099" s="2" t="s">
        <v>248</v>
      </c>
      <c r="C3099" s="2" t="s">
        <v>57</v>
      </c>
      <c r="D3099" s="3" t="n">
        <v>46263</v>
      </c>
      <c r="E3099" s="2" t="str">
        <f aca="false">TEXT(D3099,"dddd")</f>
        <v>Saturday</v>
      </c>
      <c r="F3099" s="2" t="s">
        <v>457</v>
      </c>
      <c r="G3099" s="2" t="s">
        <v>458</v>
      </c>
      <c r="H3099" s="2" t="s">
        <v>459</v>
      </c>
      <c r="I3099" s="2" t="n">
        <f aca="false">IF(F3099="Present",9,IF(F3099="Half Day",4,0))</f>
        <v>9</v>
      </c>
      <c r="J3099" s="2"/>
      <c r="K3099" s="2"/>
    </row>
    <row r="3100" customFormat="false" ht="15" hidden="false" customHeight="false" outlineLevel="0" collapsed="false">
      <c r="A3100" s="2" t="s">
        <v>247</v>
      </c>
      <c r="B3100" s="2" t="s">
        <v>248</v>
      </c>
      <c r="C3100" s="2" t="s">
        <v>57</v>
      </c>
      <c r="D3100" s="3" t="n">
        <v>46264</v>
      </c>
      <c r="E3100" s="2" t="str">
        <f aca="false">TEXT(D3100,"dddd")</f>
        <v>Sunday</v>
      </c>
      <c r="F3100" s="2" t="s">
        <v>460</v>
      </c>
      <c r="G3100" s="2"/>
      <c r="H3100" s="2"/>
      <c r="I3100" s="2" t="n">
        <f aca="false">IF(F3100="Present",9,IF(F3100="Half Day",4,0))</f>
        <v>0</v>
      </c>
      <c r="J3100" s="2"/>
      <c r="K3100" s="2" t="s">
        <v>460</v>
      </c>
    </row>
    <row r="3101" customFormat="false" ht="15" hidden="false" customHeight="false" outlineLevel="0" collapsed="false">
      <c r="A3101" s="2" t="s">
        <v>247</v>
      </c>
      <c r="B3101" s="2" t="s">
        <v>248</v>
      </c>
      <c r="C3101" s="2" t="s">
        <v>57</v>
      </c>
      <c r="D3101" s="3" t="n">
        <v>46265</v>
      </c>
      <c r="E3101" s="2" t="str">
        <f aca="false">TEXT(D3101,"dddd")</f>
        <v>Monday</v>
      </c>
      <c r="F3101" s="2" t="s">
        <v>457</v>
      </c>
      <c r="G3101" s="2" t="s">
        <v>458</v>
      </c>
      <c r="H3101" s="2" t="s">
        <v>459</v>
      </c>
      <c r="I3101" s="2" t="n">
        <f aca="false">IF(F3101="Present",9,IF(F3101="Half Day",4,0))</f>
        <v>9</v>
      </c>
      <c r="J3101" s="2"/>
      <c r="K3101" s="2"/>
    </row>
    <row r="3102" customFormat="false" ht="15" hidden="false" customHeight="false" outlineLevel="0" collapsed="false">
      <c r="A3102" s="2" t="s">
        <v>249</v>
      </c>
      <c r="B3102" s="2" t="s">
        <v>250</v>
      </c>
      <c r="C3102" s="2" t="s">
        <v>17</v>
      </c>
      <c r="D3102" s="3" t="n">
        <v>46235</v>
      </c>
      <c r="E3102" s="2" t="str">
        <f aca="false">TEXT(D3102,"dddd")</f>
        <v>Saturday</v>
      </c>
      <c r="F3102" s="2" t="s">
        <v>457</v>
      </c>
      <c r="G3102" s="2" t="s">
        <v>458</v>
      </c>
      <c r="H3102" s="2" t="s">
        <v>459</v>
      </c>
      <c r="I3102" s="2" t="n">
        <f aca="false">IF(F3102="Present",9,IF(F3102="Half Day",4,0))</f>
        <v>9</v>
      </c>
      <c r="J3102" s="2"/>
      <c r="K3102" s="2"/>
    </row>
    <row r="3103" customFormat="false" ht="15" hidden="false" customHeight="false" outlineLevel="0" collapsed="false">
      <c r="A3103" s="2" t="s">
        <v>249</v>
      </c>
      <c r="B3103" s="2" t="s">
        <v>250</v>
      </c>
      <c r="C3103" s="2" t="s">
        <v>17</v>
      </c>
      <c r="D3103" s="3" t="n">
        <v>46236</v>
      </c>
      <c r="E3103" s="2" t="str">
        <f aca="false">TEXT(D3103,"dddd")</f>
        <v>Sunday</v>
      </c>
      <c r="F3103" s="2" t="s">
        <v>460</v>
      </c>
      <c r="G3103" s="2"/>
      <c r="H3103" s="2"/>
      <c r="I3103" s="2" t="n">
        <f aca="false">IF(F3103="Present",9,IF(F3103="Half Day",4,0))</f>
        <v>0</v>
      </c>
      <c r="J3103" s="2"/>
      <c r="K3103" s="2" t="s">
        <v>460</v>
      </c>
    </row>
    <row r="3104" customFormat="false" ht="15" hidden="false" customHeight="false" outlineLevel="0" collapsed="false">
      <c r="A3104" s="2" t="s">
        <v>249</v>
      </c>
      <c r="B3104" s="2" t="s">
        <v>250</v>
      </c>
      <c r="C3104" s="2" t="s">
        <v>17</v>
      </c>
      <c r="D3104" s="3" t="n">
        <v>46237</v>
      </c>
      <c r="E3104" s="2" t="str">
        <f aca="false">TEXT(D3104,"dddd")</f>
        <v>Monday</v>
      </c>
      <c r="F3104" s="2" t="s">
        <v>457</v>
      </c>
      <c r="G3104" s="2" t="s">
        <v>458</v>
      </c>
      <c r="H3104" s="2" t="s">
        <v>459</v>
      </c>
      <c r="I3104" s="2" t="n">
        <f aca="false">IF(F3104="Present",9,IF(F3104="Half Day",4,0))</f>
        <v>9</v>
      </c>
      <c r="J3104" s="2"/>
      <c r="K3104" s="2"/>
    </row>
    <row r="3105" customFormat="false" ht="15" hidden="false" customHeight="false" outlineLevel="0" collapsed="false">
      <c r="A3105" s="2" t="s">
        <v>249</v>
      </c>
      <c r="B3105" s="2" t="s">
        <v>250</v>
      </c>
      <c r="C3105" s="2" t="s">
        <v>17</v>
      </c>
      <c r="D3105" s="3" t="n">
        <v>46238</v>
      </c>
      <c r="E3105" s="2" t="str">
        <f aca="false">TEXT(D3105,"dddd")</f>
        <v>Tuesday</v>
      </c>
      <c r="F3105" s="2" t="s">
        <v>457</v>
      </c>
      <c r="G3105" s="2" t="s">
        <v>458</v>
      </c>
      <c r="H3105" s="2" t="s">
        <v>459</v>
      </c>
      <c r="I3105" s="2" t="n">
        <f aca="false">IF(F3105="Present",9,IF(F3105="Half Day",4,0))</f>
        <v>9</v>
      </c>
      <c r="J3105" s="2"/>
      <c r="K3105" s="2"/>
    </row>
    <row r="3106" customFormat="false" ht="15" hidden="false" customHeight="false" outlineLevel="0" collapsed="false">
      <c r="A3106" s="2" t="s">
        <v>249</v>
      </c>
      <c r="B3106" s="2" t="s">
        <v>250</v>
      </c>
      <c r="C3106" s="2" t="s">
        <v>17</v>
      </c>
      <c r="D3106" s="3" t="n">
        <v>46239</v>
      </c>
      <c r="E3106" s="2" t="str">
        <f aca="false">TEXT(D3106,"dddd")</f>
        <v>Wednesday</v>
      </c>
      <c r="F3106" s="2" t="s">
        <v>457</v>
      </c>
      <c r="G3106" s="2" t="s">
        <v>458</v>
      </c>
      <c r="H3106" s="2" t="s">
        <v>459</v>
      </c>
      <c r="I3106" s="2" t="n">
        <f aca="false">IF(F3106="Present",9,IF(F3106="Half Day",4,0))</f>
        <v>9</v>
      </c>
      <c r="J3106" s="2"/>
      <c r="K3106" s="2"/>
    </row>
    <row r="3107" customFormat="false" ht="15" hidden="false" customHeight="false" outlineLevel="0" collapsed="false">
      <c r="A3107" s="2" t="s">
        <v>249</v>
      </c>
      <c r="B3107" s="2" t="s">
        <v>250</v>
      </c>
      <c r="C3107" s="2" t="s">
        <v>17</v>
      </c>
      <c r="D3107" s="3" t="n">
        <v>46240</v>
      </c>
      <c r="E3107" s="2" t="str">
        <f aca="false">TEXT(D3107,"dddd")</f>
        <v>Thursday</v>
      </c>
      <c r="F3107" s="2" t="s">
        <v>461</v>
      </c>
      <c r="G3107" s="2"/>
      <c r="H3107" s="2"/>
      <c r="I3107" s="2" t="n">
        <f aca="false">IF(F3107="Present",9,IF(F3107="Half Day",4,0))</f>
        <v>0</v>
      </c>
      <c r="J3107" s="2"/>
      <c r="K3107" s="2" t="s">
        <v>462</v>
      </c>
    </row>
    <row r="3108" customFormat="false" ht="15" hidden="false" customHeight="false" outlineLevel="0" collapsed="false">
      <c r="A3108" s="2" t="s">
        <v>249</v>
      </c>
      <c r="B3108" s="2" t="s">
        <v>250</v>
      </c>
      <c r="C3108" s="2" t="s">
        <v>17</v>
      </c>
      <c r="D3108" s="3" t="n">
        <v>46241</v>
      </c>
      <c r="E3108" s="2" t="str">
        <f aca="false">TEXT(D3108,"dddd")</f>
        <v>Friday</v>
      </c>
      <c r="F3108" s="2" t="s">
        <v>457</v>
      </c>
      <c r="G3108" s="2" t="s">
        <v>458</v>
      </c>
      <c r="H3108" s="2" t="s">
        <v>459</v>
      </c>
      <c r="I3108" s="2" t="n">
        <f aca="false">IF(F3108="Present",9,IF(F3108="Half Day",4,0))</f>
        <v>9</v>
      </c>
      <c r="J3108" s="2"/>
      <c r="K3108" s="2"/>
    </row>
    <row r="3109" customFormat="false" ht="15" hidden="false" customHeight="false" outlineLevel="0" collapsed="false">
      <c r="A3109" s="2" t="s">
        <v>249</v>
      </c>
      <c r="B3109" s="2" t="s">
        <v>250</v>
      </c>
      <c r="C3109" s="2" t="s">
        <v>17</v>
      </c>
      <c r="D3109" s="3" t="n">
        <v>46242</v>
      </c>
      <c r="E3109" s="2" t="str">
        <f aca="false">TEXT(D3109,"dddd")</f>
        <v>Saturday</v>
      </c>
      <c r="F3109" s="2" t="s">
        <v>461</v>
      </c>
      <c r="G3109" s="2"/>
      <c r="H3109" s="2"/>
      <c r="I3109" s="2" t="n">
        <f aca="false">IF(F3109="Present",9,IF(F3109="Half Day",4,0))</f>
        <v>0</v>
      </c>
      <c r="J3109" s="2"/>
      <c r="K3109" s="2" t="s">
        <v>462</v>
      </c>
    </row>
    <row r="3110" customFormat="false" ht="15" hidden="false" customHeight="false" outlineLevel="0" collapsed="false">
      <c r="A3110" s="2" t="s">
        <v>249</v>
      </c>
      <c r="B3110" s="2" t="s">
        <v>250</v>
      </c>
      <c r="C3110" s="2" t="s">
        <v>17</v>
      </c>
      <c r="D3110" s="3" t="n">
        <v>46243</v>
      </c>
      <c r="E3110" s="2" t="str">
        <f aca="false">TEXT(D3110,"dddd")</f>
        <v>Sunday</v>
      </c>
      <c r="F3110" s="2" t="s">
        <v>460</v>
      </c>
      <c r="G3110" s="2"/>
      <c r="H3110" s="2"/>
      <c r="I3110" s="2" t="n">
        <f aca="false">IF(F3110="Present",9,IF(F3110="Half Day",4,0))</f>
        <v>0</v>
      </c>
      <c r="J3110" s="2"/>
      <c r="K3110" s="2" t="s">
        <v>460</v>
      </c>
    </row>
    <row r="3111" customFormat="false" ht="15" hidden="false" customHeight="false" outlineLevel="0" collapsed="false">
      <c r="A3111" s="2" t="s">
        <v>249</v>
      </c>
      <c r="B3111" s="2" t="s">
        <v>250</v>
      </c>
      <c r="C3111" s="2" t="s">
        <v>17</v>
      </c>
      <c r="D3111" s="3" t="n">
        <v>46244</v>
      </c>
      <c r="E3111" s="2" t="str">
        <f aca="false">TEXT(D3111,"dddd")</f>
        <v>Monday</v>
      </c>
      <c r="F3111" s="2" t="s">
        <v>457</v>
      </c>
      <c r="G3111" s="2" t="s">
        <v>458</v>
      </c>
      <c r="H3111" s="2" t="s">
        <v>459</v>
      </c>
      <c r="I3111" s="2" t="n">
        <f aca="false">IF(F3111="Present",9,IF(F3111="Half Day",4,0))</f>
        <v>9</v>
      </c>
      <c r="J3111" s="2"/>
      <c r="K3111" s="2"/>
    </row>
    <row r="3112" customFormat="false" ht="15" hidden="false" customHeight="false" outlineLevel="0" collapsed="false">
      <c r="A3112" s="2" t="s">
        <v>249</v>
      </c>
      <c r="B3112" s="2" t="s">
        <v>250</v>
      </c>
      <c r="C3112" s="2" t="s">
        <v>17</v>
      </c>
      <c r="D3112" s="3" t="n">
        <v>46245</v>
      </c>
      <c r="E3112" s="2" t="str">
        <f aca="false">TEXT(D3112,"dddd")</f>
        <v>Tuesday</v>
      </c>
      <c r="F3112" s="2" t="s">
        <v>457</v>
      </c>
      <c r="G3112" s="2" t="s">
        <v>458</v>
      </c>
      <c r="H3112" s="2" t="s">
        <v>459</v>
      </c>
      <c r="I3112" s="2" t="n">
        <f aca="false">IF(F3112="Present",9,IF(F3112="Half Day",4,0))</f>
        <v>9</v>
      </c>
      <c r="J3112" s="2"/>
      <c r="K3112" s="2"/>
    </row>
    <row r="3113" customFormat="false" ht="15" hidden="false" customHeight="false" outlineLevel="0" collapsed="false">
      <c r="A3113" s="2" t="s">
        <v>249</v>
      </c>
      <c r="B3113" s="2" t="s">
        <v>250</v>
      </c>
      <c r="C3113" s="2" t="s">
        <v>17</v>
      </c>
      <c r="D3113" s="3" t="n">
        <v>46246</v>
      </c>
      <c r="E3113" s="2" t="str">
        <f aca="false">TEXT(D3113,"dddd")</f>
        <v>Wednesday</v>
      </c>
      <c r="F3113" s="2" t="s">
        <v>461</v>
      </c>
      <c r="G3113" s="2"/>
      <c r="H3113" s="2"/>
      <c r="I3113" s="2" t="n">
        <f aca="false">IF(F3113="Present",9,IF(F3113="Half Day",4,0))</f>
        <v>0</v>
      </c>
      <c r="J3113" s="2"/>
      <c r="K3113" s="2" t="s">
        <v>462</v>
      </c>
    </row>
    <row r="3114" customFormat="false" ht="15" hidden="false" customHeight="false" outlineLevel="0" collapsed="false">
      <c r="A3114" s="2" t="s">
        <v>249</v>
      </c>
      <c r="B3114" s="2" t="s">
        <v>250</v>
      </c>
      <c r="C3114" s="2" t="s">
        <v>17</v>
      </c>
      <c r="D3114" s="3" t="n">
        <v>46247</v>
      </c>
      <c r="E3114" s="2" t="str">
        <f aca="false">TEXT(D3114,"dddd")</f>
        <v>Thursday</v>
      </c>
      <c r="F3114" s="2" t="s">
        <v>466</v>
      </c>
      <c r="G3114" s="2" t="s">
        <v>458</v>
      </c>
      <c r="H3114" s="2" t="s">
        <v>467</v>
      </c>
      <c r="I3114" s="2" t="n">
        <f aca="false">IF(F3114="Present",9,IF(F3114="Half Day",4,0))</f>
        <v>4</v>
      </c>
      <c r="J3114" s="2"/>
      <c r="K3114" s="2" t="s">
        <v>466</v>
      </c>
    </row>
    <row r="3115" customFormat="false" ht="15" hidden="false" customHeight="false" outlineLevel="0" collapsed="false">
      <c r="A3115" s="2" t="s">
        <v>249</v>
      </c>
      <c r="B3115" s="2" t="s">
        <v>250</v>
      </c>
      <c r="C3115" s="2" t="s">
        <v>17</v>
      </c>
      <c r="D3115" s="3" t="n">
        <v>46248</v>
      </c>
      <c r="E3115" s="2" t="str">
        <f aca="false">TEXT(D3115,"dddd")</f>
        <v>Friday</v>
      </c>
      <c r="F3115" s="2" t="s">
        <v>457</v>
      </c>
      <c r="G3115" s="2" t="s">
        <v>458</v>
      </c>
      <c r="H3115" s="2" t="s">
        <v>459</v>
      </c>
      <c r="I3115" s="2" t="n">
        <f aca="false">IF(F3115="Present",9,IF(F3115="Half Day",4,0))</f>
        <v>9</v>
      </c>
      <c r="J3115" s="2"/>
      <c r="K3115" s="2"/>
    </row>
    <row r="3116" customFormat="false" ht="15" hidden="false" customHeight="false" outlineLevel="0" collapsed="false">
      <c r="A3116" s="2" t="s">
        <v>249</v>
      </c>
      <c r="B3116" s="2" t="s">
        <v>250</v>
      </c>
      <c r="C3116" s="2" t="s">
        <v>17</v>
      </c>
      <c r="D3116" s="3" t="n">
        <v>46249</v>
      </c>
      <c r="E3116" s="2" t="str">
        <f aca="false">TEXT(D3116,"dddd")</f>
        <v>Saturday</v>
      </c>
      <c r="F3116" s="2" t="s">
        <v>463</v>
      </c>
      <c r="G3116" s="2"/>
      <c r="H3116" s="2"/>
      <c r="I3116" s="2" t="n">
        <f aca="false">IF(F3116="Present",9,IF(F3116="Half Day",4,0))</f>
        <v>0</v>
      </c>
      <c r="J3116" s="2" t="s">
        <v>464</v>
      </c>
      <c r="K3116" s="2" t="s">
        <v>465</v>
      </c>
    </row>
    <row r="3117" customFormat="false" ht="15" hidden="false" customHeight="false" outlineLevel="0" collapsed="false">
      <c r="A3117" s="2" t="s">
        <v>249</v>
      </c>
      <c r="B3117" s="2" t="s">
        <v>250</v>
      </c>
      <c r="C3117" s="2" t="s">
        <v>17</v>
      </c>
      <c r="D3117" s="3" t="n">
        <v>46250</v>
      </c>
      <c r="E3117" s="2" t="str">
        <f aca="false">TEXT(D3117,"dddd")</f>
        <v>Sunday</v>
      </c>
      <c r="F3117" s="2" t="s">
        <v>460</v>
      </c>
      <c r="G3117" s="2"/>
      <c r="H3117" s="2"/>
      <c r="I3117" s="2" t="n">
        <f aca="false">IF(F3117="Present",9,IF(F3117="Half Day",4,0))</f>
        <v>0</v>
      </c>
      <c r="J3117" s="2"/>
      <c r="K3117" s="2" t="s">
        <v>460</v>
      </c>
    </row>
    <row r="3118" customFormat="false" ht="15" hidden="false" customHeight="false" outlineLevel="0" collapsed="false">
      <c r="A3118" s="2" t="s">
        <v>249</v>
      </c>
      <c r="B3118" s="2" t="s">
        <v>250</v>
      </c>
      <c r="C3118" s="2" t="s">
        <v>17</v>
      </c>
      <c r="D3118" s="3" t="n">
        <v>46251</v>
      </c>
      <c r="E3118" s="2" t="str">
        <f aca="false">TEXT(D3118,"dddd")</f>
        <v>Monday</v>
      </c>
      <c r="F3118" s="2" t="s">
        <v>457</v>
      </c>
      <c r="G3118" s="2" t="s">
        <v>458</v>
      </c>
      <c r="H3118" s="2" t="s">
        <v>459</v>
      </c>
      <c r="I3118" s="2" t="n">
        <f aca="false">IF(F3118="Present",9,IF(F3118="Half Day",4,0))</f>
        <v>9</v>
      </c>
      <c r="J3118" s="2"/>
      <c r="K3118" s="2"/>
    </row>
    <row r="3119" customFormat="false" ht="15" hidden="false" customHeight="false" outlineLevel="0" collapsed="false">
      <c r="A3119" s="2" t="s">
        <v>249</v>
      </c>
      <c r="B3119" s="2" t="s">
        <v>250</v>
      </c>
      <c r="C3119" s="2" t="s">
        <v>17</v>
      </c>
      <c r="D3119" s="3" t="n">
        <v>46252</v>
      </c>
      <c r="E3119" s="2" t="str">
        <f aca="false">TEXT(D3119,"dddd")</f>
        <v>Tuesday</v>
      </c>
      <c r="F3119" s="2" t="s">
        <v>461</v>
      </c>
      <c r="G3119" s="2"/>
      <c r="H3119" s="2"/>
      <c r="I3119" s="2" t="n">
        <f aca="false">IF(F3119="Present",9,IF(F3119="Half Day",4,0))</f>
        <v>0</v>
      </c>
      <c r="J3119" s="2"/>
      <c r="K3119" s="2" t="s">
        <v>462</v>
      </c>
    </row>
    <row r="3120" customFormat="false" ht="15" hidden="false" customHeight="false" outlineLevel="0" collapsed="false">
      <c r="A3120" s="2" t="s">
        <v>249</v>
      </c>
      <c r="B3120" s="2" t="s">
        <v>250</v>
      </c>
      <c r="C3120" s="2" t="s">
        <v>17</v>
      </c>
      <c r="D3120" s="3" t="n">
        <v>46253</v>
      </c>
      <c r="E3120" s="2" t="str">
        <f aca="false">TEXT(D3120,"dddd")</f>
        <v>Wednesday</v>
      </c>
      <c r="F3120" s="2" t="s">
        <v>457</v>
      </c>
      <c r="G3120" s="2" t="s">
        <v>458</v>
      </c>
      <c r="H3120" s="2" t="s">
        <v>459</v>
      </c>
      <c r="I3120" s="2" t="n">
        <f aca="false">IF(F3120="Present",9,IF(F3120="Half Day",4,0))</f>
        <v>9</v>
      </c>
      <c r="J3120" s="2"/>
      <c r="K3120" s="2"/>
    </row>
    <row r="3121" customFormat="false" ht="15" hidden="false" customHeight="false" outlineLevel="0" collapsed="false">
      <c r="A3121" s="2" t="s">
        <v>249</v>
      </c>
      <c r="B3121" s="2" t="s">
        <v>250</v>
      </c>
      <c r="C3121" s="2" t="s">
        <v>17</v>
      </c>
      <c r="D3121" s="3" t="n">
        <v>46254</v>
      </c>
      <c r="E3121" s="2" t="str">
        <f aca="false">TEXT(D3121,"dddd")</f>
        <v>Thursday</v>
      </c>
      <c r="F3121" s="2" t="s">
        <v>457</v>
      </c>
      <c r="G3121" s="2" t="s">
        <v>458</v>
      </c>
      <c r="H3121" s="2" t="s">
        <v>459</v>
      </c>
      <c r="I3121" s="2" t="n">
        <f aca="false">IF(F3121="Present",9,IF(F3121="Half Day",4,0))</f>
        <v>9</v>
      </c>
      <c r="J3121" s="2"/>
      <c r="K3121" s="2"/>
    </row>
    <row r="3122" customFormat="false" ht="15" hidden="false" customHeight="false" outlineLevel="0" collapsed="false">
      <c r="A3122" s="2" t="s">
        <v>249</v>
      </c>
      <c r="B3122" s="2" t="s">
        <v>250</v>
      </c>
      <c r="C3122" s="2" t="s">
        <v>17</v>
      </c>
      <c r="D3122" s="3" t="n">
        <v>46255</v>
      </c>
      <c r="E3122" s="2" t="str">
        <f aca="false">TEXT(D3122,"dddd")</f>
        <v>Friday</v>
      </c>
      <c r="F3122" s="2" t="s">
        <v>466</v>
      </c>
      <c r="G3122" s="2" t="s">
        <v>458</v>
      </c>
      <c r="H3122" s="2" t="s">
        <v>467</v>
      </c>
      <c r="I3122" s="2" t="n">
        <f aca="false">IF(F3122="Present",9,IF(F3122="Half Day",4,0))</f>
        <v>4</v>
      </c>
      <c r="J3122" s="2"/>
      <c r="K3122" s="2" t="s">
        <v>466</v>
      </c>
    </row>
    <row r="3123" customFormat="false" ht="15" hidden="false" customHeight="false" outlineLevel="0" collapsed="false">
      <c r="A3123" s="2" t="s">
        <v>249</v>
      </c>
      <c r="B3123" s="2" t="s">
        <v>250</v>
      </c>
      <c r="C3123" s="2" t="s">
        <v>17</v>
      </c>
      <c r="D3123" s="3" t="n">
        <v>46256</v>
      </c>
      <c r="E3123" s="2" t="str">
        <f aca="false">TEXT(D3123,"dddd")</f>
        <v>Saturday</v>
      </c>
      <c r="F3123" s="2" t="s">
        <v>463</v>
      </c>
      <c r="G3123" s="2"/>
      <c r="H3123" s="2"/>
      <c r="I3123" s="2" t="n">
        <f aca="false">IF(F3123="Present",9,IF(F3123="Half Day",4,0))</f>
        <v>0</v>
      </c>
      <c r="J3123" s="2" t="s">
        <v>470</v>
      </c>
      <c r="K3123" s="2" t="s">
        <v>471</v>
      </c>
    </row>
    <row r="3124" customFormat="false" ht="15" hidden="false" customHeight="false" outlineLevel="0" collapsed="false">
      <c r="A3124" s="2" t="s">
        <v>249</v>
      </c>
      <c r="B3124" s="2" t="s">
        <v>250</v>
      </c>
      <c r="C3124" s="2" t="s">
        <v>17</v>
      </c>
      <c r="D3124" s="3" t="n">
        <v>46257</v>
      </c>
      <c r="E3124" s="2" t="str">
        <f aca="false">TEXT(D3124,"dddd")</f>
        <v>Sunday</v>
      </c>
      <c r="F3124" s="2" t="s">
        <v>460</v>
      </c>
      <c r="G3124" s="2"/>
      <c r="H3124" s="2"/>
      <c r="I3124" s="2" t="n">
        <f aca="false">IF(F3124="Present",9,IF(F3124="Half Day",4,0))</f>
        <v>0</v>
      </c>
      <c r="J3124" s="2"/>
      <c r="K3124" s="2" t="s">
        <v>460</v>
      </c>
    </row>
    <row r="3125" customFormat="false" ht="15" hidden="false" customHeight="false" outlineLevel="0" collapsed="false">
      <c r="A3125" s="2" t="s">
        <v>249</v>
      </c>
      <c r="B3125" s="2" t="s">
        <v>250</v>
      </c>
      <c r="C3125" s="2" t="s">
        <v>17</v>
      </c>
      <c r="D3125" s="3" t="n">
        <v>46258</v>
      </c>
      <c r="E3125" s="2" t="str">
        <f aca="false">TEXT(D3125,"dddd")</f>
        <v>Monday</v>
      </c>
      <c r="F3125" s="2" t="s">
        <v>457</v>
      </c>
      <c r="G3125" s="2" t="s">
        <v>458</v>
      </c>
      <c r="H3125" s="2" t="s">
        <v>459</v>
      </c>
      <c r="I3125" s="2" t="n">
        <f aca="false">IF(F3125="Present",9,IF(F3125="Half Day",4,0))</f>
        <v>9</v>
      </c>
      <c r="J3125" s="2"/>
      <c r="K3125" s="2"/>
    </row>
    <row r="3126" customFormat="false" ht="15" hidden="false" customHeight="false" outlineLevel="0" collapsed="false">
      <c r="A3126" s="2" t="s">
        <v>249</v>
      </c>
      <c r="B3126" s="2" t="s">
        <v>250</v>
      </c>
      <c r="C3126" s="2" t="s">
        <v>17</v>
      </c>
      <c r="D3126" s="3" t="n">
        <v>46259</v>
      </c>
      <c r="E3126" s="2" t="str">
        <f aca="false">TEXT(D3126,"dddd")</f>
        <v>Tuesday</v>
      </c>
      <c r="F3126" s="2" t="s">
        <v>457</v>
      </c>
      <c r="G3126" s="2" t="s">
        <v>458</v>
      </c>
      <c r="H3126" s="2" t="s">
        <v>459</v>
      </c>
      <c r="I3126" s="2" t="n">
        <f aca="false">IF(F3126="Present",9,IF(F3126="Half Day",4,0))</f>
        <v>9</v>
      </c>
      <c r="J3126" s="2"/>
      <c r="K3126" s="2"/>
    </row>
    <row r="3127" customFormat="false" ht="15" hidden="false" customHeight="false" outlineLevel="0" collapsed="false">
      <c r="A3127" s="2" t="s">
        <v>249</v>
      </c>
      <c r="B3127" s="2" t="s">
        <v>250</v>
      </c>
      <c r="C3127" s="2" t="s">
        <v>17</v>
      </c>
      <c r="D3127" s="3" t="n">
        <v>46260</v>
      </c>
      <c r="E3127" s="2" t="str">
        <f aca="false">TEXT(D3127,"dddd")</f>
        <v>Wednesday</v>
      </c>
      <c r="F3127" s="2" t="s">
        <v>461</v>
      </c>
      <c r="G3127" s="2"/>
      <c r="H3127" s="2"/>
      <c r="I3127" s="2" t="n">
        <f aca="false">IF(F3127="Present",9,IF(F3127="Half Day",4,0))</f>
        <v>0</v>
      </c>
      <c r="J3127" s="2"/>
      <c r="K3127" s="2" t="s">
        <v>462</v>
      </c>
    </row>
    <row r="3128" customFormat="false" ht="15" hidden="false" customHeight="false" outlineLevel="0" collapsed="false">
      <c r="A3128" s="2" t="s">
        <v>249</v>
      </c>
      <c r="B3128" s="2" t="s">
        <v>250</v>
      </c>
      <c r="C3128" s="2" t="s">
        <v>17</v>
      </c>
      <c r="D3128" s="3" t="n">
        <v>46261</v>
      </c>
      <c r="E3128" s="2" t="str">
        <f aca="false">TEXT(D3128,"dddd")</f>
        <v>Thursday</v>
      </c>
      <c r="F3128" s="2" t="s">
        <v>457</v>
      </c>
      <c r="G3128" s="2" t="s">
        <v>458</v>
      </c>
      <c r="H3128" s="2" t="s">
        <v>459</v>
      </c>
      <c r="I3128" s="2" t="n">
        <f aca="false">IF(F3128="Present",9,IF(F3128="Half Day",4,0))</f>
        <v>9</v>
      </c>
      <c r="J3128" s="2"/>
      <c r="K3128" s="2"/>
    </row>
    <row r="3129" customFormat="false" ht="15" hidden="false" customHeight="false" outlineLevel="0" collapsed="false">
      <c r="A3129" s="2" t="s">
        <v>249</v>
      </c>
      <c r="B3129" s="2" t="s">
        <v>250</v>
      </c>
      <c r="C3129" s="2" t="s">
        <v>17</v>
      </c>
      <c r="D3129" s="3" t="n">
        <v>46262</v>
      </c>
      <c r="E3129" s="2" t="str">
        <f aca="false">TEXT(D3129,"dddd")</f>
        <v>Friday</v>
      </c>
      <c r="F3129" s="2" t="s">
        <v>457</v>
      </c>
      <c r="G3129" s="2" t="s">
        <v>458</v>
      </c>
      <c r="H3129" s="2" t="s">
        <v>459</v>
      </c>
      <c r="I3129" s="2" t="n">
        <f aca="false">IF(F3129="Present",9,IF(F3129="Half Day",4,0))</f>
        <v>9</v>
      </c>
      <c r="J3129" s="2"/>
      <c r="K3129" s="2"/>
    </row>
    <row r="3130" customFormat="false" ht="15" hidden="false" customHeight="false" outlineLevel="0" collapsed="false">
      <c r="A3130" s="2" t="s">
        <v>249</v>
      </c>
      <c r="B3130" s="2" t="s">
        <v>250</v>
      </c>
      <c r="C3130" s="2" t="s">
        <v>17</v>
      </c>
      <c r="D3130" s="3" t="n">
        <v>46263</v>
      </c>
      <c r="E3130" s="2" t="str">
        <f aca="false">TEXT(D3130,"dddd")</f>
        <v>Saturday</v>
      </c>
      <c r="F3130" s="2" t="s">
        <v>457</v>
      </c>
      <c r="G3130" s="2" t="s">
        <v>458</v>
      </c>
      <c r="H3130" s="2" t="s">
        <v>459</v>
      </c>
      <c r="I3130" s="2" t="n">
        <f aca="false">IF(F3130="Present",9,IF(F3130="Half Day",4,0))</f>
        <v>9</v>
      </c>
      <c r="J3130" s="2"/>
      <c r="K3130" s="2"/>
    </row>
    <row r="3131" customFormat="false" ht="15" hidden="false" customHeight="false" outlineLevel="0" collapsed="false">
      <c r="A3131" s="2" t="s">
        <v>249</v>
      </c>
      <c r="B3131" s="2" t="s">
        <v>250</v>
      </c>
      <c r="C3131" s="2" t="s">
        <v>17</v>
      </c>
      <c r="D3131" s="3" t="n">
        <v>46264</v>
      </c>
      <c r="E3131" s="2" t="str">
        <f aca="false">TEXT(D3131,"dddd")</f>
        <v>Sunday</v>
      </c>
      <c r="F3131" s="2" t="s">
        <v>460</v>
      </c>
      <c r="G3131" s="2"/>
      <c r="H3131" s="2"/>
      <c r="I3131" s="2" t="n">
        <f aca="false">IF(F3131="Present",9,IF(F3131="Half Day",4,0))</f>
        <v>0</v>
      </c>
      <c r="J3131" s="2"/>
      <c r="K3131" s="2" t="s">
        <v>460</v>
      </c>
    </row>
    <row r="3132" customFormat="false" ht="15" hidden="false" customHeight="false" outlineLevel="0" collapsed="false">
      <c r="A3132" s="2" t="s">
        <v>249</v>
      </c>
      <c r="B3132" s="2" t="s">
        <v>250</v>
      </c>
      <c r="C3132" s="2" t="s">
        <v>17</v>
      </c>
      <c r="D3132" s="3" t="n">
        <v>46265</v>
      </c>
      <c r="E3132" s="2" t="str">
        <f aca="false">TEXT(D3132,"dddd")</f>
        <v>Monday</v>
      </c>
      <c r="F3132" s="2" t="s">
        <v>457</v>
      </c>
      <c r="G3132" s="2" t="s">
        <v>458</v>
      </c>
      <c r="H3132" s="2" t="s">
        <v>459</v>
      </c>
      <c r="I3132" s="2" t="n">
        <f aca="false">IF(F3132="Present",9,IF(F3132="Half Day",4,0))</f>
        <v>9</v>
      </c>
      <c r="J3132" s="2"/>
      <c r="K3132" s="2"/>
    </row>
    <row r="3133" customFormat="false" ht="15" hidden="false" customHeight="false" outlineLevel="0" collapsed="false">
      <c r="A3133" s="2" t="s">
        <v>251</v>
      </c>
      <c r="B3133" s="2" t="s">
        <v>252</v>
      </c>
      <c r="C3133" s="2" t="s">
        <v>24</v>
      </c>
      <c r="D3133" s="3" t="n">
        <v>46235</v>
      </c>
      <c r="E3133" s="2" t="str">
        <f aca="false">TEXT(D3133,"dddd")</f>
        <v>Saturday</v>
      </c>
      <c r="F3133" s="2" t="s">
        <v>457</v>
      </c>
      <c r="G3133" s="2" t="s">
        <v>458</v>
      </c>
      <c r="H3133" s="2" t="s">
        <v>459</v>
      </c>
      <c r="I3133" s="2" t="n">
        <f aca="false">IF(F3133="Present",9,IF(F3133="Half Day",4,0))</f>
        <v>9</v>
      </c>
      <c r="J3133" s="2"/>
      <c r="K3133" s="2"/>
    </row>
    <row r="3134" customFormat="false" ht="15" hidden="false" customHeight="false" outlineLevel="0" collapsed="false">
      <c r="A3134" s="2" t="s">
        <v>251</v>
      </c>
      <c r="B3134" s="2" t="s">
        <v>252</v>
      </c>
      <c r="C3134" s="2" t="s">
        <v>24</v>
      </c>
      <c r="D3134" s="3" t="n">
        <v>46236</v>
      </c>
      <c r="E3134" s="2" t="str">
        <f aca="false">TEXT(D3134,"dddd")</f>
        <v>Sunday</v>
      </c>
      <c r="F3134" s="2" t="s">
        <v>460</v>
      </c>
      <c r="G3134" s="2"/>
      <c r="H3134" s="2"/>
      <c r="I3134" s="2" t="n">
        <f aca="false">IF(F3134="Present",9,IF(F3134="Half Day",4,0))</f>
        <v>0</v>
      </c>
      <c r="J3134" s="2"/>
      <c r="K3134" s="2" t="s">
        <v>460</v>
      </c>
    </row>
    <row r="3135" customFormat="false" ht="15" hidden="false" customHeight="false" outlineLevel="0" collapsed="false">
      <c r="A3135" s="2" t="s">
        <v>251</v>
      </c>
      <c r="B3135" s="2" t="s">
        <v>252</v>
      </c>
      <c r="C3135" s="2" t="s">
        <v>24</v>
      </c>
      <c r="D3135" s="3" t="n">
        <v>46237</v>
      </c>
      <c r="E3135" s="2" t="str">
        <f aca="false">TEXT(D3135,"dddd")</f>
        <v>Monday</v>
      </c>
      <c r="F3135" s="2" t="s">
        <v>457</v>
      </c>
      <c r="G3135" s="2" t="s">
        <v>458</v>
      </c>
      <c r="H3135" s="2" t="s">
        <v>459</v>
      </c>
      <c r="I3135" s="2" t="n">
        <f aca="false">IF(F3135="Present",9,IF(F3135="Half Day",4,0))</f>
        <v>9</v>
      </c>
      <c r="J3135" s="2"/>
      <c r="K3135" s="2"/>
    </row>
    <row r="3136" customFormat="false" ht="15" hidden="false" customHeight="false" outlineLevel="0" collapsed="false">
      <c r="A3136" s="2" t="s">
        <v>251</v>
      </c>
      <c r="B3136" s="2" t="s">
        <v>252</v>
      </c>
      <c r="C3136" s="2" t="s">
        <v>24</v>
      </c>
      <c r="D3136" s="3" t="n">
        <v>46238</v>
      </c>
      <c r="E3136" s="2" t="str">
        <f aca="false">TEXT(D3136,"dddd")</f>
        <v>Tuesday</v>
      </c>
      <c r="F3136" s="2" t="s">
        <v>457</v>
      </c>
      <c r="G3136" s="2" t="s">
        <v>458</v>
      </c>
      <c r="H3136" s="2" t="s">
        <v>459</v>
      </c>
      <c r="I3136" s="2" t="n">
        <f aca="false">IF(F3136="Present",9,IF(F3136="Half Day",4,0))</f>
        <v>9</v>
      </c>
      <c r="J3136" s="2"/>
      <c r="K3136" s="2"/>
    </row>
    <row r="3137" customFormat="false" ht="15" hidden="false" customHeight="false" outlineLevel="0" collapsed="false">
      <c r="A3137" s="2" t="s">
        <v>251</v>
      </c>
      <c r="B3137" s="2" t="s">
        <v>252</v>
      </c>
      <c r="C3137" s="2" t="s">
        <v>24</v>
      </c>
      <c r="D3137" s="3" t="n">
        <v>46239</v>
      </c>
      <c r="E3137" s="2" t="str">
        <f aca="false">TEXT(D3137,"dddd")</f>
        <v>Wednesday</v>
      </c>
      <c r="F3137" s="2" t="s">
        <v>457</v>
      </c>
      <c r="G3137" s="2" t="s">
        <v>458</v>
      </c>
      <c r="H3137" s="2" t="s">
        <v>459</v>
      </c>
      <c r="I3137" s="2" t="n">
        <f aca="false">IF(F3137="Present",9,IF(F3137="Half Day",4,0))</f>
        <v>9</v>
      </c>
      <c r="J3137" s="2"/>
      <c r="K3137" s="2"/>
    </row>
    <row r="3138" customFormat="false" ht="15" hidden="false" customHeight="false" outlineLevel="0" collapsed="false">
      <c r="A3138" s="2" t="s">
        <v>251</v>
      </c>
      <c r="B3138" s="2" t="s">
        <v>252</v>
      </c>
      <c r="C3138" s="2" t="s">
        <v>24</v>
      </c>
      <c r="D3138" s="3" t="n">
        <v>46240</v>
      </c>
      <c r="E3138" s="2" t="str">
        <f aca="false">TEXT(D3138,"dddd")</f>
        <v>Thursday</v>
      </c>
      <c r="F3138" s="2" t="s">
        <v>461</v>
      </c>
      <c r="G3138" s="2"/>
      <c r="H3138" s="2"/>
      <c r="I3138" s="2" t="n">
        <f aca="false">IF(F3138="Present",9,IF(F3138="Half Day",4,0))</f>
        <v>0</v>
      </c>
      <c r="J3138" s="2"/>
      <c r="K3138" s="2" t="s">
        <v>462</v>
      </c>
    </row>
    <row r="3139" customFormat="false" ht="15" hidden="false" customHeight="false" outlineLevel="0" collapsed="false">
      <c r="A3139" s="2" t="s">
        <v>251</v>
      </c>
      <c r="B3139" s="2" t="s">
        <v>252</v>
      </c>
      <c r="C3139" s="2" t="s">
        <v>24</v>
      </c>
      <c r="D3139" s="3" t="n">
        <v>46241</v>
      </c>
      <c r="E3139" s="2" t="str">
        <f aca="false">TEXT(D3139,"dddd")</f>
        <v>Friday</v>
      </c>
      <c r="F3139" s="2" t="s">
        <v>457</v>
      </c>
      <c r="G3139" s="2" t="s">
        <v>458</v>
      </c>
      <c r="H3139" s="2" t="s">
        <v>459</v>
      </c>
      <c r="I3139" s="2" t="n">
        <f aca="false">IF(F3139="Present",9,IF(F3139="Half Day",4,0))</f>
        <v>9</v>
      </c>
      <c r="J3139" s="2"/>
      <c r="K3139" s="2"/>
    </row>
    <row r="3140" customFormat="false" ht="15" hidden="false" customHeight="false" outlineLevel="0" collapsed="false">
      <c r="A3140" s="2" t="s">
        <v>251</v>
      </c>
      <c r="B3140" s="2" t="s">
        <v>252</v>
      </c>
      <c r="C3140" s="2" t="s">
        <v>24</v>
      </c>
      <c r="D3140" s="3" t="n">
        <v>46242</v>
      </c>
      <c r="E3140" s="2" t="str">
        <f aca="false">TEXT(D3140,"dddd")</f>
        <v>Saturday</v>
      </c>
      <c r="F3140" s="2" t="s">
        <v>457</v>
      </c>
      <c r="G3140" s="2" t="s">
        <v>458</v>
      </c>
      <c r="H3140" s="2" t="s">
        <v>459</v>
      </c>
      <c r="I3140" s="2" t="n">
        <f aca="false">IF(F3140="Present",9,IF(F3140="Half Day",4,0))</f>
        <v>9</v>
      </c>
      <c r="J3140" s="2"/>
      <c r="K3140" s="2"/>
    </row>
    <row r="3141" customFormat="false" ht="15" hidden="false" customHeight="false" outlineLevel="0" collapsed="false">
      <c r="A3141" s="2" t="s">
        <v>251</v>
      </c>
      <c r="B3141" s="2" t="s">
        <v>252</v>
      </c>
      <c r="C3141" s="2" t="s">
        <v>24</v>
      </c>
      <c r="D3141" s="3" t="n">
        <v>46243</v>
      </c>
      <c r="E3141" s="2" t="str">
        <f aca="false">TEXT(D3141,"dddd")</f>
        <v>Sunday</v>
      </c>
      <c r="F3141" s="2" t="s">
        <v>460</v>
      </c>
      <c r="G3141" s="2"/>
      <c r="H3141" s="2"/>
      <c r="I3141" s="2" t="n">
        <f aca="false">IF(F3141="Present",9,IF(F3141="Half Day",4,0))</f>
        <v>0</v>
      </c>
      <c r="J3141" s="2"/>
      <c r="K3141" s="2" t="s">
        <v>460</v>
      </c>
    </row>
    <row r="3142" customFormat="false" ht="15" hidden="false" customHeight="false" outlineLevel="0" collapsed="false">
      <c r="A3142" s="2" t="s">
        <v>251</v>
      </c>
      <c r="B3142" s="2" t="s">
        <v>252</v>
      </c>
      <c r="C3142" s="2" t="s">
        <v>24</v>
      </c>
      <c r="D3142" s="3" t="n">
        <v>46244</v>
      </c>
      <c r="E3142" s="2" t="str">
        <f aca="false">TEXT(D3142,"dddd")</f>
        <v>Monday</v>
      </c>
      <c r="F3142" s="2" t="s">
        <v>466</v>
      </c>
      <c r="G3142" s="2" t="s">
        <v>458</v>
      </c>
      <c r="H3142" s="2" t="s">
        <v>467</v>
      </c>
      <c r="I3142" s="2" t="n">
        <f aca="false">IF(F3142="Present",9,IF(F3142="Half Day",4,0))</f>
        <v>4</v>
      </c>
      <c r="J3142" s="2"/>
      <c r="K3142" s="2" t="s">
        <v>466</v>
      </c>
    </row>
    <row r="3143" customFormat="false" ht="15" hidden="false" customHeight="false" outlineLevel="0" collapsed="false">
      <c r="A3143" s="2" t="s">
        <v>251</v>
      </c>
      <c r="B3143" s="2" t="s">
        <v>252</v>
      </c>
      <c r="C3143" s="2" t="s">
        <v>24</v>
      </c>
      <c r="D3143" s="3" t="n">
        <v>46245</v>
      </c>
      <c r="E3143" s="2" t="str">
        <f aca="false">TEXT(D3143,"dddd")</f>
        <v>Tuesday</v>
      </c>
      <c r="F3143" s="2" t="s">
        <v>457</v>
      </c>
      <c r="G3143" s="2" t="s">
        <v>458</v>
      </c>
      <c r="H3143" s="2" t="s">
        <v>459</v>
      </c>
      <c r="I3143" s="2" t="n">
        <f aca="false">IF(F3143="Present",9,IF(F3143="Half Day",4,0))</f>
        <v>9</v>
      </c>
      <c r="J3143" s="2"/>
      <c r="K3143" s="2"/>
    </row>
    <row r="3144" customFormat="false" ht="15" hidden="false" customHeight="false" outlineLevel="0" collapsed="false">
      <c r="A3144" s="2" t="s">
        <v>251</v>
      </c>
      <c r="B3144" s="2" t="s">
        <v>252</v>
      </c>
      <c r="C3144" s="2" t="s">
        <v>24</v>
      </c>
      <c r="D3144" s="3" t="n">
        <v>46246</v>
      </c>
      <c r="E3144" s="2" t="str">
        <f aca="false">TEXT(D3144,"dddd")</f>
        <v>Wednesday</v>
      </c>
      <c r="F3144" s="2" t="s">
        <v>457</v>
      </c>
      <c r="G3144" s="2" t="s">
        <v>458</v>
      </c>
      <c r="H3144" s="2" t="s">
        <v>459</v>
      </c>
      <c r="I3144" s="2" t="n">
        <f aca="false">IF(F3144="Present",9,IF(F3144="Half Day",4,0))</f>
        <v>9</v>
      </c>
      <c r="J3144" s="2"/>
      <c r="K3144" s="2"/>
    </row>
    <row r="3145" customFormat="false" ht="15" hidden="false" customHeight="false" outlineLevel="0" collapsed="false">
      <c r="A3145" s="2" t="s">
        <v>251</v>
      </c>
      <c r="B3145" s="2" t="s">
        <v>252</v>
      </c>
      <c r="C3145" s="2" t="s">
        <v>24</v>
      </c>
      <c r="D3145" s="3" t="n">
        <v>46247</v>
      </c>
      <c r="E3145" s="2" t="str">
        <f aca="false">TEXT(D3145,"dddd")</f>
        <v>Thursday</v>
      </c>
      <c r="F3145" s="2" t="s">
        <v>457</v>
      </c>
      <c r="G3145" s="2" t="s">
        <v>458</v>
      </c>
      <c r="H3145" s="2" t="s">
        <v>459</v>
      </c>
      <c r="I3145" s="2" t="n">
        <f aca="false">IF(F3145="Present",9,IF(F3145="Half Day",4,0))</f>
        <v>9</v>
      </c>
      <c r="J3145" s="2"/>
      <c r="K3145" s="2"/>
    </row>
    <row r="3146" customFormat="false" ht="15" hidden="false" customHeight="false" outlineLevel="0" collapsed="false">
      <c r="A3146" s="2" t="s">
        <v>251</v>
      </c>
      <c r="B3146" s="2" t="s">
        <v>252</v>
      </c>
      <c r="C3146" s="2" t="s">
        <v>24</v>
      </c>
      <c r="D3146" s="3" t="n">
        <v>46248</v>
      </c>
      <c r="E3146" s="2" t="str">
        <f aca="false">TEXT(D3146,"dddd")</f>
        <v>Friday</v>
      </c>
      <c r="F3146" s="2" t="s">
        <v>457</v>
      </c>
      <c r="G3146" s="2" t="s">
        <v>458</v>
      </c>
      <c r="H3146" s="2" t="s">
        <v>459</v>
      </c>
      <c r="I3146" s="2" t="n">
        <f aca="false">IF(F3146="Present",9,IF(F3146="Half Day",4,0))</f>
        <v>9</v>
      </c>
      <c r="J3146" s="2"/>
      <c r="K3146" s="2"/>
    </row>
    <row r="3147" customFormat="false" ht="15" hidden="false" customHeight="false" outlineLevel="0" collapsed="false">
      <c r="A3147" s="2" t="s">
        <v>251</v>
      </c>
      <c r="B3147" s="2" t="s">
        <v>252</v>
      </c>
      <c r="C3147" s="2" t="s">
        <v>24</v>
      </c>
      <c r="D3147" s="3" t="n">
        <v>46249</v>
      </c>
      <c r="E3147" s="2" t="str">
        <f aca="false">TEXT(D3147,"dddd")</f>
        <v>Saturday</v>
      </c>
      <c r="F3147" s="2" t="s">
        <v>457</v>
      </c>
      <c r="G3147" s="2" t="s">
        <v>458</v>
      </c>
      <c r="H3147" s="2" t="s">
        <v>459</v>
      </c>
      <c r="I3147" s="2" t="n">
        <f aca="false">IF(F3147="Present",9,IF(F3147="Half Day",4,0))</f>
        <v>9</v>
      </c>
      <c r="J3147" s="2"/>
      <c r="K3147" s="2"/>
    </row>
    <row r="3148" customFormat="false" ht="15" hidden="false" customHeight="false" outlineLevel="0" collapsed="false">
      <c r="A3148" s="2" t="s">
        <v>251</v>
      </c>
      <c r="B3148" s="2" t="s">
        <v>252</v>
      </c>
      <c r="C3148" s="2" t="s">
        <v>24</v>
      </c>
      <c r="D3148" s="3" t="n">
        <v>46250</v>
      </c>
      <c r="E3148" s="2" t="str">
        <f aca="false">TEXT(D3148,"dddd")</f>
        <v>Sunday</v>
      </c>
      <c r="F3148" s="2" t="s">
        <v>460</v>
      </c>
      <c r="G3148" s="2"/>
      <c r="H3148" s="2"/>
      <c r="I3148" s="2" t="n">
        <f aca="false">IF(F3148="Present",9,IF(F3148="Half Day",4,0))</f>
        <v>0</v>
      </c>
      <c r="J3148" s="2"/>
      <c r="K3148" s="2" t="s">
        <v>460</v>
      </c>
    </row>
    <row r="3149" customFormat="false" ht="15" hidden="false" customHeight="false" outlineLevel="0" collapsed="false">
      <c r="A3149" s="2" t="s">
        <v>251</v>
      </c>
      <c r="B3149" s="2" t="s">
        <v>252</v>
      </c>
      <c r="C3149" s="2" t="s">
        <v>24</v>
      </c>
      <c r="D3149" s="3" t="n">
        <v>46251</v>
      </c>
      <c r="E3149" s="2" t="str">
        <f aca="false">TEXT(D3149,"dddd")</f>
        <v>Monday</v>
      </c>
      <c r="F3149" s="2" t="s">
        <v>457</v>
      </c>
      <c r="G3149" s="2" t="s">
        <v>458</v>
      </c>
      <c r="H3149" s="2" t="s">
        <v>459</v>
      </c>
      <c r="I3149" s="2" t="n">
        <f aca="false">IF(F3149="Present",9,IF(F3149="Half Day",4,0))</f>
        <v>9</v>
      </c>
      <c r="J3149" s="2"/>
      <c r="K3149" s="2"/>
    </row>
    <row r="3150" customFormat="false" ht="15" hidden="false" customHeight="false" outlineLevel="0" collapsed="false">
      <c r="A3150" s="2" t="s">
        <v>251</v>
      </c>
      <c r="B3150" s="2" t="s">
        <v>252</v>
      </c>
      <c r="C3150" s="2" t="s">
        <v>24</v>
      </c>
      <c r="D3150" s="3" t="n">
        <v>46252</v>
      </c>
      <c r="E3150" s="2" t="str">
        <f aca="false">TEXT(D3150,"dddd")</f>
        <v>Tuesday</v>
      </c>
      <c r="F3150" s="2" t="s">
        <v>457</v>
      </c>
      <c r="G3150" s="2" t="s">
        <v>458</v>
      </c>
      <c r="H3150" s="2" t="s">
        <v>459</v>
      </c>
      <c r="I3150" s="2" t="n">
        <f aca="false">IF(F3150="Present",9,IF(F3150="Half Day",4,0))</f>
        <v>9</v>
      </c>
      <c r="J3150" s="2"/>
      <c r="K3150" s="2"/>
    </row>
    <row r="3151" customFormat="false" ht="15" hidden="false" customHeight="false" outlineLevel="0" collapsed="false">
      <c r="A3151" s="2" t="s">
        <v>251</v>
      </c>
      <c r="B3151" s="2" t="s">
        <v>252</v>
      </c>
      <c r="C3151" s="2" t="s">
        <v>24</v>
      </c>
      <c r="D3151" s="3" t="n">
        <v>46253</v>
      </c>
      <c r="E3151" s="2" t="str">
        <f aca="false">TEXT(D3151,"dddd")</f>
        <v>Wednesday</v>
      </c>
      <c r="F3151" s="2" t="s">
        <v>457</v>
      </c>
      <c r="G3151" s="2" t="s">
        <v>458</v>
      </c>
      <c r="H3151" s="2" t="s">
        <v>459</v>
      </c>
      <c r="I3151" s="2" t="n">
        <f aca="false">IF(F3151="Present",9,IF(F3151="Half Day",4,0))</f>
        <v>9</v>
      </c>
      <c r="J3151" s="2"/>
      <c r="K3151" s="2"/>
    </row>
    <row r="3152" customFormat="false" ht="15" hidden="false" customHeight="false" outlineLevel="0" collapsed="false">
      <c r="A3152" s="2" t="s">
        <v>251</v>
      </c>
      <c r="B3152" s="2" t="s">
        <v>252</v>
      </c>
      <c r="C3152" s="2" t="s">
        <v>24</v>
      </c>
      <c r="D3152" s="3" t="n">
        <v>46254</v>
      </c>
      <c r="E3152" s="2" t="str">
        <f aca="false">TEXT(D3152,"dddd")</f>
        <v>Thursday</v>
      </c>
      <c r="F3152" s="2" t="s">
        <v>457</v>
      </c>
      <c r="G3152" s="2" t="s">
        <v>458</v>
      </c>
      <c r="H3152" s="2" t="s">
        <v>459</v>
      </c>
      <c r="I3152" s="2" t="n">
        <f aca="false">IF(F3152="Present",9,IF(F3152="Half Day",4,0))</f>
        <v>9</v>
      </c>
      <c r="J3152" s="2"/>
      <c r="K3152" s="2"/>
    </row>
    <row r="3153" customFormat="false" ht="15" hidden="false" customHeight="false" outlineLevel="0" collapsed="false">
      <c r="A3153" s="2" t="s">
        <v>251</v>
      </c>
      <c r="B3153" s="2" t="s">
        <v>252</v>
      </c>
      <c r="C3153" s="2" t="s">
        <v>24</v>
      </c>
      <c r="D3153" s="3" t="n">
        <v>46255</v>
      </c>
      <c r="E3153" s="2" t="str">
        <f aca="false">TEXT(D3153,"dddd")</f>
        <v>Friday</v>
      </c>
      <c r="F3153" s="2" t="s">
        <v>457</v>
      </c>
      <c r="G3153" s="2" t="s">
        <v>458</v>
      </c>
      <c r="H3153" s="2" t="s">
        <v>459</v>
      </c>
      <c r="I3153" s="2" t="n">
        <f aca="false">IF(F3153="Present",9,IF(F3153="Half Day",4,0))</f>
        <v>9</v>
      </c>
      <c r="J3153" s="2"/>
      <c r="K3153" s="2"/>
    </row>
    <row r="3154" customFormat="false" ht="15" hidden="false" customHeight="false" outlineLevel="0" collapsed="false">
      <c r="A3154" s="2" t="s">
        <v>251</v>
      </c>
      <c r="B3154" s="2" t="s">
        <v>252</v>
      </c>
      <c r="C3154" s="2" t="s">
        <v>24</v>
      </c>
      <c r="D3154" s="3" t="n">
        <v>46256</v>
      </c>
      <c r="E3154" s="2" t="str">
        <f aca="false">TEXT(D3154,"dddd")</f>
        <v>Saturday</v>
      </c>
      <c r="F3154" s="2" t="s">
        <v>457</v>
      </c>
      <c r="G3154" s="2" t="s">
        <v>458</v>
      </c>
      <c r="H3154" s="2" t="s">
        <v>459</v>
      </c>
      <c r="I3154" s="2" t="n">
        <f aca="false">IF(F3154="Present",9,IF(F3154="Half Day",4,0))</f>
        <v>9</v>
      </c>
      <c r="J3154" s="2"/>
      <c r="K3154" s="2"/>
    </row>
    <row r="3155" customFormat="false" ht="15" hidden="false" customHeight="false" outlineLevel="0" collapsed="false">
      <c r="A3155" s="2" t="s">
        <v>251</v>
      </c>
      <c r="B3155" s="2" t="s">
        <v>252</v>
      </c>
      <c r="C3155" s="2" t="s">
        <v>24</v>
      </c>
      <c r="D3155" s="3" t="n">
        <v>46257</v>
      </c>
      <c r="E3155" s="2" t="str">
        <f aca="false">TEXT(D3155,"dddd")</f>
        <v>Sunday</v>
      </c>
      <c r="F3155" s="2" t="s">
        <v>460</v>
      </c>
      <c r="G3155" s="2"/>
      <c r="H3155" s="2"/>
      <c r="I3155" s="2" t="n">
        <f aca="false">IF(F3155="Present",9,IF(F3155="Half Day",4,0))</f>
        <v>0</v>
      </c>
      <c r="J3155" s="2"/>
      <c r="K3155" s="2" t="s">
        <v>460</v>
      </c>
    </row>
    <row r="3156" customFormat="false" ht="15" hidden="false" customHeight="false" outlineLevel="0" collapsed="false">
      <c r="A3156" s="2" t="s">
        <v>251</v>
      </c>
      <c r="B3156" s="2" t="s">
        <v>252</v>
      </c>
      <c r="C3156" s="2" t="s">
        <v>24</v>
      </c>
      <c r="D3156" s="3" t="n">
        <v>46258</v>
      </c>
      <c r="E3156" s="2" t="str">
        <f aca="false">TEXT(D3156,"dddd")</f>
        <v>Monday</v>
      </c>
      <c r="F3156" s="2" t="s">
        <v>466</v>
      </c>
      <c r="G3156" s="2" t="s">
        <v>458</v>
      </c>
      <c r="H3156" s="2" t="s">
        <v>467</v>
      </c>
      <c r="I3156" s="2" t="n">
        <f aca="false">IF(F3156="Present",9,IF(F3156="Half Day",4,0))</f>
        <v>4</v>
      </c>
      <c r="J3156" s="2"/>
      <c r="K3156" s="2" t="s">
        <v>466</v>
      </c>
    </row>
    <row r="3157" customFormat="false" ht="15" hidden="false" customHeight="false" outlineLevel="0" collapsed="false">
      <c r="A3157" s="2" t="s">
        <v>251</v>
      </c>
      <c r="B3157" s="2" t="s">
        <v>252</v>
      </c>
      <c r="C3157" s="2" t="s">
        <v>24</v>
      </c>
      <c r="D3157" s="3" t="n">
        <v>46259</v>
      </c>
      <c r="E3157" s="2" t="str">
        <f aca="false">TEXT(D3157,"dddd")</f>
        <v>Tuesday</v>
      </c>
      <c r="F3157" s="2" t="s">
        <v>457</v>
      </c>
      <c r="G3157" s="2" t="s">
        <v>458</v>
      </c>
      <c r="H3157" s="2" t="s">
        <v>459</v>
      </c>
      <c r="I3157" s="2" t="n">
        <f aca="false">IF(F3157="Present",9,IF(F3157="Half Day",4,0))</f>
        <v>9</v>
      </c>
      <c r="J3157" s="2"/>
      <c r="K3157" s="2"/>
    </row>
    <row r="3158" customFormat="false" ht="15" hidden="false" customHeight="false" outlineLevel="0" collapsed="false">
      <c r="A3158" s="2" t="s">
        <v>251</v>
      </c>
      <c r="B3158" s="2" t="s">
        <v>252</v>
      </c>
      <c r="C3158" s="2" t="s">
        <v>24</v>
      </c>
      <c r="D3158" s="3" t="n">
        <v>46260</v>
      </c>
      <c r="E3158" s="2" t="str">
        <f aca="false">TEXT(D3158,"dddd")</f>
        <v>Wednesday</v>
      </c>
      <c r="F3158" s="2" t="s">
        <v>457</v>
      </c>
      <c r="G3158" s="2" t="s">
        <v>458</v>
      </c>
      <c r="H3158" s="2" t="s">
        <v>459</v>
      </c>
      <c r="I3158" s="2" t="n">
        <f aca="false">IF(F3158="Present",9,IF(F3158="Half Day",4,0))</f>
        <v>9</v>
      </c>
      <c r="J3158" s="2"/>
      <c r="K3158" s="2"/>
    </row>
    <row r="3159" customFormat="false" ht="15" hidden="false" customHeight="false" outlineLevel="0" collapsed="false">
      <c r="A3159" s="2" t="s">
        <v>251</v>
      </c>
      <c r="B3159" s="2" t="s">
        <v>252</v>
      </c>
      <c r="C3159" s="2" t="s">
        <v>24</v>
      </c>
      <c r="D3159" s="3" t="n">
        <v>46261</v>
      </c>
      <c r="E3159" s="2" t="str">
        <f aca="false">TEXT(D3159,"dddd")</f>
        <v>Thursday</v>
      </c>
      <c r="F3159" s="2" t="s">
        <v>457</v>
      </c>
      <c r="G3159" s="2" t="s">
        <v>458</v>
      </c>
      <c r="H3159" s="2" t="s">
        <v>459</v>
      </c>
      <c r="I3159" s="2" t="n">
        <f aca="false">IF(F3159="Present",9,IF(F3159="Half Day",4,0))</f>
        <v>9</v>
      </c>
      <c r="J3159" s="2"/>
      <c r="K3159" s="2"/>
    </row>
    <row r="3160" customFormat="false" ht="15" hidden="false" customHeight="false" outlineLevel="0" collapsed="false">
      <c r="A3160" s="2" t="s">
        <v>251</v>
      </c>
      <c r="B3160" s="2" t="s">
        <v>252</v>
      </c>
      <c r="C3160" s="2" t="s">
        <v>24</v>
      </c>
      <c r="D3160" s="3" t="n">
        <v>46262</v>
      </c>
      <c r="E3160" s="2" t="str">
        <f aca="false">TEXT(D3160,"dddd")</f>
        <v>Friday</v>
      </c>
      <c r="F3160" s="2" t="s">
        <v>457</v>
      </c>
      <c r="G3160" s="2" t="s">
        <v>458</v>
      </c>
      <c r="H3160" s="2" t="s">
        <v>459</v>
      </c>
      <c r="I3160" s="2" t="n">
        <f aca="false">IF(F3160="Present",9,IF(F3160="Half Day",4,0))</f>
        <v>9</v>
      </c>
      <c r="J3160" s="2"/>
      <c r="K3160" s="2"/>
    </row>
    <row r="3161" customFormat="false" ht="15" hidden="false" customHeight="false" outlineLevel="0" collapsed="false">
      <c r="A3161" s="2" t="s">
        <v>251</v>
      </c>
      <c r="B3161" s="2" t="s">
        <v>252</v>
      </c>
      <c r="C3161" s="2" t="s">
        <v>24</v>
      </c>
      <c r="D3161" s="3" t="n">
        <v>46263</v>
      </c>
      <c r="E3161" s="2" t="str">
        <f aca="false">TEXT(D3161,"dddd")</f>
        <v>Saturday</v>
      </c>
      <c r="F3161" s="2" t="s">
        <v>457</v>
      </c>
      <c r="G3161" s="2" t="s">
        <v>458</v>
      </c>
      <c r="H3161" s="2" t="s">
        <v>459</v>
      </c>
      <c r="I3161" s="2" t="n">
        <f aca="false">IF(F3161="Present",9,IF(F3161="Half Day",4,0))</f>
        <v>9</v>
      </c>
      <c r="J3161" s="2"/>
      <c r="K3161" s="2"/>
    </row>
    <row r="3162" customFormat="false" ht="15" hidden="false" customHeight="false" outlineLevel="0" collapsed="false">
      <c r="A3162" s="2" t="s">
        <v>251</v>
      </c>
      <c r="B3162" s="2" t="s">
        <v>252</v>
      </c>
      <c r="C3162" s="2" t="s">
        <v>24</v>
      </c>
      <c r="D3162" s="3" t="n">
        <v>46264</v>
      </c>
      <c r="E3162" s="2" t="str">
        <f aca="false">TEXT(D3162,"dddd")</f>
        <v>Sunday</v>
      </c>
      <c r="F3162" s="2" t="s">
        <v>460</v>
      </c>
      <c r="G3162" s="2"/>
      <c r="H3162" s="2"/>
      <c r="I3162" s="2" t="n">
        <f aca="false">IF(F3162="Present",9,IF(F3162="Half Day",4,0))</f>
        <v>0</v>
      </c>
      <c r="J3162" s="2"/>
      <c r="K3162" s="2" t="s">
        <v>460</v>
      </c>
    </row>
    <row r="3163" customFormat="false" ht="15" hidden="false" customHeight="false" outlineLevel="0" collapsed="false">
      <c r="A3163" s="2" t="s">
        <v>251</v>
      </c>
      <c r="B3163" s="2" t="s">
        <v>252</v>
      </c>
      <c r="C3163" s="2" t="s">
        <v>24</v>
      </c>
      <c r="D3163" s="3" t="n">
        <v>46265</v>
      </c>
      <c r="E3163" s="2" t="str">
        <f aca="false">TEXT(D3163,"dddd")</f>
        <v>Monday</v>
      </c>
      <c r="F3163" s="2" t="s">
        <v>457</v>
      </c>
      <c r="G3163" s="2" t="s">
        <v>458</v>
      </c>
      <c r="H3163" s="2" t="s">
        <v>459</v>
      </c>
      <c r="I3163" s="2" t="n">
        <f aca="false">IF(F3163="Present",9,IF(F3163="Half Day",4,0))</f>
        <v>9</v>
      </c>
      <c r="J3163" s="2"/>
      <c r="K3163" s="2"/>
    </row>
    <row r="3164" customFormat="false" ht="15" hidden="false" customHeight="false" outlineLevel="0" collapsed="false">
      <c r="A3164" s="2" t="s">
        <v>253</v>
      </c>
      <c r="B3164" s="2" t="s">
        <v>254</v>
      </c>
      <c r="C3164" s="2" t="s">
        <v>28</v>
      </c>
      <c r="D3164" s="3" t="n">
        <v>46235</v>
      </c>
      <c r="E3164" s="2" t="str">
        <f aca="false">TEXT(D3164,"dddd")</f>
        <v>Saturday</v>
      </c>
      <c r="F3164" s="2" t="s">
        <v>457</v>
      </c>
      <c r="G3164" s="2" t="s">
        <v>458</v>
      </c>
      <c r="H3164" s="2" t="s">
        <v>459</v>
      </c>
      <c r="I3164" s="2" t="n">
        <f aca="false">IF(F3164="Present",9,IF(F3164="Half Day",4,0))</f>
        <v>9</v>
      </c>
      <c r="J3164" s="2"/>
      <c r="K3164" s="2"/>
    </row>
    <row r="3165" customFormat="false" ht="15" hidden="false" customHeight="false" outlineLevel="0" collapsed="false">
      <c r="A3165" s="2" t="s">
        <v>253</v>
      </c>
      <c r="B3165" s="2" t="s">
        <v>254</v>
      </c>
      <c r="C3165" s="2" t="s">
        <v>28</v>
      </c>
      <c r="D3165" s="3" t="n">
        <v>46236</v>
      </c>
      <c r="E3165" s="2" t="str">
        <f aca="false">TEXT(D3165,"dddd")</f>
        <v>Sunday</v>
      </c>
      <c r="F3165" s="2" t="s">
        <v>460</v>
      </c>
      <c r="G3165" s="2"/>
      <c r="H3165" s="2"/>
      <c r="I3165" s="2" t="n">
        <f aca="false">IF(F3165="Present",9,IF(F3165="Half Day",4,0))</f>
        <v>0</v>
      </c>
      <c r="J3165" s="2"/>
      <c r="K3165" s="2" t="s">
        <v>460</v>
      </c>
    </row>
    <row r="3166" customFormat="false" ht="15" hidden="false" customHeight="false" outlineLevel="0" collapsed="false">
      <c r="A3166" s="2" t="s">
        <v>253</v>
      </c>
      <c r="B3166" s="2" t="s">
        <v>254</v>
      </c>
      <c r="C3166" s="2" t="s">
        <v>28</v>
      </c>
      <c r="D3166" s="3" t="n">
        <v>46237</v>
      </c>
      <c r="E3166" s="2" t="str">
        <f aca="false">TEXT(D3166,"dddd")</f>
        <v>Monday</v>
      </c>
      <c r="F3166" s="2" t="s">
        <v>461</v>
      </c>
      <c r="G3166" s="2"/>
      <c r="H3166" s="2"/>
      <c r="I3166" s="2" t="n">
        <f aca="false">IF(F3166="Present",9,IF(F3166="Half Day",4,0))</f>
        <v>0</v>
      </c>
      <c r="J3166" s="2"/>
      <c r="K3166" s="2" t="s">
        <v>462</v>
      </c>
    </row>
    <row r="3167" customFormat="false" ht="15" hidden="false" customHeight="false" outlineLevel="0" collapsed="false">
      <c r="A3167" s="2" t="s">
        <v>253</v>
      </c>
      <c r="B3167" s="2" t="s">
        <v>254</v>
      </c>
      <c r="C3167" s="2" t="s">
        <v>28</v>
      </c>
      <c r="D3167" s="3" t="n">
        <v>46238</v>
      </c>
      <c r="E3167" s="2" t="str">
        <f aca="false">TEXT(D3167,"dddd")</f>
        <v>Tuesday</v>
      </c>
      <c r="F3167" s="2" t="s">
        <v>457</v>
      </c>
      <c r="G3167" s="2" t="s">
        <v>458</v>
      </c>
      <c r="H3167" s="2" t="s">
        <v>459</v>
      </c>
      <c r="I3167" s="2" t="n">
        <f aca="false">IF(F3167="Present",9,IF(F3167="Half Day",4,0))</f>
        <v>9</v>
      </c>
      <c r="J3167" s="2"/>
      <c r="K3167" s="2"/>
    </row>
    <row r="3168" customFormat="false" ht="15" hidden="false" customHeight="false" outlineLevel="0" collapsed="false">
      <c r="A3168" s="2" t="s">
        <v>253</v>
      </c>
      <c r="B3168" s="2" t="s">
        <v>254</v>
      </c>
      <c r="C3168" s="2" t="s">
        <v>28</v>
      </c>
      <c r="D3168" s="3" t="n">
        <v>46239</v>
      </c>
      <c r="E3168" s="2" t="str">
        <f aca="false">TEXT(D3168,"dddd")</f>
        <v>Wednesday</v>
      </c>
      <c r="F3168" s="2" t="s">
        <v>461</v>
      </c>
      <c r="G3168" s="2"/>
      <c r="H3168" s="2"/>
      <c r="I3168" s="2" t="n">
        <f aca="false">IF(F3168="Present",9,IF(F3168="Half Day",4,0))</f>
        <v>0</v>
      </c>
      <c r="J3168" s="2"/>
      <c r="K3168" s="2" t="s">
        <v>462</v>
      </c>
    </row>
    <row r="3169" customFormat="false" ht="15" hidden="false" customHeight="false" outlineLevel="0" collapsed="false">
      <c r="A3169" s="2" t="s">
        <v>253</v>
      </c>
      <c r="B3169" s="2" t="s">
        <v>254</v>
      </c>
      <c r="C3169" s="2" t="s">
        <v>28</v>
      </c>
      <c r="D3169" s="3" t="n">
        <v>46240</v>
      </c>
      <c r="E3169" s="2" t="str">
        <f aca="false">TEXT(D3169,"dddd")</f>
        <v>Thursday</v>
      </c>
      <c r="F3169" s="2" t="s">
        <v>457</v>
      </c>
      <c r="G3169" s="2" t="s">
        <v>458</v>
      </c>
      <c r="H3169" s="2" t="s">
        <v>459</v>
      </c>
      <c r="I3169" s="2" t="n">
        <f aca="false">IF(F3169="Present",9,IF(F3169="Half Day",4,0))</f>
        <v>9</v>
      </c>
      <c r="J3169" s="2"/>
      <c r="K3169" s="2"/>
    </row>
    <row r="3170" customFormat="false" ht="15" hidden="false" customHeight="false" outlineLevel="0" collapsed="false">
      <c r="A3170" s="2" t="s">
        <v>253</v>
      </c>
      <c r="B3170" s="2" t="s">
        <v>254</v>
      </c>
      <c r="C3170" s="2" t="s">
        <v>28</v>
      </c>
      <c r="D3170" s="3" t="n">
        <v>46241</v>
      </c>
      <c r="E3170" s="2" t="str">
        <f aca="false">TEXT(D3170,"dddd")</f>
        <v>Friday</v>
      </c>
      <c r="F3170" s="2" t="s">
        <v>457</v>
      </c>
      <c r="G3170" s="2" t="s">
        <v>458</v>
      </c>
      <c r="H3170" s="2" t="s">
        <v>459</v>
      </c>
      <c r="I3170" s="2" t="n">
        <f aca="false">IF(F3170="Present",9,IF(F3170="Half Day",4,0))</f>
        <v>9</v>
      </c>
      <c r="J3170" s="2"/>
      <c r="K3170" s="2"/>
    </row>
    <row r="3171" customFormat="false" ht="15" hidden="false" customHeight="false" outlineLevel="0" collapsed="false">
      <c r="A3171" s="2" t="s">
        <v>253</v>
      </c>
      <c r="B3171" s="2" t="s">
        <v>254</v>
      </c>
      <c r="C3171" s="2" t="s">
        <v>28</v>
      </c>
      <c r="D3171" s="3" t="n">
        <v>46242</v>
      </c>
      <c r="E3171" s="2" t="str">
        <f aca="false">TEXT(D3171,"dddd")</f>
        <v>Saturday</v>
      </c>
      <c r="F3171" s="2" t="s">
        <v>457</v>
      </c>
      <c r="G3171" s="2" t="s">
        <v>458</v>
      </c>
      <c r="H3171" s="2" t="s">
        <v>459</v>
      </c>
      <c r="I3171" s="2" t="n">
        <f aca="false">IF(F3171="Present",9,IF(F3171="Half Day",4,0))</f>
        <v>9</v>
      </c>
      <c r="J3171" s="2"/>
      <c r="K3171" s="2"/>
    </row>
    <row r="3172" customFormat="false" ht="15" hidden="false" customHeight="false" outlineLevel="0" collapsed="false">
      <c r="A3172" s="2" t="s">
        <v>253</v>
      </c>
      <c r="B3172" s="2" t="s">
        <v>254</v>
      </c>
      <c r="C3172" s="2" t="s">
        <v>28</v>
      </c>
      <c r="D3172" s="3" t="n">
        <v>46243</v>
      </c>
      <c r="E3172" s="2" t="str">
        <f aca="false">TEXT(D3172,"dddd")</f>
        <v>Sunday</v>
      </c>
      <c r="F3172" s="2" t="s">
        <v>460</v>
      </c>
      <c r="G3172" s="2"/>
      <c r="H3172" s="2"/>
      <c r="I3172" s="2" t="n">
        <f aca="false">IF(F3172="Present",9,IF(F3172="Half Day",4,0))</f>
        <v>0</v>
      </c>
      <c r="J3172" s="2"/>
      <c r="K3172" s="2" t="s">
        <v>460</v>
      </c>
    </row>
    <row r="3173" customFormat="false" ht="15" hidden="false" customHeight="false" outlineLevel="0" collapsed="false">
      <c r="A3173" s="2" t="s">
        <v>253</v>
      </c>
      <c r="B3173" s="2" t="s">
        <v>254</v>
      </c>
      <c r="C3173" s="2" t="s">
        <v>28</v>
      </c>
      <c r="D3173" s="3" t="n">
        <v>46244</v>
      </c>
      <c r="E3173" s="2" t="str">
        <f aca="false">TEXT(D3173,"dddd")</f>
        <v>Monday</v>
      </c>
      <c r="F3173" s="2" t="s">
        <v>457</v>
      </c>
      <c r="G3173" s="2" t="s">
        <v>458</v>
      </c>
      <c r="H3173" s="2" t="s">
        <v>459</v>
      </c>
      <c r="I3173" s="2" t="n">
        <f aca="false">IF(F3173="Present",9,IF(F3173="Half Day",4,0))</f>
        <v>9</v>
      </c>
      <c r="J3173" s="2"/>
      <c r="K3173" s="2"/>
    </row>
    <row r="3174" customFormat="false" ht="15" hidden="false" customHeight="false" outlineLevel="0" collapsed="false">
      <c r="A3174" s="2" t="s">
        <v>253</v>
      </c>
      <c r="B3174" s="2" t="s">
        <v>254</v>
      </c>
      <c r="C3174" s="2" t="s">
        <v>28</v>
      </c>
      <c r="D3174" s="3" t="n">
        <v>46245</v>
      </c>
      <c r="E3174" s="2" t="str">
        <f aca="false">TEXT(D3174,"dddd")</f>
        <v>Tuesday</v>
      </c>
      <c r="F3174" s="2" t="s">
        <v>461</v>
      </c>
      <c r="G3174" s="2"/>
      <c r="H3174" s="2"/>
      <c r="I3174" s="2" t="n">
        <f aca="false">IF(F3174="Present",9,IF(F3174="Half Day",4,0))</f>
        <v>0</v>
      </c>
      <c r="J3174" s="2"/>
      <c r="K3174" s="2" t="s">
        <v>462</v>
      </c>
    </row>
    <row r="3175" customFormat="false" ht="15" hidden="false" customHeight="false" outlineLevel="0" collapsed="false">
      <c r="A3175" s="2" t="s">
        <v>253</v>
      </c>
      <c r="B3175" s="2" t="s">
        <v>254</v>
      </c>
      <c r="C3175" s="2" t="s">
        <v>28</v>
      </c>
      <c r="D3175" s="3" t="n">
        <v>46246</v>
      </c>
      <c r="E3175" s="2" t="str">
        <f aca="false">TEXT(D3175,"dddd")</f>
        <v>Wednesday</v>
      </c>
      <c r="F3175" s="2" t="s">
        <v>457</v>
      </c>
      <c r="G3175" s="2" t="s">
        <v>458</v>
      </c>
      <c r="H3175" s="2" t="s">
        <v>459</v>
      </c>
      <c r="I3175" s="2" t="n">
        <f aca="false">IF(F3175="Present",9,IF(F3175="Half Day",4,0))</f>
        <v>9</v>
      </c>
      <c r="J3175" s="2"/>
      <c r="K3175" s="2"/>
    </row>
    <row r="3176" customFormat="false" ht="15" hidden="false" customHeight="false" outlineLevel="0" collapsed="false">
      <c r="A3176" s="2" t="s">
        <v>253</v>
      </c>
      <c r="B3176" s="2" t="s">
        <v>254</v>
      </c>
      <c r="C3176" s="2" t="s">
        <v>28</v>
      </c>
      <c r="D3176" s="3" t="n">
        <v>46247</v>
      </c>
      <c r="E3176" s="2" t="str">
        <f aca="false">TEXT(D3176,"dddd")</f>
        <v>Thursday</v>
      </c>
      <c r="F3176" s="2" t="s">
        <v>457</v>
      </c>
      <c r="G3176" s="2" t="s">
        <v>458</v>
      </c>
      <c r="H3176" s="2" t="s">
        <v>459</v>
      </c>
      <c r="I3176" s="2" t="n">
        <f aca="false">IF(F3176="Present",9,IF(F3176="Half Day",4,0))</f>
        <v>9</v>
      </c>
      <c r="J3176" s="2"/>
      <c r="K3176" s="2"/>
    </row>
    <row r="3177" customFormat="false" ht="15" hidden="false" customHeight="false" outlineLevel="0" collapsed="false">
      <c r="A3177" s="2" t="s">
        <v>253</v>
      </c>
      <c r="B3177" s="2" t="s">
        <v>254</v>
      </c>
      <c r="C3177" s="2" t="s">
        <v>28</v>
      </c>
      <c r="D3177" s="3" t="n">
        <v>46248</v>
      </c>
      <c r="E3177" s="2" t="str">
        <f aca="false">TEXT(D3177,"dddd")</f>
        <v>Friday</v>
      </c>
      <c r="F3177" s="2" t="s">
        <v>457</v>
      </c>
      <c r="G3177" s="2" t="s">
        <v>458</v>
      </c>
      <c r="H3177" s="2" t="s">
        <v>459</v>
      </c>
      <c r="I3177" s="2" t="n">
        <f aca="false">IF(F3177="Present",9,IF(F3177="Half Day",4,0))</f>
        <v>9</v>
      </c>
      <c r="J3177" s="2"/>
      <c r="K3177" s="2"/>
    </row>
    <row r="3178" customFormat="false" ht="15" hidden="false" customHeight="false" outlineLevel="0" collapsed="false">
      <c r="A3178" s="2" t="s">
        <v>253</v>
      </c>
      <c r="B3178" s="2" t="s">
        <v>254</v>
      </c>
      <c r="C3178" s="2" t="s">
        <v>28</v>
      </c>
      <c r="D3178" s="3" t="n">
        <v>46249</v>
      </c>
      <c r="E3178" s="2" t="str">
        <f aca="false">TEXT(D3178,"dddd")</f>
        <v>Saturday</v>
      </c>
      <c r="F3178" s="2" t="s">
        <v>457</v>
      </c>
      <c r="G3178" s="2" t="s">
        <v>458</v>
      </c>
      <c r="H3178" s="2" t="s">
        <v>459</v>
      </c>
      <c r="I3178" s="2" t="n">
        <f aca="false">IF(F3178="Present",9,IF(F3178="Half Day",4,0))</f>
        <v>9</v>
      </c>
      <c r="J3178" s="2"/>
      <c r="K3178" s="2"/>
    </row>
    <row r="3179" customFormat="false" ht="15" hidden="false" customHeight="false" outlineLevel="0" collapsed="false">
      <c r="A3179" s="2" t="s">
        <v>253</v>
      </c>
      <c r="B3179" s="2" t="s">
        <v>254</v>
      </c>
      <c r="C3179" s="2" t="s">
        <v>28</v>
      </c>
      <c r="D3179" s="3" t="n">
        <v>46250</v>
      </c>
      <c r="E3179" s="2" t="str">
        <f aca="false">TEXT(D3179,"dddd")</f>
        <v>Sunday</v>
      </c>
      <c r="F3179" s="2" t="s">
        <v>460</v>
      </c>
      <c r="G3179" s="2"/>
      <c r="H3179" s="2"/>
      <c r="I3179" s="2" t="n">
        <f aca="false">IF(F3179="Present",9,IF(F3179="Half Day",4,0))</f>
        <v>0</v>
      </c>
      <c r="J3179" s="2"/>
      <c r="K3179" s="2" t="s">
        <v>460</v>
      </c>
    </row>
    <row r="3180" customFormat="false" ht="15" hidden="false" customHeight="false" outlineLevel="0" collapsed="false">
      <c r="A3180" s="2" t="s">
        <v>253</v>
      </c>
      <c r="B3180" s="2" t="s">
        <v>254</v>
      </c>
      <c r="C3180" s="2" t="s">
        <v>28</v>
      </c>
      <c r="D3180" s="3" t="n">
        <v>46251</v>
      </c>
      <c r="E3180" s="2" t="str">
        <f aca="false">TEXT(D3180,"dddd")</f>
        <v>Monday</v>
      </c>
      <c r="F3180" s="2" t="s">
        <v>457</v>
      </c>
      <c r="G3180" s="2" t="s">
        <v>458</v>
      </c>
      <c r="H3180" s="2" t="s">
        <v>459</v>
      </c>
      <c r="I3180" s="2" t="n">
        <f aca="false">IF(F3180="Present",9,IF(F3180="Half Day",4,0))</f>
        <v>9</v>
      </c>
      <c r="J3180" s="2"/>
      <c r="K3180" s="2"/>
    </row>
    <row r="3181" customFormat="false" ht="15" hidden="false" customHeight="false" outlineLevel="0" collapsed="false">
      <c r="A3181" s="2" t="s">
        <v>253</v>
      </c>
      <c r="B3181" s="2" t="s">
        <v>254</v>
      </c>
      <c r="C3181" s="2" t="s">
        <v>28</v>
      </c>
      <c r="D3181" s="3" t="n">
        <v>46252</v>
      </c>
      <c r="E3181" s="2" t="str">
        <f aca="false">TEXT(D3181,"dddd")</f>
        <v>Tuesday</v>
      </c>
      <c r="F3181" s="2" t="s">
        <v>461</v>
      </c>
      <c r="G3181" s="2"/>
      <c r="H3181" s="2"/>
      <c r="I3181" s="2" t="n">
        <f aca="false">IF(F3181="Present",9,IF(F3181="Half Day",4,0))</f>
        <v>0</v>
      </c>
      <c r="J3181" s="2"/>
      <c r="K3181" s="2" t="s">
        <v>462</v>
      </c>
    </row>
    <row r="3182" customFormat="false" ht="15" hidden="false" customHeight="false" outlineLevel="0" collapsed="false">
      <c r="A3182" s="2" t="s">
        <v>253</v>
      </c>
      <c r="B3182" s="2" t="s">
        <v>254</v>
      </c>
      <c r="C3182" s="2" t="s">
        <v>28</v>
      </c>
      <c r="D3182" s="3" t="n">
        <v>46253</v>
      </c>
      <c r="E3182" s="2" t="str">
        <f aca="false">TEXT(D3182,"dddd")</f>
        <v>Wednesday</v>
      </c>
      <c r="F3182" s="2" t="s">
        <v>457</v>
      </c>
      <c r="G3182" s="2" t="s">
        <v>458</v>
      </c>
      <c r="H3182" s="2" t="s">
        <v>459</v>
      </c>
      <c r="I3182" s="2" t="n">
        <f aca="false">IF(F3182="Present",9,IF(F3182="Half Day",4,0))</f>
        <v>9</v>
      </c>
      <c r="J3182" s="2"/>
      <c r="K3182" s="2"/>
    </row>
    <row r="3183" customFormat="false" ht="15" hidden="false" customHeight="false" outlineLevel="0" collapsed="false">
      <c r="A3183" s="2" t="s">
        <v>253</v>
      </c>
      <c r="B3183" s="2" t="s">
        <v>254</v>
      </c>
      <c r="C3183" s="2" t="s">
        <v>28</v>
      </c>
      <c r="D3183" s="3" t="n">
        <v>46254</v>
      </c>
      <c r="E3183" s="2" t="str">
        <f aca="false">TEXT(D3183,"dddd")</f>
        <v>Thursday</v>
      </c>
      <c r="F3183" s="2" t="s">
        <v>457</v>
      </c>
      <c r="G3183" s="2" t="s">
        <v>458</v>
      </c>
      <c r="H3183" s="2" t="s">
        <v>459</v>
      </c>
      <c r="I3183" s="2" t="n">
        <f aca="false">IF(F3183="Present",9,IF(F3183="Half Day",4,0))</f>
        <v>9</v>
      </c>
      <c r="J3183" s="2"/>
      <c r="K3183" s="2"/>
    </row>
    <row r="3184" customFormat="false" ht="15" hidden="false" customHeight="false" outlineLevel="0" collapsed="false">
      <c r="A3184" s="2" t="s">
        <v>253</v>
      </c>
      <c r="B3184" s="2" t="s">
        <v>254</v>
      </c>
      <c r="C3184" s="2" t="s">
        <v>28</v>
      </c>
      <c r="D3184" s="3" t="n">
        <v>46255</v>
      </c>
      <c r="E3184" s="2" t="str">
        <f aca="false">TEXT(D3184,"dddd")</f>
        <v>Friday</v>
      </c>
      <c r="F3184" s="2" t="s">
        <v>457</v>
      </c>
      <c r="G3184" s="2" t="s">
        <v>458</v>
      </c>
      <c r="H3184" s="2" t="s">
        <v>459</v>
      </c>
      <c r="I3184" s="2" t="n">
        <f aca="false">IF(F3184="Present",9,IF(F3184="Half Day",4,0))</f>
        <v>9</v>
      </c>
      <c r="J3184" s="2"/>
      <c r="K3184" s="2"/>
    </row>
    <row r="3185" customFormat="false" ht="15" hidden="false" customHeight="false" outlineLevel="0" collapsed="false">
      <c r="A3185" s="2" t="s">
        <v>253</v>
      </c>
      <c r="B3185" s="2" t="s">
        <v>254</v>
      </c>
      <c r="C3185" s="2" t="s">
        <v>28</v>
      </c>
      <c r="D3185" s="3" t="n">
        <v>46256</v>
      </c>
      <c r="E3185" s="2" t="str">
        <f aca="false">TEXT(D3185,"dddd")</f>
        <v>Saturday</v>
      </c>
      <c r="F3185" s="2" t="s">
        <v>457</v>
      </c>
      <c r="G3185" s="2" t="s">
        <v>458</v>
      </c>
      <c r="H3185" s="2" t="s">
        <v>459</v>
      </c>
      <c r="I3185" s="2" t="n">
        <f aca="false">IF(F3185="Present",9,IF(F3185="Half Day",4,0))</f>
        <v>9</v>
      </c>
      <c r="J3185" s="2"/>
      <c r="K3185" s="2"/>
    </row>
    <row r="3186" customFormat="false" ht="15" hidden="false" customHeight="false" outlineLevel="0" collapsed="false">
      <c r="A3186" s="2" t="s">
        <v>253</v>
      </c>
      <c r="B3186" s="2" t="s">
        <v>254</v>
      </c>
      <c r="C3186" s="2" t="s">
        <v>28</v>
      </c>
      <c r="D3186" s="3" t="n">
        <v>46257</v>
      </c>
      <c r="E3186" s="2" t="str">
        <f aca="false">TEXT(D3186,"dddd")</f>
        <v>Sunday</v>
      </c>
      <c r="F3186" s="2" t="s">
        <v>460</v>
      </c>
      <c r="G3186" s="2"/>
      <c r="H3186" s="2"/>
      <c r="I3186" s="2" t="n">
        <f aca="false">IF(F3186="Present",9,IF(F3186="Half Day",4,0))</f>
        <v>0</v>
      </c>
      <c r="J3186" s="2"/>
      <c r="K3186" s="2" t="s">
        <v>460</v>
      </c>
    </row>
    <row r="3187" customFormat="false" ht="15" hidden="false" customHeight="false" outlineLevel="0" collapsed="false">
      <c r="A3187" s="2" t="s">
        <v>253</v>
      </c>
      <c r="B3187" s="2" t="s">
        <v>254</v>
      </c>
      <c r="C3187" s="2" t="s">
        <v>28</v>
      </c>
      <c r="D3187" s="3" t="n">
        <v>46258</v>
      </c>
      <c r="E3187" s="2" t="str">
        <f aca="false">TEXT(D3187,"dddd")</f>
        <v>Monday</v>
      </c>
      <c r="F3187" s="2" t="s">
        <v>457</v>
      </c>
      <c r="G3187" s="2" t="s">
        <v>458</v>
      </c>
      <c r="H3187" s="2" t="s">
        <v>459</v>
      </c>
      <c r="I3187" s="2" t="n">
        <f aca="false">IF(F3187="Present",9,IF(F3187="Half Day",4,0))</f>
        <v>9</v>
      </c>
      <c r="J3187" s="2"/>
      <c r="K3187" s="2"/>
    </row>
    <row r="3188" customFormat="false" ht="15" hidden="false" customHeight="false" outlineLevel="0" collapsed="false">
      <c r="A3188" s="2" t="s">
        <v>253</v>
      </c>
      <c r="B3188" s="2" t="s">
        <v>254</v>
      </c>
      <c r="C3188" s="2" t="s">
        <v>28</v>
      </c>
      <c r="D3188" s="3" t="n">
        <v>46259</v>
      </c>
      <c r="E3188" s="2" t="str">
        <f aca="false">TEXT(D3188,"dddd")</f>
        <v>Tuesday</v>
      </c>
      <c r="F3188" s="2" t="s">
        <v>463</v>
      </c>
      <c r="G3188" s="2"/>
      <c r="H3188" s="2"/>
      <c r="I3188" s="2" t="n">
        <f aca="false">IF(F3188="Present",9,IF(F3188="Half Day",4,0))</f>
        <v>0</v>
      </c>
      <c r="J3188" s="2" t="s">
        <v>472</v>
      </c>
      <c r="K3188" s="2" t="s">
        <v>473</v>
      </c>
    </row>
    <row r="3189" customFormat="false" ht="15" hidden="false" customHeight="false" outlineLevel="0" collapsed="false">
      <c r="A3189" s="2" t="s">
        <v>253</v>
      </c>
      <c r="B3189" s="2" t="s">
        <v>254</v>
      </c>
      <c r="C3189" s="2" t="s">
        <v>28</v>
      </c>
      <c r="D3189" s="3" t="n">
        <v>46260</v>
      </c>
      <c r="E3189" s="2" t="str">
        <f aca="false">TEXT(D3189,"dddd")</f>
        <v>Wednesday</v>
      </c>
      <c r="F3189" s="2" t="s">
        <v>457</v>
      </c>
      <c r="G3189" s="2" t="s">
        <v>458</v>
      </c>
      <c r="H3189" s="2" t="s">
        <v>459</v>
      </c>
      <c r="I3189" s="2" t="n">
        <f aca="false">IF(F3189="Present",9,IF(F3189="Half Day",4,0))</f>
        <v>9</v>
      </c>
      <c r="J3189" s="2"/>
      <c r="K3189" s="2"/>
    </row>
    <row r="3190" customFormat="false" ht="15" hidden="false" customHeight="false" outlineLevel="0" collapsed="false">
      <c r="A3190" s="2" t="s">
        <v>253</v>
      </c>
      <c r="B3190" s="2" t="s">
        <v>254</v>
      </c>
      <c r="C3190" s="2" t="s">
        <v>28</v>
      </c>
      <c r="D3190" s="3" t="n">
        <v>46261</v>
      </c>
      <c r="E3190" s="2" t="str">
        <f aca="false">TEXT(D3190,"dddd")</f>
        <v>Thursday</v>
      </c>
      <c r="F3190" s="2" t="s">
        <v>457</v>
      </c>
      <c r="G3190" s="2" t="s">
        <v>458</v>
      </c>
      <c r="H3190" s="2" t="s">
        <v>459</v>
      </c>
      <c r="I3190" s="2" t="n">
        <f aca="false">IF(F3190="Present",9,IF(F3190="Half Day",4,0))</f>
        <v>9</v>
      </c>
      <c r="J3190" s="2"/>
      <c r="K3190" s="2"/>
    </row>
    <row r="3191" customFormat="false" ht="15" hidden="false" customHeight="false" outlineLevel="0" collapsed="false">
      <c r="A3191" s="2" t="s">
        <v>253</v>
      </c>
      <c r="B3191" s="2" t="s">
        <v>254</v>
      </c>
      <c r="C3191" s="2" t="s">
        <v>28</v>
      </c>
      <c r="D3191" s="3" t="n">
        <v>46262</v>
      </c>
      <c r="E3191" s="2" t="str">
        <f aca="false">TEXT(D3191,"dddd")</f>
        <v>Friday</v>
      </c>
      <c r="F3191" s="2" t="s">
        <v>457</v>
      </c>
      <c r="G3191" s="2" t="s">
        <v>458</v>
      </c>
      <c r="H3191" s="2" t="s">
        <v>459</v>
      </c>
      <c r="I3191" s="2" t="n">
        <f aca="false">IF(F3191="Present",9,IF(F3191="Half Day",4,0))</f>
        <v>9</v>
      </c>
      <c r="J3191" s="2"/>
      <c r="K3191" s="2"/>
    </row>
    <row r="3192" customFormat="false" ht="15" hidden="false" customHeight="false" outlineLevel="0" collapsed="false">
      <c r="A3192" s="2" t="s">
        <v>253</v>
      </c>
      <c r="B3192" s="2" t="s">
        <v>254</v>
      </c>
      <c r="C3192" s="2" t="s">
        <v>28</v>
      </c>
      <c r="D3192" s="3" t="n">
        <v>46263</v>
      </c>
      <c r="E3192" s="2" t="str">
        <f aca="false">TEXT(D3192,"dddd")</f>
        <v>Saturday</v>
      </c>
      <c r="F3192" s="2" t="s">
        <v>461</v>
      </c>
      <c r="G3192" s="2"/>
      <c r="H3192" s="2"/>
      <c r="I3192" s="2" t="n">
        <f aca="false">IF(F3192="Present",9,IF(F3192="Half Day",4,0))</f>
        <v>0</v>
      </c>
      <c r="J3192" s="2"/>
      <c r="K3192" s="2" t="s">
        <v>462</v>
      </c>
    </row>
    <row r="3193" customFormat="false" ht="15" hidden="false" customHeight="false" outlineLevel="0" collapsed="false">
      <c r="A3193" s="2" t="s">
        <v>253</v>
      </c>
      <c r="B3193" s="2" t="s">
        <v>254</v>
      </c>
      <c r="C3193" s="2" t="s">
        <v>28</v>
      </c>
      <c r="D3193" s="3" t="n">
        <v>46264</v>
      </c>
      <c r="E3193" s="2" t="str">
        <f aca="false">TEXT(D3193,"dddd")</f>
        <v>Sunday</v>
      </c>
      <c r="F3193" s="2" t="s">
        <v>460</v>
      </c>
      <c r="G3193" s="2"/>
      <c r="H3193" s="2"/>
      <c r="I3193" s="2" t="n">
        <f aca="false">IF(F3193="Present",9,IF(F3193="Half Day",4,0))</f>
        <v>0</v>
      </c>
      <c r="J3193" s="2"/>
      <c r="K3193" s="2" t="s">
        <v>460</v>
      </c>
    </row>
    <row r="3194" customFormat="false" ht="15" hidden="false" customHeight="false" outlineLevel="0" collapsed="false">
      <c r="A3194" s="2" t="s">
        <v>253</v>
      </c>
      <c r="B3194" s="2" t="s">
        <v>254</v>
      </c>
      <c r="C3194" s="2" t="s">
        <v>28</v>
      </c>
      <c r="D3194" s="3" t="n">
        <v>46265</v>
      </c>
      <c r="E3194" s="2" t="str">
        <f aca="false">TEXT(D3194,"dddd")</f>
        <v>Monday</v>
      </c>
      <c r="F3194" s="2" t="s">
        <v>457</v>
      </c>
      <c r="G3194" s="2" t="s">
        <v>458</v>
      </c>
      <c r="H3194" s="2" t="s">
        <v>459</v>
      </c>
      <c r="I3194" s="2" t="n">
        <f aca="false">IF(F3194="Present",9,IF(F3194="Half Day",4,0))</f>
        <v>9</v>
      </c>
      <c r="J3194" s="2"/>
      <c r="K3194" s="2"/>
    </row>
    <row r="3195" customFormat="false" ht="15" hidden="false" customHeight="false" outlineLevel="0" collapsed="false">
      <c r="A3195" s="2" t="s">
        <v>255</v>
      </c>
      <c r="B3195" s="2" t="s">
        <v>256</v>
      </c>
      <c r="C3195" s="2" t="s">
        <v>32</v>
      </c>
      <c r="D3195" s="3" t="n">
        <v>46235</v>
      </c>
      <c r="E3195" s="2" t="str">
        <f aca="false">TEXT(D3195,"dddd")</f>
        <v>Saturday</v>
      </c>
      <c r="F3195" s="2" t="s">
        <v>457</v>
      </c>
      <c r="G3195" s="2" t="s">
        <v>458</v>
      </c>
      <c r="H3195" s="2" t="s">
        <v>459</v>
      </c>
      <c r="I3195" s="2" t="n">
        <f aca="false">IF(F3195="Present",9,IF(F3195="Half Day",4,0))</f>
        <v>9</v>
      </c>
      <c r="J3195" s="2"/>
      <c r="K3195" s="2"/>
    </row>
    <row r="3196" customFormat="false" ht="15" hidden="false" customHeight="false" outlineLevel="0" collapsed="false">
      <c r="A3196" s="2" t="s">
        <v>255</v>
      </c>
      <c r="B3196" s="2" t="s">
        <v>256</v>
      </c>
      <c r="C3196" s="2" t="s">
        <v>32</v>
      </c>
      <c r="D3196" s="3" t="n">
        <v>46236</v>
      </c>
      <c r="E3196" s="2" t="str">
        <f aca="false">TEXT(D3196,"dddd")</f>
        <v>Sunday</v>
      </c>
      <c r="F3196" s="2" t="s">
        <v>460</v>
      </c>
      <c r="G3196" s="2"/>
      <c r="H3196" s="2"/>
      <c r="I3196" s="2" t="n">
        <f aca="false">IF(F3196="Present",9,IF(F3196="Half Day",4,0))</f>
        <v>0</v>
      </c>
      <c r="J3196" s="2"/>
      <c r="K3196" s="2" t="s">
        <v>460</v>
      </c>
    </row>
    <row r="3197" customFormat="false" ht="15" hidden="false" customHeight="false" outlineLevel="0" collapsed="false">
      <c r="A3197" s="2" t="s">
        <v>255</v>
      </c>
      <c r="B3197" s="2" t="s">
        <v>256</v>
      </c>
      <c r="C3197" s="2" t="s">
        <v>32</v>
      </c>
      <c r="D3197" s="3" t="n">
        <v>46237</v>
      </c>
      <c r="E3197" s="2" t="str">
        <f aca="false">TEXT(D3197,"dddd")</f>
        <v>Monday</v>
      </c>
      <c r="F3197" s="2" t="s">
        <v>457</v>
      </c>
      <c r="G3197" s="2" t="s">
        <v>458</v>
      </c>
      <c r="H3197" s="2" t="s">
        <v>459</v>
      </c>
      <c r="I3197" s="2" t="n">
        <f aca="false">IF(F3197="Present",9,IF(F3197="Half Day",4,0))</f>
        <v>9</v>
      </c>
      <c r="J3197" s="2"/>
      <c r="K3197" s="2"/>
    </row>
    <row r="3198" customFormat="false" ht="15" hidden="false" customHeight="false" outlineLevel="0" collapsed="false">
      <c r="A3198" s="2" t="s">
        <v>255</v>
      </c>
      <c r="B3198" s="2" t="s">
        <v>256</v>
      </c>
      <c r="C3198" s="2" t="s">
        <v>32</v>
      </c>
      <c r="D3198" s="3" t="n">
        <v>46238</v>
      </c>
      <c r="E3198" s="2" t="str">
        <f aca="false">TEXT(D3198,"dddd")</f>
        <v>Tuesday</v>
      </c>
      <c r="F3198" s="2" t="s">
        <v>457</v>
      </c>
      <c r="G3198" s="2" t="s">
        <v>458</v>
      </c>
      <c r="H3198" s="2" t="s">
        <v>459</v>
      </c>
      <c r="I3198" s="2" t="n">
        <f aca="false">IF(F3198="Present",9,IF(F3198="Half Day",4,0))</f>
        <v>9</v>
      </c>
      <c r="J3198" s="2"/>
      <c r="K3198" s="2"/>
    </row>
    <row r="3199" customFormat="false" ht="15" hidden="false" customHeight="false" outlineLevel="0" collapsed="false">
      <c r="A3199" s="2" t="s">
        <v>255</v>
      </c>
      <c r="B3199" s="2" t="s">
        <v>256</v>
      </c>
      <c r="C3199" s="2" t="s">
        <v>32</v>
      </c>
      <c r="D3199" s="3" t="n">
        <v>46239</v>
      </c>
      <c r="E3199" s="2" t="str">
        <f aca="false">TEXT(D3199,"dddd")</f>
        <v>Wednesday</v>
      </c>
      <c r="F3199" s="2" t="s">
        <v>457</v>
      </c>
      <c r="G3199" s="2" t="s">
        <v>458</v>
      </c>
      <c r="H3199" s="2" t="s">
        <v>459</v>
      </c>
      <c r="I3199" s="2" t="n">
        <f aca="false">IF(F3199="Present",9,IF(F3199="Half Day",4,0))</f>
        <v>9</v>
      </c>
      <c r="J3199" s="2"/>
      <c r="K3199" s="2"/>
    </row>
    <row r="3200" customFormat="false" ht="15" hidden="false" customHeight="false" outlineLevel="0" collapsed="false">
      <c r="A3200" s="2" t="s">
        <v>255</v>
      </c>
      <c r="B3200" s="2" t="s">
        <v>256</v>
      </c>
      <c r="C3200" s="2" t="s">
        <v>32</v>
      </c>
      <c r="D3200" s="3" t="n">
        <v>46240</v>
      </c>
      <c r="E3200" s="2" t="str">
        <f aca="false">TEXT(D3200,"dddd")</f>
        <v>Thursday</v>
      </c>
      <c r="F3200" s="2" t="s">
        <v>457</v>
      </c>
      <c r="G3200" s="2" t="s">
        <v>458</v>
      </c>
      <c r="H3200" s="2" t="s">
        <v>459</v>
      </c>
      <c r="I3200" s="2" t="n">
        <f aca="false">IF(F3200="Present",9,IF(F3200="Half Day",4,0))</f>
        <v>9</v>
      </c>
      <c r="J3200" s="2"/>
      <c r="K3200" s="2"/>
    </row>
    <row r="3201" customFormat="false" ht="15" hidden="false" customHeight="false" outlineLevel="0" collapsed="false">
      <c r="A3201" s="2" t="s">
        <v>255</v>
      </c>
      <c r="B3201" s="2" t="s">
        <v>256</v>
      </c>
      <c r="C3201" s="2" t="s">
        <v>32</v>
      </c>
      <c r="D3201" s="3" t="n">
        <v>46241</v>
      </c>
      <c r="E3201" s="2" t="str">
        <f aca="false">TEXT(D3201,"dddd")</f>
        <v>Friday</v>
      </c>
      <c r="F3201" s="2" t="s">
        <v>457</v>
      </c>
      <c r="G3201" s="2" t="s">
        <v>458</v>
      </c>
      <c r="H3201" s="2" t="s">
        <v>459</v>
      </c>
      <c r="I3201" s="2" t="n">
        <f aca="false">IF(F3201="Present",9,IF(F3201="Half Day",4,0))</f>
        <v>9</v>
      </c>
      <c r="J3201" s="2"/>
      <c r="K3201" s="2"/>
    </row>
    <row r="3202" customFormat="false" ht="15" hidden="false" customHeight="false" outlineLevel="0" collapsed="false">
      <c r="A3202" s="2" t="s">
        <v>255</v>
      </c>
      <c r="B3202" s="2" t="s">
        <v>256</v>
      </c>
      <c r="C3202" s="2" t="s">
        <v>32</v>
      </c>
      <c r="D3202" s="3" t="n">
        <v>46242</v>
      </c>
      <c r="E3202" s="2" t="str">
        <f aca="false">TEXT(D3202,"dddd")</f>
        <v>Saturday</v>
      </c>
      <c r="F3202" s="2" t="s">
        <v>457</v>
      </c>
      <c r="G3202" s="2" t="s">
        <v>458</v>
      </c>
      <c r="H3202" s="2" t="s">
        <v>459</v>
      </c>
      <c r="I3202" s="2" t="n">
        <f aca="false">IF(F3202="Present",9,IF(F3202="Half Day",4,0))</f>
        <v>9</v>
      </c>
      <c r="J3202" s="2"/>
      <c r="K3202" s="2"/>
    </row>
    <row r="3203" customFormat="false" ht="15" hidden="false" customHeight="false" outlineLevel="0" collapsed="false">
      <c r="A3203" s="2" t="s">
        <v>255</v>
      </c>
      <c r="B3203" s="2" t="s">
        <v>256</v>
      </c>
      <c r="C3203" s="2" t="s">
        <v>32</v>
      </c>
      <c r="D3203" s="3" t="n">
        <v>46243</v>
      </c>
      <c r="E3203" s="2" t="str">
        <f aca="false">TEXT(D3203,"dddd")</f>
        <v>Sunday</v>
      </c>
      <c r="F3203" s="2" t="s">
        <v>460</v>
      </c>
      <c r="G3203" s="2"/>
      <c r="H3203" s="2"/>
      <c r="I3203" s="2" t="n">
        <f aca="false">IF(F3203="Present",9,IF(F3203="Half Day",4,0))</f>
        <v>0</v>
      </c>
      <c r="J3203" s="2"/>
      <c r="K3203" s="2" t="s">
        <v>460</v>
      </c>
    </row>
    <row r="3204" customFormat="false" ht="15" hidden="false" customHeight="false" outlineLevel="0" collapsed="false">
      <c r="A3204" s="2" t="s">
        <v>255</v>
      </c>
      <c r="B3204" s="2" t="s">
        <v>256</v>
      </c>
      <c r="C3204" s="2" t="s">
        <v>32</v>
      </c>
      <c r="D3204" s="3" t="n">
        <v>46244</v>
      </c>
      <c r="E3204" s="2" t="str">
        <f aca="false">TEXT(D3204,"dddd")</f>
        <v>Monday</v>
      </c>
      <c r="F3204" s="2" t="s">
        <v>457</v>
      </c>
      <c r="G3204" s="2" t="s">
        <v>458</v>
      </c>
      <c r="H3204" s="2" t="s">
        <v>459</v>
      </c>
      <c r="I3204" s="2" t="n">
        <f aca="false">IF(F3204="Present",9,IF(F3204="Half Day",4,0))</f>
        <v>9</v>
      </c>
      <c r="J3204" s="2"/>
      <c r="K3204" s="2"/>
    </row>
    <row r="3205" customFormat="false" ht="15" hidden="false" customHeight="false" outlineLevel="0" collapsed="false">
      <c r="A3205" s="2" t="s">
        <v>255</v>
      </c>
      <c r="B3205" s="2" t="s">
        <v>256</v>
      </c>
      <c r="C3205" s="2" t="s">
        <v>32</v>
      </c>
      <c r="D3205" s="3" t="n">
        <v>46245</v>
      </c>
      <c r="E3205" s="2" t="str">
        <f aca="false">TEXT(D3205,"dddd")</f>
        <v>Tuesday</v>
      </c>
      <c r="F3205" s="2" t="s">
        <v>457</v>
      </c>
      <c r="G3205" s="2" t="s">
        <v>458</v>
      </c>
      <c r="H3205" s="2" t="s">
        <v>459</v>
      </c>
      <c r="I3205" s="2" t="n">
        <f aca="false">IF(F3205="Present",9,IF(F3205="Half Day",4,0))</f>
        <v>9</v>
      </c>
      <c r="J3205" s="2"/>
      <c r="K3205" s="2"/>
    </row>
    <row r="3206" customFormat="false" ht="15" hidden="false" customHeight="false" outlineLevel="0" collapsed="false">
      <c r="A3206" s="2" t="s">
        <v>255</v>
      </c>
      <c r="B3206" s="2" t="s">
        <v>256</v>
      </c>
      <c r="C3206" s="2" t="s">
        <v>32</v>
      </c>
      <c r="D3206" s="3" t="n">
        <v>46246</v>
      </c>
      <c r="E3206" s="2" t="str">
        <f aca="false">TEXT(D3206,"dddd")</f>
        <v>Wednesday</v>
      </c>
      <c r="F3206" s="2" t="s">
        <v>457</v>
      </c>
      <c r="G3206" s="2" t="s">
        <v>458</v>
      </c>
      <c r="H3206" s="2" t="s">
        <v>459</v>
      </c>
      <c r="I3206" s="2" t="n">
        <f aca="false">IF(F3206="Present",9,IF(F3206="Half Day",4,0))</f>
        <v>9</v>
      </c>
      <c r="J3206" s="2"/>
      <c r="K3206" s="2"/>
    </row>
    <row r="3207" customFormat="false" ht="15" hidden="false" customHeight="false" outlineLevel="0" collapsed="false">
      <c r="A3207" s="2" t="s">
        <v>255</v>
      </c>
      <c r="B3207" s="2" t="s">
        <v>256</v>
      </c>
      <c r="C3207" s="2" t="s">
        <v>32</v>
      </c>
      <c r="D3207" s="3" t="n">
        <v>46247</v>
      </c>
      <c r="E3207" s="2" t="str">
        <f aca="false">TEXT(D3207,"dddd")</f>
        <v>Thursday</v>
      </c>
      <c r="F3207" s="2" t="s">
        <v>457</v>
      </c>
      <c r="G3207" s="2" t="s">
        <v>458</v>
      </c>
      <c r="H3207" s="2" t="s">
        <v>459</v>
      </c>
      <c r="I3207" s="2" t="n">
        <f aca="false">IF(F3207="Present",9,IF(F3207="Half Day",4,0))</f>
        <v>9</v>
      </c>
      <c r="J3207" s="2"/>
      <c r="K3207" s="2"/>
    </row>
    <row r="3208" customFormat="false" ht="15" hidden="false" customHeight="false" outlineLevel="0" collapsed="false">
      <c r="A3208" s="2" t="s">
        <v>255</v>
      </c>
      <c r="B3208" s="2" t="s">
        <v>256</v>
      </c>
      <c r="C3208" s="2" t="s">
        <v>32</v>
      </c>
      <c r="D3208" s="3" t="n">
        <v>46248</v>
      </c>
      <c r="E3208" s="2" t="str">
        <f aca="false">TEXT(D3208,"dddd")</f>
        <v>Friday</v>
      </c>
      <c r="F3208" s="2" t="s">
        <v>457</v>
      </c>
      <c r="G3208" s="2" t="s">
        <v>458</v>
      </c>
      <c r="H3208" s="2" t="s">
        <v>459</v>
      </c>
      <c r="I3208" s="2" t="n">
        <f aca="false">IF(F3208="Present",9,IF(F3208="Half Day",4,0))</f>
        <v>9</v>
      </c>
      <c r="J3208" s="2"/>
      <c r="K3208" s="2"/>
    </row>
    <row r="3209" customFormat="false" ht="15" hidden="false" customHeight="false" outlineLevel="0" collapsed="false">
      <c r="A3209" s="2" t="s">
        <v>255</v>
      </c>
      <c r="B3209" s="2" t="s">
        <v>256</v>
      </c>
      <c r="C3209" s="2" t="s">
        <v>32</v>
      </c>
      <c r="D3209" s="3" t="n">
        <v>46249</v>
      </c>
      <c r="E3209" s="2" t="str">
        <f aca="false">TEXT(D3209,"dddd")</f>
        <v>Saturday</v>
      </c>
      <c r="F3209" s="2" t="s">
        <v>457</v>
      </c>
      <c r="G3209" s="2" t="s">
        <v>458</v>
      </c>
      <c r="H3209" s="2" t="s">
        <v>459</v>
      </c>
      <c r="I3209" s="2" t="n">
        <f aca="false">IF(F3209="Present",9,IF(F3209="Half Day",4,0))</f>
        <v>9</v>
      </c>
      <c r="J3209" s="2"/>
      <c r="K3209" s="2"/>
    </row>
    <row r="3210" customFormat="false" ht="15" hidden="false" customHeight="false" outlineLevel="0" collapsed="false">
      <c r="A3210" s="2" t="s">
        <v>255</v>
      </c>
      <c r="B3210" s="2" t="s">
        <v>256</v>
      </c>
      <c r="C3210" s="2" t="s">
        <v>32</v>
      </c>
      <c r="D3210" s="3" t="n">
        <v>46250</v>
      </c>
      <c r="E3210" s="2" t="str">
        <f aca="false">TEXT(D3210,"dddd")</f>
        <v>Sunday</v>
      </c>
      <c r="F3210" s="2" t="s">
        <v>460</v>
      </c>
      <c r="G3210" s="2"/>
      <c r="H3210" s="2"/>
      <c r="I3210" s="2" t="n">
        <f aca="false">IF(F3210="Present",9,IF(F3210="Half Day",4,0))</f>
        <v>0</v>
      </c>
      <c r="J3210" s="2"/>
      <c r="K3210" s="2" t="s">
        <v>460</v>
      </c>
    </row>
    <row r="3211" customFormat="false" ht="15" hidden="false" customHeight="false" outlineLevel="0" collapsed="false">
      <c r="A3211" s="2" t="s">
        <v>255</v>
      </c>
      <c r="B3211" s="2" t="s">
        <v>256</v>
      </c>
      <c r="C3211" s="2" t="s">
        <v>32</v>
      </c>
      <c r="D3211" s="3" t="n">
        <v>46251</v>
      </c>
      <c r="E3211" s="2" t="str">
        <f aca="false">TEXT(D3211,"dddd")</f>
        <v>Monday</v>
      </c>
      <c r="F3211" s="2" t="s">
        <v>457</v>
      </c>
      <c r="G3211" s="2" t="s">
        <v>458</v>
      </c>
      <c r="H3211" s="2" t="s">
        <v>459</v>
      </c>
      <c r="I3211" s="2" t="n">
        <f aca="false">IF(F3211="Present",9,IF(F3211="Half Day",4,0))</f>
        <v>9</v>
      </c>
      <c r="J3211" s="2"/>
      <c r="K3211" s="2"/>
    </row>
    <row r="3212" customFormat="false" ht="15" hidden="false" customHeight="false" outlineLevel="0" collapsed="false">
      <c r="A3212" s="2" t="s">
        <v>255</v>
      </c>
      <c r="B3212" s="2" t="s">
        <v>256</v>
      </c>
      <c r="C3212" s="2" t="s">
        <v>32</v>
      </c>
      <c r="D3212" s="3" t="n">
        <v>46252</v>
      </c>
      <c r="E3212" s="2" t="str">
        <f aca="false">TEXT(D3212,"dddd")</f>
        <v>Tuesday</v>
      </c>
      <c r="F3212" s="2" t="s">
        <v>466</v>
      </c>
      <c r="G3212" s="2" t="s">
        <v>458</v>
      </c>
      <c r="H3212" s="2" t="s">
        <v>467</v>
      </c>
      <c r="I3212" s="2" t="n">
        <f aca="false">IF(F3212="Present",9,IF(F3212="Half Day",4,0))</f>
        <v>4</v>
      </c>
      <c r="J3212" s="2"/>
      <c r="K3212" s="2" t="s">
        <v>466</v>
      </c>
    </row>
    <row r="3213" customFormat="false" ht="15" hidden="false" customHeight="false" outlineLevel="0" collapsed="false">
      <c r="A3213" s="2" t="s">
        <v>255</v>
      </c>
      <c r="B3213" s="2" t="s">
        <v>256</v>
      </c>
      <c r="C3213" s="2" t="s">
        <v>32</v>
      </c>
      <c r="D3213" s="3" t="n">
        <v>46253</v>
      </c>
      <c r="E3213" s="2" t="str">
        <f aca="false">TEXT(D3213,"dddd")</f>
        <v>Wednesday</v>
      </c>
      <c r="F3213" s="2" t="s">
        <v>457</v>
      </c>
      <c r="G3213" s="2" t="s">
        <v>458</v>
      </c>
      <c r="H3213" s="2" t="s">
        <v>459</v>
      </c>
      <c r="I3213" s="2" t="n">
        <f aca="false">IF(F3213="Present",9,IF(F3213="Half Day",4,0))</f>
        <v>9</v>
      </c>
      <c r="J3213" s="2"/>
      <c r="K3213" s="2"/>
    </row>
    <row r="3214" customFormat="false" ht="15" hidden="false" customHeight="false" outlineLevel="0" collapsed="false">
      <c r="A3214" s="2" t="s">
        <v>255</v>
      </c>
      <c r="B3214" s="2" t="s">
        <v>256</v>
      </c>
      <c r="C3214" s="2" t="s">
        <v>32</v>
      </c>
      <c r="D3214" s="3" t="n">
        <v>46254</v>
      </c>
      <c r="E3214" s="2" t="str">
        <f aca="false">TEXT(D3214,"dddd")</f>
        <v>Thursday</v>
      </c>
      <c r="F3214" s="2" t="s">
        <v>457</v>
      </c>
      <c r="G3214" s="2" t="s">
        <v>458</v>
      </c>
      <c r="H3214" s="2" t="s">
        <v>459</v>
      </c>
      <c r="I3214" s="2" t="n">
        <f aca="false">IF(F3214="Present",9,IF(F3214="Half Day",4,0))</f>
        <v>9</v>
      </c>
      <c r="J3214" s="2"/>
      <c r="K3214" s="2"/>
    </row>
    <row r="3215" customFormat="false" ht="15" hidden="false" customHeight="false" outlineLevel="0" collapsed="false">
      <c r="A3215" s="2" t="s">
        <v>255</v>
      </c>
      <c r="B3215" s="2" t="s">
        <v>256</v>
      </c>
      <c r="C3215" s="2" t="s">
        <v>32</v>
      </c>
      <c r="D3215" s="3" t="n">
        <v>46255</v>
      </c>
      <c r="E3215" s="2" t="str">
        <f aca="false">TEXT(D3215,"dddd")</f>
        <v>Friday</v>
      </c>
      <c r="F3215" s="2" t="s">
        <v>457</v>
      </c>
      <c r="G3215" s="2" t="s">
        <v>458</v>
      </c>
      <c r="H3215" s="2" t="s">
        <v>459</v>
      </c>
      <c r="I3215" s="2" t="n">
        <f aca="false">IF(F3215="Present",9,IF(F3215="Half Day",4,0))</f>
        <v>9</v>
      </c>
      <c r="J3215" s="2"/>
      <c r="K3215" s="2"/>
    </row>
    <row r="3216" customFormat="false" ht="15" hidden="false" customHeight="false" outlineLevel="0" collapsed="false">
      <c r="A3216" s="2" t="s">
        <v>255</v>
      </c>
      <c r="B3216" s="2" t="s">
        <v>256</v>
      </c>
      <c r="C3216" s="2" t="s">
        <v>32</v>
      </c>
      <c r="D3216" s="3" t="n">
        <v>46256</v>
      </c>
      <c r="E3216" s="2" t="str">
        <f aca="false">TEXT(D3216,"dddd")</f>
        <v>Saturday</v>
      </c>
      <c r="F3216" s="2" t="s">
        <v>457</v>
      </c>
      <c r="G3216" s="2" t="s">
        <v>458</v>
      </c>
      <c r="H3216" s="2" t="s">
        <v>459</v>
      </c>
      <c r="I3216" s="2" t="n">
        <f aca="false">IF(F3216="Present",9,IF(F3216="Half Day",4,0))</f>
        <v>9</v>
      </c>
      <c r="J3216" s="2"/>
      <c r="K3216" s="2"/>
    </row>
    <row r="3217" customFormat="false" ht="15" hidden="false" customHeight="false" outlineLevel="0" collapsed="false">
      <c r="A3217" s="2" t="s">
        <v>255</v>
      </c>
      <c r="B3217" s="2" t="s">
        <v>256</v>
      </c>
      <c r="C3217" s="2" t="s">
        <v>32</v>
      </c>
      <c r="D3217" s="3" t="n">
        <v>46257</v>
      </c>
      <c r="E3217" s="2" t="str">
        <f aca="false">TEXT(D3217,"dddd")</f>
        <v>Sunday</v>
      </c>
      <c r="F3217" s="2" t="s">
        <v>460</v>
      </c>
      <c r="G3217" s="2"/>
      <c r="H3217" s="2"/>
      <c r="I3217" s="2" t="n">
        <f aca="false">IF(F3217="Present",9,IF(F3217="Half Day",4,0))</f>
        <v>0</v>
      </c>
      <c r="J3217" s="2"/>
      <c r="K3217" s="2" t="s">
        <v>460</v>
      </c>
    </row>
    <row r="3218" customFormat="false" ht="15" hidden="false" customHeight="false" outlineLevel="0" collapsed="false">
      <c r="A3218" s="2" t="s">
        <v>255</v>
      </c>
      <c r="B3218" s="2" t="s">
        <v>256</v>
      </c>
      <c r="C3218" s="2" t="s">
        <v>32</v>
      </c>
      <c r="D3218" s="3" t="n">
        <v>46258</v>
      </c>
      <c r="E3218" s="2" t="str">
        <f aca="false">TEXT(D3218,"dddd")</f>
        <v>Monday</v>
      </c>
      <c r="F3218" s="2" t="s">
        <v>457</v>
      </c>
      <c r="G3218" s="2" t="s">
        <v>458</v>
      </c>
      <c r="H3218" s="2" t="s">
        <v>459</v>
      </c>
      <c r="I3218" s="2" t="n">
        <f aca="false">IF(F3218="Present",9,IF(F3218="Half Day",4,0))</f>
        <v>9</v>
      </c>
      <c r="J3218" s="2"/>
      <c r="K3218" s="2"/>
    </row>
    <row r="3219" customFormat="false" ht="15" hidden="false" customHeight="false" outlineLevel="0" collapsed="false">
      <c r="A3219" s="2" t="s">
        <v>255</v>
      </c>
      <c r="B3219" s="2" t="s">
        <v>256</v>
      </c>
      <c r="C3219" s="2" t="s">
        <v>32</v>
      </c>
      <c r="D3219" s="3" t="n">
        <v>46259</v>
      </c>
      <c r="E3219" s="2" t="str">
        <f aca="false">TEXT(D3219,"dddd")</f>
        <v>Tuesday</v>
      </c>
      <c r="F3219" s="2" t="s">
        <v>457</v>
      </c>
      <c r="G3219" s="2" t="s">
        <v>458</v>
      </c>
      <c r="H3219" s="2" t="s">
        <v>459</v>
      </c>
      <c r="I3219" s="2" t="n">
        <f aca="false">IF(F3219="Present",9,IF(F3219="Half Day",4,0))</f>
        <v>9</v>
      </c>
      <c r="J3219" s="2"/>
      <c r="K3219" s="2"/>
    </row>
    <row r="3220" customFormat="false" ht="15" hidden="false" customHeight="false" outlineLevel="0" collapsed="false">
      <c r="A3220" s="2" t="s">
        <v>255</v>
      </c>
      <c r="B3220" s="2" t="s">
        <v>256</v>
      </c>
      <c r="C3220" s="2" t="s">
        <v>32</v>
      </c>
      <c r="D3220" s="3" t="n">
        <v>46260</v>
      </c>
      <c r="E3220" s="2" t="str">
        <f aca="false">TEXT(D3220,"dddd")</f>
        <v>Wednesday</v>
      </c>
      <c r="F3220" s="2" t="s">
        <v>457</v>
      </c>
      <c r="G3220" s="2" t="s">
        <v>458</v>
      </c>
      <c r="H3220" s="2" t="s">
        <v>459</v>
      </c>
      <c r="I3220" s="2" t="n">
        <f aca="false">IF(F3220="Present",9,IF(F3220="Half Day",4,0))</f>
        <v>9</v>
      </c>
      <c r="J3220" s="2"/>
      <c r="K3220" s="2"/>
    </row>
    <row r="3221" customFormat="false" ht="15" hidden="false" customHeight="false" outlineLevel="0" collapsed="false">
      <c r="A3221" s="2" t="s">
        <v>255</v>
      </c>
      <c r="B3221" s="2" t="s">
        <v>256</v>
      </c>
      <c r="C3221" s="2" t="s">
        <v>32</v>
      </c>
      <c r="D3221" s="3" t="n">
        <v>46261</v>
      </c>
      <c r="E3221" s="2" t="str">
        <f aca="false">TEXT(D3221,"dddd")</f>
        <v>Thursday</v>
      </c>
      <c r="F3221" s="2" t="s">
        <v>457</v>
      </c>
      <c r="G3221" s="2" t="s">
        <v>458</v>
      </c>
      <c r="H3221" s="2" t="s">
        <v>459</v>
      </c>
      <c r="I3221" s="2" t="n">
        <f aca="false">IF(F3221="Present",9,IF(F3221="Half Day",4,0))</f>
        <v>9</v>
      </c>
      <c r="J3221" s="2"/>
      <c r="K3221" s="2"/>
    </row>
    <row r="3222" customFormat="false" ht="15" hidden="false" customHeight="false" outlineLevel="0" collapsed="false">
      <c r="A3222" s="2" t="s">
        <v>255</v>
      </c>
      <c r="B3222" s="2" t="s">
        <v>256</v>
      </c>
      <c r="C3222" s="2" t="s">
        <v>32</v>
      </c>
      <c r="D3222" s="3" t="n">
        <v>46262</v>
      </c>
      <c r="E3222" s="2" t="str">
        <f aca="false">TEXT(D3222,"dddd")</f>
        <v>Friday</v>
      </c>
      <c r="F3222" s="2" t="s">
        <v>457</v>
      </c>
      <c r="G3222" s="2" t="s">
        <v>458</v>
      </c>
      <c r="H3222" s="2" t="s">
        <v>459</v>
      </c>
      <c r="I3222" s="2" t="n">
        <f aca="false">IF(F3222="Present",9,IF(F3222="Half Day",4,0))</f>
        <v>9</v>
      </c>
      <c r="J3222" s="2"/>
      <c r="K3222" s="2"/>
    </row>
    <row r="3223" customFormat="false" ht="15" hidden="false" customHeight="false" outlineLevel="0" collapsed="false">
      <c r="A3223" s="2" t="s">
        <v>255</v>
      </c>
      <c r="B3223" s="2" t="s">
        <v>256</v>
      </c>
      <c r="C3223" s="2" t="s">
        <v>32</v>
      </c>
      <c r="D3223" s="3" t="n">
        <v>46263</v>
      </c>
      <c r="E3223" s="2" t="str">
        <f aca="false">TEXT(D3223,"dddd")</f>
        <v>Saturday</v>
      </c>
      <c r="F3223" s="2" t="s">
        <v>457</v>
      </c>
      <c r="G3223" s="2" t="s">
        <v>458</v>
      </c>
      <c r="H3223" s="2" t="s">
        <v>459</v>
      </c>
      <c r="I3223" s="2" t="n">
        <f aca="false">IF(F3223="Present",9,IF(F3223="Half Day",4,0))</f>
        <v>9</v>
      </c>
      <c r="J3223" s="2"/>
      <c r="K3223" s="2"/>
    </row>
    <row r="3224" customFormat="false" ht="15" hidden="false" customHeight="false" outlineLevel="0" collapsed="false">
      <c r="A3224" s="2" t="s">
        <v>255</v>
      </c>
      <c r="B3224" s="2" t="s">
        <v>256</v>
      </c>
      <c r="C3224" s="2" t="s">
        <v>32</v>
      </c>
      <c r="D3224" s="3" t="n">
        <v>46264</v>
      </c>
      <c r="E3224" s="2" t="str">
        <f aca="false">TEXT(D3224,"dddd")</f>
        <v>Sunday</v>
      </c>
      <c r="F3224" s="2" t="s">
        <v>460</v>
      </c>
      <c r="G3224" s="2"/>
      <c r="H3224" s="2"/>
      <c r="I3224" s="2" t="n">
        <f aca="false">IF(F3224="Present",9,IF(F3224="Half Day",4,0))</f>
        <v>0</v>
      </c>
      <c r="J3224" s="2"/>
      <c r="K3224" s="2" t="s">
        <v>460</v>
      </c>
    </row>
    <row r="3225" customFormat="false" ht="15" hidden="false" customHeight="false" outlineLevel="0" collapsed="false">
      <c r="A3225" s="2" t="s">
        <v>255</v>
      </c>
      <c r="B3225" s="2" t="s">
        <v>256</v>
      </c>
      <c r="C3225" s="2" t="s">
        <v>32</v>
      </c>
      <c r="D3225" s="3" t="n">
        <v>46265</v>
      </c>
      <c r="E3225" s="2" t="str">
        <f aca="false">TEXT(D3225,"dddd")</f>
        <v>Monday</v>
      </c>
      <c r="F3225" s="2" t="s">
        <v>457</v>
      </c>
      <c r="G3225" s="2" t="s">
        <v>458</v>
      </c>
      <c r="H3225" s="2" t="s">
        <v>459</v>
      </c>
      <c r="I3225" s="2" t="n">
        <f aca="false">IF(F3225="Present",9,IF(F3225="Half Day",4,0))</f>
        <v>9</v>
      </c>
      <c r="J3225" s="2"/>
      <c r="K3225" s="2"/>
    </row>
    <row r="3226" customFormat="false" ht="15" hidden="false" customHeight="false" outlineLevel="0" collapsed="false">
      <c r="A3226" s="2" t="s">
        <v>257</v>
      </c>
      <c r="B3226" s="2" t="s">
        <v>258</v>
      </c>
      <c r="C3226" s="2" t="s">
        <v>36</v>
      </c>
      <c r="D3226" s="3" t="n">
        <v>46235</v>
      </c>
      <c r="E3226" s="2" t="str">
        <f aca="false">TEXT(D3226,"dddd")</f>
        <v>Saturday</v>
      </c>
      <c r="F3226" s="2" t="s">
        <v>457</v>
      </c>
      <c r="G3226" s="2" t="s">
        <v>458</v>
      </c>
      <c r="H3226" s="2" t="s">
        <v>459</v>
      </c>
      <c r="I3226" s="2" t="n">
        <f aca="false">IF(F3226="Present",9,IF(F3226="Half Day",4,0))</f>
        <v>9</v>
      </c>
      <c r="J3226" s="2"/>
      <c r="K3226" s="2"/>
    </row>
    <row r="3227" customFormat="false" ht="15" hidden="false" customHeight="false" outlineLevel="0" collapsed="false">
      <c r="A3227" s="2" t="s">
        <v>257</v>
      </c>
      <c r="B3227" s="2" t="s">
        <v>258</v>
      </c>
      <c r="C3227" s="2" t="s">
        <v>36</v>
      </c>
      <c r="D3227" s="3" t="n">
        <v>46236</v>
      </c>
      <c r="E3227" s="2" t="str">
        <f aca="false">TEXT(D3227,"dddd")</f>
        <v>Sunday</v>
      </c>
      <c r="F3227" s="2" t="s">
        <v>460</v>
      </c>
      <c r="G3227" s="2"/>
      <c r="H3227" s="2"/>
      <c r="I3227" s="2" t="n">
        <f aca="false">IF(F3227="Present",9,IF(F3227="Half Day",4,0))</f>
        <v>0</v>
      </c>
      <c r="J3227" s="2"/>
      <c r="K3227" s="2" t="s">
        <v>460</v>
      </c>
    </row>
    <row r="3228" customFormat="false" ht="15" hidden="false" customHeight="false" outlineLevel="0" collapsed="false">
      <c r="A3228" s="2" t="s">
        <v>257</v>
      </c>
      <c r="B3228" s="2" t="s">
        <v>258</v>
      </c>
      <c r="C3228" s="2" t="s">
        <v>36</v>
      </c>
      <c r="D3228" s="3" t="n">
        <v>46237</v>
      </c>
      <c r="E3228" s="2" t="str">
        <f aca="false">TEXT(D3228,"dddd")</f>
        <v>Monday</v>
      </c>
      <c r="F3228" s="2" t="s">
        <v>457</v>
      </c>
      <c r="G3228" s="2" t="s">
        <v>458</v>
      </c>
      <c r="H3228" s="2" t="s">
        <v>459</v>
      </c>
      <c r="I3228" s="2" t="n">
        <f aca="false">IF(F3228="Present",9,IF(F3228="Half Day",4,0))</f>
        <v>9</v>
      </c>
      <c r="J3228" s="2"/>
      <c r="K3228" s="2"/>
    </row>
    <row r="3229" customFormat="false" ht="15" hidden="false" customHeight="false" outlineLevel="0" collapsed="false">
      <c r="A3229" s="2" t="s">
        <v>257</v>
      </c>
      <c r="B3229" s="2" t="s">
        <v>258</v>
      </c>
      <c r="C3229" s="2" t="s">
        <v>36</v>
      </c>
      <c r="D3229" s="3" t="n">
        <v>46238</v>
      </c>
      <c r="E3229" s="2" t="str">
        <f aca="false">TEXT(D3229,"dddd")</f>
        <v>Tuesday</v>
      </c>
      <c r="F3229" s="2" t="s">
        <v>457</v>
      </c>
      <c r="G3229" s="2" t="s">
        <v>458</v>
      </c>
      <c r="H3229" s="2" t="s">
        <v>459</v>
      </c>
      <c r="I3229" s="2" t="n">
        <f aca="false">IF(F3229="Present",9,IF(F3229="Half Day",4,0))</f>
        <v>9</v>
      </c>
      <c r="J3229" s="2"/>
      <c r="K3229" s="2"/>
    </row>
    <row r="3230" customFormat="false" ht="15" hidden="false" customHeight="false" outlineLevel="0" collapsed="false">
      <c r="A3230" s="2" t="s">
        <v>257</v>
      </c>
      <c r="B3230" s="2" t="s">
        <v>258</v>
      </c>
      <c r="C3230" s="2" t="s">
        <v>36</v>
      </c>
      <c r="D3230" s="3" t="n">
        <v>46239</v>
      </c>
      <c r="E3230" s="2" t="str">
        <f aca="false">TEXT(D3230,"dddd")</f>
        <v>Wednesday</v>
      </c>
      <c r="F3230" s="2" t="s">
        <v>457</v>
      </c>
      <c r="G3230" s="2" t="s">
        <v>458</v>
      </c>
      <c r="H3230" s="2" t="s">
        <v>459</v>
      </c>
      <c r="I3230" s="2" t="n">
        <f aca="false">IF(F3230="Present",9,IF(F3230="Half Day",4,0))</f>
        <v>9</v>
      </c>
      <c r="J3230" s="2"/>
      <c r="K3230" s="2"/>
    </row>
    <row r="3231" customFormat="false" ht="15" hidden="false" customHeight="false" outlineLevel="0" collapsed="false">
      <c r="A3231" s="2" t="s">
        <v>257</v>
      </c>
      <c r="B3231" s="2" t="s">
        <v>258</v>
      </c>
      <c r="C3231" s="2" t="s">
        <v>36</v>
      </c>
      <c r="D3231" s="3" t="n">
        <v>46240</v>
      </c>
      <c r="E3231" s="2" t="str">
        <f aca="false">TEXT(D3231,"dddd")</f>
        <v>Thursday</v>
      </c>
      <c r="F3231" s="2" t="s">
        <v>466</v>
      </c>
      <c r="G3231" s="2" t="s">
        <v>458</v>
      </c>
      <c r="H3231" s="2" t="s">
        <v>467</v>
      </c>
      <c r="I3231" s="2" t="n">
        <f aca="false">IF(F3231="Present",9,IF(F3231="Half Day",4,0))</f>
        <v>4</v>
      </c>
      <c r="J3231" s="2"/>
      <c r="K3231" s="2" t="s">
        <v>466</v>
      </c>
    </row>
    <row r="3232" customFormat="false" ht="15" hidden="false" customHeight="false" outlineLevel="0" collapsed="false">
      <c r="A3232" s="2" t="s">
        <v>257</v>
      </c>
      <c r="B3232" s="2" t="s">
        <v>258</v>
      </c>
      <c r="C3232" s="2" t="s">
        <v>36</v>
      </c>
      <c r="D3232" s="3" t="n">
        <v>46241</v>
      </c>
      <c r="E3232" s="2" t="str">
        <f aca="false">TEXT(D3232,"dddd")</f>
        <v>Friday</v>
      </c>
      <c r="F3232" s="2" t="s">
        <v>461</v>
      </c>
      <c r="G3232" s="2"/>
      <c r="H3232" s="2"/>
      <c r="I3232" s="2" t="n">
        <f aca="false">IF(F3232="Present",9,IF(F3232="Half Day",4,0))</f>
        <v>0</v>
      </c>
      <c r="J3232" s="2"/>
      <c r="K3232" s="2" t="s">
        <v>462</v>
      </c>
    </row>
    <row r="3233" customFormat="false" ht="15" hidden="false" customHeight="false" outlineLevel="0" collapsed="false">
      <c r="A3233" s="2" t="s">
        <v>257</v>
      </c>
      <c r="B3233" s="2" t="s">
        <v>258</v>
      </c>
      <c r="C3233" s="2" t="s">
        <v>36</v>
      </c>
      <c r="D3233" s="3" t="n">
        <v>46242</v>
      </c>
      <c r="E3233" s="2" t="str">
        <f aca="false">TEXT(D3233,"dddd")</f>
        <v>Saturday</v>
      </c>
      <c r="F3233" s="2" t="s">
        <v>461</v>
      </c>
      <c r="G3233" s="2"/>
      <c r="H3233" s="2"/>
      <c r="I3233" s="2" t="n">
        <f aca="false">IF(F3233="Present",9,IF(F3233="Half Day",4,0))</f>
        <v>0</v>
      </c>
      <c r="J3233" s="2"/>
      <c r="K3233" s="2" t="s">
        <v>462</v>
      </c>
    </row>
    <row r="3234" customFormat="false" ht="15" hidden="false" customHeight="false" outlineLevel="0" collapsed="false">
      <c r="A3234" s="2" t="s">
        <v>257</v>
      </c>
      <c r="B3234" s="2" t="s">
        <v>258</v>
      </c>
      <c r="C3234" s="2" t="s">
        <v>36</v>
      </c>
      <c r="D3234" s="3" t="n">
        <v>46243</v>
      </c>
      <c r="E3234" s="2" t="str">
        <f aca="false">TEXT(D3234,"dddd")</f>
        <v>Sunday</v>
      </c>
      <c r="F3234" s="2" t="s">
        <v>460</v>
      </c>
      <c r="G3234" s="2"/>
      <c r="H3234" s="2"/>
      <c r="I3234" s="2" t="n">
        <f aca="false">IF(F3234="Present",9,IF(F3234="Half Day",4,0))</f>
        <v>0</v>
      </c>
      <c r="J3234" s="2"/>
      <c r="K3234" s="2" t="s">
        <v>460</v>
      </c>
    </row>
    <row r="3235" customFormat="false" ht="15" hidden="false" customHeight="false" outlineLevel="0" collapsed="false">
      <c r="A3235" s="2" t="s">
        <v>257</v>
      </c>
      <c r="B3235" s="2" t="s">
        <v>258</v>
      </c>
      <c r="C3235" s="2" t="s">
        <v>36</v>
      </c>
      <c r="D3235" s="3" t="n">
        <v>46244</v>
      </c>
      <c r="E3235" s="2" t="str">
        <f aca="false">TEXT(D3235,"dddd")</f>
        <v>Monday</v>
      </c>
      <c r="F3235" s="2" t="s">
        <v>457</v>
      </c>
      <c r="G3235" s="2" t="s">
        <v>458</v>
      </c>
      <c r="H3235" s="2" t="s">
        <v>459</v>
      </c>
      <c r="I3235" s="2" t="n">
        <f aca="false">IF(F3235="Present",9,IF(F3235="Half Day",4,0))</f>
        <v>9</v>
      </c>
      <c r="J3235" s="2"/>
      <c r="K3235" s="2"/>
    </row>
    <row r="3236" customFormat="false" ht="15" hidden="false" customHeight="false" outlineLevel="0" collapsed="false">
      <c r="A3236" s="2" t="s">
        <v>257</v>
      </c>
      <c r="B3236" s="2" t="s">
        <v>258</v>
      </c>
      <c r="C3236" s="2" t="s">
        <v>36</v>
      </c>
      <c r="D3236" s="3" t="n">
        <v>46245</v>
      </c>
      <c r="E3236" s="2" t="str">
        <f aca="false">TEXT(D3236,"dddd")</f>
        <v>Tuesday</v>
      </c>
      <c r="F3236" s="2" t="s">
        <v>461</v>
      </c>
      <c r="G3236" s="2"/>
      <c r="H3236" s="2"/>
      <c r="I3236" s="2" t="n">
        <f aca="false">IF(F3236="Present",9,IF(F3236="Half Day",4,0))</f>
        <v>0</v>
      </c>
      <c r="J3236" s="2"/>
      <c r="K3236" s="2" t="s">
        <v>462</v>
      </c>
    </row>
    <row r="3237" customFormat="false" ht="15" hidden="false" customHeight="false" outlineLevel="0" collapsed="false">
      <c r="A3237" s="2" t="s">
        <v>257</v>
      </c>
      <c r="B3237" s="2" t="s">
        <v>258</v>
      </c>
      <c r="C3237" s="2" t="s">
        <v>36</v>
      </c>
      <c r="D3237" s="3" t="n">
        <v>46246</v>
      </c>
      <c r="E3237" s="2" t="str">
        <f aca="false">TEXT(D3237,"dddd")</f>
        <v>Wednesday</v>
      </c>
      <c r="F3237" s="2" t="s">
        <v>457</v>
      </c>
      <c r="G3237" s="2" t="s">
        <v>458</v>
      </c>
      <c r="H3237" s="2" t="s">
        <v>459</v>
      </c>
      <c r="I3237" s="2" t="n">
        <f aca="false">IF(F3237="Present",9,IF(F3237="Half Day",4,0))</f>
        <v>9</v>
      </c>
      <c r="J3237" s="2"/>
      <c r="K3237" s="2"/>
    </row>
    <row r="3238" customFormat="false" ht="15" hidden="false" customHeight="false" outlineLevel="0" collapsed="false">
      <c r="A3238" s="2" t="s">
        <v>257</v>
      </c>
      <c r="B3238" s="2" t="s">
        <v>258</v>
      </c>
      <c r="C3238" s="2" t="s">
        <v>36</v>
      </c>
      <c r="D3238" s="3" t="n">
        <v>46247</v>
      </c>
      <c r="E3238" s="2" t="str">
        <f aca="false">TEXT(D3238,"dddd")</f>
        <v>Thursday</v>
      </c>
      <c r="F3238" s="2" t="s">
        <v>461</v>
      </c>
      <c r="G3238" s="2"/>
      <c r="H3238" s="2"/>
      <c r="I3238" s="2" t="n">
        <f aca="false">IF(F3238="Present",9,IF(F3238="Half Day",4,0))</f>
        <v>0</v>
      </c>
      <c r="J3238" s="2"/>
      <c r="K3238" s="2" t="s">
        <v>462</v>
      </c>
    </row>
    <row r="3239" customFormat="false" ht="15" hidden="false" customHeight="false" outlineLevel="0" collapsed="false">
      <c r="A3239" s="2" t="s">
        <v>257</v>
      </c>
      <c r="B3239" s="2" t="s">
        <v>258</v>
      </c>
      <c r="C3239" s="2" t="s">
        <v>36</v>
      </c>
      <c r="D3239" s="3" t="n">
        <v>46248</v>
      </c>
      <c r="E3239" s="2" t="str">
        <f aca="false">TEXT(D3239,"dddd")</f>
        <v>Friday</v>
      </c>
      <c r="F3239" s="2" t="s">
        <v>457</v>
      </c>
      <c r="G3239" s="2" t="s">
        <v>458</v>
      </c>
      <c r="H3239" s="2" t="s">
        <v>459</v>
      </c>
      <c r="I3239" s="2" t="n">
        <f aca="false">IF(F3239="Present",9,IF(F3239="Half Day",4,0))</f>
        <v>9</v>
      </c>
      <c r="J3239" s="2"/>
      <c r="K3239" s="2"/>
    </row>
    <row r="3240" customFormat="false" ht="15" hidden="false" customHeight="false" outlineLevel="0" collapsed="false">
      <c r="A3240" s="2" t="s">
        <v>257</v>
      </c>
      <c r="B3240" s="2" t="s">
        <v>258</v>
      </c>
      <c r="C3240" s="2" t="s">
        <v>36</v>
      </c>
      <c r="D3240" s="3" t="n">
        <v>46249</v>
      </c>
      <c r="E3240" s="2" t="str">
        <f aca="false">TEXT(D3240,"dddd")</f>
        <v>Saturday</v>
      </c>
      <c r="F3240" s="2" t="s">
        <v>466</v>
      </c>
      <c r="G3240" s="2" t="s">
        <v>458</v>
      </c>
      <c r="H3240" s="2" t="s">
        <v>467</v>
      </c>
      <c r="I3240" s="2" t="n">
        <f aca="false">IF(F3240="Present",9,IF(F3240="Half Day",4,0))</f>
        <v>4</v>
      </c>
      <c r="J3240" s="2"/>
      <c r="K3240" s="2" t="s">
        <v>466</v>
      </c>
    </row>
    <row r="3241" customFormat="false" ht="15" hidden="false" customHeight="false" outlineLevel="0" collapsed="false">
      <c r="A3241" s="2" t="s">
        <v>257</v>
      </c>
      <c r="B3241" s="2" t="s">
        <v>258</v>
      </c>
      <c r="C3241" s="2" t="s">
        <v>36</v>
      </c>
      <c r="D3241" s="3" t="n">
        <v>46250</v>
      </c>
      <c r="E3241" s="2" t="str">
        <f aca="false">TEXT(D3241,"dddd")</f>
        <v>Sunday</v>
      </c>
      <c r="F3241" s="2" t="s">
        <v>460</v>
      </c>
      <c r="G3241" s="2"/>
      <c r="H3241" s="2"/>
      <c r="I3241" s="2" t="n">
        <f aca="false">IF(F3241="Present",9,IF(F3241="Half Day",4,0))</f>
        <v>0</v>
      </c>
      <c r="J3241" s="2"/>
      <c r="K3241" s="2" t="s">
        <v>460</v>
      </c>
    </row>
    <row r="3242" customFormat="false" ht="15" hidden="false" customHeight="false" outlineLevel="0" collapsed="false">
      <c r="A3242" s="2" t="s">
        <v>257</v>
      </c>
      <c r="B3242" s="2" t="s">
        <v>258</v>
      </c>
      <c r="C3242" s="2" t="s">
        <v>36</v>
      </c>
      <c r="D3242" s="3" t="n">
        <v>46251</v>
      </c>
      <c r="E3242" s="2" t="str">
        <f aca="false">TEXT(D3242,"dddd")</f>
        <v>Monday</v>
      </c>
      <c r="F3242" s="2" t="s">
        <v>457</v>
      </c>
      <c r="G3242" s="2" t="s">
        <v>458</v>
      </c>
      <c r="H3242" s="2" t="s">
        <v>459</v>
      </c>
      <c r="I3242" s="2" t="n">
        <f aca="false">IF(F3242="Present",9,IF(F3242="Half Day",4,0))</f>
        <v>9</v>
      </c>
      <c r="J3242" s="2"/>
      <c r="K3242" s="2"/>
    </row>
    <row r="3243" customFormat="false" ht="15" hidden="false" customHeight="false" outlineLevel="0" collapsed="false">
      <c r="A3243" s="2" t="s">
        <v>257</v>
      </c>
      <c r="B3243" s="2" t="s">
        <v>258</v>
      </c>
      <c r="C3243" s="2" t="s">
        <v>36</v>
      </c>
      <c r="D3243" s="3" t="n">
        <v>46252</v>
      </c>
      <c r="E3243" s="2" t="str">
        <f aca="false">TEXT(D3243,"dddd")</f>
        <v>Tuesday</v>
      </c>
      <c r="F3243" s="2" t="s">
        <v>457</v>
      </c>
      <c r="G3243" s="2" t="s">
        <v>458</v>
      </c>
      <c r="H3243" s="2" t="s">
        <v>459</v>
      </c>
      <c r="I3243" s="2" t="n">
        <f aca="false">IF(F3243="Present",9,IF(F3243="Half Day",4,0))</f>
        <v>9</v>
      </c>
      <c r="J3243" s="2"/>
      <c r="K3243" s="2"/>
    </row>
    <row r="3244" customFormat="false" ht="15" hidden="false" customHeight="false" outlineLevel="0" collapsed="false">
      <c r="A3244" s="2" t="s">
        <v>257</v>
      </c>
      <c r="B3244" s="2" t="s">
        <v>258</v>
      </c>
      <c r="C3244" s="2" t="s">
        <v>36</v>
      </c>
      <c r="D3244" s="3" t="n">
        <v>46253</v>
      </c>
      <c r="E3244" s="2" t="str">
        <f aca="false">TEXT(D3244,"dddd")</f>
        <v>Wednesday</v>
      </c>
      <c r="F3244" s="2" t="s">
        <v>457</v>
      </c>
      <c r="G3244" s="2" t="s">
        <v>458</v>
      </c>
      <c r="H3244" s="2" t="s">
        <v>459</v>
      </c>
      <c r="I3244" s="2" t="n">
        <f aca="false">IF(F3244="Present",9,IF(F3244="Half Day",4,0))</f>
        <v>9</v>
      </c>
      <c r="J3244" s="2"/>
      <c r="K3244" s="2"/>
    </row>
    <row r="3245" customFormat="false" ht="15" hidden="false" customHeight="false" outlineLevel="0" collapsed="false">
      <c r="A3245" s="2" t="s">
        <v>257</v>
      </c>
      <c r="B3245" s="2" t="s">
        <v>258</v>
      </c>
      <c r="C3245" s="2" t="s">
        <v>36</v>
      </c>
      <c r="D3245" s="3" t="n">
        <v>46254</v>
      </c>
      <c r="E3245" s="2" t="str">
        <f aca="false">TEXT(D3245,"dddd")</f>
        <v>Thursday</v>
      </c>
      <c r="F3245" s="2" t="s">
        <v>457</v>
      </c>
      <c r="G3245" s="2" t="s">
        <v>458</v>
      </c>
      <c r="H3245" s="2" t="s">
        <v>459</v>
      </c>
      <c r="I3245" s="2" t="n">
        <f aca="false">IF(F3245="Present",9,IF(F3245="Half Day",4,0))</f>
        <v>9</v>
      </c>
      <c r="J3245" s="2"/>
      <c r="K3245" s="2"/>
    </row>
    <row r="3246" customFormat="false" ht="15" hidden="false" customHeight="false" outlineLevel="0" collapsed="false">
      <c r="A3246" s="2" t="s">
        <v>257</v>
      </c>
      <c r="B3246" s="2" t="s">
        <v>258</v>
      </c>
      <c r="C3246" s="2" t="s">
        <v>36</v>
      </c>
      <c r="D3246" s="3" t="n">
        <v>46255</v>
      </c>
      <c r="E3246" s="2" t="str">
        <f aca="false">TEXT(D3246,"dddd")</f>
        <v>Friday</v>
      </c>
      <c r="F3246" s="2" t="s">
        <v>461</v>
      </c>
      <c r="G3246" s="2"/>
      <c r="H3246" s="2"/>
      <c r="I3246" s="2" t="n">
        <f aca="false">IF(F3246="Present",9,IF(F3246="Half Day",4,0))</f>
        <v>0</v>
      </c>
      <c r="J3246" s="2"/>
      <c r="K3246" s="2" t="s">
        <v>462</v>
      </c>
    </row>
    <row r="3247" customFormat="false" ht="15" hidden="false" customHeight="false" outlineLevel="0" collapsed="false">
      <c r="A3247" s="2" t="s">
        <v>257</v>
      </c>
      <c r="B3247" s="2" t="s">
        <v>258</v>
      </c>
      <c r="C3247" s="2" t="s">
        <v>36</v>
      </c>
      <c r="D3247" s="3" t="n">
        <v>46256</v>
      </c>
      <c r="E3247" s="2" t="str">
        <f aca="false">TEXT(D3247,"dddd")</f>
        <v>Saturday</v>
      </c>
      <c r="F3247" s="2" t="s">
        <v>461</v>
      </c>
      <c r="G3247" s="2"/>
      <c r="H3247" s="2"/>
      <c r="I3247" s="2" t="n">
        <f aca="false">IF(F3247="Present",9,IF(F3247="Half Day",4,0))</f>
        <v>0</v>
      </c>
      <c r="J3247" s="2"/>
      <c r="K3247" s="2" t="s">
        <v>462</v>
      </c>
    </row>
    <row r="3248" customFormat="false" ht="15" hidden="false" customHeight="false" outlineLevel="0" collapsed="false">
      <c r="A3248" s="2" t="s">
        <v>257</v>
      </c>
      <c r="B3248" s="2" t="s">
        <v>258</v>
      </c>
      <c r="C3248" s="2" t="s">
        <v>36</v>
      </c>
      <c r="D3248" s="3" t="n">
        <v>46257</v>
      </c>
      <c r="E3248" s="2" t="str">
        <f aca="false">TEXT(D3248,"dddd")</f>
        <v>Sunday</v>
      </c>
      <c r="F3248" s="2" t="s">
        <v>460</v>
      </c>
      <c r="G3248" s="2"/>
      <c r="H3248" s="2"/>
      <c r="I3248" s="2" t="n">
        <f aca="false">IF(F3248="Present",9,IF(F3248="Half Day",4,0))</f>
        <v>0</v>
      </c>
      <c r="J3248" s="2"/>
      <c r="K3248" s="2" t="s">
        <v>460</v>
      </c>
    </row>
    <row r="3249" customFormat="false" ht="15" hidden="false" customHeight="false" outlineLevel="0" collapsed="false">
      <c r="A3249" s="2" t="s">
        <v>257</v>
      </c>
      <c r="B3249" s="2" t="s">
        <v>258</v>
      </c>
      <c r="C3249" s="2" t="s">
        <v>36</v>
      </c>
      <c r="D3249" s="3" t="n">
        <v>46258</v>
      </c>
      <c r="E3249" s="2" t="str">
        <f aca="false">TEXT(D3249,"dddd")</f>
        <v>Monday</v>
      </c>
      <c r="F3249" s="2" t="s">
        <v>461</v>
      </c>
      <c r="G3249" s="2"/>
      <c r="H3249" s="2"/>
      <c r="I3249" s="2" t="n">
        <f aca="false">IF(F3249="Present",9,IF(F3249="Half Day",4,0))</f>
        <v>0</v>
      </c>
      <c r="J3249" s="2"/>
      <c r="K3249" s="2" t="s">
        <v>462</v>
      </c>
    </row>
    <row r="3250" customFormat="false" ht="15" hidden="false" customHeight="false" outlineLevel="0" collapsed="false">
      <c r="A3250" s="2" t="s">
        <v>257</v>
      </c>
      <c r="B3250" s="2" t="s">
        <v>258</v>
      </c>
      <c r="C3250" s="2" t="s">
        <v>36</v>
      </c>
      <c r="D3250" s="3" t="n">
        <v>46259</v>
      </c>
      <c r="E3250" s="2" t="str">
        <f aca="false">TEXT(D3250,"dddd")</f>
        <v>Tuesday</v>
      </c>
      <c r="F3250" s="2" t="s">
        <v>457</v>
      </c>
      <c r="G3250" s="2" t="s">
        <v>458</v>
      </c>
      <c r="H3250" s="2" t="s">
        <v>459</v>
      </c>
      <c r="I3250" s="2" t="n">
        <f aca="false">IF(F3250="Present",9,IF(F3250="Half Day",4,0))</f>
        <v>9</v>
      </c>
      <c r="J3250" s="2"/>
      <c r="K3250" s="2"/>
    </row>
    <row r="3251" customFormat="false" ht="15" hidden="false" customHeight="false" outlineLevel="0" collapsed="false">
      <c r="A3251" s="2" t="s">
        <v>257</v>
      </c>
      <c r="B3251" s="2" t="s">
        <v>258</v>
      </c>
      <c r="C3251" s="2" t="s">
        <v>36</v>
      </c>
      <c r="D3251" s="3" t="n">
        <v>46260</v>
      </c>
      <c r="E3251" s="2" t="str">
        <f aca="false">TEXT(D3251,"dddd")</f>
        <v>Wednesday</v>
      </c>
      <c r="F3251" s="2" t="s">
        <v>457</v>
      </c>
      <c r="G3251" s="2" t="s">
        <v>458</v>
      </c>
      <c r="H3251" s="2" t="s">
        <v>459</v>
      </c>
      <c r="I3251" s="2" t="n">
        <f aca="false">IF(F3251="Present",9,IF(F3251="Half Day",4,0))</f>
        <v>9</v>
      </c>
      <c r="J3251" s="2"/>
      <c r="K3251" s="2"/>
    </row>
    <row r="3252" customFormat="false" ht="15" hidden="false" customHeight="false" outlineLevel="0" collapsed="false">
      <c r="A3252" s="2" t="s">
        <v>257</v>
      </c>
      <c r="B3252" s="2" t="s">
        <v>258</v>
      </c>
      <c r="C3252" s="2" t="s">
        <v>36</v>
      </c>
      <c r="D3252" s="3" t="n">
        <v>46261</v>
      </c>
      <c r="E3252" s="2" t="str">
        <f aca="false">TEXT(D3252,"dddd")</f>
        <v>Thursday</v>
      </c>
      <c r="F3252" s="2" t="s">
        <v>457</v>
      </c>
      <c r="G3252" s="2" t="s">
        <v>458</v>
      </c>
      <c r="H3252" s="2" t="s">
        <v>459</v>
      </c>
      <c r="I3252" s="2" t="n">
        <f aca="false">IF(F3252="Present",9,IF(F3252="Half Day",4,0))</f>
        <v>9</v>
      </c>
      <c r="J3252" s="2"/>
      <c r="K3252" s="2"/>
    </row>
    <row r="3253" customFormat="false" ht="15" hidden="false" customHeight="false" outlineLevel="0" collapsed="false">
      <c r="A3253" s="2" t="s">
        <v>257</v>
      </c>
      <c r="B3253" s="2" t="s">
        <v>258</v>
      </c>
      <c r="C3253" s="2" t="s">
        <v>36</v>
      </c>
      <c r="D3253" s="3" t="n">
        <v>46262</v>
      </c>
      <c r="E3253" s="2" t="str">
        <f aca="false">TEXT(D3253,"dddd")</f>
        <v>Friday</v>
      </c>
      <c r="F3253" s="2" t="s">
        <v>457</v>
      </c>
      <c r="G3253" s="2" t="s">
        <v>458</v>
      </c>
      <c r="H3253" s="2" t="s">
        <v>459</v>
      </c>
      <c r="I3253" s="2" t="n">
        <f aca="false">IF(F3253="Present",9,IF(F3253="Half Day",4,0))</f>
        <v>9</v>
      </c>
      <c r="J3253" s="2"/>
      <c r="K3253" s="2"/>
    </row>
    <row r="3254" customFormat="false" ht="15" hidden="false" customHeight="false" outlineLevel="0" collapsed="false">
      <c r="A3254" s="2" t="s">
        <v>257</v>
      </c>
      <c r="B3254" s="2" t="s">
        <v>258</v>
      </c>
      <c r="C3254" s="2" t="s">
        <v>36</v>
      </c>
      <c r="D3254" s="3" t="n">
        <v>46263</v>
      </c>
      <c r="E3254" s="2" t="str">
        <f aca="false">TEXT(D3254,"dddd")</f>
        <v>Saturday</v>
      </c>
      <c r="F3254" s="2" t="s">
        <v>457</v>
      </c>
      <c r="G3254" s="2" t="s">
        <v>458</v>
      </c>
      <c r="H3254" s="2" t="s">
        <v>459</v>
      </c>
      <c r="I3254" s="2" t="n">
        <f aca="false">IF(F3254="Present",9,IF(F3254="Half Day",4,0))</f>
        <v>9</v>
      </c>
      <c r="J3254" s="2"/>
      <c r="K3254" s="2"/>
    </row>
    <row r="3255" customFormat="false" ht="15" hidden="false" customHeight="false" outlineLevel="0" collapsed="false">
      <c r="A3255" s="2" t="s">
        <v>257</v>
      </c>
      <c r="B3255" s="2" t="s">
        <v>258</v>
      </c>
      <c r="C3255" s="2" t="s">
        <v>36</v>
      </c>
      <c r="D3255" s="3" t="n">
        <v>46264</v>
      </c>
      <c r="E3255" s="2" t="str">
        <f aca="false">TEXT(D3255,"dddd")</f>
        <v>Sunday</v>
      </c>
      <c r="F3255" s="2" t="s">
        <v>460</v>
      </c>
      <c r="G3255" s="2"/>
      <c r="H3255" s="2"/>
      <c r="I3255" s="2" t="n">
        <f aca="false">IF(F3255="Present",9,IF(F3255="Half Day",4,0))</f>
        <v>0</v>
      </c>
      <c r="J3255" s="2"/>
      <c r="K3255" s="2" t="s">
        <v>460</v>
      </c>
    </row>
    <row r="3256" customFormat="false" ht="15" hidden="false" customHeight="false" outlineLevel="0" collapsed="false">
      <c r="A3256" s="2" t="s">
        <v>257</v>
      </c>
      <c r="B3256" s="2" t="s">
        <v>258</v>
      </c>
      <c r="C3256" s="2" t="s">
        <v>36</v>
      </c>
      <c r="D3256" s="3" t="n">
        <v>46265</v>
      </c>
      <c r="E3256" s="2" t="str">
        <f aca="false">TEXT(D3256,"dddd")</f>
        <v>Monday</v>
      </c>
      <c r="F3256" s="2" t="s">
        <v>457</v>
      </c>
      <c r="G3256" s="2" t="s">
        <v>458</v>
      </c>
      <c r="H3256" s="2" t="s">
        <v>459</v>
      </c>
      <c r="I3256" s="2" t="n">
        <f aca="false">IF(F3256="Present",9,IF(F3256="Half Day",4,0))</f>
        <v>9</v>
      </c>
      <c r="J3256" s="2"/>
      <c r="K3256" s="2"/>
    </row>
    <row r="3257" customFormat="false" ht="15" hidden="false" customHeight="false" outlineLevel="0" collapsed="false">
      <c r="A3257" s="2" t="s">
        <v>259</v>
      </c>
      <c r="B3257" s="2" t="s">
        <v>260</v>
      </c>
      <c r="C3257" s="2" t="s">
        <v>41</v>
      </c>
      <c r="D3257" s="3" t="n">
        <v>46235</v>
      </c>
      <c r="E3257" s="2" t="str">
        <f aca="false">TEXT(D3257,"dddd")</f>
        <v>Saturday</v>
      </c>
      <c r="F3257" s="2" t="s">
        <v>457</v>
      </c>
      <c r="G3257" s="2" t="s">
        <v>458</v>
      </c>
      <c r="H3257" s="2" t="s">
        <v>459</v>
      </c>
      <c r="I3257" s="2" t="n">
        <f aca="false">IF(F3257="Present",9,IF(F3257="Half Day",4,0))</f>
        <v>9</v>
      </c>
      <c r="J3257" s="2"/>
      <c r="K3257" s="2"/>
    </row>
    <row r="3258" customFormat="false" ht="15" hidden="false" customHeight="false" outlineLevel="0" collapsed="false">
      <c r="A3258" s="2" t="s">
        <v>259</v>
      </c>
      <c r="B3258" s="2" t="s">
        <v>260</v>
      </c>
      <c r="C3258" s="2" t="s">
        <v>41</v>
      </c>
      <c r="D3258" s="3" t="n">
        <v>46236</v>
      </c>
      <c r="E3258" s="2" t="str">
        <f aca="false">TEXT(D3258,"dddd")</f>
        <v>Sunday</v>
      </c>
      <c r="F3258" s="2" t="s">
        <v>460</v>
      </c>
      <c r="G3258" s="2"/>
      <c r="H3258" s="2"/>
      <c r="I3258" s="2" t="n">
        <f aca="false">IF(F3258="Present",9,IF(F3258="Half Day",4,0))</f>
        <v>0</v>
      </c>
      <c r="J3258" s="2"/>
      <c r="K3258" s="2" t="s">
        <v>460</v>
      </c>
    </row>
    <row r="3259" customFormat="false" ht="15" hidden="false" customHeight="false" outlineLevel="0" collapsed="false">
      <c r="A3259" s="2" t="s">
        <v>259</v>
      </c>
      <c r="B3259" s="2" t="s">
        <v>260</v>
      </c>
      <c r="C3259" s="2" t="s">
        <v>41</v>
      </c>
      <c r="D3259" s="3" t="n">
        <v>46237</v>
      </c>
      <c r="E3259" s="2" t="str">
        <f aca="false">TEXT(D3259,"dddd")</f>
        <v>Monday</v>
      </c>
      <c r="F3259" s="2" t="s">
        <v>461</v>
      </c>
      <c r="G3259" s="2"/>
      <c r="H3259" s="2"/>
      <c r="I3259" s="2" t="n">
        <f aca="false">IF(F3259="Present",9,IF(F3259="Half Day",4,0))</f>
        <v>0</v>
      </c>
      <c r="J3259" s="2"/>
      <c r="K3259" s="2" t="s">
        <v>462</v>
      </c>
    </row>
    <row r="3260" customFormat="false" ht="15" hidden="false" customHeight="false" outlineLevel="0" collapsed="false">
      <c r="A3260" s="2" t="s">
        <v>259</v>
      </c>
      <c r="B3260" s="2" t="s">
        <v>260</v>
      </c>
      <c r="C3260" s="2" t="s">
        <v>41</v>
      </c>
      <c r="D3260" s="3" t="n">
        <v>46238</v>
      </c>
      <c r="E3260" s="2" t="str">
        <f aca="false">TEXT(D3260,"dddd")</f>
        <v>Tuesday</v>
      </c>
      <c r="F3260" s="2" t="s">
        <v>457</v>
      </c>
      <c r="G3260" s="2" t="s">
        <v>458</v>
      </c>
      <c r="H3260" s="2" t="s">
        <v>459</v>
      </c>
      <c r="I3260" s="2" t="n">
        <f aca="false">IF(F3260="Present",9,IF(F3260="Half Day",4,0))</f>
        <v>9</v>
      </c>
      <c r="J3260" s="2"/>
      <c r="K3260" s="2"/>
    </row>
    <row r="3261" customFormat="false" ht="15" hidden="false" customHeight="false" outlineLevel="0" collapsed="false">
      <c r="A3261" s="2" t="s">
        <v>259</v>
      </c>
      <c r="B3261" s="2" t="s">
        <v>260</v>
      </c>
      <c r="C3261" s="2" t="s">
        <v>41</v>
      </c>
      <c r="D3261" s="3" t="n">
        <v>46239</v>
      </c>
      <c r="E3261" s="2" t="str">
        <f aca="false">TEXT(D3261,"dddd")</f>
        <v>Wednesday</v>
      </c>
      <c r="F3261" s="2" t="s">
        <v>457</v>
      </c>
      <c r="G3261" s="2" t="s">
        <v>458</v>
      </c>
      <c r="H3261" s="2" t="s">
        <v>459</v>
      </c>
      <c r="I3261" s="2" t="n">
        <f aca="false">IF(F3261="Present",9,IF(F3261="Half Day",4,0))</f>
        <v>9</v>
      </c>
      <c r="J3261" s="2"/>
      <c r="K3261" s="2"/>
    </row>
    <row r="3262" customFormat="false" ht="15" hidden="false" customHeight="false" outlineLevel="0" collapsed="false">
      <c r="A3262" s="2" t="s">
        <v>259</v>
      </c>
      <c r="B3262" s="2" t="s">
        <v>260</v>
      </c>
      <c r="C3262" s="2" t="s">
        <v>41</v>
      </c>
      <c r="D3262" s="3" t="n">
        <v>46240</v>
      </c>
      <c r="E3262" s="2" t="str">
        <f aca="false">TEXT(D3262,"dddd")</f>
        <v>Thursday</v>
      </c>
      <c r="F3262" s="2" t="s">
        <v>457</v>
      </c>
      <c r="G3262" s="2" t="s">
        <v>458</v>
      </c>
      <c r="H3262" s="2" t="s">
        <v>459</v>
      </c>
      <c r="I3262" s="2" t="n">
        <f aca="false">IF(F3262="Present",9,IF(F3262="Half Day",4,0))</f>
        <v>9</v>
      </c>
      <c r="J3262" s="2"/>
      <c r="K3262" s="2"/>
    </row>
    <row r="3263" customFormat="false" ht="15" hidden="false" customHeight="false" outlineLevel="0" collapsed="false">
      <c r="A3263" s="2" t="s">
        <v>259</v>
      </c>
      <c r="B3263" s="2" t="s">
        <v>260</v>
      </c>
      <c r="C3263" s="2" t="s">
        <v>41</v>
      </c>
      <c r="D3263" s="3" t="n">
        <v>46241</v>
      </c>
      <c r="E3263" s="2" t="str">
        <f aca="false">TEXT(D3263,"dddd")</f>
        <v>Friday</v>
      </c>
      <c r="F3263" s="2" t="s">
        <v>457</v>
      </c>
      <c r="G3263" s="2" t="s">
        <v>458</v>
      </c>
      <c r="H3263" s="2" t="s">
        <v>459</v>
      </c>
      <c r="I3263" s="2" t="n">
        <f aca="false">IF(F3263="Present",9,IF(F3263="Half Day",4,0))</f>
        <v>9</v>
      </c>
      <c r="J3263" s="2"/>
      <c r="K3263" s="2"/>
    </row>
    <row r="3264" customFormat="false" ht="15" hidden="false" customHeight="false" outlineLevel="0" collapsed="false">
      <c r="A3264" s="2" t="s">
        <v>259</v>
      </c>
      <c r="B3264" s="2" t="s">
        <v>260</v>
      </c>
      <c r="C3264" s="2" t="s">
        <v>41</v>
      </c>
      <c r="D3264" s="3" t="n">
        <v>46242</v>
      </c>
      <c r="E3264" s="2" t="str">
        <f aca="false">TEXT(D3264,"dddd")</f>
        <v>Saturday</v>
      </c>
      <c r="F3264" s="2" t="s">
        <v>457</v>
      </c>
      <c r="G3264" s="2" t="s">
        <v>458</v>
      </c>
      <c r="H3264" s="2" t="s">
        <v>459</v>
      </c>
      <c r="I3264" s="2" t="n">
        <f aca="false">IF(F3264="Present",9,IF(F3264="Half Day",4,0))</f>
        <v>9</v>
      </c>
      <c r="J3264" s="2"/>
      <c r="K3264" s="2"/>
    </row>
    <row r="3265" customFormat="false" ht="15" hidden="false" customHeight="false" outlineLevel="0" collapsed="false">
      <c r="A3265" s="2" t="s">
        <v>259</v>
      </c>
      <c r="B3265" s="2" t="s">
        <v>260</v>
      </c>
      <c r="C3265" s="2" t="s">
        <v>41</v>
      </c>
      <c r="D3265" s="3" t="n">
        <v>46243</v>
      </c>
      <c r="E3265" s="2" t="str">
        <f aca="false">TEXT(D3265,"dddd")</f>
        <v>Sunday</v>
      </c>
      <c r="F3265" s="2" t="s">
        <v>460</v>
      </c>
      <c r="G3265" s="2"/>
      <c r="H3265" s="2"/>
      <c r="I3265" s="2" t="n">
        <f aca="false">IF(F3265="Present",9,IF(F3265="Half Day",4,0))</f>
        <v>0</v>
      </c>
      <c r="J3265" s="2"/>
      <c r="K3265" s="2" t="s">
        <v>460</v>
      </c>
    </row>
    <row r="3266" customFormat="false" ht="15" hidden="false" customHeight="false" outlineLevel="0" collapsed="false">
      <c r="A3266" s="2" t="s">
        <v>259</v>
      </c>
      <c r="B3266" s="2" t="s">
        <v>260</v>
      </c>
      <c r="C3266" s="2" t="s">
        <v>41</v>
      </c>
      <c r="D3266" s="3" t="n">
        <v>46244</v>
      </c>
      <c r="E3266" s="2" t="str">
        <f aca="false">TEXT(D3266,"dddd")</f>
        <v>Monday</v>
      </c>
      <c r="F3266" s="2" t="s">
        <v>457</v>
      </c>
      <c r="G3266" s="2" t="s">
        <v>458</v>
      </c>
      <c r="H3266" s="2" t="s">
        <v>459</v>
      </c>
      <c r="I3266" s="2" t="n">
        <f aca="false">IF(F3266="Present",9,IF(F3266="Half Day",4,0))</f>
        <v>9</v>
      </c>
      <c r="J3266" s="2"/>
      <c r="K3266" s="2"/>
    </row>
    <row r="3267" customFormat="false" ht="15" hidden="false" customHeight="false" outlineLevel="0" collapsed="false">
      <c r="A3267" s="2" t="s">
        <v>259</v>
      </c>
      <c r="B3267" s="2" t="s">
        <v>260</v>
      </c>
      <c r="C3267" s="2" t="s">
        <v>41</v>
      </c>
      <c r="D3267" s="3" t="n">
        <v>46245</v>
      </c>
      <c r="E3267" s="2" t="str">
        <f aca="false">TEXT(D3267,"dddd")</f>
        <v>Tuesday</v>
      </c>
      <c r="F3267" s="2" t="s">
        <v>461</v>
      </c>
      <c r="G3267" s="2"/>
      <c r="H3267" s="2"/>
      <c r="I3267" s="2" t="n">
        <f aca="false">IF(F3267="Present",9,IF(F3267="Half Day",4,0))</f>
        <v>0</v>
      </c>
      <c r="J3267" s="2"/>
      <c r="K3267" s="2" t="s">
        <v>462</v>
      </c>
    </row>
    <row r="3268" customFormat="false" ht="15" hidden="false" customHeight="false" outlineLevel="0" collapsed="false">
      <c r="A3268" s="2" t="s">
        <v>259</v>
      </c>
      <c r="B3268" s="2" t="s">
        <v>260</v>
      </c>
      <c r="C3268" s="2" t="s">
        <v>41</v>
      </c>
      <c r="D3268" s="3" t="n">
        <v>46246</v>
      </c>
      <c r="E3268" s="2" t="str">
        <f aca="false">TEXT(D3268,"dddd")</f>
        <v>Wednesday</v>
      </c>
      <c r="F3268" s="2" t="s">
        <v>461</v>
      </c>
      <c r="G3268" s="2"/>
      <c r="H3268" s="2"/>
      <c r="I3268" s="2" t="n">
        <f aca="false">IF(F3268="Present",9,IF(F3268="Half Day",4,0))</f>
        <v>0</v>
      </c>
      <c r="J3268" s="2"/>
      <c r="K3268" s="2" t="s">
        <v>462</v>
      </c>
    </row>
    <row r="3269" customFormat="false" ht="15" hidden="false" customHeight="false" outlineLevel="0" collapsed="false">
      <c r="A3269" s="2" t="s">
        <v>259</v>
      </c>
      <c r="B3269" s="2" t="s">
        <v>260</v>
      </c>
      <c r="C3269" s="2" t="s">
        <v>41</v>
      </c>
      <c r="D3269" s="3" t="n">
        <v>46247</v>
      </c>
      <c r="E3269" s="2" t="str">
        <f aca="false">TEXT(D3269,"dddd")</f>
        <v>Thursday</v>
      </c>
      <c r="F3269" s="2" t="s">
        <v>457</v>
      </c>
      <c r="G3269" s="2" t="s">
        <v>458</v>
      </c>
      <c r="H3269" s="2" t="s">
        <v>459</v>
      </c>
      <c r="I3269" s="2" t="n">
        <f aca="false">IF(F3269="Present",9,IF(F3269="Half Day",4,0))</f>
        <v>9</v>
      </c>
      <c r="J3269" s="2"/>
      <c r="K3269" s="2"/>
    </row>
    <row r="3270" customFormat="false" ht="15" hidden="false" customHeight="false" outlineLevel="0" collapsed="false">
      <c r="A3270" s="2" t="s">
        <v>259</v>
      </c>
      <c r="B3270" s="2" t="s">
        <v>260</v>
      </c>
      <c r="C3270" s="2" t="s">
        <v>41</v>
      </c>
      <c r="D3270" s="3" t="n">
        <v>46248</v>
      </c>
      <c r="E3270" s="2" t="str">
        <f aca="false">TEXT(D3270,"dddd")</f>
        <v>Friday</v>
      </c>
      <c r="F3270" s="2" t="s">
        <v>457</v>
      </c>
      <c r="G3270" s="2" t="s">
        <v>458</v>
      </c>
      <c r="H3270" s="2" t="s">
        <v>459</v>
      </c>
      <c r="I3270" s="2" t="n">
        <f aca="false">IF(F3270="Present",9,IF(F3270="Half Day",4,0))</f>
        <v>9</v>
      </c>
      <c r="J3270" s="2"/>
      <c r="K3270" s="2"/>
    </row>
    <row r="3271" customFormat="false" ht="15" hidden="false" customHeight="false" outlineLevel="0" collapsed="false">
      <c r="A3271" s="2" t="s">
        <v>259</v>
      </c>
      <c r="B3271" s="2" t="s">
        <v>260</v>
      </c>
      <c r="C3271" s="2" t="s">
        <v>41</v>
      </c>
      <c r="D3271" s="3" t="n">
        <v>46249</v>
      </c>
      <c r="E3271" s="2" t="str">
        <f aca="false">TEXT(D3271,"dddd")</f>
        <v>Saturday</v>
      </c>
      <c r="F3271" s="2" t="s">
        <v>457</v>
      </c>
      <c r="G3271" s="2" t="s">
        <v>458</v>
      </c>
      <c r="H3271" s="2" t="s">
        <v>459</v>
      </c>
      <c r="I3271" s="2" t="n">
        <f aca="false">IF(F3271="Present",9,IF(F3271="Half Day",4,0))</f>
        <v>9</v>
      </c>
      <c r="J3271" s="2"/>
      <c r="K3271" s="2"/>
    </row>
    <row r="3272" customFormat="false" ht="15" hidden="false" customHeight="false" outlineLevel="0" collapsed="false">
      <c r="A3272" s="2" t="s">
        <v>259</v>
      </c>
      <c r="B3272" s="2" t="s">
        <v>260</v>
      </c>
      <c r="C3272" s="2" t="s">
        <v>41</v>
      </c>
      <c r="D3272" s="3" t="n">
        <v>46250</v>
      </c>
      <c r="E3272" s="2" t="str">
        <f aca="false">TEXT(D3272,"dddd")</f>
        <v>Sunday</v>
      </c>
      <c r="F3272" s="2" t="s">
        <v>460</v>
      </c>
      <c r="G3272" s="2"/>
      <c r="H3272" s="2"/>
      <c r="I3272" s="2" t="n">
        <f aca="false">IF(F3272="Present",9,IF(F3272="Half Day",4,0))</f>
        <v>0</v>
      </c>
      <c r="J3272" s="2"/>
      <c r="K3272" s="2" t="s">
        <v>460</v>
      </c>
    </row>
    <row r="3273" customFormat="false" ht="15" hidden="false" customHeight="false" outlineLevel="0" collapsed="false">
      <c r="A3273" s="2" t="s">
        <v>259</v>
      </c>
      <c r="B3273" s="2" t="s">
        <v>260</v>
      </c>
      <c r="C3273" s="2" t="s">
        <v>41</v>
      </c>
      <c r="D3273" s="3" t="n">
        <v>46251</v>
      </c>
      <c r="E3273" s="2" t="str">
        <f aca="false">TEXT(D3273,"dddd")</f>
        <v>Monday</v>
      </c>
      <c r="F3273" s="2" t="s">
        <v>457</v>
      </c>
      <c r="G3273" s="2" t="s">
        <v>458</v>
      </c>
      <c r="H3273" s="2" t="s">
        <v>459</v>
      </c>
      <c r="I3273" s="2" t="n">
        <f aca="false">IF(F3273="Present",9,IF(F3273="Half Day",4,0))</f>
        <v>9</v>
      </c>
      <c r="J3273" s="2"/>
      <c r="K3273" s="2"/>
    </row>
    <row r="3274" customFormat="false" ht="15" hidden="false" customHeight="false" outlineLevel="0" collapsed="false">
      <c r="A3274" s="2" t="s">
        <v>259</v>
      </c>
      <c r="B3274" s="2" t="s">
        <v>260</v>
      </c>
      <c r="C3274" s="2" t="s">
        <v>41</v>
      </c>
      <c r="D3274" s="3" t="n">
        <v>46252</v>
      </c>
      <c r="E3274" s="2" t="str">
        <f aca="false">TEXT(D3274,"dddd")</f>
        <v>Tuesday</v>
      </c>
      <c r="F3274" s="2" t="s">
        <v>461</v>
      </c>
      <c r="G3274" s="2"/>
      <c r="H3274" s="2"/>
      <c r="I3274" s="2" t="n">
        <f aca="false">IF(F3274="Present",9,IF(F3274="Half Day",4,0))</f>
        <v>0</v>
      </c>
      <c r="J3274" s="2"/>
      <c r="K3274" s="2" t="s">
        <v>462</v>
      </c>
    </row>
    <row r="3275" customFormat="false" ht="15" hidden="false" customHeight="false" outlineLevel="0" collapsed="false">
      <c r="A3275" s="2" t="s">
        <v>259</v>
      </c>
      <c r="B3275" s="2" t="s">
        <v>260</v>
      </c>
      <c r="C3275" s="2" t="s">
        <v>41</v>
      </c>
      <c r="D3275" s="3" t="n">
        <v>46253</v>
      </c>
      <c r="E3275" s="2" t="str">
        <f aca="false">TEXT(D3275,"dddd")</f>
        <v>Wednesday</v>
      </c>
      <c r="F3275" s="2" t="s">
        <v>457</v>
      </c>
      <c r="G3275" s="2" t="s">
        <v>458</v>
      </c>
      <c r="H3275" s="2" t="s">
        <v>459</v>
      </c>
      <c r="I3275" s="2" t="n">
        <f aca="false">IF(F3275="Present",9,IF(F3275="Half Day",4,0))</f>
        <v>9</v>
      </c>
      <c r="J3275" s="2"/>
      <c r="K3275" s="2"/>
    </row>
    <row r="3276" customFormat="false" ht="15" hidden="false" customHeight="false" outlineLevel="0" collapsed="false">
      <c r="A3276" s="2" t="s">
        <v>259</v>
      </c>
      <c r="B3276" s="2" t="s">
        <v>260</v>
      </c>
      <c r="C3276" s="2" t="s">
        <v>41</v>
      </c>
      <c r="D3276" s="3" t="n">
        <v>46254</v>
      </c>
      <c r="E3276" s="2" t="str">
        <f aca="false">TEXT(D3276,"dddd")</f>
        <v>Thursday</v>
      </c>
      <c r="F3276" s="2" t="s">
        <v>457</v>
      </c>
      <c r="G3276" s="2" t="s">
        <v>458</v>
      </c>
      <c r="H3276" s="2" t="s">
        <v>459</v>
      </c>
      <c r="I3276" s="2" t="n">
        <f aca="false">IF(F3276="Present",9,IF(F3276="Half Day",4,0))</f>
        <v>9</v>
      </c>
      <c r="J3276" s="2"/>
      <c r="K3276" s="2"/>
    </row>
    <row r="3277" customFormat="false" ht="15" hidden="false" customHeight="false" outlineLevel="0" collapsed="false">
      <c r="A3277" s="2" t="s">
        <v>259</v>
      </c>
      <c r="B3277" s="2" t="s">
        <v>260</v>
      </c>
      <c r="C3277" s="2" t="s">
        <v>41</v>
      </c>
      <c r="D3277" s="3" t="n">
        <v>46255</v>
      </c>
      <c r="E3277" s="2" t="str">
        <f aca="false">TEXT(D3277,"dddd")</f>
        <v>Friday</v>
      </c>
      <c r="F3277" s="2" t="s">
        <v>457</v>
      </c>
      <c r="G3277" s="2" t="s">
        <v>458</v>
      </c>
      <c r="H3277" s="2" t="s">
        <v>459</v>
      </c>
      <c r="I3277" s="2" t="n">
        <f aca="false">IF(F3277="Present",9,IF(F3277="Half Day",4,0))</f>
        <v>9</v>
      </c>
      <c r="J3277" s="2"/>
      <c r="K3277" s="2"/>
    </row>
    <row r="3278" customFormat="false" ht="15" hidden="false" customHeight="false" outlineLevel="0" collapsed="false">
      <c r="A3278" s="2" t="s">
        <v>259</v>
      </c>
      <c r="B3278" s="2" t="s">
        <v>260</v>
      </c>
      <c r="C3278" s="2" t="s">
        <v>41</v>
      </c>
      <c r="D3278" s="3" t="n">
        <v>46256</v>
      </c>
      <c r="E3278" s="2" t="str">
        <f aca="false">TEXT(D3278,"dddd")</f>
        <v>Saturday</v>
      </c>
      <c r="F3278" s="2" t="s">
        <v>457</v>
      </c>
      <c r="G3278" s="2" t="s">
        <v>458</v>
      </c>
      <c r="H3278" s="2" t="s">
        <v>459</v>
      </c>
      <c r="I3278" s="2" t="n">
        <f aca="false">IF(F3278="Present",9,IF(F3278="Half Day",4,0))</f>
        <v>9</v>
      </c>
      <c r="J3278" s="2"/>
      <c r="K3278" s="2"/>
    </row>
    <row r="3279" customFormat="false" ht="15" hidden="false" customHeight="false" outlineLevel="0" collapsed="false">
      <c r="A3279" s="2" t="s">
        <v>259</v>
      </c>
      <c r="B3279" s="2" t="s">
        <v>260</v>
      </c>
      <c r="C3279" s="2" t="s">
        <v>41</v>
      </c>
      <c r="D3279" s="3" t="n">
        <v>46257</v>
      </c>
      <c r="E3279" s="2" t="str">
        <f aca="false">TEXT(D3279,"dddd")</f>
        <v>Sunday</v>
      </c>
      <c r="F3279" s="2" t="s">
        <v>460</v>
      </c>
      <c r="G3279" s="2"/>
      <c r="H3279" s="2"/>
      <c r="I3279" s="2" t="n">
        <f aca="false">IF(F3279="Present",9,IF(F3279="Half Day",4,0))</f>
        <v>0</v>
      </c>
      <c r="J3279" s="2"/>
      <c r="K3279" s="2" t="s">
        <v>460</v>
      </c>
    </row>
    <row r="3280" customFormat="false" ht="15" hidden="false" customHeight="false" outlineLevel="0" collapsed="false">
      <c r="A3280" s="2" t="s">
        <v>259</v>
      </c>
      <c r="B3280" s="2" t="s">
        <v>260</v>
      </c>
      <c r="C3280" s="2" t="s">
        <v>41</v>
      </c>
      <c r="D3280" s="3" t="n">
        <v>46258</v>
      </c>
      <c r="E3280" s="2" t="str">
        <f aca="false">TEXT(D3280,"dddd")</f>
        <v>Monday</v>
      </c>
      <c r="F3280" s="2" t="s">
        <v>463</v>
      </c>
      <c r="G3280" s="2"/>
      <c r="H3280" s="2"/>
      <c r="I3280" s="2" t="n">
        <f aca="false">IF(F3280="Present",9,IF(F3280="Half Day",4,0))</f>
        <v>0</v>
      </c>
      <c r="J3280" s="2" t="s">
        <v>464</v>
      </c>
      <c r="K3280" s="2" t="s">
        <v>465</v>
      </c>
    </row>
    <row r="3281" customFormat="false" ht="15" hidden="false" customHeight="false" outlineLevel="0" collapsed="false">
      <c r="A3281" s="2" t="s">
        <v>259</v>
      </c>
      <c r="B3281" s="2" t="s">
        <v>260</v>
      </c>
      <c r="C3281" s="2" t="s">
        <v>41</v>
      </c>
      <c r="D3281" s="3" t="n">
        <v>46259</v>
      </c>
      <c r="E3281" s="2" t="str">
        <f aca="false">TEXT(D3281,"dddd")</f>
        <v>Tuesday</v>
      </c>
      <c r="F3281" s="2" t="s">
        <v>457</v>
      </c>
      <c r="G3281" s="2" t="s">
        <v>458</v>
      </c>
      <c r="H3281" s="2" t="s">
        <v>459</v>
      </c>
      <c r="I3281" s="2" t="n">
        <f aca="false">IF(F3281="Present",9,IF(F3281="Half Day",4,0))</f>
        <v>9</v>
      </c>
      <c r="J3281" s="2"/>
      <c r="K3281" s="2"/>
    </row>
    <row r="3282" customFormat="false" ht="15" hidden="false" customHeight="false" outlineLevel="0" collapsed="false">
      <c r="A3282" s="2" t="s">
        <v>259</v>
      </c>
      <c r="B3282" s="2" t="s">
        <v>260</v>
      </c>
      <c r="C3282" s="2" t="s">
        <v>41</v>
      </c>
      <c r="D3282" s="3" t="n">
        <v>46260</v>
      </c>
      <c r="E3282" s="2" t="str">
        <f aca="false">TEXT(D3282,"dddd")</f>
        <v>Wednesday</v>
      </c>
      <c r="F3282" s="2" t="s">
        <v>457</v>
      </c>
      <c r="G3282" s="2" t="s">
        <v>458</v>
      </c>
      <c r="H3282" s="2" t="s">
        <v>459</v>
      </c>
      <c r="I3282" s="2" t="n">
        <f aca="false">IF(F3282="Present",9,IF(F3282="Half Day",4,0))</f>
        <v>9</v>
      </c>
      <c r="J3282" s="2"/>
      <c r="K3282" s="2"/>
    </row>
    <row r="3283" customFormat="false" ht="15" hidden="false" customHeight="false" outlineLevel="0" collapsed="false">
      <c r="A3283" s="2" t="s">
        <v>259</v>
      </c>
      <c r="B3283" s="2" t="s">
        <v>260</v>
      </c>
      <c r="C3283" s="2" t="s">
        <v>41</v>
      </c>
      <c r="D3283" s="3" t="n">
        <v>46261</v>
      </c>
      <c r="E3283" s="2" t="str">
        <f aca="false">TEXT(D3283,"dddd")</f>
        <v>Thursday</v>
      </c>
      <c r="F3283" s="2" t="s">
        <v>461</v>
      </c>
      <c r="G3283" s="2"/>
      <c r="H3283" s="2"/>
      <c r="I3283" s="2" t="n">
        <f aca="false">IF(F3283="Present",9,IF(F3283="Half Day",4,0))</f>
        <v>0</v>
      </c>
      <c r="J3283" s="2"/>
      <c r="K3283" s="2" t="s">
        <v>462</v>
      </c>
    </row>
    <row r="3284" customFormat="false" ht="15" hidden="false" customHeight="false" outlineLevel="0" collapsed="false">
      <c r="A3284" s="2" t="s">
        <v>259</v>
      </c>
      <c r="B3284" s="2" t="s">
        <v>260</v>
      </c>
      <c r="C3284" s="2" t="s">
        <v>41</v>
      </c>
      <c r="D3284" s="3" t="n">
        <v>46262</v>
      </c>
      <c r="E3284" s="2" t="str">
        <f aca="false">TEXT(D3284,"dddd")</f>
        <v>Friday</v>
      </c>
      <c r="F3284" s="2" t="s">
        <v>457</v>
      </c>
      <c r="G3284" s="2" t="s">
        <v>458</v>
      </c>
      <c r="H3284" s="2" t="s">
        <v>459</v>
      </c>
      <c r="I3284" s="2" t="n">
        <f aca="false">IF(F3284="Present",9,IF(F3284="Half Day",4,0))</f>
        <v>9</v>
      </c>
      <c r="J3284" s="2"/>
      <c r="K3284" s="2"/>
    </row>
    <row r="3285" customFormat="false" ht="15" hidden="false" customHeight="false" outlineLevel="0" collapsed="false">
      <c r="A3285" s="2" t="s">
        <v>259</v>
      </c>
      <c r="B3285" s="2" t="s">
        <v>260</v>
      </c>
      <c r="C3285" s="2" t="s">
        <v>41</v>
      </c>
      <c r="D3285" s="3" t="n">
        <v>46263</v>
      </c>
      <c r="E3285" s="2" t="str">
        <f aca="false">TEXT(D3285,"dddd")</f>
        <v>Saturday</v>
      </c>
      <c r="F3285" s="2" t="s">
        <v>461</v>
      </c>
      <c r="G3285" s="2"/>
      <c r="H3285" s="2"/>
      <c r="I3285" s="2" t="n">
        <f aca="false">IF(F3285="Present",9,IF(F3285="Half Day",4,0))</f>
        <v>0</v>
      </c>
      <c r="J3285" s="2"/>
      <c r="K3285" s="2" t="s">
        <v>462</v>
      </c>
    </row>
    <row r="3286" customFormat="false" ht="15" hidden="false" customHeight="false" outlineLevel="0" collapsed="false">
      <c r="A3286" s="2" t="s">
        <v>259</v>
      </c>
      <c r="B3286" s="2" t="s">
        <v>260</v>
      </c>
      <c r="C3286" s="2" t="s">
        <v>41</v>
      </c>
      <c r="D3286" s="3" t="n">
        <v>46264</v>
      </c>
      <c r="E3286" s="2" t="str">
        <f aca="false">TEXT(D3286,"dddd")</f>
        <v>Sunday</v>
      </c>
      <c r="F3286" s="2" t="s">
        <v>460</v>
      </c>
      <c r="G3286" s="2"/>
      <c r="H3286" s="2"/>
      <c r="I3286" s="2" t="n">
        <f aca="false">IF(F3286="Present",9,IF(F3286="Half Day",4,0))</f>
        <v>0</v>
      </c>
      <c r="J3286" s="2"/>
      <c r="K3286" s="2" t="s">
        <v>460</v>
      </c>
    </row>
    <row r="3287" customFormat="false" ht="15" hidden="false" customHeight="false" outlineLevel="0" collapsed="false">
      <c r="A3287" s="2" t="s">
        <v>259</v>
      </c>
      <c r="B3287" s="2" t="s">
        <v>260</v>
      </c>
      <c r="C3287" s="2" t="s">
        <v>41</v>
      </c>
      <c r="D3287" s="3" t="n">
        <v>46265</v>
      </c>
      <c r="E3287" s="2" t="str">
        <f aca="false">TEXT(D3287,"dddd")</f>
        <v>Monday</v>
      </c>
      <c r="F3287" s="2" t="s">
        <v>457</v>
      </c>
      <c r="G3287" s="2" t="s">
        <v>458</v>
      </c>
      <c r="H3287" s="2" t="s">
        <v>459</v>
      </c>
      <c r="I3287" s="2" t="n">
        <f aca="false">IF(F3287="Present",9,IF(F3287="Half Day",4,0))</f>
        <v>9</v>
      </c>
      <c r="J3287" s="2"/>
      <c r="K3287" s="2"/>
    </row>
    <row r="3288" customFormat="false" ht="15" hidden="false" customHeight="false" outlineLevel="0" collapsed="false">
      <c r="A3288" s="2" t="s">
        <v>261</v>
      </c>
      <c r="B3288" s="2" t="s">
        <v>262</v>
      </c>
      <c r="C3288" s="2" t="s">
        <v>45</v>
      </c>
      <c r="D3288" s="3" t="n">
        <v>46235</v>
      </c>
      <c r="E3288" s="2" t="str">
        <f aca="false">TEXT(D3288,"dddd")</f>
        <v>Saturday</v>
      </c>
      <c r="F3288" s="2" t="s">
        <v>461</v>
      </c>
      <c r="G3288" s="2"/>
      <c r="H3288" s="2"/>
      <c r="I3288" s="2" t="n">
        <f aca="false">IF(F3288="Present",9,IF(F3288="Half Day",4,0))</f>
        <v>0</v>
      </c>
      <c r="J3288" s="2"/>
      <c r="K3288" s="2" t="s">
        <v>462</v>
      </c>
    </row>
    <row r="3289" customFormat="false" ht="15" hidden="false" customHeight="false" outlineLevel="0" collapsed="false">
      <c r="A3289" s="2" t="s">
        <v>261</v>
      </c>
      <c r="B3289" s="2" t="s">
        <v>262</v>
      </c>
      <c r="C3289" s="2" t="s">
        <v>45</v>
      </c>
      <c r="D3289" s="3" t="n">
        <v>46236</v>
      </c>
      <c r="E3289" s="2" t="str">
        <f aca="false">TEXT(D3289,"dddd")</f>
        <v>Sunday</v>
      </c>
      <c r="F3289" s="2" t="s">
        <v>460</v>
      </c>
      <c r="G3289" s="2"/>
      <c r="H3289" s="2"/>
      <c r="I3289" s="2" t="n">
        <f aca="false">IF(F3289="Present",9,IF(F3289="Half Day",4,0))</f>
        <v>0</v>
      </c>
      <c r="J3289" s="2"/>
      <c r="K3289" s="2" t="s">
        <v>460</v>
      </c>
    </row>
    <row r="3290" customFormat="false" ht="15" hidden="false" customHeight="false" outlineLevel="0" collapsed="false">
      <c r="A3290" s="2" t="s">
        <v>261</v>
      </c>
      <c r="B3290" s="2" t="s">
        <v>262</v>
      </c>
      <c r="C3290" s="2" t="s">
        <v>45</v>
      </c>
      <c r="D3290" s="3" t="n">
        <v>46237</v>
      </c>
      <c r="E3290" s="2" t="str">
        <f aca="false">TEXT(D3290,"dddd")</f>
        <v>Monday</v>
      </c>
      <c r="F3290" s="2" t="s">
        <v>461</v>
      </c>
      <c r="G3290" s="2"/>
      <c r="H3290" s="2"/>
      <c r="I3290" s="2" t="n">
        <f aca="false">IF(F3290="Present",9,IF(F3290="Half Day",4,0))</f>
        <v>0</v>
      </c>
      <c r="J3290" s="2"/>
      <c r="K3290" s="2" t="s">
        <v>462</v>
      </c>
    </row>
    <row r="3291" customFormat="false" ht="15" hidden="false" customHeight="false" outlineLevel="0" collapsed="false">
      <c r="A3291" s="2" t="s">
        <v>261</v>
      </c>
      <c r="B3291" s="2" t="s">
        <v>262</v>
      </c>
      <c r="C3291" s="2" t="s">
        <v>45</v>
      </c>
      <c r="D3291" s="3" t="n">
        <v>46238</v>
      </c>
      <c r="E3291" s="2" t="str">
        <f aca="false">TEXT(D3291,"dddd")</f>
        <v>Tuesday</v>
      </c>
      <c r="F3291" s="2" t="s">
        <v>457</v>
      </c>
      <c r="G3291" s="2" t="s">
        <v>458</v>
      </c>
      <c r="H3291" s="2" t="s">
        <v>459</v>
      </c>
      <c r="I3291" s="2" t="n">
        <f aca="false">IF(F3291="Present",9,IF(F3291="Half Day",4,0))</f>
        <v>9</v>
      </c>
      <c r="J3291" s="2"/>
      <c r="K3291" s="2"/>
    </row>
    <row r="3292" customFormat="false" ht="15" hidden="false" customHeight="false" outlineLevel="0" collapsed="false">
      <c r="A3292" s="2" t="s">
        <v>261</v>
      </c>
      <c r="B3292" s="2" t="s">
        <v>262</v>
      </c>
      <c r="C3292" s="2" t="s">
        <v>45</v>
      </c>
      <c r="D3292" s="3" t="n">
        <v>46239</v>
      </c>
      <c r="E3292" s="2" t="str">
        <f aca="false">TEXT(D3292,"dddd")</f>
        <v>Wednesday</v>
      </c>
      <c r="F3292" s="2" t="s">
        <v>461</v>
      </c>
      <c r="G3292" s="2"/>
      <c r="H3292" s="2"/>
      <c r="I3292" s="2" t="n">
        <f aca="false">IF(F3292="Present",9,IF(F3292="Half Day",4,0))</f>
        <v>0</v>
      </c>
      <c r="J3292" s="2"/>
      <c r="K3292" s="2" t="s">
        <v>462</v>
      </c>
    </row>
    <row r="3293" customFormat="false" ht="15" hidden="false" customHeight="false" outlineLevel="0" collapsed="false">
      <c r="A3293" s="2" t="s">
        <v>261</v>
      </c>
      <c r="B3293" s="2" t="s">
        <v>262</v>
      </c>
      <c r="C3293" s="2" t="s">
        <v>45</v>
      </c>
      <c r="D3293" s="3" t="n">
        <v>46240</v>
      </c>
      <c r="E3293" s="2" t="str">
        <f aca="false">TEXT(D3293,"dddd")</f>
        <v>Thursday</v>
      </c>
      <c r="F3293" s="2" t="s">
        <v>457</v>
      </c>
      <c r="G3293" s="2" t="s">
        <v>458</v>
      </c>
      <c r="H3293" s="2" t="s">
        <v>459</v>
      </c>
      <c r="I3293" s="2" t="n">
        <f aca="false">IF(F3293="Present",9,IF(F3293="Half Day",4,0))</f>
        <v>9</v>
      </c>
      <c r="J3293" s="2"/>
      <c r="K3293" s="2"/>
    </row>
    <row r="3294" customFormat="false" ht="15" hidden="false" customHeight="false" outlineLevel="0" collapsed="false">
      <c r="A3294" s="2" t="s">
        <v>261</v>
      </c>
      <c r="B3294" s="2" t="s">
        <v>262</v>
      </c>
      <c r="C3294" s="2" t="s">
        <v>45</v>
      </c>
      <c r="D3294" s="3" t="n">
        <v>46241</v>
      </c>
      <c r="E3294" s="2" t="str">
        <f aca="false">TEXT(D3294,"dddd")</f>
        <v>Friday</v>
      </c>
      <c r="F3294" s="2" t="s">
        <v>457</v>
      </c>
      <c r="G3294" s="2" t="s">
        <v>458</v>
      </c>
      <c r="H3294" s="2" t="s">
        <v>459</v>
      </c>
      <c r="I3294" s="2" t="n">
        <f aca="false">IF(F3294="Present",9,IF(F3294="Half Day",4,0))</f>
        <v>9</v>
      </c>
      <c r="J3294" s="2"/>
      <c r="K3294" s="2"/>
    </row>
    <row r="3295" customFormat="false" ht="15" hidden="false" customHeight="false" outlineLevel="0" collapsed="false">
      <c r="A3295" s="2" t="s">
        <v>261</v>
      </c>
      <c r="B3295" s="2" t="s">
        <v>262</v>
      </c>
      <c r="C3295" s="2" t="s">
        <v>45</v>
      </c>
      <c r="D3295" s="3" t="n">
        <v>46242</v>
      </c>
      <c r="E3295" s="2" t="str">
        <f aca="false">TEXT(D3295,"dddd")</f>
        <v>Saturday</v>
      </c>
      <c r="F3295" s="2" t="s">
        <v>461</v>
      </c>
      <c r="G3295" s="2"/>
      <c r="H3295" s="2"/>
      <c r="I3295" s="2" t="n">
        <f aca="false">IF(F3295="Present",9,IF(F3295="Half Day",4,0))</f>
        <v>0</v>
      </c>
      <c r="J3295" s="2"/>
      <c r="K3295" s="2" t="s">
        <v>462</v>
      </c>
    </row>
    <row r="3296" customFormat="false" ht="15" hidden="false" customHeight="false" outlineLevel="0" collapsed="false">
      <c r="A3296" s="2" t="s">
        <v>261</v>
      </c>
      <c r="B3296" s="2" t="s">
        <v>262</v>
      </c>
      <c r="C3296" s="2" t="s">
        <v>45</v>
      </c>
      <c r="D3296" s="3" t="n">
        <v>46243</v>
      </c>
      <c r="E3296" s="2" t="str">
        <f aca="false">TEXT(D3296,"dddd")</f>
        <v>Sunday</v>
      </c>
      <c r="F3296" s="2" t="s">
        <v>460</v>
      </c>
      <c r="G3296" s="2"/>
      <c r="H3296" s="2"/>
      <c r="I3296" s="2" t="n">
        <f aca="false">IF(F3296="Present",9,IF(F3296="Half Day",4,0))</f>
        <v>0</v>
      </c>
      <c r="J3296" s="2"/>
      <c r="K3296" s="2" t="s">
        <v>460</v>
      </c>
    </row>
    <row r="3297" customFormat="false" ht="15" hidden="false" customHeight="false" outlineLevel="0" collapsed="false">
      <c r="A3297" s="2" t="s">
        <v>261</v>
      </c>
      <c r="B3297" s="2" t="s">
        <v>262</v>
      </c>
      <c r="C3297" s="2" t="s">
        <v>45</v>
      </c>
      <c r="D3297" s="3" t="n">
        <v>46244</v>
      </c>
      <c r="E3297" s="2" t="str">
        <f aca="false">TEXT(D3297,"dddd")</f>
        <v>Monday</v>
      </c>
      <c r="F3297" s="2" t="s">
        <v>457</v>
      </c>
      <c r="G3297" s="2" t="s">
        <v>458</v>
      </c>
      <c r="H3297" s="2" t="s">
        <v>459</v>
      </c>
      <c r="I3297" s="2" t="n">
        <f aca="false">IF(F3297="Present",9,IF(F3297="Half Day",4,0))</f>
        <v>9</v>
      </c>
      <c r="J3297" s="2"/>
      <c r="K3297" s="2"/>
    </row>
    <row r="3298" customFormat="false" ht="15" hidden="false" customHeight="false" outlineLevel="0" collapsed="false">
      <c r="A3298" s="2" t="s">
        <v>261</v>
      </c>
      <c r="B3298" s="2" t="s">
        <v>262</v>
      </c>
      <c r="C3298" s="2" t="s">
        <v>45</v>
      </c>
      <c r="D3298" s="3" t="n">
        <v>46245</v>
      </c>
      <c r="E3298" s="2" t="str">
        <f aca="false">TEXT(D3298,"dddd")</f>
        <v>Tuesday</v>
      </c>
      <c r="F3298" s="2" t="s">
        <v>461</v>
      </c>
      <c r="G3298" s="2"/>
      <c r="H3298" s="2"/>
      <c r="I3298" s="2" t="n">
        <f aca="false">IF(F3298="Present",9,IF(F3298="Half Day",4,0))</f>
        <v>0</v>
      </c>
      <c r="J3298" s="2"/>
      <c r="K3298" s="2" t="s">
        <v>462</v>
      </c>
    </row>
    <row r="3299" customFormat="false" ht="15" hidden="false" customHeight="false" outlineLevel="0" collapsed="false">
      <c r="A3299" s="2" t="s">
        <v>261</v>
      </c>
      <c r="B3299" s="2" t="s">
        <v>262</v>
      </c>
      <c r="C3299" s="2" t="s">
        <v>45</v>
      </c>
      <c r="D3299" s="3" t="n">
        <v>46246</v>
      </c>
      <c r="E3299" s="2" t="str">
        <f aca="false">TEXT(D3299,"dddd")</f>
        <v>Wednesday</v>
      </c>
      <c r="F3299" s="2" t="s">
        <v>461</v>
      </c>
      <c r="G3299" s="2"/>
      <c r="H3299" s="2"/>
      <c r="I3299" s="2" t="n">
        <f aca="false">IF(F3299="Present",9,IF(F3299="Half Day",4,0))</f>
        <v>0</v>
      </c>
      <c r="J3299" s="2"/>
      <c r="K3299" s="2" t="s">
        <v>462</v>
      </c>
    </row>
    <row r="3300" customFormat="false" ht="15" hidden="false" customHeight="false" outlineLevel="0" collapsed="false">
      <c r="A3300" s="2" t="s">
        <v>261</v>
      </c>
      <c r="B3300" s="2" t="s">
        <v>262</v>
      </c>
      <c r="C3300" s="2" t="s">
        <v>45</v>
      </c>
      <c r="D3300" s="3" t="n">
        <v>46247</v>
      </c>
      <c r="E3300" s="2" t="str">
        <f aca="false">TEXT(D3300,"dddd")</f>
        <v>Thursday</v>
      </c>
      <c r="F3300" s="2" t="s">
        <v>457</v>
      </c>
      <c r="G3300" s="2" t="s">
        <v>458</v>
      </c>
      <c r="H3300" s="2" t="s">
        <v>459</v>
      </c>
      <c r="I3300" s="2" t="n">
        <f aca="false">IF(F3300="Present",9,IF(F3300="Half Day",4,0))</f>
        <v>9</v>
      </c>
      <c r="J3300" s="2"/>
      <c r="K3300" s="2"/>
    </row>
    <row r="3301" customFormat="false" ht="15" hidden="false" customHeight="false" outlineLevel="0" collapsed="false">
      <c r="A3301" s="2" t="s">
        <v>261</v>
      </c>
      <c r="B3301" s="2" t="s">
        <v>262</v>
      </c>
      <c r="C3301" s="2" t="s">
        <v>45</v>
      </c>
      <c r="D3301" s="3" t="n">
        <v>46248</v>
      </c>
      <c r="E3301" s="2" t="str">
        <f aca="false">TEXT(D3301,"dddd")</f>
        <v>Friday</v>
      </c>
      <c r="F3301" s="2" t="s">
        <v>457</v>
      </c>
      <c r="G3301" s="2" t="s">
        <v>458</v>
      </c>
      <c r="H3301" s="2" t="s">
        <v>459</v>
      </c>
      <c r="I3301" s="2" t="n">
        <f aca="false">IF(F3301="Present",9,IF(F3301="Half Day",4,0))</f>
        <v>9</v>
      </c>
      <c r="J3301" s="2"/>
      <c r="K3301" s="2"/>
    </row>
    <row r="3302" customFormat="false" ht="15" hidden="false" customHeight="false" outlineLevel="0" collapsed="false">
      <c r="A3302" s="2" t="s">
        <v>261</v>
      </c>
      <c r="B3302" s="2" t="s">
        <v>262</v>
      </c>
      <c r="C3302" s="2" t="s">
        <v>45</v>
      </c>
      <c r="D3302" s="3" t="n">
        <v>46249</v>
      </c>
      <c r="E3302" s="2" t="str">
        <f aca="false">TEXT(D3302,"dddd")</f>
        <v>Saturday</v>
      </c>
      <c r="F3302" s="2" t="s">
        <v>457</v>
      </c>
      <c r="G3302" s="2" t="s">
        <v>458</v>
      </c>
      <c r="H3302" s="2" t="s">
        <v>459</v>
      </c>
      <c r="I3302" s="2" t="n">
        <f aca="false">IF(F3302="Present",9,IF(F3302="Half Day",4,0))</f>
        <v>9</v>
      </c>
      <c r="J3302" s="2"/>
      <c r="K3302" s="2"/>
    </row>
    <row r="3303" customFormat="false" ht="15" hidden="false" customHeight="false" outlineLevel="0" collapsed="false">
      <c r="A3303" s="2" t="s">
        <v>261</v>
      </c>
      <c r="B3303" s="2" t="s">
        <v>262</v>
      </c>
      <c r="C3303" s="2" t="s">
        <v>45</v>
      </c>
      <c r="D3303" s="3" t="n">
        <v>46250</v>
      </c>
      <c r="E3303" s="2" t="str">
        <f aca="false">TEXT(D3303,"dddd")</f>
        <v>Sunday</v>
      </c>
      <c r="F3303" s="2" t="s">
        <v>460</v>
      </c>
      <c r="G3303" s="2"/>
      <c r="H3303" s="2"/>
      <c r="I3303" s="2" t="n">
        <f aca="false">IF(F3303="Present",9,IF(F3303="Half Day",4,0))</f>
        <v>0</v>
      </c>
      <c r="J3303" s="2"/>
      <c r="K3303" s="2" t="s">
        <v>460</v>
      </c>
    </row>
    <row r="3304" customFormat="false" ht="15" hidden="false" customHeight="false" outlineLevel="0" collapsed="false">
      <c r="A3304" s="2" t="s">
        <v>261</v>
      </c>
      <c r="B3304" s="2" t="s">
        <v>262</v>
      </c>
      <c r="C3304" s="2" t="s">
        <v>45</v>
      </c>
      <c r="D3304" s="3" t="n">
        <v>46251</v>
      </c>
      <c r="E3304" s="2" t="str">
        <f aca="false">TEXT(D3304,"dddd")</f>
        <v>Monday</v>
      </c>
      <c r="F3304" s="2" t="s">
        <v>457</v>
      </c>
      <c r="G3304" s="2" t="s">
        <v>458</v>
      </c>
      <c r="H3304" s="2" t="s">
        <v>459</v>
      </c>
      <c r="I3304" s="2" t="n">
        <f aca="false">IF(F3304="Present",9,IF(F3304="Half Day",4,0))</f>
        <v>9</v>
      </c>
      <c r="J3304" s="2"/>
      <c r="K3304" s="2"/>
    </row>
    <row r="3305" customFormat="false" ht="15" hidden="false" customHeight="false" outlineLevel="0" collapsed="false">
      <c r="A3305" s="2" t="s">
        <v>261</v>
      </c>
      <c r="B3305" s="2" t="s">
        <v>262</v>
      </c>
      <c r="C3305" s="2" t="s">
        <v>45</v>
      </c>
      <c r="D3305" s="3" t="n">
        <v>46252</v>
      </c>
      <c r="E3305" s="2" t="str">
        <f aca="false">TEXT(D3305,"dddd")</f>
        <v>Tuesday</v>
      </c>
      <c r="F3305" s="2" t="s">
        <v>457</v>
      </c>
      <c r="G3305" s="2" t="s">
        <v>458</v>
      </c>
      <c r="H3305" s="2" t="s">
        <v>459</v>
      </c>
      <c r="I3305" s="2" t="n">
        <f aca="false">IF(F3305="Present",9,IF(F3305="Half Day",4,0))</f>
        <v>9</v>
      </c>
      <c r="J3305" s="2"/>
      <c r="K3305" s="2"/>
    </row>
    <row r="3306" customFormat="false" ht="15" hidden="false" customHeight="false" outlineLevel="0" collapsed="false">
      <c r="A3306" s="2" t="s">
        <v>261</v>
      </c>
      <c r="B3306" s="2" t="s">
        <v>262</v>
      </c>
      <c r="C3306" s="2" t="s">
        <v>45</v>
      </c>
      <c r="D3306" s="3" t="n">
        <v>46253</v>
      </c>
      <c r="E3306" s="2" t="str">
        <f aca="false">TEXT(D3306,"dddd")</f>
        <v>Wednesday</v>
      </c>
      <c r="F3306" s="2" t="s">
        <v>457</v>
      </c>
      <c r="G3306" s="2" t="s">
        <v>458</v>
      </c>
      <c r="H3306" s="2" t="s">
        <v>459</v>
      </c>
      <c r="I3306" s="2" t="n">
        <f aca="false">IF(F3306="Present",9,IF(F3306="Half Day",4,0))</f>
        <v>9</v>
      </c>
      <c r="J3306" s="2"/>
      <c r="K3306" s="2"/>
    </row>
    <row r="3307" customFormat="false" ht="15" hidden="false" customHeight="false" outlineLevel="0" collapsed="false">
      <c r="A3307" s="2" t="s">
        <v>261</v>
      </c>
      <c r="B3307" s="2" t="s">
        <v>262</v>
      </c>
      <c r="C3307" s="2" t="s">
        <v>45</v>
      </c>
      <c r="D3307" s="3" t="n">
        <v>46254</v>
      </c>
      <c r="E3307" s="2" t="str">
        <f aca="false">TEXT(D3307,"dddd")</f>
        <v>Thursday</v>
      </c>
      <c r="F3307" s="2" t="s">
        <v>457</v>
      </c>
      <c r="G3307" s="2" t="s">
        <v>458</v>
      </c>
      <c r="H3307" s="2" t="s">
        <v>459</v>
      </c>
      <c r="I3307" s="2" t="n">
        <f aca="false">IF(F3307="Present",9,IF(F3307="Half Day",4,0))</f>
        <v>9</v>
      </c>
      <c r="J3307" s="2"/>
      <c r="K3307" s="2"/>
    </row>
    <row r="3308" customFormat="false" ht="15" hidden="false" customHeight="false" outlineLevel="0" collapsed="false">
      <c r="A3308" s="2" t="s">
        <v>261</v>
      </c>
      <c r="B3308" s="2" t="s">
        <v>262</v>
      </c>
      <c r="C3308" s="2" t="s">
        <v>45</v>
      </c>
      <c r="D3308" s="3" t="n">
        <v>46255</v>
      </c>
      <c r="E3308" s="2" t="str">
        <f aca="false">TEXT(D3308,"dddd")</f>
        <v>Friday</v>
      </c>
      <c r="F3308" s="2" t="s">
        <v>463</v>
      </c>
      <c r="G3308" s="2"/>
      <c r="H3308" s="2"/>
      <c r="I3308" s="2" t="n">
        <f aca="false">IF(F3308="Present",9,IF(F3308="Half Day",4,0))</f>
        <v>0</v>
      </c>
      <c r="J3308" s="2" t="s">
        <v>474</v>
      </c>
      <c r="K3308" s="2" t="s">
        <v>475</v>
      </c>
    </row>
    <row r="3309" customFormat="false" ht="15" hidden="false" customHeight="false" outlineLevel="0" collapsed="false">
      <c r="A3309" s="2" t="s">
        <v>261</v>
      </c>
      <c r="B3309" s="2" t="s">
        <v>262</v>
      </c>
      <c r="C3309" s="2" t="s">
        <v>45</v>
      </c>
      <c r="D3309" s="3" t="n">
        <v>46256</v>
      </c>
      <c r="E3309" s="2" t="str">
        <f aca="false">TEXT(D3309,"dddd")</f>
        <v>Saturday</v>
      </c>
      <c r="F3309" s="2" t="s">
        <v>457</v>
      </c>
      <c r="G3309" s="2" t="s">
        <v>458</v>
      </c>
      <c r="H3309" s="2" t="s">
        <v>459</v>
      </c>
      <c r="I3309" s="2" t="n">
        <f aca="false">IF(F3309="Present",9,IF(F3309="Half Day",4,0))</f>
        <v>9</v>
      </c>
      <c r="J3309" s="2"/>
      <c r="K3309" s="2"/>
    </row>
    <row r="3310" customFormat="false" ht="15" hidden="false" customHeight="false" outlineLevel="0" collapsed="false">
      <c r="A3310" s="2" t="s">
        <v>261</v>
      </c>
      <c r="B3310" s="2" t="s">
        <v>262</v>
      </c>
      <c r="C3310" s="2" t="s">
        <v>45</v>
      </c>
      <c r="D3310" s="3" t="n">
        <v>46257</v>
      </c>
      <c r="E3310" s="2" t="str">
        <f aca="false">TEXT(D3310,"dddd")</f>
        <v>Sunday</v>
      </c>
      <c r="F3310" s="2" t="s">
        <v>460</v>
      </c>
      <c r="G3310" s="2"/>
      <c r="H3310" s="2"/>
      <c r="I3310" s="2" t="n">
        <f aca="false">IF(F3310="Present",9,IF(F3310="Half Day",4,0))</f>
        <v>0</v>
      </c>
      <c r="J3310" s="2"/>
      <c r="K3310" s="2" t="s">
        <v>460</v>
      </c>
    </row>
    <row r="3311" customFormat="false" ht="15" hidden="false" customHeight="false" outlineLevel="0" collapsed="false">
      <c r="A3311" s="2" t="s">
        <v>261</v>
      </c>
      <c r="B3311" s="2" t="s">
        <v>262</v>
      </c>
      <c r="C3311" s="2" t="s">
        <v>45</v>
      </c>
      <c r="D3311" s="3" t="n">
        <v>46258</v>
      </c>
      <c r="E3311" s="2" t="str">
        <f aca="false">TEXT(D3311,"dddd")</f>
        <v>Monday</v>
      </c>
      <c r="F3311" s="2" t="s">
        <v>457</v>
      </c>
      <c r="G3311" s="2" t="s">
        <v>458</v>
      </c>
      <c r="H3311" s="2" t="s">
        <v>459</v>
      </c>
      <c r="I3311" s="2" t="n">
        <f aca="false">IF(F3311="Present",9,IF(F3311="Half Day",4,0))</f>
        <v>9</v>
      </c>
      <c r="J3311" s="2"/>
      <c r="K3311" s="2"/>
    </row>
    <row r="3312" customFormat="false" ht="15" hidden="false" customHeight="false" outlineLevel="0" collapsed="false">
      <c r="A3312" s="2" t="s">
        <v>261</v>
      </c>
      <c r="B3312" s="2" t="s">
        <v>262</v>
      </c>
      <c r="C3312" s="2" t="s">
        <v>45</v>
      </c>
      <c r="D3312" s="3" t="n">
        <v>46259</v>
      </c>
      <c r="E3312" s="2" t="str">
        <f aca="false">TEXT(D3312,"dddd")</f>
        <v>Tuesday</v>
      </c>
      <c r="F3312" s="2" t="s">
        <v>457</v>
      </c>
      <c r="G3312" s="2" t="s">
        <v>458</v>
      </c>
      <c r="H3312" s="2" t="s">
        <v>459</v>
      </c>
      <c r="I3312" s="2" t="n">
        <f aca="false">IF(F3312="Present",9,IF(F3312="Half Day",4,0))</f>
        <v>9</v>
      </c>
      <c r="J3312" s="2"/>
      <c r="K3312" s="2"/>
    </row>
    <row r="3313" customFormat="false" ht="15" hidden="false" customHeight="false" outlineLevel="0" collapsed="false">
      <c r="A3313" s="2" t="s">
        <v>261</v>
      </c>
      <c r="B3313" s="2" t="s">
        <v>262</v>
      </c>
      <c r="C3313" s="2" t="s">
        <v>45</v>
      </c>
      <c r="D3313" s="3" t="n">
        <v>46260</v>
      </c>
      <c r="E3313" s="2" t="str">
        <f aca="false">TEXT(D3313,"dddd")</f>
        <v>Wednesday</v>
      </c>
      <c r="F3313" s="2" t="s">
        <v>457</v>
      </c>
      <c r="G3313" s="2" t="s">
        <v>458</v>
      </c>
      <c r="H3313" s="2" t="s">
        <v>459</v>
      </c>
      <c r="I3313" s="2" t="n">
        <f aca="false">IF(F3313="Present",9,IF(F3313="Half Day",4,0))</f>
        <v>9</v>
      </c>
      <c r="J3313" s="2"/>
      <c r="K3313" s="2"/>
    </row>
    <row r="3314" customFormat="false" ht="15" hidden="false" customHeight="false" outlineLevel="0" collapsed="false">
      <c r="A3314" s="2" t="s">
        <v>261</v>
      </c>
      <c r="B3314" s="2" t="s">
        <v>262</v>
      </c>
      <c r="C3314" s="2" t="s">
        <v>45</v>
      </c>
      <c r="D3314" s="3" t="n">
        <v>46261</v>
      </c>
      <c r="E3314" s="2" t="str">
        <f aca="false">TEXT(D3314,"dddd")</f>
        <v>Thursday</v>
      </c>
      <c r="F3314" s="2" t="s">
        <v>457</v>
      </c>
      <c r="G3314" s="2" t="s">
        <v>458</v>
      </c>
      <c r="H3314" s="2" t="s">
        <v>459</v>
      </c>
      <c r="I3314" s="2" t="n">
        <f aca="false">IF(F3314="Present",9,IF(F3314="Half Day",4,0))</f>
        <v>9</v>
      </c>
      <c r="J3314" s="2"/>
      <c r="K3314" s="2"/>
    </row>
    <row r="3315" customFormat="false" ht="15" hidden="false" customHeight="false" outlineLevel="0" collapsed="false">
      <c r="A3315" s="2" t="s">
        <v>261</v>
      </c>
      <c r="B3315" s="2" t="s">
        <v>262</v>
      </c>
      <c r="C3315" s="2" t="s">
        <v>45</v>
      </c>
      <c r="D3315" s="3" t="n">
        <v>46262</v>
      </c>
      <c r="E3315" s="2" t="str">
        <f aca="false">TEXT(D3315,"dddd")</f>
        <v>Friday</v>
      </c>
      <c r="F3315" s="2" t="s">
        <v>457</v>
      </c>
      <c r="G3315" s="2" t="s">
        <v>458</v>
      </c>
      <c r="H3315" s="2" t="s">
        <v>459</v>
      </c>
      <c r="I3315" s="2" t="n">
        <f aca="false">IF(F3315="Present",9,IF(F3315="Half Day",4,0))</f>
        <v>9</v>
      </c>
      <c r="J3315" s="2"/>
      <c r="K3315" s="2"/>
    </row>
    <row r="3316" customFormat="false" ht="15" hidden="false" customHeight="false" outlineLevel="0" collapsed="false">
      <c r="A3316" s="2" t="s">
        <v>261</v>
      </c>
      <c r="B3316" s="2" t="s">
        <v>262</v>
      </c>
      <c r="C3316" s="2" t="s">
        <v>45</v>
      </c>
      <c r="D3316" s="3" t="n">
        <v>46263</v>
      </c>
      <c r="E3316" s="2" t="str">
        <f aca="false">TEXT(D3316,"dddd")</f>
        <v>Saturday</v>
      </c>
      <c r="F3316" s="2" t="s">
        <v>463</v>
      </c>
      <c r="G3316" s="2"/>
      <c r="H3316" s="2"/>
      <c r="I3316" s="2" t="n">
        <f aca="false">IF(F3316="Present",9,IF(F3316="Half Day",4,0))</f>
        <v>0</v>
      </c>
      <c r="J3316" s="2" t="s">
        <v>472</v>
      </c>
      <c r="K3316" s="2" t="s">
        <v>473</v>
      </c>
    </row>
    <row r="3317" customFormat="false" ht="15" hidden="false" customHeight="false" outlineLevel="0" collapsed="false">
      <c r="A3317" s="2" t="s">
        <v>261</v>
      </c>
      <c r="B3317" s="2" t="s">
        <v>262</v>
      </c>
      <c r="C3317" s="2" t="s">
        <v>45</v>
      </c>
      <c r="D3317" s="3" t="n">
        <v>46264</v>
      </c>
      <c r="E3317" s="2" t="str">
        <f aca="false">TEXT(D3317,"dddd")</f>
        <v>Sunday</v>
      </c>
      <c r="F3317" s="2" t="s">
        <v>460</v>
      </c>
      <c r="G3317" s="2"/>
      <c r="H3317" s="2"/>
      <c r="I3317" s="2" t="n">
        <f aca="false">IF(F3317="Present",9,IF(F3317="Half Day",4,0))</f>
        <v>0</v>
      </c>
      <c r="J3317" s="2"/>
      <c r="K3317" s="2" t="s">
        <v>460</v>
      </c>
    </row>
    <row r="3318" customFormat="false" ht="15" hidden="false" customHeight="false" outlineLevel="0" collapsed="false">
      <c r="A3318" s="2" t="s">
        <v>261</v>
      </c>
      <c r="B3318" s="2" t="s">
        <v>262</v>
      </c>
      <c r="C3318" s="2" t="s">
        <v>45</v>
      </c>
      <c r="D3318" s="3" t="n">
        <v>46265</v>
      </c>
      <c r="E3318" s="2" t="str">
        <f aca="false">TEXT(D3318,"dddd")</f>
        <v>Monday</v>
      </c>
      <c r="F3318" s="2" t="s">
        <v>457</v>
      </c>
      <c r="G3318" s="2" t="s">
        <v>458</v>
      </c>
      <c r="H3318" s="2" t="s">
        <v>459</v>
      </c>
      <c r="I3318" s="2" t="n">
        <f aca="false">IF(F3318="Present",9,IF(F3318="Half Day",4,0))</f>
        <v>9</v>
      </c>
      <c r="J3318" s="2"/>
      <c r="K3318" s="2"/>
    </row>
    <row r="3319" customFormat="false" ht="15" hidden="false" customHeight="false" outlineLevel="0" collapsed="false">
      <c r="A3319" s="2" t="s">
        <v>263</v>
      </c>
      <c r="B3319" s="2" t="s">
        <v>264</v>
      </c>
      <c r="C3319" s="2" t="s">
        <v>49</v>
      </c>
      <c r="D3319" s="3" t="n">
        <v>46235</v>
      </c>
      <c r="E3319" s="2" t="str">
        <f aca="false">TEXT(D3319,"dddd")</f>
        <v>Saturday</v>
      </c>
      <c r="F3319" s="2" t="s">
        <v>461</v>
      </c>
      <c r="G3319" s="2"/>
      <c r="H3319" s="2"/>
      <c r="I3319" s="2" t="n">
        <f aca="false">IF(F3319="Present",9,IF(F3319="Half Day",4,0))</f>
        <v>0</v>
      </c>
      <c r="J3319" s="2"/>
      <c r="K3319" s="2" t="s">
        <v>462</v>
      </c>
    </row>
    <row r="3320" customFormat="false" ht="15" hidden="false" customHeight="false" outlineLevel="0" collapsed="false">
      <c r="A3320" s="2" t="s">
        <v>263</v>
      </c>
      <c r="B3320" s="2" t="s">
        <v>264</v>
      </c>
      <c r="C3320" s="2" t="s">
        <v>49</v>
      </c>
      <c r="D3320" s="3" t="n">
        <v>46236</v>
      </c>
      <c r="E3320" s="2" t="str">
        <f aca="false">TEXT(D3320,"dddd")</f>
        <v>Sunday</v>
      </c>
      <c r="F3320" s="2" t="s">
        <v>460</v>
      </c>
      <c r="G3320" s="2"/>
      <c r="H3320" s="2"/>
      <c r="I3320" s="2" t="n">
        <f aca="false">IF(F3320="Present",9,IF(F3320="Half Day",4,0))</f>
        <v>0</v>
      </c>
      <c r="J3320" s="2"/>
      <c r="K3320" s="2" t="s">
        <v>460</v>
      </c>
    </row>
    <row r="3321" customFormat="false" ht="15" hidden="false" customHeight="false" outlineLevel="0" collapsed="false">
      <c r="A3321" s="2" t="s">
        <v>263</v>
      </c>
      <c r="B3321" s="2" t="s">
        <v>264</v>
      </c>
      <c r="C3321" s="2" t="s">
        <v>49</v>
      </c>
      <c r="D3321" s="3" t="n">
        <v>46237</v>
      </c>
      <c r="E3321" s="2" t="str">
        <f aca="false">TEXT(D3321,"dddd")</f>
        <v>Monday</v>
      </c>
      <c r="F3321" s="2" t="s">
        <v>457</v>
      </c>
      <c r="G3321" s="2" t="s">
        <v>458</v>
      </c>
      <c r="H3321" s="2" t="s">
        <v>459</v>
      </c>
      <c r="I3321" s="2" t="n">
        <f aca="false">IF(F3321="Present",9,IF(F3321="Half Day",4,0))</f>
        <v>9</v>
      </c>
      <c r="J3321" s="2"/>
      <c r="K3321" s="2"/>
    </row>
    <row r="3322" customFormat="false" ht="15" hidden="false" customHeight="false" outlineLevel="0" collapsed="false">
      <c r="A3322" s="2" t="s">
        <v>263</v>
      </c>
      <c r="B3322" s="2" t="s">
        <v>264</v>
      </c>
      <c r="C3322" s="2" t="s">
        <v>49</v>
      </c>
      <c r="D3322" s="3" t="n">
        <v>46238</v>
      </c>
      <c r="E3322" s="2" t="str">
        <f aca="false">TEXT(D3322,"dddd")</f>
        <v>Tuesday</v>
      </c>
      <c r="F3322" s="2" t="s">
        <v>461</v>
      </c>
      <c r="G3322" s="2"/>
      <c r="H3322" s="2"/>
      <c r="I3322" s="2" t="n">
        <f aca="false">IF(F3322="Present",9,IF(F3322="Half Day",4,0))</f>
        <v>0</v>
      </c>
      <c r="J3322" s="2"/>
      <c r="K3322" s="2" t="s">
        <v>462</v>
      </c>
    </row>
    <row r="3323" customFormat="false" ht="15" hidden="false" customHeight="false" outlineLevel="0" collapsed="false">
      <c r="A3323" s="2" t="s">
        <v>263</v>
      </c>
      <c r="B3323" s="2" t="s">
        <v>264</v>
      </c>
      <c r="C3323" s="2" t="s">
        <v>49</v>
      </c>
      <c r="D3323" s="3" t="n">
        <v>46239</v>
      </c>
      <c r="E3323" s="2" t="str">
        <f aca="false">TEXT(D3323,"dddd")</f>
        <v>Wednesday</v>
      </c>
      <c r="F3323" s="2" t="s">
        <v>457</v>
      </c>
      <c r="G3323" s="2" t="s">
        <v>458</v>
      </c>
      <c r="H3323" s="2" t="s">
        <v>459</v>
      </c>
      <c r="I3323" s="2" t="n">
        <f aca="false">IF(F3323="Present",9,IF(F3323="Half Day",4,0))</f>
        <v>9</v>
      </c>
      <c r="J3323" s="2"/>
      <c r="K3323" s="2"/>
    </row>
    <row r="3324" customFormat="false" ht="15" hidden="false" customHeight="false" outlineLevel="0" collapsed="false">
      <c r="A3324" s="2" t="s">
        <v>263</v>
      </c>
      <c r="B3324" s="2" t="s">
        <v>264</v>
      </c>
      <c r="C3324" s="2" t="s">
        <v>49</v>
      </c>
      <c r="D3324" s="3" t="n">
        <v>46240</v>
      </c>
      <c r="E3324" s="2" t="str">
        <f aca="false">TEXT(D3324,"dddd")</f>
        <v>Thursday</v>
      </c>
      <c r="F3324" s="2" t="s">
        <v>457</v>
      </c>
      <c r="G3324" s="2" t="s">
        <v>458</v>
      </c>
      <c r="H3324" s="2" t="s">
        <v>459</v>
      </c>
      <c r="I3324" s="2" t="n">
        <f aca="false">IF(F3324="Present",9,IF(F3324="Half Day",4,0))</f>
        <v>9</v>
      </c>
      <c r="J3324" s="2"/>
      <c r="K3324" s="2"/>
    </row>
    <row r="3325" customFormat="false" ht="15" hidden="false" customHeight="false" outlineLevel="0" collapsed="false">
      <c r="A3325" s="2" t="s">
        <v>263</v>
      </c>
      <c r="B3325" s="2" t="s">
        <v>264</v>
      </c>
      <c r="C3325" s="2" t="s">
        <v>49</v>
      </c>
      <c r="D3325" s="3" t="n">
        <v>46241</v>
      </c>
      <c r="E3325" s="2" t="str">
        <f aca="false">TEXT(D3325,"dddd")</f>
        <v>Friday</v>
      </c>
      <c r="F3325" s="2" t="s">
        <v>457</v>
      </c>
      <c r="G3325" s="2" t="s">
        <v>458</v>
      </c>
      <c r="H3325" s="2" t="s">
        <v>459</v>
      </c>
      <c r="I3325" s="2" t="n">
        <f aca="false">IF(F3325="Present",9,IF(F3325="Half Day",4,0))</f>
        <v>9</v>
      </c>
      <c r="J3325" s="2"/>
      <c r="K3325" s="2"/>
    </row>
    <row r="3326" customFormat="false" ht="15" hidden="false" customHeight="false" outlineLevel="0" collapsed="false">
      <c r="A3326" s="2" t="s">
        <v>263</v>
      </c>
      <c r="B3326" s="2" t="s">
        <v>264</v>
      </c>
      <c r="C3326" s="2" t="s">
        <v>49</v>
      </c>
      <c r="D3326" s="3" t="n">
        <v>46242</v>
      </c>
      <c r="E3326" s="2" t="str">
        <f aca="false">TEXT(D3326,"dddd")</f>
        <v>Saturday</v>
      </c>
      <c r="F3326" s="2" t="s">
        <v>457</v>
      </c>
      <c r="G3326" s="2" t="s">
        <v>458</v>
      </c>
      <c r="H3326" s="2" t="s">
        <v>459</v>
      </c>
      <c r="I3326" s="2" t="n">
        <f aca="false">IF(F3326="Present",9,IF(F3326="Half Day",4,0))</f>
        <v>9</v>
      </c>
      <c r="J3326" s="2"/>
      <c r="K3326" s="2"/>
    </row>
    <row r="3327" customFormat="false" ht="15" hidden="false" customHeight="false" outlineLevel="0" collapsed="false">
      <c r="A3327" s="2" t="s">
        <v>263</v>
      </c>
      <c r="B3327" s="2" t="s">
        <v>264</v>
      </c>
      <c r="C3327" s="2" t="s">
        <v>49</v>
      </c>
      <c r="D3327" s="3" t="n">
        <v>46243</v>
      </c>
      <c r="E3327" s="2" t="str">
        <f aca="false">TEXT(D3327,"dddd")</f>
        <v>Sunday</v>
      </c>
      <c r="F3327" s="2" t="s">
        <v>460</v>
      </c>
      <c r="G3327" s="2"/>
      <c r="H3327" s="2"/>
      <c r="I3327" s="2" t="n">
        <f aca="false">IF(F3327="Present",9,IF(F3327="Half Day",4,0))</f>
        <v>0</v>
      </c>
      <c r="J3327" s="2"/>
      <c r="K3327" s="2" t="s">
        <v>460</v>
      </c>
    </row>
    <row r="3328" customFormat="false" ht="15" hidden="false" customHeight="false" outlineLevel="0" collapsed="false">
      <c r="A3328" s="2" t="s">
        <v>263</v>
      </c>
      <c r="B3328" s="2" t="s">
        <v>264</v>
      </c>
      <c r="C3328" s="2" t="s">
        <v>49</v>
      </c>
      <c r="D3328" s="3" t="n">
        <v>46244</v>
      </c>
      <c r="E3328" s="2" t="str">
        <f aca="false">TEXT(D3328,"dddd")</f>
        <v>Monday</v>
      </c>
      <c r="F3328" s="2" t="s">
        <v>457</v>
      </c>
      <c r="G3328" s="2" t="s">
        <v>458</v>
      </c>
      <c r="H3328" s="2" t="s">
        <v>459</v>
      </c>
      <c r="I3328" s="2" t="n">
        <f aca="false">IF(F3328="Present",9,IF(F3328="Half Day",4,0))</f>
        <v>9</v>
      </c>
      <c r="J3328" s="2"/>
      <c r="K3328" s="2"/>
    </row>
    <row r="3329" customFormat="false" ht="15" hidden="false" customHeight="false" outlineLevel="0" collapsed="false">
      <c r="A3329" s="2" t="s">
        <v>263</v>
      </c>
      <c r="B3329" s="2" t="s">
        <v>264</v>
      </c>
      <c r="C3329" s="2" t="s">
        <v>49</v>
      </c>
      <c r="D3329" s="3" t="n">
        <v>46245</v>
      </c>
      <c r="E3329" s="2" t="str">
        <f aca="false">TEXT(D3329,"dddd")</f>
        <v>Tuesday</v>
      </c>
      <c r="F3329" s="2" t="s">
        <v>461</v>
      </c>
      <c r="G3329" s="2"/>
      <c r="H3329" s="2"/>
      <c r="I3329" s="2" t="n">
        <f aca="false">IF(F3329="Present",9,IF(F3329="Half Day",4,0))</f>
        <v>0</v>
      </c>
      <c r="J3329" s="2"/>
      <c r="K3329" s="2" t="s">
        <v>462</v>
      </c>
    </row>
    <row r="3330" customFormat="false" ht="15" hidden="false" customHeight="false" outlineLevel="0" collapsed="false">
      <c r="A3330" s="2" t="s">
        <v>263</v>
      </c>
      <c r="B3330" s="2" t="s">
        <v>264</v>
      </c>
      <c r="C3330" s="2" t="s">
        <v>49</v>
      </c>
      <c r="D3330" s="3" t="n">
        <v>46246</v>
      </c>
      <c r="E3330" s="2" t="str">
        <f aca="false">TEXT(D3330,"dddd")</f>
        <v>Wednesday</v>
      </c>
      <c r="F3330" s="2" t="s">
        <v>457</v>
      </c>
      <c r="G3330" s="2" t="s">
        <v>458</v>
      </c>
      <c r="H3330" s="2" t="s">
        <v>459</v>
      </c>
      <c r="I3330" s="2" t="n">
        <f aca="false">IF(F3330="Present",9,IF(F3330="Half Day",4,0))</f>
        <v>9</v>
      </c>
      <c r="J3330" s="2"/>
      <c r="K3330" s="2"/>
    </row>
    <row r="3331" customFormat="false" ht="15" hidden="false" customHeight="false" outlineLevel="0" collapsed="false">
      <c r="A3331" s="2" t="s">
        <v>263</v>
      </c>
      <c r="B3331" s="2" t="s">
        <v>264</v>
      </c>
      <c r="C3331" s="2" t="s">
        <v>49</v>
      </c>
      <c r="D3331" s="3" t="n">
        <v>46247</v>
      </c>
      <c r="E3331" s="2" t="str">
        <f aca="false">TEXT(D3331,"dddd")</f>
        <v>Thursday</v>
      </c>
      <c r="F3331" s="2" t="s">
        <v>457</v>
      </c>
      <c r="G3331" s="2" t="s">
        <v>458</v>
      </c>
      <c r="H3331" s="2" t="s">
        <v>459</v>
      </c>
      <c r="I3331" s="2" t="n">
        <f aca="false">IF(F3331="Present",9,IF(F3331="Half Day",4,0))</f>
        <v>9</v>
      </c>
      <c r="J3331" s="2"/>
      <c r="K3331" s="2"/>
    </row>
    <row r="3332" customFormat="false" ht="15" hidden="false" customHeight="false" outlineLevel="0" collapsed="false">
      <c r="A3332" s="2" t="s">
        <v>263</v>
      </c>
      <c r="B3332" s="2" t="s">
        <v>264</v>
      </c>
      <c r="C3332" s="2" t="s">
        <v>49</v>
      </c>
      <c r="D3332" s="3" t="n">
        <v>46248</v>
      </c>
      <c r="E3332" s="2" t="str">
        <f aca="false">TEXT(D3332,"dddd")</f>
        <v>Friday</v>
      </c>
      <c r="F3332" s="2" t="s">
        <v>461</v>
      </c>
      <c r="G3332" s="2"/>
      <c r="H3332" s="2"/>
      <c r="I3332" s="2" t="n">
        <f aca="false">IF(F3332="Present",9,IF(F3332="Half Day",4,0))</f>
        <v>0</v>
      </c>
      <c r="J3332" s="2"/>
      <c r="K3332" s="2" t="s">
        <v>462</v>
      </c>
    </row>
    <row r="3333" customFormat="false" ht="15" hidden="false" customHeight="false" outlineLevel="0" collapsed="false">
      <c r="A3333" s="2" t="s">
        <v>263</v>
      </c>
      <c r="B3333" s="2" t="s">
        <v>264</v>
      </c>
      <c r="C3333" s="2" t="s">
        <v>49</v>
      </c>
      <c r="D3333" s="3" t="n">
        <v>46249</v>
      </c>
      <c r="E3333" s="2" t="str">
        <f aca="false">TEXT(D3333,"dddd")</f>
        <v>Saturday</v>
      </c>
      <c r="F3333" s="2" t="s">
        <v>461</v>
      </c>
      <c r="G3333" s="2"/>
      <c r="H3333" s="2"/>
      <c r="I3333" s="2" t="n">
        <f aca="false">IF(F3333="Present",9,IF(F3333="Half Day",4,0))</f>
        <v>0</v>
      </c>
      <c r="J3333" s="2"/>
      <c r="K3333" s="2" t="s">
        <v>462</v>
      </c>
    </row>
    <row r="3334" customFormat="false" ht="15" hidden="false" customHeight="false" outlineLevel="0" collapsed="false">
      <c r="A3334" s="2" t="s">
        <v>263</v>
      </c>
      <c r="B3334" s="2" t="s">
        <v>264</v>
      </c>
      <c r="C3334" s="2" t="s">
        <v>49</v>
      </c>
      <c r="D3334" s="3" t="n">
        <v>46250</v>
      </c>
      <c r="E3334" s="2" t="str">
        <f aca="false">TEXT(D3334,"dddd")</f>
        <v>Sunday</v>
      </c>
      <c r="F3334" s="2" t="s">
        <v>460</v>
      </c>
      <c r="G3334" s="2"/>
      <c r="H3334" s="2"/>
      <c r="I3334" s="2" t="n">
        <f aca="false">IF(F3334="Present",9,IF(F3334="Half Day",4,0))</f>
        <v>0</v>
      </c>
      <c r="J3334" s="2"/>
      <c r="K3334" s="2" t="s">
        <v>460</v>
      </c>
    </row>
    <row r="3335" customFormat="false" ht="15" hidden="false" customHeight="false" outlineLevel="0" collapsed="false">
      <c r="A3335" s="2" t="s">
        <v>263</v>
      </c>
      <c r="B3335" s="2" t="s">
        <v>264</v>
      </c>
      <c r="C3335" s="2" t="s">
        <v>49</v>
      </c>
      <c r="D3335" s="3" t="n">
        <v>46251</v>
      </c>
      <c r="E3335" s="2" t="str">
        <f aca="false">TEXT(D3335,"dddd")</f>
        <v>Monday</v>
      </c>
      <c r="F3335" s="2" t="s">
        <v>457</v>
      </c>
      <c r="G3335" s="2" t="s">
        <v>458</v>
      </c>
      <c r="H3335" s="2" t="s">
        <v>459</v>
      </c>
      <c r="I3335" s="2" t="n">
        <f aca="false">IF(F3335="Present",9,IF(F3335="Half Day",4,0))</f>
        <v>9</v>
      </c>
      <c r="J3335" s="2"/>
      <c r="K3335" s="2"/>
    </row>
    <row r="3336" customFormat="false" ht="15" hidden="false" customHeight="false" outlineLevel="0" collapsed="false">
      <c r="A3336" s="2" t="s">
        <v>263</v>
      </c>
      <c r="B3336" s="2" t="s">
        <v>264</v>
      </c>
      <c r="C3336" s="2" t="s">
        <v>49</v>
      </c>
      <c r="D3336" s="3" t="n">
        <v>46252</v>
      </c>
      <c r="E3336" s="2" t="str">
        <f aca="false">TEXT(D3336,"dddd")</f>
        <v>Tuesday</v>
      </c>
      <c r="F3336" s="2" t="s">
        <v>457</v>
      </c>
      <c r="G3336" s="2" t="s">
        <v>458</v>
      </c>
      <c r="H3336" s="2" t="s">
        <v>459</v>
      </c>
      <c r="I3336" s="2" t="n">
        <f aca="false">IF(F3336="Present",9,IF(F3336="Half Day",4,0))</f>
        <v>9</v>
      </c>
      <c r="J3336" s="2"/>
      <c r="K3336" s="2"/>
    </row>
    <row r="3337" customFormat="false" ht="15" hidden="false" customHeight="false" outlineLevel="0" collapsed="false">
      <c r="A3337" s="2" t="s">
        <v>263</v>
      </c>
      <c r="B3337" s="2" t="s">
        <v>264</v>
      </c>
      <c r="C3337" s="2" t="s">
        <v>49</v>
      </c>
      <c r="D3337" s="3" t="n">
        <v>46253</v>
      </c>
      <c r="E3337" s="2" t="str">
        <f aca="false">TEXT(D3337,"dddd")</f>
        <v>Wednesday</v>
      </c>
      <c r="F3337" s="2" t="s">
        <v>457</v>
      </c>
      <c r="G3337" s="2" t="s">
        <v>458</v>
      </c>
      <c r="H3337" s="2" t="s">
        <v>459</v>
      </c>
      <c r="I3337" s="2" t="n">
        <f aca="false">IF(F3337="Present",9,IF(F3337="Half Day",4,0))</f>
        <v>9</v>
      </c>
      <c r="J3337" s="2"/>
      <c r="K3337" s="2"/>
    </row>
    <row r="3338" customFormat="false" ht="15" hidden="false" customHeight="false" outlineLevel="0" collapsed="false">
      <c r="A3338" s="2" t="s">
        <v>263</v>
      </c>
      <c r="B3338" s="2" t="s">
        <v>264</v>
      </c>
      <c r="C3338" s="2" t="s">
        <v>49</v>
      </c>
      <c r="D3338" s="3" t="n">
        <v>46254</v>
      </c>
      <c r="E3338" s="2" t="str">
        <f aca="false">TEXT(D3338,"dddd")</f>
        <v>Thursday</v>
      </c>
      <c r="F3338" s="2" t="s">
        <v>457</v>
      </c>
      <c r="G3338" s="2" t="s">
        <v>458</v>
      </c>
      <c r="H3338" s="2" t="s">
        <v>459</v>
      </c>
      <c r="I3338" s="2" t="n">
        <f aca="false">IF(F3338="Present",9,IF(F3338="Half Day",4,0))</f>
        <v>9</v>
      </c>
      <c r="J3338" s="2"/>
      <c r="K3338" s="2"/>
    </row>
    <row r="3339" customFormat="false" ht="15" hidden="false" customHeight="false" outlineLevel="0" collapsed="false">
      <c r="A3339" s="2" t="s">
        <v>263</v>
      </c>
      <c r="B3339" s="2" t="s">
        <v>264</v>
      </c>
      <c r="C3339" s="2" t="s">
        <v>49</v>
      </c>
      <c r="D3339" s="3" t="n">
        <v>46255</v>
      </c>
      <c r="E3339" s="2" t="str">
        <f aca="false">TEXT(D3339,"dddd")</f>
        <v>Friday</v>
      </c>
      <c r="F3339" s="2" t="s">
        <v>457</v>
      </c>
      <c r="G3339" s="2" t="s">
        <v>458</v>
      </c>
      <c r="H3339" s="2" t="s">
        <v>459</v>
      </c>
      <c r="I3339" s="2" t="n">
        <f aca="false">IF(F3339="Present",9,IF(F3339="Half Day",4,0))</f>
        <v>9</v>
      </c>
      <c r="J3339" s="2"/>
      <c r="K3339" s="2"/>
    </row>
    <row r="3340" customFormat="false" ht="15" hidden="false" customHeight="false" outlineLevel="0" collapsed="false">
      <c r="A3340" s="2" t="s">
        <v>263</v>
      </c>
      <c r="B3340" s="2" t="s">
        <v>264</v>
      </c>
      <c r="C3340" s="2" t="s">
        <v>49</v>
      </c>
      <c r="D3340" s="3" t="n">
        <v>46256</v>
      </c>
      <c r="E3340" s="2" t="str">
        <f aca="false">TEXT(D3340,"dddd")</f>
        <v>Saturday</v>
      </c>
      <c r="F3340" s="2" t="s">
        <v>461</v>
      </c>
      <c r="G3340" s="2"/>
      <c r="H3340" s="2"/>
      <c r="I3340" s="2" t="n">
        <f aca="false">IF(F3340="Present",9,IF(F3340="Half Day",4,0))</f>
        <v>0</v>
      </c>
      <c r="J3340" s="2"/>
      <c r="K3340" s="2" t="s">
        <v>462</v>
      </c>
    </row>
    <row r="3341" customFormat="false" ht="15" hidden="false" customHeight="false" outlineLevel="0" collapsed="false">
      <c r="A3341" s="2" t="s">
        <v>263</v>
      </c>
      <c r="B3341" s="2" t="s">
        <v>264</v>
      </c>
      <c r="C3341" s="2" t="s">
        <v>49</v>
      </c>
      <c r="D3341" s="3" t="n">
        <v>46257</v>
      </c>
      <c r="E3341" s="2" t="str">
        <f aca="false">TEXT(D3341,"dddd")</f>
        <v>Sunday</v>
      </c>
      <c r="F3341" s="2" t="s">
        <v>460</v>
      </c>
      <c r="G3341" s="2"/>
      <c r="H3341" s="2"/>
      <c r="I3341" s="2" t="n">
        <f aca="false">IF(F3341="Present",9,IF(F3341="Half Day",4,0))</f>
        <v>0</v>
      </c>
      <c r="J3341" s="2"/>
      <c r="K3341" s="2" t="s">
        <v>460</v>
      </c>
    </row>
    <row r="3342" customFormat="false" ht="15" hidden="false" customHeight="false" outlineLevel="0" collapsed="false">
      <c r="A3342" s="2" t="s">
        <v>263</v>
      </c>
      <c r="B3342" s="2" t="s">
        <v>264</v>
      </c>
      <c r="C3342" s="2" t="s">
        <v>49</v>
      </c>
      <c r="D3342" s="3" t="n">
        <v>46258</v>
      </c>
      <c r="E3342" s="2" t="str">
        <f aca="false">TEXT(D3342,"dddd")</f>
        <v>Monday</v>
      </c>
      <c r="F3342" s="2" t="s">
        <v>457</v>
      </c>
      <c r="G3342" s="2" t="s">
        <v>458</v>
      </c>
      <c r="H3342" s="2" t="s">
        <v>459</v>
      </c>
      <c r="I3342" s="2" t="n">
        <f aca="false">IF(F3342="Present",9,IF(F3342="Half Day",4,0))</f>
        <v>9</v>
      </c>
      <c r="J3342" s="2"/>
      <c r="K3342" s="2"/>
    </row>
    <row r="3343" customFormat="false" ht="15" hidden="false" customHeight="false" outlineLevel="0" collapsed="false">
      <c r="A3343" s="2" t="s">
        <v>263</v>
      </c>
      <c r="B3343" s="2" t="s">
        <v>264</v>
      </c>
      <c r="C3343" s="2" t="s">
        <v>49</v>
      </c>
      <c r="D3343" s="3" t="n">
        <v>46259</v>
      </c>
      <c r="E3343" s="2" t="str">
        <f aca="false">TEXT(D3343,"dddd")</f>
        <v>Tuesday</v>
      </c>
      <c r="F3343" s="2" t="s">
        <v>457</v>
      </c>
      <c r="G3343" s="2" t="s">
        <v>458</v>
      </c>
      <c r="H3343" s="2" t="s">
        <v>459</v>
      </c>
      <c r="I3343" s="2" t="n">
        <f aca="false">IF(F3343="Present",9,IF(F3343="Half Day",4,0))</f>
        <v>9</v>
      </c>
      <c r="J3343" s="2"/>
      <c r="K3343" s="2"/>
    </row>
    <row r="3344" customFormat="false" ht="15" hidden="false" customHeight="false" outlineLevel="0" collapsed="false">
      <c r="A3344" s="2" t="s">
        <v>263</v>
      </c>
      <c r="B3344" s="2" t="s">
        <v>264</v>
      </c>
      <c r="C3344" s="2" t="s">
        <v>49</v>
      </c>
      <c r="D3344" s="3" t="n">
        <v>46260</v>
      </c>
      <c r="E3344" s="2" t="str">
        <f aca="false">TEXT(D3344,"dddd")</f>
        <v>Wednesday</v>
      </c>
      <c r="F3344" s="2" t="s">
        <v>457</v>
      </c>
      <c r="G3344" s="2" t="s">
        <v>458</v>
      </c>
      <c r="H3344" s="2" t="s">
        <v>459</v>
      </c>
      <c r="I3344" s="2" t="n">
        <f aca="false">IF(F3344="Present",9,IF(F3344="Half Day",4,0))</f>
        <v>9</v>
      </c>
      <c r="J3344" s="2"/>
      <c r="K3344" s="2"/>
    </row>
    <row r="3345" customFormat="false" ht="15" hidden="false" customHeight="false" outlineLevel="0" collapsed="false">
      <c r="A3345" s="2" t="s">
        <v>263</v>
      </c>
      <c r="B3345" s="2" t="s">
        <v>264</v>
      </c>
      <c r="C3345" s="2" t="s">
        <v>49</v>
      </c>
      <c r="D3345" s="3" t="n">
        <v>46261</v>
      </c>
      <c r="E3345" s="2" t="str">
        <f aca="false">TEXT(D3345,"dddd")</f>
        <v>Thursday</v>
      </c>
      <c r="F3345" s="2" t="s">
        <v>457</v>
      </c>
      <c r="G3345" s="2" t="s">
        <v>458</v>
      </c>
      <c r="H3345" s="2" t="s">
        <v>459</v>
      </c>
      <c r="I3345" s="2" t="n">
        <f aca="false">IF(F3345="Present",9,IF(F3345="Half Day",4,0))</f>
        <v>9</v>
      </c>
      <c r="J3345" s="2"/>
      <c r="K3345" s="2"/>
    </row>
    <row r="3346" customFormat="false" ht="15" hidden="false" customHeight="false" outlineLevel="0" collapsed="false">
      <c r="A3346" s="2" t="s">
        <v>263</v>
      </c>
      <c r="B3346" s="2" t="s">
        <v>264</v>
      </c>
      <c r="C3346" s="2" t="s">
        <v>49</v>
      </c>
      <c r="D3346" s="3" t="n">
        <v>46262</v>
      </c>
      <c r="E3346" s="2" t="str">
        <f aca="false">TEXT(D3346,"dddd")</f>
        <v>Friday</v>
      </c>
      <c r="F3346" s="2" t="s">
        <v>457</v>
      </c>
      <c r="G3346" s="2" t="s">
        <v>458</v>
      </c>
      <c r="H3346" s="2" t="s">
        <v>459</v>
      </c>
      <c r="I3346" s="2" t="n">
        <f aca="false">IF(F3346="Present",9,IF(F3346="Half Day",4,0))</f>
        <v>9</v>
      </c>
      <c r="J3346" s="2"/>
      <c r="K3346" s="2"/>
    </row>
    <row r="3347" customFormat="false" ht="15" hidden="false" customHeight="false" outlineLevel="0" collapsed="false">
      <c r="A3347" s="2" t="s">
        <v>263</v>
      </c>
      <c r="B3347" s="2" t="s">
        <v>264</v>
      </c>
      <c r="C3347" s="2" t="s">
        <v>49</v>
      </c>
      <c r="D3347" s="3" t="n">
        <v>46263</v>
      </c>
      <c r="E3347" s="2" t="str">
        <f aca="false">TEXT(D3347,"dddd")</f>
        <v>Saturday</v>
      </c>
      <c r="F3347" s="2" t="s">
        <v>457</v>
      </c>
      <c r="G3347" s="2" t="s">
        <v>458</v>
      </c>
      <c r="H3347" s="2" t="s">
        <v>459</v>
      </c>
      <c r="I3347" s="2" t="n">
        <f aca="false">IF(F3347="Present",9,IF(F3347="Half Day",4,0))</f>
        <v>9</v>
      </c>
      <c r="J3347" s="2"/>
      <c r="K3347" s="2"/>
    </row>
    <row r="3348" customFormat="false" ht="15" hidden="false" customHeight="false" outlineLevel="0" collapsed="false">
      <c r="A3348" s="2" t="s">
        <v>263</v>
      </c>
      <c r="B3348" s="2" t="s">
        <v>264</v>
      </c>
      <c r="C3348" s="2" t="s">
        <v>49</v>
      </c>
      <c r="D3348" s="3" t="n">
        <v>46264</v>
      </c>
      <c r="E3348" s="2" t="str">
        <f aca="false">TEXT(D3348,"dddd")</f>
        <v>Sunday</v>
      </c>
      <c r="F3348" s="2" t="s">
        <v>460</v>
      </c>
      <c r="G3348" s="2"/>
      <c r="H3348" s="2"/>
      <c r="I3348" s="2" t="n">
        <f aca="false">IF(F3348="Present",9,IF(F3348="Half Day",4,0))</f>
        <v>0</v>
      </c>
      <c r="J3348" s="2"/>
      <c r="K3348" s="2" t="s">
        <v>460</v>
      </c>
    </row>
    <row r="3349" customFormat="false" ht="15" hidden="false" customHeight="false" outlineLevel="0" collapsed="false">
      <c r="A3349" s="2" t="s">
        <v>263</v>
      </c>
      <c r="B3349" s="2" t="s">
        <v>264</v>
      </c>
      <c r="C3349" s="2" t="s">
        <v>49</v>
      </c>
      <c r="D3349" s="3" t="n">
        <v>46265</v>
      </c>
      <c r="E3349" s="2" t="str">
        <f aca="false">TEXT(D3349,"dddd")</f>
        <v>Monday</v>
      </c>
      <c r="F3349" s="2" t="s">
        <v>457</v>
      </c>
      <c r="G3349" s="2" t="s">
        <v>458</v>
      </c>
      <c r="H3349" s="2" t="s">
        <v>459</v>
      </c>
      <c r="I3349" s="2" t="n">
        <f aca="false">IF(F3349="Present",9,IF(F3349="Half Day",4,0))</f>
        <v>9</v>
      </c>
      <c r="J3349" s="2"/>
      <c r="K3349" s="2"/>
    </row>
    <row r="3350" customFormat="false" ht="15" hidden="false" customHeight="false" outlineLevel="0" collapsed="false">
      <c r="A3350" s="2" t="s">
        <v>265</v>
      </c>
      <c r="B3350" s="2" t="s">
        <v>266</v>
      </c>
      <c r="C3350" s="2" t="s">
        <v>53</v>
      </c>
      <c r="D3350" s="3" t="n">
        <v>46235</v>
      </c>
      <c r="E3350" s="2" t="str">
        <f aca="false">TEXT(D3350,"dddd")</f>
        <v>Saturday</v>
      </c>
      <c r="F3350" s="2" t="s">
        <v>463</v>
      </c>
      <c r="G3350" s="2"/>
      <c r="H3350" s="2"/>
      <c r="I3350" s="2" t="n">
        <f aca="false">IF(F3350="Present",9,IF(F3350="Half Day",4,0))</f>
        <v>0</v>
      </c>
      <c r="J3350" s="2" t="s">
        <v>474</v>
      </c>
      <c r="K3350" s="2" t="s">
        <v>475</v>
      </c>
    </row>
    <row r="3351" customFormat="false" ht="15" hidden="false" customHeight="false" outlineLevel="0" collapsed="false">
      <c r="A3351" s="2" t="s">
        <v>265</v>
      </c>
      <c r="B3351" s="2" t="s">
        <v>266</v>
      </c>
      <c r="C3351" s="2" t="s">
        <v>53</v>
      </c>
      <c r="D3351" s="3" t="n">
        <v>46236</v>
      </c>
      <c r="E3351" s="2" t="str">
        <f aca="false">TEXT(D3351,"dddd")</f>
        <v>Sunday</v>
      </c>
      <c r="F3351" s="2" t="s">
        <v>460</v>
      </c>
      <c r="G3351" s="2"/>
      <c r="H3351" s="2"/>
      <c r="I3351" s="2" t="n">
        <f aca="false">IF(F3351="Present",9,IF(F3351="Half Day",4,0))</f>
        <v>0</v>
      </c>
      <c r="J3351" s="2"/>
      <c r="K3351" s="2" t="s">
        <v>460</v>
      </c>
    </row>
    <row r="3352" customFormat="false" ht="15" hidden="false" customHeight="false" outlineLevel="0" collapsed="false">
      <c r="A3352" s="2" t="s">
        <v>265</v>
      </c>
      <c r="B3352" s="2" t="s">
        <v>266</v>
      </c>
      <c r="C3352" s="2" t="s">
        <v>53</v>
      </c>
      <c r="D3352" s="3" t="n">
        <v>46237</v>
      </c>
      <c r="E3352" s="2" t="str">
        <f aca="false">TEXT(D3352,"dddd")</f>
        <v>Monday</v>
      </c>
      <c r="F3352" s="2" t="s">
        <v>457</v>
      </c>
      <c r="G3352" s="2" t="s">
        <v>458</v>
      </c>
      <c r="H3352" s="2" t="s">
        <v>459</v>
      </c>
      <c r="I3352" s="2" t="n">
        <f aca="false">IF(F3352="Present",9,IF(F3352="Half Day",4,0))</f>
        <v>9</v>
      </c>
      <c r="J3352" s="2"/>
      <c r="K3352" s="2"/>
    </row>
    <row r="3353" customFormat="false" ht="15" hidden="false" customHeight="false" outlineLevel="0" collapsed="false">
      <c r="A3353" s="2" t="s">
        <v>265</v>
      </c>
      <c r="B3353" s="2" t="s">
        <v>266</v>
      </c>
      <c r="C3353" s="2" t="s">
        <v>53</v>
      </c>
      <c r="D3353" s="3" t="n">
        <v>46238</v>
      </c>
      <c r="E3353" s="2" t="str">
        <f aca="false">TEXT(D3353,"dddd")</f>
        <v>Tuesday</v>
      </c>
      <c r="F3353" s="2" t="s">
        <v>457</v>
      </c>
      <c r="G3353" s="2" t="s">
        <v>458</v>
      </c>
      <c r="H3353" s="2" t="s">
        <v>459</v>
      </c>
      <c r="I3353" s="2" t="n">
        <f aca="false">IF(F3353="Present",9,IF(F3353="Half Day",4,0))</f>
        <v>9</v>
      </c>
      <c r="J3353" s="2"/>
      <c r="K3353" s="2"/>
    </row>
    <row r="3354" customFormat="false" ht="15" hidden="false" customHeight="false" outlineLevel="0" collapsed="false">
      <c r="A3354" s="2" t="s">
        <v>265</v>
      </c>
      <c r="B3354" s="2" t="s">
        <v>266</v>
      </c>
      <c r="C3354" s="2" t="s">
        <v>53</v>
      </c>
      <c r="D3354" s="3" t="n">
        <v>46239</v>
      </c>
      <c r="E3354" s="2" t="str">
        <f aca="false">TEXT(D3354,"dddd")</f>
        <v>Wednesday</v>
      </c>
      <c r="F3354" s="2" t="s">
        <v>461</v>
      </c>
      <c r="G3354" s="2"/>
      <c r="H3354" s="2"/>
      <c r="I3354" s="2" t="n">
        <f aca="false">IF(F3354="Present",9,IF(F3354="Half Day",4,0))</f>
        <v>0</v>
      </c>
      <c r="J3354" s="2"/>
      <c r="K3354" s="2" t="s">
        <v>462</v>
      </c>
    </row>
    <row r="3355" customFormat="false" ht="15" hidden="false" customHeight="false" outlineLevel="0" collapsed="false">
      <c r="A3355" s="2" t="s">
        <v>265</v>
      </c>
      <c r="B3355" s="2" t="s">
        <v>266</v>
      </c>
      <c r="C3355" s="2" t="s">
        <v>53</v>
      </c>
      <c r="D3355" s="3" t="n">
        <v>46240</v>
      </c>
      <c r="E3355" s="2" t="str">
        <f aca="false">TEXT(D3355,"dddd")</f>
        <v>Thursday</v>
      </c>
      <c r="F3355" s="2" t="s">
        <v>457</v>
      </c>
      <c r="G3355" s="2" t="s">
        <v>458</v>
      </c>
      <c r="H3355" s="2" t="s">
        <v>459</v>
      </c>
      <c r="I3355" s="2" t="n">
        <f aca="false">IF(F3355="Present",9,IF(F3355="Half Day",4,0))</f>
        <v>9</v>
      </c>
      <c r="J3355" s="2"/>
      <c r="K3355" s="2"/>
    </row>
    <row r="3356" customFormat="false" ht="15" hidden="false" customHeight="false" outlineLevel="0" collapsed="false">
      <c r="A3356" s="2" t="s">
        <v>265</v>
      </c>
      <c r="B3356" s="2" t="s">
        <v>266</v>
      </c>
      <c r="C3356" s="2" t="s">
        <v>53</v>
      </c>
      <c r="D3356" s="3" t="n">
        <v>46241</v>
      </c>
      <c r="E3356" s="2" t="str">
        <f aca="false">TEXT(D3356,"dddd")</f>
        <v>Friday</v>
      </c>
      <c r="F3356" s="2" t="s">
        <v>457</v>
      </c>
      <c r="G3356" s="2" t="s">
        <v>458</v>
      </c>
      <c r="H3356" s="2" t="s">
        <v>459</v>
      </c>
      <c r="I3356" s="2" t="n">
        <f aca="false">IF(F3356="Present",9,IF(F3356="Half Day",4,0))</f>
        <v>9</v>
      </c>
      <c r="J3356" s="2"/>
      <c r="K3356" s="2"/>
    </row>
    <row r="3357" customFormat="false" ht="15" hidden="false" customHeight="false" outlineLevel="0" collapsed="false">
      <c r="A3357" s="2" t="s">
        <v>265</v>
      </c>
      <c r="B3357" s="2" t="s">
        <v>266</v>
      </c>
      <c r="C3357" s="2" t="s">
        <v>53</v>
      </c>
      <c r="D3357" s="3" t="n">
        <v>46242</v>
      </c>
      <c r="E3357" s="2" t="str">
        <f aca="false">TEXT(D3357,"dddd")</f>
        <v>Saturday</v>
      </c>
      <c r="F3357" s="2" t="s">
        <v>457</v>
      </c>
      <c r="G3357" s="2" t="s">
        <v>458</v>
      </c>
      <c r="H3357" s="2" t="s">
        <v>459</v>
      </c>
      <c r="I3357" s="2" t="n">
        <f aca="false">IF(F3357="Present",9,IF(F3357="Half Day",4,0))</f>
        <v>9</v>
      </c>
      <c r="J3357" s="2"/>
      <c r="K3357" s="2"/>
    </row>
    <row r="3358" customFormat="false" ht="15" hidden="false" customHeight="false" outlineLevel="0" collapsed="false">
      <c r="A3358" s="2" t="s">
        <v>265</v>
      </c>
      <c r="B3358" s="2" t="s">
        <v>266</v>
      </c>
      <c r="C3358" s="2" t="s">
        <v>53</v>
      </c>
      <c r="D3358" s="3" t="n">
        <v>46243</v>
      </c>
      <c r="E3358" s="2" t="str">
        <f aca="false">TEXT(D3358,"dddd")</f>
        <v>Sunday</v>
      </c>
      <c r="F3358" s="2" t="s">
        <v>460</v>
      </c>
      <c r="G3358" s="2"/>
      <c r="H3358" s="2"/>
      <c r="I3358" s="2" t="n">
        <f aca="false">IF(F3358="Present",9,IF(F3358="Half Day",4,0))</f>
        <v>0</v>
      </c>
      <c r="J3358" s="2"/>
      <c r="K3358" s="2" t="s">
        <v>460</v>
      </c>
    </row>
    <row r="3359" customFormat="false" ht="15" hidden="false" customHeight="false" outlineLevel="0" collapsed="false">
      <c r="A3359" s="2" t="s">
        <v>265</v>
      </c>
      <c r="B3359" s="2" t="s">
        <v>266</v>
      </c>
      <c r="C3359" s="2" t="s">
        <v>53</v>
      </c>
      <c r="D3359" s="3" t="n">
        <v>46244</v>
      </c>
      <c r="E3359" s="2" t="str">
        <f aca="false">TEXT(D3359,"dddd")</f>
        <v>Monday</v>
      </c>
      <c r="F3359" s="2" t="s">
        <v>457</v>
      </c>
      <c r="G3359" s="2" t="s">
        <v>458</v>
      </c>
      <c r="H3359" s="2" t="s">
        <v>459</v>
      </c>
      <c r="I3359" s="2" t="n">
        <f aca="false">IF(F3359="Present",9,IF(F3359="Half Day",4,0))</f>
        <v>9</v>
      </c>
      <c r="J3359" s="2"/>
      <c r="K3359" s="2"/>
    </row>
    <row r="3360" customFormat="false" ht="15" hidden="false" customHeight="false" outlineLevel="0" collapsed="false">
      <c r="A3360" s="2" t="s">
        <v>265</v>
      </c>
      <c r="B3360" s="2" t="s">
        <v>266</v>
      </c>
      <c r="C3360" s="2" t="s">
        <v>53</v>
      </c>
      <c r="D3360" s="3" t="n">
        <v>46245</v>
      </c>
      <c r="E3360" s="2" t="str">
        <f aca="false">TEXT(D3360,"dddd")</f>
        <v>Tuesday</v>
      </c>
      <c r="F3360" s="2" t="s">
        <v>457</v>
      </c>
      <c r="G3360" s="2" t="s">
        <v>458</v>
      </c>
      <c r="H3360" s="2" t="s">
        <v>459</v>
      </c>
      <c r="I3360" s="2" t="n">
        <f aca="false">IF(F3360="Present",9,IF(F3360="Half Day",4,0))</f>
        <v>9</v>
      </c>
      <c r="J3360" s="2"/>
      <c r="K3360" s="2"/>
    </row>
    <row r="3361" customFormat="false" ht="15" hidden="false" customHeight="false" outlineLevel="0" collapsed="false">
      <c r="A3361" s="2" t="s">
        <v>265</v>
      </c>
      <c r="B3361" s="2" t="s">
        <v>266</v>
      </c>
      <c r="C3361" s="2" t="s">
        <v>53</v>
      </c>
      <c r="D3361" s="3" t="n">
        <v>46246</v>
      </c>
      <c r="E3361" s="2" t="str">
        <f aca="false">TEXT(D3361,"dddd")</f>
        <v>Wednesday</v>
      </c>
      <c r="F3361" s="2" t="s">
        <v>457</v>
      </c>
      <c r="G3361" s="2" t="s">
        <v>458</v>
      </c>
      <c r="H3361" s="2" t="s">
        <v>459</v>
      </c>
      <c r="I3361" s="2" t="n">
        <f aca="false">IF(F3361="Present",9,IF(F3361="Half Day",4,0))</f>
        <v>9</v>
      </c>
      <c r="J3361" s="2"/>
      <c r="K3361" s="2"/>
    </row>
    <row r="3362" customFormat="false" ht="15" hidden="false" customHeight="false" outlineLevel="0" collapsed="false">
      <c r="A3362" s="2" t="s">
        <v>265</v>
      </c>
      <c r="B3362" s="2" t="s">
        <v>266</v>
      </c>
      <c r="C3362" s="2" t="s">
        <v>53</v>
      </c>
      <c r="D3362" s="3" t="n">
        <v>46247</v>
      </c>
      <c r="E3362" s="2" t="str">
        <f aca="false">TEXT(D3362,"dddd")</f>
        <v>Thursday</v>
      </c>
      <c r="F3362" s="2" t="s">
        <v>457</v>
      </c>
      <c r="G3362" s="2" t="s">
        <v>458</v>
      </c>
      <c r="H3362" s="2" t="s">
        <v>459</v>
      </c>
      <c r="I3362" s="2" t="n">
        <f aca="false">IF(F3362="Present",9,IF(F3362="Half Day",4,0))</f>
        <v>9</v>
      </c>
      <c r="J3362" s="2"/>
      <c r="K3362" s="2"/>
    </row>
    <row r="3363" customFormat="false" ht="15" hidden="false" customHeight="false" outlineLevel="0" collapsed="false">
      <c r="A3363" s="2" t="s">
        <v>265</v>
      </c>
      <c r="B3363" s="2" t="s">
        <v>266</v>
      </c>
      <c r="C3363" s="2" t="s">
        <v>53</v>
      </c>
      <c r="D3363" s="3" t="n">
        <v>46248</v>
      </c>
      <c r="E3363" s="2" t="str">
        <f aca="false">TEXT(D3363,"dddd")</f>
        <v>Friday</v>
      </c>
      <c r="F3363" s="2" t="s">
        <v>466</v>
      </c>
      <c r="G3363" s="2" t="s">
        <v>458</v>
      </c>
      <c r="H3363" s="2" t="s">
        <v>467</v>
      </c>
      <c r="I3363" s="2" t="n">
        <f aca="false">IF(F3363="Present",9,IF(F3363="Half Day",4,0))</f>
        <v>4</v>
      </c>
      <c r="J3363" s="2"/>
      <c r="K3363" s="2" t="s">
        <v>466</v>
      </c>
    </row>
    <row r="3364" customFormat="false" ht="15" hidden="false" customHeight="false" outlineLevel="0" collapsed="false">
      <c r="A3364" s="2" t="s">
        <v>265</v>
      </c>
      <c r="B3364" s="2" t="s">
        <v>266</v>
      </c>
      <c r="C3364" s="2" t="s">
        <v>53</v>
      </c>
      <c r="D3364" s="3" t="n">
        <v>46249</v>
      </c>
      <c r="E3364" s="2" t="str">
        <f aca="false">TEXT(D3364,"dddd")</f>
        <v>Saturday</v>
      </c>
      <c r="F3364" s="2" t="s">
        <v>457</v>
      </c>
      <c r="G3364" s="2" t="s">
        <v>458</v>
      </c>
      <c r="H3364" s="2" t="s">
        <v>459</v>
      </c>
      <c r="I3364" s="2" t="n">
        <f aca="false">IF(F3364="Present",9,IF(F3364="Half Day",4,0))</f>
        <v>9</v>
      </c>
      <c r="J3364" s="2"/>
      <c r="K3364" s="2"/>
    </row>
    <row r="3365" customFormat="false" ht="15" hidden="false" customHeight="false" outlineLevel="0" collapsed="false">
      <c r="A3365" s="2" t="s">
        <v>265</v>
      </c>
      <c r="B3365" s="2" t="s">
        <v>266</v>
      </c>
      <c r="C3365" s="2" t="s">
        <v>53</v>
      </c>
      <c r="D3365" s="3" t="n">
        <v>46250</v>
      </c>
      <c r="E3365" s="2" t="str">
        <f aca="false">TEXT(D3365,"dddd")</f>
        <v>Sunday</v>
      </c>
      <c r="F3365" s="2" t="s">
        <v>460</v>
      </c>
      <c r="G3365" s="2"/>
      <c r="H3365" s="2"/>
      <c r="I3365" s="2" t="n">
        <f aca="false">IF(F3365="Present",9,IF(F3365="Half Day",4,0))</f>
        <v>0</v>
      </c>
      <c r="J3365" s="2"/>
      <c r="K3365" s="2" t="s">
        <v>460</v>
      </c>
    </row>
    <row r="3366" customFormat="false" ht="15" hidden="false" customHeight="false" outlineLevel="0" collapsed="false">
      <c r="A3366" s="2" t="s">
        <v>265</v>
      </c>
      <c r="B3366" s="2" t="s">
        <v>266</v>
      </c>
      <c r="C3366" s="2" t="s">
        <v>53</v>
      </c>
      <c r="D3366" s="3" t="n">
        <v>46251</v>
      </c>
      <c r="E3366" s="2" t="str">
        <f aca="false">TEXT(D3366,"dddd")</f>
        <v>Monday</v>
      </c>
      <c r="F3366" s="2" t="s">
        <v>461</v>
      </c>
      <c r="G3366" s="2"/>
      <c r="H3366" s="2"/>
      <c r="I3366" s="2" t="n">
        <f aca="false">IF(F3366="Present",9,IF(F3366="Half Day",4,0))</f>
        <v>0</v>
      </c>
      <c r="J3366" s="2"/>
      <c r="K3366" s="2" t="s">
        <v>462</v>
      </c>
    </row>
    <row r="3367" customFormat="false" ht="15" hidden="false" customHeight="false" outlineLevel="0" collapsed="false">
      <c r="A3367" s="2" t="s">
        <v>265</v>
      </c>
      <c r="B3367" s="2" t="s">
        <v>266</v>
      </c>
      <c r="C3367" s="2" t="s">
        <v>53</v>
      </c>
      <c r="D3367" s="3" t="n">
        <v>46252</v>
      </c>
      <c r="E3367" s="2" t="str">
        <f aca="false">TEXT(D3367,"dddd")</f>
        <v>Tuesday</v>
      </c>
      <c r="F3367" s="2" t="s">
        <v>457</v>
      </c>
      <c r="G3367" s="2" t="s">
        <v>458</v>
      </c>
      <c r="H3367" s="2" t="s">
        <v>459</v>
      </c>
      <c r="I3367" s="2" t="n">
        <f aca="false">IF(F3367="Present",9,IF(F3367="Half Day",4,0))</f>
        <v>9</v>
      </c>
      <c r="J3367" s="2"/>
      <c r="K3367" s="2"/>
    </row>
    <row r="3368" customFormat="false" ht="15" hidden="false" customHeight="false" outlineLevel="0" collapsed="false">
      <c r="A3368" s="2" t="s">
        <v>265</v>
      </c>
      <c r="B3368" s="2" t="s">
        <v>266</v>
      </c>
      <c r="C3368" s="2" t="s">
        <v>53</v>
      </c>
      <c r="D3368" s="3" t="n">
        <v>46253</v>
      </c>
      <c r="E3368" s="2" t="str">
        <f aca="false">TEXT(D3368,"dddd")</f>
        <v>Wednesday</v>
      </c>
      <c r="F3368" s="2" t="s">
        <v>457</v>
      </c>
      <c r="G3368" s="2" t="s">
        <v>458</v>
      </c>
      <c r="H3368" s="2" t="s">
        <v>459</v>
      </c>
      <c r="I3368" s="2" t="n">
        <f aca="false">IF(F3368="Present",9,IF(F3368="Half Day",4,0))</f>
        <v>9</v>
      </c>
      <c r="J3368" s="2"/>
      <c r="K3368" s="2"/>
    </row>
    <row r="3369" customFormat="false" ht="15" hidden="false" customHeight="false" outlineLevel="0" collapsed="false">
      <c r="A3369" s="2" t="s">
        <v>265</v>
      </c>
      <c r="B3369" s="2" t="s">
        <v>266</v>
      </c>
      <c r="C3369" s="2" t="s">
        <v>53</v>
      </c>
      <c r="D3369" s="3" t="n">
        <v>46254</v>
      </c>
      <c r="E3369" s="2" t="str">
        <f aca="false">TEXT(D3369,"dddd")</f>
        <v>Thursday</v>
      </c>
      <c r="F3369" s="2" t="s">
        <v>461</v>
      </c>
      <c r="G3369" s="2"/>
      <c r="H3369" s="2"/>
      <c r="I3369" s="2" t="n">
        <f aca="false">IF(F3369="Present",9,IF(F3369="Half Day",4,0))</f>
        <v>0</v>
      </c>
      <c r="J3369" s="2"/>
      <c r="K3369" s="2" t="s">
        <v>462</v>
      </c>
    </row>
    <row r="3370" customFormat="false" ht="15" hidden="false" customHeight="false" outlineLevel="0" collapsed="false">
      <c r="A3370" s="2" t="s">
        <v>265</v>
      </c>
      <c r="B3370" s="2" t="s">
        <v>266</v>
      </c>
      <c r="C3370" s="2" t="s">
        <v>53</v>
      </c>
      <c r="D3370" s="3" t="n">
        <v>46255</v>
      </c>
      <c r="E3370" s="2" t="str">
        <f aca="false">TEXT(D3370,"dddd")</f>
        <v>Friday</v>
      </c>
      <c r="F3370" s="2" t="s">
        <v>457</v>
      </c>
      <c r="G3370" s="2" t="s">
        <v>458</v>
      </c>
      <c r="H3370" s="2" t="s">
        <v>459</v>
      </c>
      <c r="I3370" s="2" t="n">
        <f aca="false">IF(F3370="Present",9,IF(F3370="Half Day",4,0))</f>
        <v>9</v>
      </c>
      <c r="J3370" s="2"/>
      <c r="K3370" s="2"/>
    </row>
    <row r="3371" customFormat="false" ht="15" hidden="false" customHeight="false" outlineLevel="0" collapsed="false">
      <c r="A3371" s="2" t="s">
        <v>265</v>
      </c>
      <c r="B3371" s="2" t="s">
        <v>266</v>
      </c>
      <c r="C3371" s="2" t="s">
        <v>53</v>
      </c>
      <c r="D3371" s="3" t="n">
        <v>46256</v>
      </c>
      <c r="E3371" s="2" t="str">
        <f aca="false">TEXT(D3371,"dddd")</f>
        <v>Saturday</v>
      </c>
      <c r="F3371" s="2" t="s">
        <v>457</v>
      </c>
      <c r="G3371" s="2" t="s">
        <v>458</v>
      </c>
      <c r="H3371" s="2" t="s">
        <v>459</v>
      </c>
      <c r="I3371" s="2" t="n">
        <f aca="false">IF(F3371="Present",9,IF(F3371="Half Day",4,0))</f>
        <v>9</v>
      </c>
      <c r="J3371" s="2"/>
      <c r="K3371" s="2"/>
    </row>
    <row r="3372" customFormat="false" ht="15" hidden="false" customHeight="false" outlineLevel="0" collapsed="false">
      <c r="A3372" s="2" t="s">
        <v>265</v>
      </c>
      <c r="B3372" s="2" t="s">
        <v>266</v>
      </c>
      <c r="C3372" s="2" t="s">
        <v>53</v>
      </c>
      <c r="D3372" s="3" t="n">
        <v>46257</v>
      </c>
      <c r="E3372" s="2" t="str">
        <f aca="false">TEXT(D3372,"dddd")</f>
        <v>Sunday</v>
      </c>
      <c r="F3372" s="2" t="s">
        <v>460</v>
      </c>
      <c r="G3372" s="2"/>
      <c r="H3372" s="2"/>
      <c r="I3372" s="2" t="n">
        <f aca="false">IF(F3372="Present",9,IF(F3372="Half Day",4,0))</f>
        <v>0</v>
      </c>
      <c r="J3372" s="2"/>
      <c r="K3372" s="2" t="s">
        <v>460</v>
      </c>
    </row>
    <row r="3373" customFormat="false" ht="15" hidden="false" customHeight="false" outlineLevel="0" collapsed="false">
      <c r="A3373" s="2" t="s">
        <v>265</v>
      </c>
      <c r="B3373" s="2" t="s">
        <v>266</v>
      </c>
      <c r="C3373" s="2" t="s">
        <v>53</v>
      </c>
      <c r="D3373" s="3" t="n">
        <v>46258</v>
      </c>
      <c r="E3373" s="2" t="str">
        <f aca="false">TEXT(D3373,"dddd")</f>
        <v>Monday</v>
      </c>
      <c r="F3373" s="2" t="s">
        <v>461</v>
      </c>
      <c r="G3373" s="2"/>
      <c r="H3373" s="2"/>
      <c r="I3373" s="2" t="n">
        <f aca="false">IF(F3373="Present",9,IF(F3373="Half Day",4,0))</f>
        <v>0</v>
      </c>
      <c r="J3373" s="2"/>
      <c r="K3373" s="2" t="s">
        <v>462</v>
      </c>
    </row>
    <row r="3374" customFormat="false" ht="15" hidden="false" customHeight="false" outlineLevel="0" collapsed="false">
      <c r="A3374" s="2" t="s">
        <v>265</v>
      </c>
      <c r="B3374" s="2" t="s">
        <v>266</v>
      </c>
      <c r="C3374" s="2" t="s">
        <v>53</v>
      </c>
      <c r="D3374" s="3" t="n">
        <v>46259</v>
      </c>
      <c r="E3374" s="2" t="str">
        <f aca="false">TEXT(D3374,"dddd")</f>
        <v>Tuesday</v>
      </c>
      <c r="F3374" s="2" t="s">
        <v>457</v>
      </c>
      <c r="G3374" s="2" t="s">
        <v>458</v>
      </c>
      <c r="H3374" s="2" t="s">
        <v>459</v>
      </c>
      <c r="I3374" s="2" t="n">
        <f aca="false">IF(F3374="Present",9,IF(F3374="Half Day",4,0))</f>
        <v>9</v>
      </c>
      <c r="J3374" s="2"/>
      <c r="K3374" s="2"/>
    </row>
    <row r="3375" customFormat="false" ht="15" hidden="false" customHeight="false" outlineLevel="0" collapsed="false">
      <c r="A3375" s="2" t="s">
        <v>265</v>
      </c>
      <c r="B3375" s="2" t="s">
        <v>266</v>
      </c>
      <c r="C3375" s="2" t="s">
        <v>53</v>
      </c>
      <c r="D3375" s="3" t="n">
        <v>46260</v>
      </c>
      <c r="E3375" s="2" t="str">
        <f aca="false">TEXT(D3375,"dddd")</f>
        <v>Wednesday</v>
      </c>
      <c r="F3375" s="2" t="s">
        <v>461</v>
      </c>
      <c r="G3375" s="2"/>
      <c r="H3375" s="2"/>
      <c r="I3375" s="2" t="n">
        <f aca="false">IF(F3375="Present",9,IF(F3375="Half Day",4,0))</f>
        <v>0</v>
      </c>
      <c r="J3375" s="2"/>
      <c r="K3375" s="2" t="s">
        <v>462</v>
      </c>
    </row>
    <row r="3376" customFormat="false" ht="15" hidden="false" customHeight="false" outlineLevel="0" collapsed="false">
      <c r="A3376" s="2" t="s">
        <v>265</v>
      </c>
      <c r="B3376" s="2" t="s">
        <v>266</v>
      </c>
      <c r="C3376" s="2" t="s">
        <v>53</v>
      </c>
      <c r="D3376" s="3" t="n">
        <v>46261</v>
      </c>
      <c r="E3376" s="2" t="str">
        <f aca="false">TEXT(D3376,"dddd")</f>
        <v>Thursday</v>
      </c>
      <c r="F3376" s="2" t="s">
        <v>466</v>
      </c>
      <c r="G3376" s="2" t="s">
        <v>458</v>
      </c>
      <c r="H3376" s="2" t="s">
        <v>467</v>
      </c>
      <c r="I3376" s="2" t="n">
        <f aca="false">IF(F3376="Present",9,IF(F3376="Half Day",4,0))</f>
        <v>4</v>
      </c>
      <c r="J3376" s="2"/>
      <c r="K3376" s="2" t="s">
        <v>466</v>
      </c>
    </row>
    <row r="3377" customFormat="false" ht="15" hidden="false" customHeight="false" outlineLevel="0" collapsed="false">
      <c r="A3377" s="2" t="s">
        <v>265</v>
      </c>
      <c r="B3377" s="2" t="s">
        <v>266</v>
      </c>
      <c r="C3377" s="2" t="s">
        <v>53</v>
      </c>
      <c r="D3377" s="3" t="n">
        <v>46262</v>
      </c>
      <c r="E3377" s="2" t="str">
        <f aca="false">TEXT(D3377,"dddd")</f>
        <v>Friday</v>
      </c>
      <c r="F3377" s="2" t="s">
        <v>461</v>
      </c>
      <c r="G3377" s="2"/>
      <c r="H3377" s="2"/>
      <c r="I3377" s="2" t="n">
        <f aca="false">IF(F3377="Present",9,IF(F3377="Half Day",4,0))</f>
        <v>0</v>
      </c>
      <c r="J3377" s="2"/>
      <c r="K3377" s="2" t="s">
        <v>462</v>
      </c>
    </row>
    <row r="3378" customFormat="false" ht="15" hidden="false" customHeight="false" outlineLevel="0" collapsed="false">
      <c r="A3378" s="2" t="s">
        <v>265</v>
      </c>
      <c r="B3378" s="2" t="s">
        <v>266</v>
      </c>
      <c r="C3378" s="2" t="s">
        <v>53</v>
      </c>
      <c r="D3378" s="3" t="n">
        <v>46263</v>
      </c>
      <c r="E3378" s="2" t="str">
        <f aca="false">TEXT(D3378,"dddd")</f>
        <v>Saturday</v>
      </c>
      <c r="F3378" s="2" t="s">
        <v>457</v>
      </c>
      <c r="G3378" s="2" t="s">
        <v>458</v>
      </c>
      <c r="H3378" s="2" t="s">
        <v>459</v>
      </c>
      <c r="I3378" s="2" t="n">
        <f aca="false">IF(F3378="Present",9,IF(F3378="Half Day",4,0))</f>
        <v>9</v>
      </c>
      <c r="J3378" s="2"/>
      <c r="K3378" s="2"/>
    </row>
    <row r="3379" customFormat="false" ht="15" hidden="false" customHeight="false" outlineLevel="0" collapsed="false">
      <c r="A3379" s="2" t="s">
        <v>265</v>
      </c>
      <c r="B3379" s="2" t="s">
        <v>266</v>
      </c>
      <c r="C3379" s="2" t="s">
        <v>53</v>
      </c>
      <c r="D3379" s="3" t="n">
        <v>46264</v>
      </c>
      <c r="E3379" s="2" t="str">
        <f aca="false">TEXT(D3379,"dddd")</f>
        <v>Sunday</v>
      </c>
      <c r="F3379" s="2" t="s">
        <v>460</v>
      </c>
      <c r="G3379" s="2"/>
      <c r="H3379" s="2"/>
      <c r="I3379" s="2" t="n">
        <f aca="false">IF(F3379="Present",9,IF(F3379="Half Day",4,0))</f>
        <v>0</v>
      </c>
      <c r="J3379" s="2"/>
      <c r="K3379" s="2" t="s">
        <v>460</v>
      </c>
    </row>
    <row r="3380" customFormat="false" ht="15" hidden="false" customHeight="false" outlineLevel="0" collapsed="false">
      <c r="A3380" s="2" t="s">
        <v>265</v>
      </c>
      <c r="B3380" s="2" t="s">
        <v>266</v>
      </c>
      <c r="C3380" s="2" t="s">
        <v>53</v>
      </c>
      <c r="D3380" s="3" t="n">
        <v>46265</v>
      </c>
      <c r="E3380" s="2" t="str">
        <f aca="false">TEXT(D3380,"dddd")</f>
        <v>Monday</v>
      </c>
      <c r="F3380" s="2" t="s">
        <v>457</v>
      </c>
      <c r="G3380" s="2" t="s">
        <v>458</v>
      </c>
      <c r="H3380" s="2" t="s">
        <v>459</v>
      </c>
      <c r="I3380" s="2" t="n">
        <f aca="false">IF(F3380="Present",9,IF(F3380="Half Day",4,0))</f>
        <v>9</v>
      </c>
      <c r="J3380" s="2"/>
      <c r="K3380" s="2"/>
    </row>
    <row r="3381" customFormat="false" ht="15" hidden="false" customHeight="false" outlineLevel="0" collapsed="false">
      <c r="A3381" s="2" t="s">
        <v>267</v>
      </c>
      <c r="B3381" s="2" t="s">
        <v>268</v>
      </c>
      <c r="C3381" s="2" t="s">
        <v>57</v>
      </c>
      <c r="D3381" s="3" t="n">
        <v>46235</v>
      </c>
      <c r="E3381" s="2" t="str">
        <f aca="false">TEXT(D3381,"dddd")</f>
        <v>Saturday</v>
      </c>
      <c r="F3381" s="2" t="s">
        <v>457</v>
      </c>
      <c r="G3381" s="2" t="s">
        <v>458</v>
      </c>
      <c r="H3381" s="2" t="s">
        <v>459</v>
      </c>
      <c r="I3381" s="2" t="n">
        <f aca="false">IF(F3381="Present",9,IF(F3381="Half Day",4,0))</f>
        <v>9</v>
      </c>
      <c r="J3381" s="2"/>
      <c r="K3381" s="2"/>
    </row>
    <row r="3382" customFormat="false" ht="15" hidden="false" customHeight="false" outlineLevel="0" collapsed="false">
      <c r="A3382" s="2" t="s">
        <v>267</v>
      </c>
      <c r="B3382" s="2" t="s">
        <v>268</v>
      </c>
      <c r="C3382" s="2" t="s">
        <v>57</v>
      </c>
      <c r="D3382" s="3" t="n">
        <v>46236</v>
      </c>
      <c r="E3382" s="2" t="str">
        <f aca="false">TEXT(D3382,"dddd")</f>
        <v>Sunday</v>
      </c>
      <c r="F3382" s="2" t="s">
        <v>460</v>
      </c>
      <c r="G3382" s="2"/>
      <c r="H3382" s="2"/>
      <c r="I3382" s="2" t="n">
        <f aca="false">IF(F3382="Present",9,IF(F3382="Half Day",4,0))</f>
        <v>0</v>
      </c>
      <c r="J3382" s="2"/>
      <c r="K3382" s="2" t="s">
        <v>460</v>
      </c>
    </row>
    <row r="3383" customFormat="false" ht="15" hidden="false" customHeight="false" outlineLevel="0" collapsed="false">
      <c r="A3383" s="2" t="s">
        <v>267</v>
      </c>
      <c r="B3383" s="2" t="s">
        <v>268</v>
      </c>
      <c r="C3383" s="2" t="s">
        <v>57</v>
      </c>
      <c r="D3383" s="3" t="n">
        <v>46237</v>
      </c>
      <c r="E3383" s="2" t="str">
        <f aca="false">TEXT(D3383,"dddd")</f>
        <v>Monday</v>
      </c>
      <c r="F3383" s="2" t="s">
        <v>457</v>
      </c>
      <c r="G3383" s="2" t="s">
        <v>458</v>
      </c>
      <c r="H3383" s="2" t="s">
        <v>459</v>
      </c>
      <c r="I3383" s="2" t="n">
        <f aca="false">IF(F3383="Present",9,IF(F3383="Half Day",4,0))</f>
        <v>9</v>
      </c>
      <c r="J3383" s="2"/>
      <c r="K3383" s="2"/>
    </row>
    <row r="3384" customFormat="false" ht="15" hidden="false" customHeight="false" outlineLevel="0" collapsed="false">
      <c r="A3384" s="2" t="s">
        <v>267</v>
      </c>
      <c r="B3384" s="2" t="s">
        <v>268</v>
      </c>
      <c r="C3384" s="2" t="s">
        <v>57</v>
      </c>
      <c r="D3384" s="3" t="n">
        <v>46238</v>
      </c>
      <c r="E3384" s="2" t="str">
        <f aca="false">TEXT(D3384,"dddd")</f>
        <v>Tuesday</v>
      </c>
      <c r="F3384" s="2" t="s">
        <v>457</v>
      </c>
      <c r="G3384" s="2" t="s">
        <v>458</v>
      </c>
      <c r="H3384" s="2" t="s">
        <v>459</v>
      </c>
      <c r="I3384" s="2" t="n">
        <f aca="false">IF(F3384="Present",9,IF(F3384="Half Day",4,0))</f>
        <v>9</v>
      </c>
      <c r="J3384" s="2"/>
      <c r="K3384" s="2"/>
    </row>
    <row r="3385" customFormat="false" ht="15" hidden="false" customHeight="false" outlineLevel="0" collapsed="false">
      <c r="A3385" s="2" t="s">
        <v>267</v>
      </c>
      <c r="B3385" s="2" t="s">
        <v>268</v>
      </c>
      <c r="C3385" s="2" t="s">
        <v>57</v>
      </c>
      <c r="D3385" s="3" t="n">
        <v>46239</v>
      </c>
      <c r="E3385" s="2" t="str">
        <f aca="false">TEXT(D3385,"dddd")</f>
        <v>Wednesday</v>
      </c>
      <c r="F3385" s="2" t="s">
        <v>457</v>
      </c>
      <c r="G3385" s="2" t="s">
        <v>458</v>
      </c>
      <c r="H3385" s="2" t="s">
        <v>459</v>
      </c>
      <c r="I3385" s="2" t="n">
        <f aca="false">IF(F3385="Present",9,IF(F3385="Half Day",4,0))</f>
        <v>9</v>
      </c>
      <c r="J3385" s="2"/>
      <c r="K3385" s="2"/>
    </row>
    <row r="3386" customFormat="false" ht="15" hidden="false" customHeight="false" outlineLevel="0" collapsed="false">
      <c r="A3386" s="2" t="s">
        <v>267</v>
      </c>
      <c r="B3386" s="2" t="s">
        <v>268</v>
      </c>
      <c r="C3386" s="2" t="s">
        <v>57</v>
      </c>
      <c r="D3386" s="3" t="n">
        <v>46240</v>
      </c>
      <c r="E3386" s="2" t="str">
        <f aca="false">TEXT(D3386,"dddd")</f>
        <v>Thursday</v>
      </c>
      <c r="F3386" s="2" t="s">
        <v>457</v>
      </c>
      <c r="G3386" s="2" t="s">
        <v>458</v>
      </c>
      <c r="H3386" s="2" t="s">
        <v>459</v>
      </c>
      <c r="I3386" s="2" t="n">
        <f aca="false">IF(F3386="Present",9,IF(F3386="Half Day",4,0))</f>
        <v>9</v>
      </c>
      <c r="J3386" s="2"/>
      <c r="K3386" s="2"/>
    </row>
    <row r="3387" customFormat="false" ht="15" hidden="false" customHeight="false" outlineLevel="0" collapsed="false">
      <c r="A3387" s="2" t="s">
        <v>267</v>
      </c>
      <c r="B3387" s="2" t="s">
        <v>268</v>
      </c>
      <c r="C3387" s="2" t="s">
        <v>57</v>
      </c>
      <c r="D3387" s="3" t="n">
        <v>46241</v>
      </c>
      <c r="E3387" s="2" t="str">
        <f aca="false">TEXT(D3387,"dddd")</f>
        <v>Friday</v>
      </c>
      <c r="F3387" s="2" t="s">
        <v>461</v>
      </c>
      <c r="G3387" s="2"/>
      <c r="H3387" s="2"/>
      <c r="I3387" s="2" t="n">
        <f aca="false">IF(F3387="Present",9,IF(F3387="Half Day",4,0))</f>
        <v>0</v>
      </c>
      <c r="J3387" s="2"/>
      <c r="K3387" s="2" t="s">
        <v>462</v>
      </c>
    </row>
    <row r="3388" customFormat="false" ht="15" hidden="false" customHeight="false" outlineLevel="0" collapsed="false">
      <c r="A3388" s="2" t="s">
        <v>267</v>
      </c>
      <c r="B3388" s="2" t="s">
        <v>268</v>
      </c>
      <c r="C3388" s="2" t="s">
        <v>57</v>
      </c>
      <c r="D3388" s="3" t="n">
        <v>46242</v>
      </c>
      <c r="E3388" s="2" t="str">
        <f aca="false">TEXT(D3388,"dddd")</f>
        <v>Saturday</v>
      </c>
      <c r="F3388" s="2" t="s">
        <v>461</v>
      </c>
      <c r="G3388" s="2"/>
      <c r="H3388" s="2"/>
      <c r="I3388" s="2" t="n">
        <f aca="false">IF(F3388="Present",9,IF(F3388="Half Day",4,0))</f>
        <v>0</v>
      </c>
      <c r="J3388" s="2"/>
      <c r="K3388" s="2" t="s">
        <v>462</v>
      </c>
    </row>
    <row r="3389" customFormat="false" ht="15" hidden="false" customHeight="false" outlineLevel="0" collapsed="false">
      <c r="A3389" s="2" t="s">
        <v>267</v>
      </c>
      <c r="B3389" s="2" t="s">
        <v>268</v>
      </c>
      <c r="C3389" s="2" t="s">
        <v>57</v>
      </c>
      <c r="D3389" s="3" t="n">
        <v>46243</v>
      </c>
      <c r="E3389" s="2" t="str">
        <f aca="false">TEXT(D3389,"dddd")</f>
        <v>Sunday</v>
      </c>
      <c r="F3389" s="2" t="s">
        <v>460</v>
      </c>
      <c r="G3389" s="2"/>
      <c r="H3389" s="2"/>
      <c r="I3389" s="2" t="n">
        <f aca="false">IF(F3389="Present",9,IF(F3389="Half Day",4,0))</f>
        <v>0</v>
      </c>
      <c r="J3389" s="2"/>
      <c r="K3389" s="2" t="s">
        <v>460</v>
      </c>
    </row>
    <row r="3390" customFormat="false" ht="15" hidden="false" customHeight="false" outlineLevel="0" collapsed="false">
      <c r="A3390" s="2" t="s">
        <v>267</v>
      </c>
      <c r="B3390" s="2" t="s">
        <v>268</v>
      </c>
      <c r="C3390" s="2" t="s">
        <v>57</v>
      </c>
      <c r="D3390" s="3" t="n">
        <v>46244</v>
      </c>
      <c r="E3390" s="2" t="str">
        <f aca="false">TEXT(D3390,"dddd")</f>
        <v>Monday</v>
      </c>
      <c r="F3390" s="2" t="s">
        <v>457</v>
      </c>
      <c r="G3390" s="2" t="s">
        <v>458</v>
      </c>
      <c r="H3390" s="2" t="s">
        <v>459</v>
      </c>
      <c r="I3390" s="2" t="n">
        <f aca="false">IF(F3390="Present",9,IF(F3390="Half Day",4,0))</f>
        <v>9</v>
      </c>
      <c r="J3390" s="2"/>
      <c r="K3390" s="2"/>
    </row>
    <row r="3391" customFormat="false" ht="15" hidden="false" customHeight="false" outlineLevel="0" collapsed="false">
      <c r="A3391" s="2" t="s">
        <v>267</v>
      </c>
      <c r="B3391" s="2" t="s">
        <v>268</v>
      </c>
      <c r="C3391" s="2" t="s">
        <v>57</v>
      </c>
      <c r="D3391" s="3" t="n">
        <v>46245</v>
      </c>
      <c r="E3391" s="2" t="str">
        <f aca="false">TEXT(D3391,"dddd")</f>
        <v>Tuesday</v>
      </c>
      <c r="F3391" s="2" t="s">
        <v>457</v>
      </c>
      <c r="G3391" s="2" t="s">
        <v>458</v>
      </c>
      <c r="H3391" s="2" t="s">
        <v>459</v>
      </c>
      <c r="I3391" s="2" t="n">
        <f aca="false">IF(F3391="Present",9,IF(F3391="Half Day",4,0))</f>
        <v>9</v>
      </c>
      <c r="J3391" s="2"/>
      <c r="K3391" s="2"/>
    </row>
    <row r="3392" customFormat="false" ht="15" hidden="false" customHeight="false" outlineLevel="0" collapsed="false">
      <c r="A3392" s="2" t="s">
        <v>267</v>
      </c>
      <c r="B3392" s="2" t="s">
        <v>268</v>
      </c>
      <c r="C3392" s="2" t="s">
        <v>57</v>
      </c>
      <c r="D3392" s="3" t="n">
        <v>46246</v>
      </c>
      <c r="E3392" s="2" t="str">
        <f aca="false">TEXT(D3392,"dddd")</f>
        <v>Wednesday</v>
      </c>
      <c r="F3392" s="2" t="s">
        <v>457</v>
      </c>
      <c r="G3392" s="2" t="s">
        <v>458</v>
      </c>
      <c r="H3392" s="2" t="s">
        <v>459</v>
      </c>
      <c r="I3392" s="2" t="n">
        <f aca="false">IF(F3392="Present",9,IF(F3392="Half Day",4,0))</f>
        <v>9</v>
      </c>
      <c r="J3392" s="2"/>
      <c r="K3392" s="2"/>
    </row>
    <row r="3393" customFormat="false" ht="15" hidden="false" customHeight="false" outlineLevel="0" collapsed="false">
      <c r="A3393" s="2" t="s">
        <v>267</v>
      </c>
      <c r="B3393" s="2" t="s">
        <v>268</v>
      </c>
      <c r="C3393" s="2" t="s">
        <v>57</v>
      </c>
      <c r="D3393" s="3" t="n">
        <v>46247</v>
      </c>
      <c r="E3393" s="2" t="str">
        <f aca="false">TEXT(D3393,"dddd")</f>
        <v>Thursday</v>
      </c>
      <c r="F3393" s="2" t="s">
        <v>461</v>
      </c>
      <c r="G3393" s="2"/>
      <c r="H3393" s="2"/>
      <c r="I3393" s="2" t="n">
        <f aca="false">IF(F3393="Present",9,IF(F3393="Half Day",4,0))</f>
        <v>0</v>
      </c>
      <c r="J3393" s="2"/>
      <c r="K3393" s="2" t="s">
        <v>462</v>
      </c>
    </row>
    <row r="3394" customFormat="false" ht="15" hidden="false" customHeight="false" outlineLevel="0" collapsed="false">
      <c r="A3394" s="2" t="s">
        <v>267</v>
      </c>
      <c r="B3394" s="2" t="s">
        <v>268</v>
      </c>
      <c r="C3394" s="2" t="s">
        <v>57</v>
      </c>
      <c r="D3394" s="3" t="n">
        <v>46248</v>
      </c>
      <c r="E3394" s="2" t="str">
        <f aca="false">TEXT(D3394,"dddd")</f>
        <v>Friday</v>
      </c>
      <c r="F3394" s="2" t="s">
        <v>463</v>
      </c>
      <c r="G3394" s="2"/>
      <c r="H3394" s="2"/>
      <c r="I3394" s="2" t="n">
        <f aca="false">IF(F3394="Present",9,IF(F3394="Half Day",4,0))</f>
        <v>0</v>
      </c>
      <c r="J3394" s="2" t="s">
        <v>470</v>
      </c>
      <c r="K3394" s="2" t="s">
        <v>471</v>
      </c>
    </row>
    <row r="3395" customFormat="false" ht="15" hidden="false" customHeight="false" outlineLevel="0" collapsed="false">
      <c r="A3395" s="2" t="s">
        <v>267</v>
      </c>
      <c r="B3395" s="2" t="s">
        <v>268</v>
      </c>
      <c r="C3395" s="2" t="s">
        <v>57</v>
      </c>
      <c r="D3395" s="3" t="n">
        <v>46249</v>
      </c>
      <c r="E3395" s="2" t="str">
        <f aca="false">TEXT(D3395,"dddd")</f>
        <v>Saturday</v>
      </c>
      <c r="F3395" s="2" t="s">
        <v>461</v>
      </c>
      <c r="G3395" s="2"/>
      <c r="H3395" s="2"/>
      <c r="I3395" s="2" t="n">
        <f aca="false">IF(F3395="Present",9,IF(F3395="Half Day",4,0))</f>
        <v>0</v>
      </c>
      <c r="J3395" s="2"/>
      <c r="K3395" s="2" t="s">
        <v>462</v>
      </c>
    </row>
    <row r="3396" customFormat="false" ht="15" hidden="false" customHeight="false" outlineLevel="0" collapsed="false">
      <c r="A3396" s="2" t="s">
        <v>267</v>
      </c>
      <c r="B3396" s="2" t="s">
        <v>268</v>
      </c>
      <c r="C3396" s="2" t="s">
        <v>57</v>
      </c>
      <c r="D3396" s="3" t="n">
        <v>46250</v>
      </c>
      <c r="E3396" s="2" t="str">
        <f aca="false">TEXT(D3396,"dddd")</f>
        <v>Sunday</v>
      </c>
      <c r="F3396" s="2" t="s">
        <v>460</v>
      </c>
      <c r="G3396" s="2"/>
      <c r="H3396" s="2"/>
      <c r="I3396" s="2" t="n">
        <f aca="false">IF(F3396="Present",9,IF(F3396="Half Day",4,0))</f>
        <v>0</v>
      </c>
      <c r="J3396" s="2"/>
      <c r="K3396" s="2" t="s">
        <v>460</v>
      </c>
    </row>
    <row r="3397" customFormat="false" ht="15" hidden="false" customHeight="false" outlineLevel="0" collapsed="false">
      <c r="A3397" s="2" t="s">
        <v>267</v>
      </c>
      <c r="B3397" s="2" t="s">
        <v>268</v>
      </c>
      <c r="C3397" s="2" t="s">
        <v>57</v>
      </c>
      <c r="D3397" s="3" t="n">
        <v>46251</v>
      </c>
      <c r="E3397" s="2" t="str">
        <f aca="false">TEXT(D3397,"dddd")</f>
        <v>Monday</v>
      </c>
      <c r="F3397" s="2" t="s">
        <v>457</v>
      </c>
      <c r="G3397" s="2" t="s">
        <v>458</v>
      </c>
      <c r="H3397" s="2" t="s">
        <v>459</v>
      </c>
      <c r="I3397" s="2" t="n">
        <f aca="false">IF(F3397="Present",9,IF(F3397="Half Day",4,0))</f>
        <v>9</v>
      </c>
      <c r="J3397" s="2"/>
      <c r="K3397" s="2"/>
    </row>
    <row r="3398" customFormat="false" ht="15" hidden="false" customHeight="false" outlineLevel="0" collapsed="false">
      <c r="A3398" s="2" t="s">
        <v>267</v>
      </c>
      <c r="B3398" s="2" t="s">
        <v>268</v>
      </c>
      <c r="C3398" s="2" t="s">
        <v>57</v>
      </c>
      <c r="D3398" s="3" t="n">
        <v>46252</v>
      </c>
      <c r="E3398" s="2" t="str">
        <f aca="false">TEXT(D3398,"dddd")</f>
        <v>Tuesday</v>
      </c>
      <c r="F3398" s="2" t="s">
        <v>463</v>
      </c>
      <c r="G3398" s="2"/>
      <c r="H3398" s="2"/>
      <c r="I3398" s="2" t="n">
        <f aca="false">IF(F3398="Present",9,IF(F3398="Half Day",4,0))</f>
        <v>0</v>
      </c>
      <c r="J3398" s="2" t="s">
        <v>474</v>
      </c>
      <c r="K3398" s="2" t="s">
        <v>475</v>
      </c>
    </row>
    <row r="3399" customFormat="false" ht="15" hidden="false" customHeight="false" outlineLevel="0" collapsed="false">
      <c r="A3399" s="2" t="s">
        <v>267</v>
      </c>
      <c r="B3399" s="2" t="s">
        <v>268</v>
      </c>
      <c r="C3399" s="2" t="s">
        <v>57</v>
      </c>
      <c r="D3399" s="3" t="n">
        <v>46253</v>
      </c>
      <c r="E3399" s="2" t="str">
        <f aca="false">TEXT(D3399,"dddd")</f>
        <v>Wednesday</v>
      </c>
      <c r="F3399" s="2" t="s">
        <v>457</v>
      </c>
      <c r="G3399" s="2" t="s">
        <v>458</v>
      </c>
      <c r="H3399" s="2" t="s">
        <v>459</v>
      </c>
      <c r="I3399" s="2" t="n">
        <f aca="false">IF(F3399="Present",9,IF(F3399="Half Day",4,0))</f>
        <v>9</v>
      </c>
      <c r="J3399" s="2"/>
      <c r="K3399" s="2"/>
    </row>
    <row r="3400" customFormat="false" ht="15" hidden="false" customHeight="false" outlineLevel="0" collapsed="false">
      <c r="A3400" s="2" t="s">
        <v>267</v>
      </c>
      <c r="B3400" s="2" t="s">
        <v>268</v>
      </c>
      <c r="C3400" s="2" t="s">
        <v>57</v>
      </c>
      <c r="D3400" s="3" t="n">
        <v>46254</v>
      </c>
      <c r="E3400" s="2" t="str">
        <f aca="false">TEXT(D3400,"dddd")</f>
        <v>Thursday</v>
      </c>
      <c r="F3400" s="2" t="s">
        <v>457</v>
      </c>
      <c r="G3400" s="2" t="s">
        <v>458</v>
      </c>
      <c r="H3400" s="2" t="s">
        <v>459</v>
      </c>
      <c r="I3400" s="2" t="n">
        <f aca="false">IF(F3400="Present",9,IF(F3400="Half Day",4,0))</f>
        <v>9</v>
      </c>
      <c r="J3400" s="2"/>
      <c r="K3400" s="2"/>
    </row>
    <row r="3401" customFormat="false" ht="15" hidden="false" customHeight="false" outlineLevel="0" collapsed="false">
      <c r="A3401" s="2" t="s">
        <v>267</v>
      </c>
      <c r="B3401" s="2" t="s">
        <v>268</v>
      </c>
      <c r="C3401" s="2" t="s">
        <v>57</v>
      </c>
      <c r="D3401" s="3" t="n">
        <v>46255</v>
      </c>
      <c r="E3401" s="2" t="str">
        <f aca="false">TEXT(D3401,"dddd")</f>
        <v>Friday</v>
      </c>
      <c r="F3401" s="2" t="s">
        <v>457</v>
      </c>
      <c r="G3401" s="2" t="s">
        <v>458</v>
      </c>
      <c r="H3401" s="2" t="s">
        <v>459</v>
      </c>
      <c r="I3401" s="2" t="n">
        <f aca="false">IF(F3401="Present",9,IF(F3401="Half Day",4,0))</f>
        <v>9</v>
      </c>
      <c r="J3401" s="2"/>
      <c r="K3401" s="2"/>
    </row>
    <row r="3402" customFormat="false" ht="15" hidden="false" customHeight="false" outlineLevel="0" collapsed="false">
      <c r="A3402" s="2" t="s">
        <v>267</v>
      </c>
      <c r="B3402" s="2" t="s">
        <v>268</v>
      </c>
      <c r="C3402" s="2" t="s">
        <v>57</v>
      </c>
      <c r="D3402" s="3" t="n">
        <v>46256</v>
      </c>
      <c r="E3402" s="2" t="str">
        <f aca="false">TEXT(D3402,"dddd")</f>
        <v>Saturday</v>
      </c>
      <c r="F3402" s="2" t="s">
        <v>457</v>
      </c>
      <c r="G3402" s="2" t="s">
        <v>458</v>
      </c>
      <c r="H3402" s="2" t="s">
        <v>459</v>
      </c>
      <c r="I3402" s="2" t="n">
        <f aca="false">IF(F3402="Present",9,IF(F3402="Half Day",4,0))</f>
        <v>9</v>
      </c>
      <c r="J3402" s="2"/>
      <c r="K3402" s="2"/>
    </row>
    <row r="3403" customFormat="false" ht="15" hidden="false" customHeight="false" outlineLevel="0" collapsed="false">
      <c r="A3403" s="2" t="s">
        <v>267</v>
      </c>
      <c r="B3403" s="2" t="s">
        <v>268</v>
      </c>
      <c r="C3403" s="2" t="s">
        <v>57</v>
      </c>
      <c r="D3403" s="3" t="n">
        <v>46257</v>
      </c>
      <c r="E3403" s="2" t="str">
        <f aca="false">TEXT(D3403,"dddd")</f>
        <v>Sunday</v>
      </c>
      <c r="F3403" s="2" t="s">
        <v>460</v>
      </c>
      <c r="G3403" s="2"/>
      <c r="H3403" s="2"/>
      <c r="I3403" s="2" t="n">
        <f aca="false">IF(F3403="Present",9,IF(F3403="Half Day",4,0))</f>
        <v>0</v>
      </c>
      <c r="J3403" s="2"/>
      <c r="K3403" s="2" t="s">
        <v>460</v>
      </c>
    </row>
    <row r="3404" customFormat="false" ht="15" hidden="false" customHeight="false" outlineLevel="0" collapsed="false">
      <c r="A3404" s="2" t="s">
        <v>267</v>
      </c>
      <c r="B3404" s="2" t="s">
        <v>268</v>
      </c>
      <c r="C3404" s="2" t="s">
        <v>57</v>
      </c>
      <c r="D3404" s="3" t="n">
        <v>46258</v>
      </c>
      <c r="E3404" s="2" t="str">
        <f aca="false">TEXT(D3404,"dddd")</f>
        <v>Monday</v>
      </c>
      <c r="F3404" s="2" t="s">
        <v>461</v>
      </c>
      <c r="G3404" s="2"/>
      <c r="H3404" s="2"/>
      <c r="I3404" s="2" t="n">
        <f aca="false">IF(F3404="Present",9,IF(F3404="Half Day",4,0))</f>
        <v>0</v>
      </c>
      <c r="J3404" s="2"/>
      <c r="K3404" s="2" t="s">
        <v>462</v>
      </c>
    </row>
    <row r="3405" customFormat="false" ht="15" hidden="false" customHeight="false" outlineLevel="0" collapsed="false">
      <c r="A3405" s="2" t="s">
        <v>267</v>
      </c>
      <c r="B3405" s="2" t="s">
        <v>268</v>
      </c>
      <c r="C3405" s="2" t="s">
        <v>57</v>
      </c>
      <c r="D3405" s="3" t="n">
        <v>46259</v>
      </c>
      <c r="E3405" s="2" t="str">
        <f aca="false">TEXT(D3405,"dddd")</f>
        <v>Tuesday</v>
      </c>
      <c r="F3405" s="2" t="s">
        <v>457</v>
      </c>
      <c r="G3405" s="2" t="s">
        <v>458</v>
      </c>
      <c r="H3405" s="2" t="s">
        <v>459</v>
      </c>
      <c r="I3405" s="2" t="n">
        <f aca="false">IF(F3405="Present",9,IF(F3405="Half Day",4,0))</f>
        <v>9</v>
      </c>
      <c r="J3405" s="2"/>
      <c r="K3405" s="2"/>
    </row>
    <row r="3406" customFormat="false" ht="15" hidden="false" customHeight="false" outlineLevel="0" collapsed="false">
      <c r="A3406" s="2" t="s">
        <v>267</v>
      </c>
      <c r="B3406" s="2" t="s">
        <v>268</v>
      </c>
      <c r="C3406" s="2" t="s">
        <v>57</v>
      </c>
      <c r="D3406" s="3" t="n">
        <v>46260</v>
      </c>
      <c r="E3406" s="2" t="str">
        <f aca="false">TEXT(D3406,"dddd")</f>
        <v>Wednesday</v>
      </c>
      <c r="F3406" s="2" t="s">
        <v>457</v>
      </c>
      <c r="G3406" s="2" t="s">
        <v>458</v>
      </c>
      <c r="H3406" s="2" t="s">
        <v>459</v>
      </c>
      <c r="I3406" s="2" t="n">
        <f aca="false">IF(F3406="Present",9,IF(F3406="Half Day",4,0))</f>
        <v>9</v>
      </c>
      <c r="J3406" s="2"/>
      <c r="K3406" s="2"/>
    </row>
    <row r="3407" customFormat="false" ht="15" hidden="false" customHeight="false" outlineLevel="0" collapsed="false">
      <c r="A3407" s="2" t="s">
        <v>267</v>
      </c>
      <c r="B3407" s="2" t="s">
        <v>268</v>
      </c>
      <c r="C3407" s="2" t="s">
        <v>57</v>
      </c>
      <c r="D3407" s="3" t="n">
        <v>46261</v>
      </c>
      <c r="E3407" s="2" t="str">
        <f aca="false">TEXT(D3407,"dddd")</f>
        <v>Thursday</v>
      </c>
      <c r="F3407" s="2" t="s">
        <v>457</v>
      </c>
      <c r="G3407" s="2" t="s">
        <v>458</v>
      </c>
      <c r="H3407" s="2" t="s">
        <v>459</v>
      </c>
      <c r="I3407" s="2" t="n">
        <f aca="false">IF(F3407="Present",9,IF(F3407="Half Day",4,0))</f>
        <v>9</v>
      </c>
      <c r="J3407" s="2"/>
      <c r="K3407" s="2"/>
    </row>
    <row r="3408" customFormat="false" ht="15" hidden="false" customHeight="false" outlineLevel="0" collapsed="false">
      <c r="A3408" s="2" t="s">
        <v>267</v>
      </c>
      <c r="B3408" s="2" t="s">
        <v>268</v>
      </c>
      <c r="C3408" s="2" t="s">
        <v>57</v>
      </c>
      <c r="D3408" s="3" t="n">
        <v>46262</v>
      </c>
      <c r="E3408" s="2" t="str">
        <f aca="false">TEXT(D3408,"dddd")</f>
        <v>Friday</v>
      </c>
      <c r="F3408" s="2" t="s">
        <v>457</v>
      </c>
      <c r="G3408" s="2" t="s">
        <v>458</v>
      </c>
      <c r="H3408" s="2" t="s">
        <v>459</v>
      </c>
      <c r="I3408" s="2" t="n">
        <f aca="false">IF(F3408="Present",9,IF(F3408="Half Day",4,0))</f>
        <v>9</v>
      </c>
      <c r="J3408" s="2"/>
      <c r="K3408" s="2"/>
    </row>
    <row r="3409" customFormat="false" ht="15" hidden="false" customHeight="false" outlineLevel="0" collapsed="false">
      <c r="A3409" s="2" t="s">
        <v>267</v>
      </c>
      <c r="B3409" s="2" t="s">
        <v>268</v>
      </c>
      <c r="C3409" s="2" t="s">
        <v>57</v>
      </c>
      <c r="D3409" s="3" t="n">
        <v>46263</v>
      </c>
      <c r="E3409" s="2" t="str">
        <f aca="false">TEXT(D3409,"dddd")</f>
        <v>Saturday</v>
      </c>
      <c r="F3409" s="2" t="s">
        <v>466</v>
      </c>
      <c r="G3409" s="2" t="s">
        <v>458</v>
      </c>
      <c r="H3409" s="2" t="s">
        <v>467</v>
      </c>
      <c r="I3409" s="2" t="n">
        <f aca="false">IF(F3409="Present",9,IF(F3409="Half Day",4,0))</f>
        <v>4</v>
      </c>
      <c r="J3409" s="2"/>
      <c r="K3409" s="2" t="s">
        <v>466</v>
      </c>
    </row>
    <row r="3410" customFormat="false" ht="15" hidden="false" customHeight="false" outlineLevel="0" collapsed="false">
      <c r="A3410" s="2" t="s">
        <v>267</v>
      </c>
      <c r="B3410" s="2" t="s">
        <v>268</v>
      </c>
      <c r="C3410" s="2" t="s">
        <v>57</v>
      </c>
      <c r="D3410" s="3" t="n">
        <v>46264</v>
      </c>
      <c r="E3410" s="2" t="str">
        <f aca="false">TEXT(D3410,"dddd")</f>
        <v>Sunday</v>
      </c>
      <c r="F3410" s="2" t="s">
        <v>460</v>
      </c>
      <c r="G3410" s="2"/>
      <c r="H3410" s="2"/>
      <c r="I3410" s="2" t="n">
        <f aca="false">IF(F3410="Present",9,IF(F3410="Half Day",4,0))</f>
        <v>0</v>
      </c>
      <c r="J3410" s="2"/>
      <c r="K3410" s="2" t="s">
        <v>460</v>
      </c>
    </row>
    <row r="3411" customFormat="false" ht="15" hidden="false" customHeight="false" outlineLevel="0" collapsed="false">
      <c r="A3411" s="2" t="s">
        <v>267</v>
      </c>
      <c r="B3411" s="2" t="s">
        <v>268</v>
      </c>
      <c r="C3411" s="2" t="s">
        <v>57</v>
      </c>
      <c r="D3411" s="3" t="n">
        <v>46265</v>
      </c>
      <c r="E3411" s="2" t="str">
        <f aca="false">TEXT(D3411,"dddd")</f>
        <v>Monday</v>
      </c>
      <c r="F3411" s="2" t="s">
        <v>457</v>
      </c>
      <c r="G3411" s="2" t="s">
        <v>458</v>
      </c>
      <c r="H3411" s="2" t="s">
        <v>459</v>
      </c>
      <c r="I3411" s="2" t="n">
        <f aca="false">IF(F3411="Present",9,IF(F3411="Half Day",4,0))</f>
        <v>9</v>
      </c>
      <c r="J3411" s="2"/>
      <c r="K3411" s="2"/>
    </row>
    <row r="3412" customFormat="false" ht="15" hidden="false" customHeight="false" outlineLevel="0" collapsed="false">
      <c r="A3412" s="2" t="s">
        <v>269</v>
      </c>
      <c r="B3412" s="2" t="s">
        <v>270</v>
      </c>
      <c r="C3412" s="2" t="s">
        <v>17</v>
      </c>
      <c r="D3412" s="3" t="n">
        <v>46235</v>
      </c>
      <c r="E3412" s="2" t="str">
        <f aca="false">TEXT(D3412,"dddd")</f>
        <v>Saturday</v>
      </c>
      <c r="F3412" s="2" t="s">
        <v>457</v>
      </c>
      <c r="G3412" s="2" t="s">
        <v>458</v>
      </c>
      <c r="H3412" s="2" t="s">
        <v>459</v>
      </c>
      <c r="I3412" s="2" t="n">
        <f aca="false">IF(F3412="Present",9,IF(F3412="Half Day",4,0))</f>
        <v>9</v>
      </c>
      <c r="J3412" s="2"/>
      <c r="K3412" s="2"/>
    </row>
    <row r="3413" customFormat="false" ht="15" hidden="false" customHeight="false" outlineLevel="0" collapsed="false">
      <c r="A3413" s="2" t="s">
        <v>269</v>
      </c>
      <c r="B3413" s="2" t="s">
        <v>270</v>
      </c>
      <c r="C3413" s="2" t="s">
        <v>17</v>
      </c>
      <c r="D3413" s="3" t="n">
        <v>46236</v>
      </c>
      <c r="E3413" s="2" t="str">
        <f aca="false">TEXT(D3413,"dddd")</f>
        <v>Sunday</v>
      </c>
      <c r="F3413" s="2" t="s">
        <v>460</v>
      </c>
      <c r="G3413" s="2"/>
      <c r="H3413" s="2"/>
      <c r="I3413" s="2" t="n">
        <f aca="false">IF(F3413="Present",9,IF(F3413="Half Day",4,0))</f>
        <v>0</v>
      </c>
      <c r="J3413" s="2"/>
      <c r="K3413" s="2" t="s">
        <v>460</v>
      </c>
    </row>
    <row r="3414" customFormat="false" ht="15" hidden="false" customHeight="false" outlineLevel="0" collapsed="false">
      <c r="A3414" s="2" t="s">
        <v>269</v>
      </c>
      <c r="B3414" s="2" t="s">
        <v>270</v>
      </c>
      <c r="C3414" s="2" t="s">
        <v>17</v>
      </c>
      <c r="D3414" s="3" t="n">
        <v>46237</v>
      </c>
      <c r="E3414" s="2" t="str">
        <f aca="false">TEXT(D3414,"dddd")</f>
        <v>Monday</v>
      </c>
      <c r="F3414" s="2" t="s">
        <v>457</v>
      </c>
      <c r="G3414" s="2" t="s">
        <v>458</v>
      </c>
      <c r="H3414" s="2" t="s">
        <v>459</v>
      </c>
      <c r="I3414" s="2" t="n">
        <f aca="false">IF(F3414="Present",9,IF(F3414="Half Day",4,0))</f>
        <v>9</v>
      </c>
      <c r="J3414" s="2"/>
      <c r="K3414" s="2"/>
    </row>
    <row r="3415" customFormat="false" ht="15" hidden="false" customHeight="false" outlineLevel="0" collapsed="false">
      <c r="A3415" s="2" t="s">
        <v>269</v>
      </c>
      <c r="B3415" s="2" t="s">
        <v>270</v>
      </c>
      <c r="C3415" s="2" t="s">
        <v>17</v>
      </c>
      <c r="D3415" s="3" t="n">
        <v>46238</v>
      </c>
      <c r="E3415" s="2" t="str">
        <f aca="false">TEXT(D3415,"dddd")</f>
        <v>Tuesday</v>
      </c>
      <c r="F3415" s="2" t="s">
        <v>457</v>
      </c>
      <c r="G3415" s="2" t="s">
        <v>458</v>
      </c>
      <c r="H3415" s="2" t="s">
        <v>459</v>
      </c>
      <c r="I3415" s="2" t="n">
        <f aca="false">IF(F3415="Present",9,IF(F3415="Half Day",4,0))</f>
        <v>9</v>
      </c>
      <c r="J3415" s="2"/>
      <c r="K3415" s="2"/>
    </row>
    <row r="3416" customFormat="false" ht="15" hidden="false" customHeight="false" outlineLevel="0" collapsed="false">
      <c r="A3416" s="2" t="s">
        <v>269</v>
      </c>
      <c r="B3416" s="2" t="s">
        <v>270</v>
      </c>
      <c r="C3416" s="2" t="s">
        <v>17</v>
      </c>
      <c r="D3416" s="3" t="n">
        <v>46239</v>
      </c>
      <c r="E3416" s="2" t="str">
        <f aca="false">TEXT(D3416,"dddd")</f>
        <v>Wednesday</v>
      </c>
      <c r="F3416" s="2" t="s">
        <v>457</v>
      </c>
      <c r="G3416" s="2" t="s">
        <v>458</v>
      </c>
      <c r="H3416" s="2" t="s">
        <v>459</v>
      </c>
      <c r="I3416" s="2" t="n">
        <f aca="false">IF(F3416="Present",9,IF(F3416="Half Day",4,0))</f>
        <v>9</v>
      </c>
      <c r="J3416" s="2"/>
      <c r="K3416" s="2"/>
    </row>
    <row r="3417" customFormat="false" ht="15" hidden="false" customHeight="false" outlineLevel="0" collapsed="false">
      <c r="A3417" s="2" t="s">
        <v>269</v>
      </c>
      <c r="B3417" s="2" t="s">
        <v>270</v>
      </c>
      <c r="C3417" s="2" t="s">
        <v>17</v>
      </c>
      <c r="D3417" s="3" t="n">
        <v>46240</v>
      </c>
      <c r="E3417" s="2" t="str">
        <f aca="false">TEXT(D3417,"dddd")</f>
        <v>Thursday</v>
      </c>
      <c r="F3417" s="2" t="s">
        <v>457</v>
      </c>
      <c r="G3417" s="2" t="s">
        <v>458</v>
      </c>
      <c r="H3417" s="2" t="s">
        <v>459</v>
      </c>
      <c r="I3417" s="2" t="n">
        <f aca="false">IF(F3417="Present",9,IF(F3417="Half Day",4,0))</f>
        <v>9</v>
      </c>
      <c r="J3417" s="2"/>
      <c r="K3417" s="2"/>
    </row>
    <row r="3418" customFormat="false" ht="15" hidden="false" customHeight="false" outlineLevel="0" collapsed="false">
      <c r="A3418" s="2" t="s">
        <v>269</v>
      </c>
      <c r="B3418" s="2" t="s">
        <v>270</v>
      </c>
      <c r="C3418" s="2" t="s">
        <v>17</v>
      </c>
      <c r="D3418" s="3" t="n">
        <v>46241</v>
      </c>
      <c r="E3418" s="2" t="str">
        <f aca="false">TEXT(D3418,"dddd")</f>
        <v>Friday</v>
      </c>
      <c r="F3418" s="2" t="s">
        <v>457</v>
      </c>
      <c r="G3418" s="2" t="s">
        <v>458</v>
      </c>
      <c r="H3418" s="2" t="s">
        <v>459</v>
      </c>
      <c r="I3418" s="2" t="n">
        <f aca="false">IF(F3418="Present",9,IF(F3418="Half Day",4,0))</f>
        <v>9</v>
      </c>
      <c r="J3418" s="2"/>
      <c r="K3418" s="2"/>
    </row>
    <row r="3419" customFormat="false" ht="15" hidden="false" customHeight="false" outlineLevel="0" collapsed="false">
      <c r="A3419" s="2" t="s">
        <v>269</v>
      </c>
      <c r="B3419" s="2" t="s">
        <v>270</v>
      </c>
      <c r="C3419" s="2" t="s">
        <v>17</v>
      </c>
      <c r="D3419" s="3" t="n">
        <v>46242</v>
      </c>
      <c r="E3419" s="2" t="str">
        <f aca="false">TEXT(D3419,"dddd")</f>
        <v>Saturday</v>
      </c>
      <c r="F3419" s="2" t="s">
        <v>457</v>
      </c>
      <c r="G3419" s="2" t="s">
        <v>458</v>
      </c>
      <c r="H3419" s="2" t="s">
        <v>459</v>
      </c>
      <c r="I3419" s="2" t="n">
        <f aca="false">IF(F3419="Present",9,IF(F3419="Half Day",4,0))</f>
        <v>9</v>
      </c>
      <c r="J3419" s="2"/>
      <c r="K3419" s="2"/>
    </row>
    <row r="3420" customFormat="false" ht="15" hidden="false" customHeight="false" outlineLevel="0" collapsed="false">
      <c r="A3420" s="2" t="s">
        <v>269</v>
      </c>
      <c r="B3420" s="2" t="s">
        <v>270</v>
      </c>
      <c r="C3420" s="2" t="s">
        <v>17</v>
      </c>
      <c r="D3420" s="3" t="n">
        <v>46243</v>
      </c>
      <c r="E3420" s="2" t="str">
        <f aca="false">TEXT(D3420,"dddd")</f>
        <v>Sunday</v>
      </c>
      <c r="F3420" s="2" t="s">
        <v>460</v>
      </c>
      <c r="G3420" s="2"/>
      <c r="H3420" s="2"/>
      <c r="I3420" s="2" t="n">
        <f aca="false">IF(F3420="Present",9,IF(F3420="Half Day",4,0))</f>
        <v>0</v>
      </c>
      <c r="J3420" s="2"/>
      <c r="K3420" s="2" t="s">
        <v>460</v>
      </c>
    </row>
    <row r="3421" customFormat="false" ht="15" hidden="false" customHeight="false" outlineLevel="0" collapsed="false">
      <c r="A3421" s="2" t="s">
        <v>269</v>
      </c>
      <c r="B3421" s="2" t="s">
        <v>270</v>
      </c>
      <c r="C3421" s="2" t="s">
        <v>17</v>
      </c>
      <c r="D3421" s="3" t="n">
        <v>46244</v>
      </c>
      <c r="E3421" s="2" t="str">
        <f aca="false">TEXT(D3421,"dddd")</f>
        <v>Monday</v>
      </c>
      <c r="F3421" s="2" t="s">
        <v>457</v>
      </c>
      <c r="G3421" s="2" t="s">
        <v>458</v>
      </c>
      <c r="H3421" s="2" t="s">
        <v>459</v>
      </c>
      <c r="I3421" s="2" t="n">
        <f aca="false">IF(F3421="Present",9,IF(F3421="Half Day",4,0))</f>
        <v>9</v>
      </c>
      <c r="J3421" s="2"/>
      <c r="K3421" s="2"/>
    </row>
    <row r="3422" customFormat="false" ht="15" hidden="false" customHeight="false" outlineLevel="0" collapsed="false">
      <c r="A3422" s="2" t="s">
        <v>269</v>
      </c>
      <c r="B3422" s="2" t="s">
        <v>270</v>
      </c>
      <c r="C3422" s="2" t="s">
        <v>17</v>
      </c>
      <c r="D3422" s="3" t="n">
        <v>46245</v>
      </c>
      <c r="E3422" s="2" t="str">
        <f aca="false">TEXT(D3422,"dddd")</f>
        <v>Tuesday</v>
      </c>
      <c r="F3422" s="2" t="s">
        <v>457</v>
      </c>
      <c r="G3422" s="2" t="s">
        <v>458</v>
      </c>
      <c r="H3422" s="2" t="s">
        <v>459</v>
      </c>
      <c r="I3422" s="2" t="n">
        <f aca="false">IF(F3422="Present",9,IF(F3422="Half Day",4,0))</f>
        <v>9</v>
      </c>
      <c r="J3422" s="2"/>
      <c r="K3422" s="2"/>
    </row>
    <row r="3423" customFormat="false" ht="15" hidden="false" customHeight="false" outlineLevel="0" collapsed="false">
      <c r="A3423" s="2" t="s">
        <v>269</v>
      </c>
      <c r="B3423" s="2" t="s">
        <v>270</v>
      </c>
      <c r="C3423" s="2" t="s">
        <v>17</v>
      </c>
      <c r="D3423" s="3" t="n">
        <v>46246</v>
      </c>
      <c r="E3423" s="2" t="str">
        <f aca="false">TEXT(D3423,"dddd")</f>
        <v>Wednesday</v>
      </c>
      <c r="F3423" s="2" t="s">
        <v>457</v>
      </c>
      <c r="G3423" s="2" t="s">
        <v>458</v>
      </c>
      <c r="H3423" s="2" t="s">
        <v>459</v>
      </c>
      <c r="I3423" s="2" t="n">
        <f aca="false">IF(F3423="Present",9,IF(F3423="Half Day",4,0))</f>
        <v>9</v>
      </c>
      <c r="J3423" s="2"/>
      <c r="K3423" s="2"/>
    </row>
    <row r="3424" customFormat="false" ht="15" hidden="false" customHeight="false" outlineLevel="0" collapsed="false">
      <c r="A3424" s="2" t="s">
        <v>269</v>
      </c>
      <c r="B3424" s="2" t="s">
        <v>270</v>
      </c>
      <c r="C3424" s="2" t="s">
        <v>17</v>
      </c>
      <c r="D3424" s="3" t="n">
        <v>46247</v>
      </c>
      <c r="E3424" s="2" t="str">
        <f aca="false">TEXT(D3424,"dddd")</f>
        <v>Thursday</v>
      </c>
      <c r="F3424" s="2" t="s">
        <v>457</v>
      </c>
      <c r="G3424" s="2" t="s">
        <v>458</v>
      </c>
      <c r="H3424" s="2" t="s">
        <v>459</v>
      </c>
      <c r="I3424" s="2" t="n">
        <f aca="false">IF(F3424="Present",9,IF(F3424="Half Day",4,0))</f>
        <v>9</v>
      </c>
      <c r="J3424" s="2"/>
      <c r="K3424" s="2"/>
    </row>
    <row r="3425" customFormat="false" ht="15" hidden="false" customHeight="false" outlineLevel="0" collapsed="false">
      <c r="A3425" s="2" t="s">
        <v>269</v>
      </c>
      <c r="B3425" s="2" t="s">
        <v>270</v>
      </c>
      <c r="C3425" s="2" t="s">
        <v>17</v>
      </c>
      <c r="D3425" s="3" t="n">
        <v>46248</v>
      </c>
      <c r="E3425" s="2" t="str">
        <f aca="false">TEXT(D3425,"dddd")</f>
        <v>Friday</v>
      </c>
      <c r="F3425" s="2" t="s">
        <v>457</v>
      </c>
      <c r="G3425" s="2" t="s">
        <v>458</v>
      </c>
      <c r="H3425" s="2" t="s">
        <v>459</v>
      </c>
      <c r="I3425" s="2" t="n">
        <f aca="false">IF(F3425="Present",9,IF(F3425="Half Day",4,0))</f>
        <v>9</v>
      </c>
      <c r="J3425" s="2"/>
      <c r="K3425" s="2"/>
    </row>
    <row r="3426" customFormat="false" ht="15" hidden="false" customHeight="false" outlineLevel="0" collapsed="false">
      <c r="A3426" s="2" t="s">
        <v>269</v>
      </c>
      <c r="B3426" s="2" t="s">
        <v>270</v>
      </c>
      <c r="C3426" s="2" t="s">
        <v>17</v>
      </c>
      <c r="D3426" s="3" t="n">
        <v>46249</v>
      </c>
      <c r="E3426" s="2" t="str">
        <f aca="false">TEXT(D3426,"dddd")</f>
        <v>Saturday</v>
      </c>
      <c r="F3426" s="2" t="s">
        <v>457</v>
      </c>
      <c r="G3426" s="2" t="s">
        <v>458</v>
      </c>
      <c r="H3426" s="2" t="s">
        <v>459</v>
      </c>
      <c r="I3426" s="2" t="n">
        <f aca="false">IF(F3426="Present",9,IF(F3426="Half Day",4,0))</f>
        <v>9</v>
      </c>
      <c r="J3426" s="2"/>
      <c r="K3426" s="2"/>
    </row>
    <row r="3427" customFormat="false" ht="15" hidden="false" customHeight="false" outlineLevel="0" collapsed="false">
      <c r="A3427" s="2" t="s">
        <v>269</v>
      </c>
      <c r="B3427" s="2" t="s">
        <v>270</v>
      </c>
      <c r="C3427" s="2" t="s">
        <v>17</v>
      </c>
      <c r="D3427" s="3" t="n">
        <v>46250</v>
      </c>
      <c r="E3427" s="2" t="str">
        <f aca="false">TEXT(D3427,"dddd")</f>
        <v>Sunday</v>
      </c>
      <c r="F3427" s="2" t="s">
        <v>460</v>
      </c>
      <c r="G3427" s="2"/>
      <c r="H3427" s="2"/>
      <c r="I3427" s="2" t="n">
        <f aca="false">IF(F3427="Present",9,IF(F3427="Half Day",4,0))</f>
        <v>0</v>
      </c>
      <c r="J3427" s="2"/>
      <c r="K3427" s="2" t="s">
        <v>460</v>
      </c>
    </row>
    <row r="3428" customFormat="false" ht="15" hidden="false" customHeight="false" outlineLevel="0" collapsed="false">
      <c r="A3428" s="2" t="s">
        <v>269</v>
      </c>
      <c r="B3428" s="2" t="s">
        <v>270</v>
      </c>
      <c r="C3428" s="2" t="s">
        <v>17</v>
      </c>
      <c r="D3428" s="3" t="n">
        <v>46251</v>
      </c>
      <c r="E3428" s="2" t="str">
        <f aca="false">TEXT(D3428,"dddd")</f>
        <v>Monday</v>
      </c>
      <c r="F3428" s="2" t="s">
        <v>457</v>
      </c>
      <c r="G3428" s="2" t="s">
        <v>458</v>
      </c>
      <c r="H3428" s="2" t="s">
        <v>459</v>
      </c>
      <c r="I3428" s="2" t="n">
        <f aca="false">IF(F3428="Present",9,IF(F3428="Half Day",4,0))</f>
        <v>9</v>
      </c>
      <c r="J3428" s="2"/>
      <c r="K3428" s="2"/>
    </row>
    <row r="3429" customFormat="false" ht="15" hidden="false" customHeight="false" outlineLevel="0" collapsed="false">
      <c r="A3429" s="2" t="s">
        <v>269</v>
      </c>
      <c r="B3429" s="2" t="s">
        <v>270</v>
      </c>
      <c r="C3429" s="2" t="s">
        <v>17</v>
      </c>
      <c r="D3429" s="3" t="n">
        <v>46252</v>
      </c>
      <c r="E3429" s="2" t="str">
        <f aca="false">TEXT(D3429,"dddd")</f>
        <v>Tuesday</v>
      </c>
      <c r="F3429" s="2" t="s">
        <v>457</v>
      </c>
      <c r="G3429" s="2" t="s">
        <v>458</v>
      </c>
      <c r="H3429" s="2" t="s">
        <v>459</v>
      </c>
      <c r="I3429" s="2" t="n">
        <f aca="false">IF(F3429="Present",9,IF(F3429="Half Day",4,0))</f>
        <v>9</v>
      </c>
      <c r="J3429" s="2"/>
      <c r="K3429" s="2"/>
    </row>
    <row r="3430" customFormat="false" ht="15" hidden="false" customHeight="false" outlineLevel="0" collapsed="false">
      <c r="A3430" s="2" t="s">
        <v>269</v>
      </c>
      <c r="B3430" s="2" t="s">
        <v>270</v>
      </c>
      <c r="C3430" s="2" t="s">
        <v>17</v>
      </c>
      <c r="D3430" s="3" t="n">
        <v>46253</v>
      </c>
      <c r="E3430" s="2" t="str">
        <f aca="false">TEXT(D3430,"dddd")</f>
        <v>Wednesday</v>
      </c>
      <c r="F3430" s="2" t="s">
        <v>457</v>
      </c>
      <c r="G3430" s="2" t="s">
        <v>458</v>
      </c>
      <c r="H3430" s="2" t="s">
        <v>459</v>
      </c>
      <c r="I3430" s="2" t="n">
        <f aca="false">IF(F3430="Present",9,IF(F3430="Half Day",4,0))</f>
        <v>9</v>
      </c>
      <c r="J3430" s="2"/>
      <c r="K3430" s="2"/>
    </row>
    <row r="3431" customFormat="false" ht="15" hidden="false" customHeight="false" outlineLevel="0" collapsed="false">
      <c r="A3431" s="2" t="s">
        <v>269</v>
      </c>
      <c r="B3431" s="2" t="s">
        <v>270</v>
      </c>
      <c r="C3431" s="2" t="s">
        <v>17</v>
      </c>
      <c r="D3431" s="3" t="n">
        <v>46254</v>
      </c>
      <c r="E3431" s="2" t="str">
        <f aca="false">TEXT(D3431,"dddd")</f>
        <v>Thursday</v>
      </c>
      <c r="F3431" s="2" t="s">
        <v>457</v>
      </c>
      <c r="G3431" s="2" t="s">
        <v>458</v>
      </c>
      <c r="H3431" s="2" t="s">
        <v>459</v>
      </c>
      <c r="I3431" s="2" t="n">
        <f aca="false">IF(F3431="Present",9,IF(F3431="Half Day",4,0))</f>
        <v>9</v>
      </c>
      <c r="J3431" s="2"/>
      <c r="K3431" s="2"/>
    </row>
    <row r="3432" customFormat="false" ht="15" hidden="false" customHeight="false" outlineLevel="0" collapsed="false">
      <c r="A3432" s="2" t="s">
        <v>269</v>
      </c>
      <c r="B3432" s="2" t="s">
        <v>270</v>
      </c>
      <c r="C3432" s="2" t="s">
        <v>17</v>
      </c>
      <c r="D3432" s="3" t="n">
        <v>46255</v>
      </c>
      <c r="E3432" s="2" t="str">
        <f aca="false">TEXT(D3432,"dddd")</f>
        <v>Friday</v>
      </c>
      <c r="F3432" s="2" t="s">
        <v>457</v>
      </c>
      <c r="G3432" s="2" t="s">
        <v>458</v>
      </c>
      <c r="H3432" s="2" t="s">
        <v>459</v>
      </c>
      <c r="I3432" s="2" t="n">
        <f aca="false">IF(F3432="Present",9,IF(F3432="Half Day",4,0))</f>
        <v>9</v>
      </c>
      <c r="J3432" s="2"/>
      <c r="K3432" s="2"/>
    </row>
    <row r="3433" customFormat="false" ht="15" hidden="false" customHeight="false" outlineLevel="0" collapsed="false">
      <c r="A3433" s="2" t="s">
        <v>269</v>
      </c>
      <c r="B3433" s="2" t="s">
        <v>270</v>
      </c>
      <c r="C3433" s="2" t="s">
        <v>17</v>
      </c>
      <c r="D3433" s="3" t="n">
        <v>46256</v>
      </c>
      <c r="E3433" s="2" t="str">
        <f aca="false">TEXT(D3433,"dddd")</f>
        <v>Saturday</v>
      </c>
      <c r="F3433" s="2" t="s">
        <v>457</v>
      </c>
      <c r="G3433" s="2" t="s">
        <v>458</v>
      </c>
      <c r="H3433" s="2" t="s">
        <v>459</v>
      </c>
      <c r="I3433" s="2" t="n">
        <f aca="false">IF(F3433="Present",9,IF(F3433="Half Day",4,0))</f>
        <v>9</v>
      </c>
      <c r="J3433" s="2"/>
      <c r="K3433" s="2"/>
    </row>
    <row r="3434" customFormat="false" ht="15" hidden="false" customHeight="false" outlineLevel="0" collapsed="false">
      <c r="A3434" s="2" t="s">
        <v>269</v>
      </c>
      <c r="B3434" s="2" t="s">
        <v>270</v>
      </c>
      <c r="C3434" s="2" t="s">
        <v>17</v>
      </c>
      <c r="D3434" s="3" t="n">
        <v>46257</v>
      </c>
      <c r="E3434" s="2" t="str">
        <f aca="false">TEXT(D3434,"dddd")</f>
        <v>Sunday</v>
      </c>
      <c r="F3434" s="2" t="s">
        <v>460</v>
      </c>
      <c r="G3434" s="2"/>
      <c r="H3434" s="2"/>
      <c r="I3434" s="2" t="n">
        <f aca="false">IF(F3434="Present",9,IF(F3434="Half Day",4,0))</f>
        <v>0</v>
      </c>
      <c r="J3434" s="2"/>
      <c r="K3434" s="2" t="s">
        <v>460</v>
      </c>
    </row>
    <row r="3435" customFormat="false" ht="15" hidden="false" customHeight="false" outlineLevel="0" collapsed="false">
      <c r="A3435" s="2" t="s">
        <v>269</v>
      </c>
      <c r="B3435" s="2" t="s">
        <v>270</v>
      </c>
      <c r="C3435" s="2" t="s">
        <v>17</v>
      </c>
      <c r="D3435" s="3" t="n">
        <v>46258</v>
      </c>
      <c r="E3435" s="2" t="str">
        <f aca="false">TEXT(D3435,"dddd")</f>
        <v>Monday</v>
      </c>
      <c r="F3435" s="2" t="s">
        <v>457</v>
      </c>
      <c r="G3435" s="2" t="s">
        <v>458</v>
      </c>
      <c r="H3435" s="2" t="s">
        <v>459</v>
      </c>
      <c r="I3435" s="2" t="n">
        <f aca="false">IF(F3435="Present",9,IF(F3435="Half Day",4,0))</f>
        <v>9</v>
      </c>
      <c r="J3435" s="2"/>
      <c r="K3435" s="2"/>
    </row>
    <row r="3436" customFormat="false" ht="15" hidden="false" customHeight="false" outlineLevel="0" collapsed="false">
      <c r="A3436" s="2" t="s">
        <v>269</v>
      </c>
      <c r="B3436" s="2" t="s">
        <v>270</v>
      </c>
      <c r="C3436" s="2" t="s">
        <v>17</v>
      </c>
      <c r="D3436" s="3" t="n">
        <v>46259</v>
      </c>
      <c r="E3436" s="2" t="str">
        <f aca="false">TEXT(D3436,"dddd")</f>
        <v>Tuesday</v>
      </c>
      <c r="F3436" s="2" t="s">
        <v>457</v>
      </c>
      <c r="G3436" s="2" t="s">
        <v>458</v>
      </c>
      <c r="H3436" s="2" t="s">
        <v>459</v>
      </c>
      <c r="I3436" s="2" t="n">
        <f aca="false">IF(F3436="Present",9,IF(F3436="Half Day",4,0))</f>
        <v>9</v>
      </c>
      <c r="J3436" s="2"/>
      <c r="K3436" s="2"/>
    </row>
    <row r="3437" customFormat="false" ht="15" hidden="false" customHeight="false" outlineLevel="0" collapsed="false">
      <c r="A3437" s="2" t="s">
        <v>269</v>
      </c>
      <c r="B3437" s="2" t="s">
        <v>270</v>
      </c>
      <c r="C3437" s="2" t="s">
        <v>17</v>
      </c>
      <c r="D3437" s="3" t="n">
        <v>46260</v>
      </c>
      <c r="E3437" s="2" t="str">
        <f aca="false">TEXT(D3437,"dddd")</f>
        <v>Wednesday</v>
      </c>
      <c r="F3437" s="2" t="s">
        <v>457</v>
      </c>
      <c r="G3437" s="2" t="s">
        <v>458</v>
      </c>
      <c r="H3437" s="2" t="s">
        <v>459</v>
      </c>
      <c r="I3437" s="2" t="n">
        <f aca="false">IF(F3437="Present",9,IF(F3437="Half Day",4,0))</f>
        <v>9</v>
      </c>
      <c r="J3437" s="2"/>
      <c r="K3437" s="2"/>
    </row>
    <row r="3438" customFormat="false" ht="15" hidden="false" customHeight="false" outlineLevel="0" collapsed="false">
      <c r="A3438" s="2" t="s">
        <v>269</v>
      </c>
      <c r="B3438" s="2" t="s">
        <v>270</v>
      </c>
      <c r="C3438" s="2" t="s">
        <v>17</v>
      </c>
      <c r="D3438" s="3" t="n">
        <v>46261</v>
      </c>
      <c r="E3438" s="2" t="str">
        <f aca="false">TEXT(D3438,"dddd")</f>
        <v>Thursday</v>
      </c>
      <c r="F3438" s="2" t="s">
        <v>457</v>
      </c>
      <c r="G3438" s="2" t="s">
        <v>458</v>
      </c>
      <c r="H3438" s="2" t="s">
        <v>459</v>
      </c>
      <c r="I3438" s="2" t="n">
        <f aca="false">IF(F3438="Present",9,IF(F3438="Half Day",4,0))</f>
        <v>9</v>
      </c>
      <c r="J3438" s="2"/>
      <c r="K3438" s="2"/>
    </row>
    <row r="3439" customFormat="false" ht="15" hidden="false" customHeight="false" outlineLevel="0" collapsed="false">
      <c r="A3439" s="2" t="s">
        <v>269</v>
      </c>
      <c r="B3439" s="2" t="s">
        <v>270</v>
      </c>
      <c r="C3439" s="2" t="s">
        <v>17</v>
      </c>
      <c r="D3439" s="3" t="n">
        <v>46262</v>
      </c>
      <c r="E3439" s="2" t="str">
        <f aca="false">TEXT(D3439,"dddd")</f>
        <v>Friday</v>
      </c>
      <c r="F3439" s="2" t="s">
        <v>457</v>
      </c>
      <c r="G3439" s="2" t="s">
        <v>458</v>
      </c>
      <c r="H3439" s="2" t="s">
        <v>459</v>
      </c>
      <c r="I3439" s="2" t="n">
        <f aca="false">IF(F3439="Present",9,IF(F3439="Half Day",4,0))</f>
        <v>9</v>
      </c>
      <c r="J3439" s="2"/>
      <c r="K3439" s="2"/>
    </row>
    <row r="3440" customFormat="false" ht="15" hidden="false" customHeight="false" outlineLevel="0" collapsed="false">
      <c r="A3440" s="2" t="s">
        <v>269</v>
      </c>
      <c r="B3440" s="2" t="s">
        <v>270</v>
      </c>
      <c r="C3440" s="2" t="s">
        <v>17</v>
      </c>
      <c r="D3440" s="3" t="n">
        <v>46263</v>
      </c>
      <c r="E3440" s="2" t="str">
        <f aca="false">TEXT(D3440,"dddd")</f>
        <v>Saturday</v>
      </c>
      <c r="F3440" s="2" t="s">
        <v>457</v>
      </c>
      <c r="G3440" s="2" t="s">
        <v>458</v>
      </c>
      <c r="H3440" s="2" t="s">
        <v>459</v>
      </c>
      <c r="I3440" s="2" t="n">
        <f aca="false">IF(F3440="Present",9,IF(F3440="Half Day",4,0))</f>
        <v>9</v>
      </c>
      <c r="J3440" s="2"/>
      <c r="K3440" s="2"/>
    </row>
    <row r="3441" customFormat="false" ht="15" hidden="false" customHeight="false" outlineLevel="0" collapsed="false">
      <c r="A3441" s="2" t="s">
        <v>269</v>
      </c>
      <c r="B3441" s="2" t="s">
        <v>270</v>
      </c>
      <c r="C3441" s="2" t="s">
        <v>17</v>
      </c>
      <c r="D3441" s="3" t="n">
        <v>46264</v>
      </c>
      <c r="E3441" s="2" t="str">
        <f aca="false">TEXT(D3441,"dddd")</f>
        <v>Sunday</v>
      </c>
      <c r="F3441" s="2" t="s">
        <v>460</v>
      </c>
      <c r="G3441" s="2"/>
      <c r="H3441" s="2"/>
      <c r="I3441" s="2" t="n">
        <f aca="false">IF(F3441="Present",9,IF(F3441="Half Day",4,0))</f>
        <v>0</v>
      </c>
      <c r="J3441" s="2"/>
      <c r="K3441" s="2" t="s">
        <v>460</v>
      </c>
    </row>
    <row r="3442" customFormat="false" ht="15" hidden="false" customHeight="false" outlineLevel="0" collapsed="false">
      <c r="A3442" s="2" t="s">
        <v>269</v>
      </c>
      <c r="B3442" s="2" t="s">
        <v>270</v>
      </c>
      <c r="C3442" s="2" t="s">
        <v>17</v>
      </c>
      <c r="D3442" s="3" t="n">
        <v>46265</v>
      </c>
      <c r="E3442" s="2" t="str">
        <f aca="false">TEXT(D3442,"dddd")</f>
        <v>Monday</v>
      </c>
      <c r="F3442" s="2" t="s">
        <v>457</v>
      </c>
      <c r="G3442" s="2" t="s">
        <v>458</v>
      </c>
      <c r="H3442" s="2" t="s">
        <v>459</v>
      </c>
      <c r="I3442" s="2" t="n">
        <f aca="false">IF(F3442="Present",9,IF(F3442="Half Day",4,0))</f>
        <v>9</v>
      </c>
      <c r="J3442" s="2"/>
      <c r="K3442" s="2"/>
    </row>
    <row r="3443" customFormat="false" ht="15" hidden="false" customHeight="false" outlineLevel="0" collapsed="false">
      <c r="A3443" s="2" t="s">
        <v>271</v>
      </c>
      <c r="B3443" s="2" t="s">
        <v>272</v>
      </c>
      <c r="C3443" s="2" t="s">
        <v>24</v>
      </c>
      <c r="D3443" s="3" t="n">
        <v>46235</v>
      </c>
      <c r="E3443" s="2" t="str">
        <f aca="false">TEXT(D3443,"dddd")</f>
        <v>Saturday</v>
      </c>
      <c r="F3443" s="2" t="s">
        <v>457</v>
      </c>
      <c r="G3443" s="2" t="s">
        <v>458</v>
      </c>
      <c r="H3443" s="2" t="s">
        <v>459</v>
      </c>
      <c r="I3443" s="2" t="n">
        <f aca="false">IF(F3443="Present",9,IF(F3443="Half Day",4,0))</f>
        <v>9</v>
      </c>
      <c r="J3443" s="2"/>
      <c r="K3443" s="2"/>
    </row>
    <row r="3444" customFormat="false" ht="15" hidden="false" customHeight="false" outlineLevel="0" collapsed="false">
      <c r="A3444" s="2" t="s">
        <v>271</v>
      </c>
      <c r="B3444" s="2" t="s">
        <v>272</v>
      </c>
      <c r="C3444" s="2" t="s">
        <v>24</v>
      </c>
      <c r="D3444" s="3" t="n">
        <v>46236</v>
      </c>
      <c r="E3444" s="2" t="str">
        <f aca="false">TEXT(D3444,"dddd")</f>
        <v>Sunday</v>
      </c>
      <c r="F3444" s="2" t="s">
        <v>460</v>
      </c>
      <c r="G3444" s="2"/>
      <c r="H3444" s="2"/>
      <c r="I3444" s="2" t="n">
        <f aca="false">IF(F3444="Present",9,IF(F3444="Half Day",4,0))</f>
        <v>0</v>
      </c>
      <c r="J3444" s="2"/>
      <c r="K3444" s="2" t="s">
        <v>460</v>
      </c>
    </row>
    <row r="3445" customFormat="false" ht="15" hidden="false" customHeight="false" outlineLevel="0" collapsed="false">
      <c r="A3445" s="2" t="s">
        <v>271</v>
      </c>
      <c r="B3445" s="2" t="s">
        <v>272</v>
      </c>
      <c r="C3445" s="2" t="s">
        <v>24</v>
      </c>
      <c r="D3445" s="3" t="n">
        <v>46237</v>
      </c>
      <c r="E3445" s="2" t="str">
        <f aca="false">TEXT(D3445,"dddd")</f>
        <v>Monday</v>
      </c>
      <c r="F3445" s="2" t="s">
        <v>457</v>
      </c>
      <c r="G3445" s="2" t="s">
        <v>458</v>
      </c>
      <c r="H3445" s="2" t="s">
        <v>459</v>
      </c>
      <c r="I3445" s="2" t="n">
        <f aca="false">IF(F3445="Present",9,IF(F3445="Half Day",4,0))</f>
        <v>9</v>
      </c>
      <c r="J3445" s="2"/>
      <c r="K3445" s="2"/>
    </row>
    <row r="3446" customFormat="false" ht="15" hidden="false" customHeight="false" outlineLevel="0" collapsed="false">
      <c r="A3446" s="2" t="s">
        <v>271</v>
      </c>
      <c r="B3446" s="2" t="s">
        <v>272</v>
      </c>
      <c r="C3446" s="2" t="s">
        <v>24</v>
      </c>
      <c r="D3446" s="3" t="n">
        <v>46238</v>
      </c>
      <c r="E3446" s="2" t="str">
        <f aca="false">TEXT(D3446,"dddd")</f>
        <v>Tuesday</v>
      </c>
      <c r="F3446" s="2" t="s">
        <v>457</v>
      </c>
      <c r="G3446" s="2" t="s">
        <v>458</v>
      </c>
      <c r="H3446" s="2" t="s">
        <v>459</v>
      </c>
      <c r="I3446" s="2" t="n">
        <f aca="false">IF(F3446="Present",9,IF(F3446="Half Day",4,0))</f>
        <v>9</v>
      </c>
      <c r="J3446" s="2"/>
      <c r="K3446" s="2"/>
    </row>
    <row r="3447" customFormat="false" ht="15" hidden="false" customHeight="false" outlineLevel="0" collapsed="false">
      <c r="A3447" s="2" t="s">
        <v>271</v>
      </c>
      <c r="B3447" s="2" t="s">
        <v>272</v>
      </c>
      <c r="C3447" s="2" t="s">
        <v>24</v>
      </c>
      <c r="D3447" s="3" t="n">
        <v>46239</v>
      </c>
      <c r="E3447" s="2" t="str">
        <f aca="false">TEXT(D3447,"dddd")</f>
        <v>Wednesday</v>
      </c>
      <c r="F3447" s="2" t="s">
        <v>457</v>
      </c>
      <c r="G3447" s="2" t="s">
        <v>458</v>
      </c>
      <c r="H3447" s="2" t="s">
        <v>459</v>
      </c>
      <c r="I3447" s="2" t="n">
        <f aca="false">IF(F3447="Present",9,IF(F3447="Half Day",4,0))</f>
        <v>9</v>
      </c>
      <c r="J3447" s="2"/>
      <c r="K3447" s="2"/>
    </row>
    <row r="3448" customFormat="false" ht="15" hidden="false" customHeight="false" outlineLevel="0" collapsed="false">
      <c r="A3448" s="2" t="s">
        <v>271</v>
      </c>
      <c r="B3448" s="2" t="s">
        <v>272</v>
      </c>
      <c r="C3448" s="2" t="s">
        <v>24</v>
      </c>
      <c r="D3448" s="3" t="n">
        <v>46240</v>
      </c>
      <c r="E3448" s="2" t="str">
        <f aca="false">TEXT(D3448,"dddd")</f>
        <v>Thursday</v>
      </c>
      <c r="F3448" s="2" t="s">
        <v>457</v>
      </c>
      <c r="G3448" s="2" t="s">
        <v>458</v>
      </c>
      <c r="H3448" s="2" t="s">
        <v>459</v>
      </c>
      <c r="I3448" s="2" t="n">
        <f aca="false">IF(F3448="Present",9,IF(F3448="Half Day",4,0))</f>
        <v>9</v>
      </c>
      <c r="J3448" s="2"/>
      <c r="K3448" s="2"/>
    </row>
    <row r="3449" customFormat="false" ht="15" hidden="false" customHeight="false" outlineLevel="0" collapsed="false">
      <c r="A3449" s="2" t="s">
        <v>271</v>
      </c>
      <c r="B3449" s="2" t="s">
        <v>272</v>
      </c>
      <c r="C3449" s="2" t="s">
        <v>24</v>
      </c>
      <c r="D3449" s="3" t="n">
        <v>46241</v>
      </c>
      <c r="E3449" s="2" t="str">
        <f aca="false">TEXT(D3449,"dddd")</f>
        <v>Friday</v>
      </c>
      <c r="F3449" s="2" t="s">
        <v>457</v>
      </c>
      <c r="G3449" s="2" t="s">
        <v>458</v>
      </c>
      <c r="H3449" s="2" t="s">
        <v>459</v>
      </c>
      <c r="I3449" s="2" t="n">
        <f aca="false">IF(F3449="Present",9,IF(F3449="Half Day",4,0))</f>
        <v>9</v>
      </c>
      <c r="J3449" s="2"/>
      <c r="K3449" s="2"/>
    </row>
    <row r="3450" customFormat="false" ht="15" hidden="false" customHeight="false" outlineLevel="0" collapsed="false">
      <c r="A3450" s="2" t="s">
        <v>271</v>
      </c>
      <c r="B3450" s="2" t="s">
        <v>272</v>
      </c>
      <c r="C3450" s="2" t="s">
        <v>24</v>
      </c>
      <c r="D3450" s="3" t="n">
        <v>46242</v>
      </c>
      <c r="E3450" s="2" t="str">
        <f aca="false">TEXT(D3450,"dddd")</f>
        <v>Saturday</v>
      </c>
      <c r="F3450" s="2" t="s">
        <v>457</v>
      </c>
      <c r="G3450" s="2" t="s">
        <v>458</v>
      </c>
      <c r="H3450" s="2" t="s">
        <v>459</v>
      </c>
      <c r="I3450" s="2" t="n">
        <f aca="false">IF(F3450="Present",9,IF(F3450="Half Day",4,0))</f>
        <v>9</v>
      </c>
      <c r="J3450" s="2"/>
      <c r="K3450" s="2"/>
    </row>
    <row r="3451" customFormat="false" ht="15" hidden="false" customHeight="false" outlineLevel="0" collapsed="false">
      <c r="A3451" s="2" t="s">
        <v>271</v>
      </c>
      <c r="B3451" s="2" t="s">
        <v>272</v>
      </c>
      <c r="C3451" s="2" t="s">
        <v>24</v>
      </c>
      <c r="D3451" s="3" t="n">
        <v>46243</v>
      </c>
      <c r="E3451" s="2" t="str">
        <f aca="false">TEXT(D3451,"dddd")</f>
        <v>Sunday</v>
      </c>
      <c r="F3451" s="2" t="s">
        <v>460</v>
      </c>
      <c r="G3451" s="2"/>
      <c r="H3451" s="2"/>
      <c r="I3451" s="2" t="n">
        <f aca="false">IF(F3451="Present",9,IF(F3451="Half Day",4,0))</f>
        <v>0</v>
      </c>
      <c r="J3451" s="2"/>
      <c r="K3451" s="2" t="s">
        <v>460</v>
      </c>
    </row>
    <row r="3452" customFormat="false" ht="15" hidden="false" customHeight="false" outlineLevel="0" collapsed="false">
      <c r="A3452" s="2" t="s">
        <v>271</v>
      </c>
      <c r="B3452" s="2" t="s">
        <v>272</v>
      </c>
      <c r="C3452" s="2" t="s">
        <v>24</v>
      </c>
      <c r="D3452" s="3" t="n">
        <v>46244</v>
      </c>
      <c r="E3452" s="2" t="str">
        <f aca="false">TEXT(D3452,"dddd")</f>
        <v>Monday</v>
      </c>
      <c r="F3452" s="2" t="s">
        <v>457</v>
      </c>
      <c r="G3452" s="2" t="s">
        <v>458</v>
      </c>
      <c r="H3452" s="2" t="s">
        <v>459</v>
      </c>
      <c r="I3452" s="2" t="n">
        <f aca="false">IF(F3452="Present",9,IF(F3452="Half Day",4,0))</f>
        <v>9</v>
      </c>
      <c r="J3452" s="2"/>
      <c r="K3452" s="2"/>
    </row>
    <row r="3453" customFormat="false" ht="15" hidden="false" customHeight="false" outlineLevel="0" collapsed="false">
      <c r="A3453" s="2" t="s">
        <v>271</v>
      </c>
      <c r="B3453" s="2" t="s">
        <v>272</v>
      </c>
      <c r="C3453" s="2" t="s">
        <v>24</v>
      </c>
      <c r="D3453" s="3" t="n">
        <v>46245</v>
      </c>
      <c r="E3453" s="2" t="str">
        <f aca="false">TEXT(D3453,"dddd")</f>
        <v>Tuesday</v>
      </c>
      <c r="F3453" s="2" t="s">
        <v>457</v>
      </c>
      <c r="G3453" s="2" t="s">
        <v>458</v>
      </c>
      <c r="H3453" s="2" t="s">
        <v>459</v>
      </c>
      <c r="I3453" s="2" t="n">
        <f aca="false">IF(F3453="Present",9,IF(F3453="Half Day",4,0))</f>
        <v>9</v>
      </c>
      <c r="J3453" s="2"/>
      <c r="K3453" s="2"/>
    </row>
    <row r="3454" customFormat="false" ht="15" hidden="false" customHeight="false" outlineLevel="0" collapsed="false">
      <c r="A3454" s="2" t="s">
        <v>271</v>
      </c>
      <c r="B3454" s="2" t="s">
        <v>272</v>
      </c>
      <c r="C3454" s="2" t="s">
        <v>24</v>
      </c>
      <c r="D3454" s="3" t="n">
        <v>46246</v>
      </c>
      <c r="E3454" s="2" t="str">
        <f aca="false">TEXT(D3454,"dddd")</f>
        <v>Wednesday</v>
      </c>
      <c r="F3454" s="2" t="s">
        <v>457</v>
      </c>
      <c r="G3454" s="2" t="s">
        <v>458</v>
      </c>
      <c r="H3454" s="2" t="s">
        <v>459</v>
      </c>
      <c r="I3454" s="2" t="n">
        <f aca="false">IF(F3454="Present",9,IF(F3454="Half Day",4,0))</f>
        <v>9</v>
      </c>
      <c r="J3454" s="2"/>
      <c r="K3454" s="2"/>
    </row>
    <row r="3455" customFormat="false" ht="15" hidden="false" customHeight="false" outlineLevel="0" collapsed="false">
      <c r="A3455" s="2" t="s">
        <v>271</v>
      </c>
      <c r="B3455" s="2" t="s">
        <v>272</v>
      </c>
      <c r="C3455" s="2" t="s">
        <v>24</v>
      </c>
      <c r="D3455" s="3" t="n">
        <v>46247</v>
      </c>
      <c r="E3455" s="2" t="str">
        <f aca="false">TEXT(D3455,"dddd")</f>
        <v>Thursday</v>
      </c>
      <c r="F3455" s="2" t="s">
        <v>457</v>
      </c>
      <c r="G3455" s="2" t="s">
        <v>458</v>
      </c>
      <c r="H3455" s="2" t="s">
        <v>459</v>
      </c>
      <c r="I3455" s="2" t="n">
        <f aca="false">IF(F3455="Present",9,IF(F3455="Half Day",4,0))</f>
        <v>9</v>
      </c>
      <c r="J3455" s="2"/>
      <c r="K3455" s="2"/>
    </row>
    <row r="3456" customFormat="false" ht="15" hidden="false" customHeight="false" outlineLevel="0" collapsed="false">
      <c r="A3456" s="2" t="s">
        <v>271</v>
      </c>
      <c r="B3456" s="2" t="s">
        <v>272</v>
      </c>
      <c r="C3456" s="2" t="s">
        <v>24</v>
      </c>
      <c r="D3456" s="3" t="n">
        <v>46248</v>
      </c>
      <c r="E3456" s="2" t="str">
        <f aca="false">TEXT(D3456,"dddd")</f>
        <v>Friday</v>
      </c>
      <c r="F3456" s="2" t="s">
        <v>457</v>
      </c>
      <c r="G3456" s="2" t="s">
        <v>458</v>
      </c>
      <c r="H3456" s="2" t="s">
        <v>459</v>
      </c>
      <c r="I3456" s="2" t="n">
        <f aca="false">IF(F3456="Present",9,IF(F3456="Half Day",4,0))</f>
        <v>9</v>
      </c>
      <c r="J3456" s="2"/>
      <c r="K3456" s="2"/>
    </row>
    <row r="3457" customFormat="false" ht="15" hidden="false" customHeight="false" outlineLevel="0" collapsed="false">
      <c r="A3457" s="2" t="s">
        <v>271</v>
      </c>
      <c r="B3457" s="2" t="s">
        <v>272</v>
      </c>
      <c r="C3457" s="2" t="s">
        <v>24</v>
      </c>
      <c r="D3457" s="3" t="n">
        <v>46249</v>
      </c>
      <c r="E3457" s="2" t="str">
        <f aca="false">TEXT(D3457,"dddd")</f>
        <v>Saturday</v>
      </c>
      <c r="F3457" s="2" t="s">
        <v>457</v>
      </c>
      <c r="G3457" s="2" t="s">
        <v>458</v>
      </c>
      <c r="H3457" s="2" t="s">
        <v>459</v>
      </c>
      <c r="I3457" s="2" t="n">
        <f aca="false">IF(F3457="Present",9,IF(F3457="Half Day",4,0))</f>
        <v>9</v>
      </c>
      <c r="J3457" s="2"/>
      <c r="K3457" s="2"/>
    </row>
    <row r="3458" customFormat="false" ht="15" hidden="false" customHeight="false" outlineLevel="0" collapsed="false">
      <c r="A3458" s="2" t="s">
        <v>271</v>
      </c>
      <c r="B3458" s="2" t="s">
        <v>272</v>
      </c>
      <c r="C3458" s="2" t="s">
        <v>24</v>
      </c>
      <c r="D3458" s="3" t="n">
        <v>46250</v>
      </c>
      <c r="E3458" s="2" t="str">
        <f aca="false">TEXT(D3458,"dddd")</f>
        <v>Sunday</v>
      </c>
      <c r="F3458" s="2" t="s">
        <v>460</v>
      </c>
      <c r="G3458" s="2"/>
      <c r="H3458" s="2"/>
      <c r="I3458" s="2" t="n">
        <f aca="false">IF(F3458="Present",9,IF(F3458="Half Day",4,0))</f>
        <v>0</v>
      </c>
      <c r="J3458" s="2"/>
      <c r="K3458" s="2" t="s">
        <v>460</v>
      </c>
    </row>
    <row r="3459" customFormat="false" ht="15" hidden="false" customHeight="false" outlineLevel="0" collapsed="false">
      <c r="A3459" s="2" t="s">
        <v>271</v>
      </c>
      <c r="B3459" s="2" t="s">
        <v>272</v>
      </c>
      <c r="C3459" s="2" t="s">
        <v>24</v>
      </c>
      <c r="D3459" s="3" t="n">
        <v>46251</v>
      </c>
      <c r="E3459" s="2" t="str">
        <f aca="false">TEXT(D3459,"dddd")</f>
        <v>Monday</v>
      </c>
      <c r="F3459" s="2" t="s">
        <v>457</v>
      </c>
      <c r="G3459" s="2" t="s">
        <v>458</v>
      </c>
      <c r="H3459" s="2" t="s">
        <v>459</v>
      </c>
      <c r="I3459" s="2" t="n">
        <f aca="false">IF(F3459="Present",9,IF(F3459="Half Day",4,0))</f>
        <v>9</v>
      </c>
      <c r="J3459" s="2"/>
      <c r="K3459" s="2"/>
    </row>
    <row r="3460" customFormat="false" ht="15" hidden="false" customHeight="false" outlineLevel="0" collapsed="false">
      <c r="A3460" s="2" t="s">
        <v>271</v>
      </c>
      <c r="B3460" s="2" t="s">
        <v>272</v>
      </c>
      <c r="C3460" s="2" t="s">
        <v>24</v>
      </c>
      <c r="D3460" s="3" t="n">
        <v>46252</v>
      </c>
      <c r="E3460" s="2" t="str">
        <f aca="false">TEXT(D3460,"dddd")</f>
        <v>Tuesday</v>
      </c>
      <c r="F3460" s="2" t="s">
        <v>457</v>
      </c>
      <c r="G3460" s="2" t="s">
        <v>458</v>
      </c>
      <c r="H3460" s="2" t="s">
        <v>459</v>
      </c>
      <c r="I3460" s="2" t="n">
        <f aca="false">IF(F3460="Present",9,IF(F3460="Half Day",4,0))</f>
        <v>9</v>
      </c>
      <c r="J3460" s="2"/>
      <c r="K3460" s="2"/>
    </row>
    <row r="3461" customFormat="false" ht="15" hidden="false" customHeight="false" outlineLevel="0" collapsed="false">
      <c r="A3461" s="2" t="s">
        <v>271</v>
      </c>
      <c r="B3461" s="2" t="s">
        <v>272</v>
      </c>
      <c r="C3461" s="2" t="s">
        <v>24</v>
      </c>
      <c r="D3461" s="3" t="n">
        <v>46253</v>
      </c>
      <c r="E3461" s="2" t="str">
        <f aca="false">TEXT(D3461,"dddd")</f>
        <v>Wednesday</v>
      </c>
      <c r="F3461" s="2" t="s">
        <v>457</v>
      </c>
      <c r="G3461" s="2" t="s">
        <v>458</v>
      </c>
      <c r="H3461" s="2" t="s">
        <v>459</v>
      </c>
      <c r="I3461" s="2" t="n">
        <f aca="false">IF(F3461="Present",9,IF(F3461="Half Day",4,0))</f>
        <v>9</v>
      </c>
      <c r="J3461" s="2"/>
      <c r="K3461" s="2"/>
    </row>
    <row r="3462" customFormat="false" ht="15" hidden="false" customHeight="false" outlineLevel="0" collapsed="false">
      <c r="A3462" s="2" t="s">
        <v>271</v>
      </c>
      <c r="B3462" s="2" t="s">
        <v>272</v>
      </c>
      <c r="C3462" s="2" t="s">
        <v>24</v>
      </c>
      <c r="D3462" s="3" t="n">
        <v>46254</v>
      </c>
      <c r="E3462" s="2" t="str">
        <f aca="false">TEXT(D3462,"dddd")</f>
        <v>Thursday</v>
      </c>
      <c r="F3462" s="2" t="s">
        <v>457</v>
      </c>
      <c r="G3462" s="2" t="s">
        <v>458</v>
      </c>
      <c r="H3462" s="2" t="s">
        <v>459</v>
      </c>
      <c r="I3462" s="2" t="n">
        <f aca="false">IF(F3462="Present",9,IF(F3462="Half Day",4,0))</f>
        <v>9</v>
      </c>
      <c r="J3462" s="2"/>
      <c r="K3462" s="2"/>
    </row>
    <row r="3463" customFormat="false" ht="15" hidden="false" customHeight="false" outlineLevel="0" collapsed="false">
      <c r="A3463" s="2" t="s">
        <v>271</v>
      </c>
      <c r="B3463" s="2" t="s">
        <v>272</v>
      </c>
      <c r="C3463" s="2" t="s">
        <v>24</v>
      </c>
      <c r="D3463" s="3" t="n">
        <v>46255</v>
      </c>
      <c r="E3463" s="2" t="str">
        <f aca="false">TEXT(D3463,"dddd")</f>
        <v>Friday</v>
      </c>
      <c r="F3463" s="2" t="s">
        <v>457</v>
      </c>
      <c r="G3463" s="2" t="s">
        <v>458</v>
      </c>
      <c r="H3463" s="2" t="s">
        <v>459</v>
      </c>
      <c r="I3463" s="2" t="n">
        <f aca="false">IF(F3463="Present",9,IF(F3463="Half Day",4,0))</f>
        <v>9</v>
      </c>
      <c r="J3463" s="2"/>
      <c r="K3463" s="2"/>
    </row>
    <row r="3464" customFormat="false" ht="15" hidden="false" customHeight="false" outlineLevel="0" collapsed="false">
      <c r="A3464" s="2" t="s">
        <v>271</v>
      </c>
      <c r="B3464" s="2" t="s">
        <v>272</v>
      </c>
      <c r="C3464" s="2" t="s">
        <v>24</v>
      </c>
      <c r="D3464" s="3" t="n">
        <v>46256</v>
      </c>
      <c r="E3464" s="2" t="str">
        <f aca="false">TEXT(D3464,"dddd")</f>
        <v>Saturday</v>
      </c>
      <c r="F3464" s="2" t="s">
        <v>457</v>
      </c>
      <c r="G3464" s="2" t="s">
        <v>458</v>
      </c>
      <c r="H3464" s="2" t="s">
        <v>459</v>
      </c>
      <c r="I3464" s="2" t="n">
        <f aca="false">IF(F3464="Present",9,IF(F3464="Half Day",4,0))</f>
        <v>9</v>
      </c>
      <c r="J3464" s="2"/>
      <c r="K3464" s="2"/>
    </row>
    <row r="3465" customFormat="false" ht="15" hidden="false" customHeight="false" outlineLevel="0" collapsed="false">
      <c r="A3465" s="2" t="s">
        <v>271</v>
      </c>
      <c r="B3465" s="2" t="s">
        <v>272</v>
      </c>
      <c r="C3465" s="2" t="s">
        <v>24</v>
      </c>
      <c r="D3465" s="3" t="n">
        <v>46257</v>
      </c>
      <c r="E3465" s="2" t="str">
        <f aca="false">TEXT(D3465,"dddd")</f>
        <v>Sunday</v>
      </c>
      <c r="F3465" s="2" t="s">
        <v>460</v>
      </c>
      <c r="G3465" s="2"/>
      <c r="H3465" s="2"/>
      <c r="I3465" s="2" t="n">
        <f aca="false">IF(F3465="Present",9,IF(F3465="Half Day",4,0))</f>
        <v>0</v>
      </c>
      <c r="J3465" s="2"/>
      <c r="K3465" s="2" t="s">
        <v>460</v>
      </c>
    </row>
    <row r="3466" customFormat="false" ht="15" hidden="false" customHeight="false" outlineLevel="0" collapsed="false">
      <c r="A3466" s="2" t="s">
        <v>271</v>
      </c>
      <c r="B3466" s="2" t="s">
        <v>272</v>
      </c>
      <c r="C3466" s="2" t="s">
        <v>24</v>
      </c>
      <c r="D3466" s="3" t="n">
        <v>46258</v>
      </c>
      <c r="E3466" s="2" t="str">
        <f aca="false">TEXT(D3466,"dddd")</f>
        <v>Monday</v>
      </c>
      <c r="F3466" s="2" t="s">
        <v>457</v>
      </c>
      <c r="G3466" s="2" t="s">
        <v>458</v>
      </c>
      <c r="H3466" s="2" t="s">
        <v>459</v>
      </c>
      <c r="I3466" s="2" t="n">
        <f aca="false">IF(F3466="Present",9,IF(F3466="Half Day",4,0))</f>
        <v>9</v>
      </c>
      <c r="J3466" s="2"/>
      <c r="K3466" s="2"/>
    </row>
    <row r="3467" customFormat="false" ht="15" hidden="false" customHeight="false" outlineLevel="0" collapsed="false">
      <c r="A3467" s="2" t="s">
        <v>271</v>
      </c>
      <c r="B3467" s="2" t="s">
        <v>272</v>
      </c>
      <c r="C3467" s="2" t="s">
        <v>24</v>
      </c>
      <c r="D3467" s="3" t="n">
        <v>46259</v>
      </c>
      <c r="E3467" s="2" t="str">
        <f aca="false">TEXT(D3467,"dddd")</f>
        <v>Tuesday</v>
      </c>
      <c r="F3467" s="2" t="s">
        <v>457</v>
      </c>
      <c r="G3467" s="2" t="s">
        <v>458</v>
      </c>
      <c r="H3467" s="2" t="s">
        <v>459</v>
      </c>
      <c r="I3467" s="2" t="n">
        <f aca="false">IF(F3467="Present",9,IF(F3467="Half Day",4,0))</f>
        <v>9</v>
      </c>
      <c r="J3467" s="2"/>
      <c r="K3467" s="2"/>
    </row>
    <row r="3468" customFormat="false" ht="15" hidden="false" customHeight="false" outlineLevel="0" collapsed="false">
      <c r="A3468" s="2" t="s">
        <v>271</v>
      </c>
      <c r="B3468" s="2" t="s">
        <v>272</v>
      </c>
      <c r="C3468" s="2" t="s">
        <v>24</v>
      </c>
      <c r="D3468" s="3" t="n">
        <v>46260</v>
      </c>
      <c r="E3468" s="2" t="str">
        <f aca="false">TEXT(D3468,"dddd")</f>
        <v>Wednesday</v>
      </c>
      <c r="F3468" s="2" t="s">
        <v>457</v>
      </c>
      <c r="G3468" s="2" t="s">
        <v>458</v>
      </c>
      <c r="H3468" s="2" t="s">
        <v>459</v>
      </c>
      <c r="I3468" s="2" t="n">
        <f aca="false">IF(F3468="Present",9,IF(F3468="Half Day",4,0))</f>
        <v>9</v>
      </c>
      <c r="J3468" s="2"/>
      <c r="K3468" s="2"/>
    </row>
    <row r="3469" customFormat="false" ht="15" hidden="false" customHeight="false" outlineLevel="0" collapsed="false">
      <c r="A3469" s="2" t="s">
        <v>271</v>
      </c>
      <c r="B3469" s="2" t="s">
        <v>272</v>
      </c>
      <c r="C3469" s="2" t="s">
        <v>24</v>
      </c>
      <c r="D3469" s="3" t="n">
        <v>46261</v>
      </c>
      <c r="E3469" s="2" t="str">
        <f aca="false">TEXT(D3469,"dddd")</f>
        <v>Thursday</v>
      </c>
      <c r="F3469" s="2" t="s">
        <v>457</v>
      </c>
      <c r="G3469" s="2" t="s">
        <v>458</v>
      </c>
      <c r="H3469" s="2" t="s">
        <v>459</v>
      </c>
      <c r="I3469" s="2" t="n">
        <f aca="false">IF(F3469="Present",9,IF(F3469="Half Day",4,0))</f>
        <v>9</v>
      </c>
      <c r="J3469" s="2"/>
      <c r="K3469" s="2"/>
    </row>
    <row r="3470" customFormat="false" ht="15" hidden="false" customHeight="false" outlineLevel="0" collapsed="false">
      <c r="A3470" s="2" t="s">
        <v>271</v>
      </c>
      <c r="B3470" s="2" t="s">
        <v>272</v>
      </c>
      <c r="C3470" s="2" t="s">
        <v>24</v>
      </c>
      <c r="D3470" s="3" t="n">
        <v>46262</v>
      </c>
      <c r="E3470" s="2" t="str">
        <f aca="false">TEXT(D3470,"dddd")</f>
        <v>Friday</v>
      </c>
      <c r="F3470" s="2" t="s">
        <v>457</v>
      </c>
      <c r="G3470" s="2" t="s">
        <v>458</v>
      </c>
      <c r="H3470" s="2" t="s">
        <v>459</v>
      </c>
      <c r="I3470" s="2" t="n">
        <f aca="false">IF(F3470="Present",9,IF(F3470="Half Day",4,0))</f>
        <v>9</v>
      </c>
      <c r="J3470" s="2"/>
      <c r="K3470" s="2"/>
    </row>
    <row r="3471" customFormat="false" ht="15" hidden="false" customHeight="false" outlineLevel="0" collapsed="false">
      <c r="A3471" s="2" t="s">
        <v>271</v>
      </c>
      <c r="B3471" s="2" t="s">
        <v>272</v>
      </c>
      <c r="C3471" s="2" t="s">
        <v>24</v>
      </c>
      <c r="D3471" s="3" t="n">
        <v>46263</v>
      </c>
      <c r="E3471" s="2" t="str">
        <f aca="false">TEXT(D3471,"dddd")</f>
        <v>Saturday</v>
      </c>
      <c r="F3471" s="2" t="s">
        <v>457</v>
      </c>
      <c r="G3471" s="2" t="s">
        <v>458</v>
      </c>
      <c r="H3471" s="2" t="s">
        <v>459</v>
      </c>
      <c r="I3471" s="2" t="n">
        <f aca="false">IF(F3471="Present",9,IF(F3471="Half Day",4,0))</f>
        <v>9</v>
      </c>
      <c r="J3471" s="2"/>
      <c r="K3471" s="2"/>
    </row>
    <row r="3472" customFormat="false" ht="15" hidden="false" customHeight="false" outlineLevel="0" collapsed="false">
      <c r="A3472" s="2" t="s">
        <v>271</v>
      </c>
      <c r="B3472" s="2" t="s">
        <v>272</v>
      </c>
      <c r="C3472" s="2" t="s">
        <v>24</v>
      </c>
      <c r="D3472" s="3" t="n">
        <v>46264</v>
      </c>
      <c r="E3472" s="2" t="str">
        <f aca="false">TEXT(D3472,"dddd")</f>
        <v>Sunday</v>
      </c>
      <c r="F3472" s="2" t="s">
        <v>460</v>
      </c>
      <c r="G3472" s="2"/>
      <c r="H3472" s="2"/>
      <c r="I3472" s="2" t="n">
        <f aca="false">IF(F3472="Present",9,IF(F3472="Half Day",4,0))</f>
        <v>0</v>
      </c>
      <c r="J3472" s="2"/>
      <c r="K3472" s="2" t="s">
        <v>460</v>
      </c>
    </row>
    <row r="3473" customFormat="false" ht="15" hidden="false" customHeight="false" outlineLevel="0" collapsed="false">
      <c r="A3473" s="2" t="s">
        <v>271</v>
      </c>
      <c r="B3473" s="2" t="s">
        <v>272</v>
      </c>
      <c r="C3473" s="2" t="s">
        <v>24</v>
      </c>
      <c r="D3473" s="3" t="n">
        <v>46265</v>
      </c>
      <c r="E3473" s="2" t="str">
        <f aca="false">TEXT(D3473,"dddd")</f>
        <v>Monday</v>
      </c>
      <c r="F3473" s="2" t="s">
        <v>457</v>
      </c>
      <c r="G3473" s="2" t="s">
        <v>458</v>
      </c>
      <c r="H3473" s="2" t="s">
        <v>459</v>
      </c>
      <c r="I3473" s="2" t="n">
        <f aca="false">IF(F3473="Present",9,IF(F3473="Half Day",4,0))</f>
        <v>9</v>
      </c>
      <c r="J3473" s="2"/>
      <c r="K3473" s="2"/>
    </row>
    <row r="3474" customFormat="false" ht="15" hidden="false" customHeight="false" outlineLevel="0" collapsed="false">
      <c r="A3474" s="2" t="s">
        <v>273</v>
      </c>
      <c r="B3474" s="2" t="s">
        <v>274</v>
      </c>
      <c r="C3474" s="2" t="s">
        <v>28</v>
      </c>
      <c r="D3474" s="3" t="n">
        <v>46235</v>
      </c>
      <c r="E3474" s="2" t="str">
        <f aca="false">TEXT(D3474,"dddd")</f>
        <v>Saturday</v>
      </c>
      <c r="F3474" s="2" t="s">
        <v>457</v>
      </c>
      <c r="G3474" s="2" t="s">
        <v>458</v>
      </c>
      <c r="H3474" s="2" t="s">
        <v>459</v>
      </c>
      <c r="I3474" s="2" t="n">
        <f aca="false">IF(F3474="Present",9,IF(F3474="Half Day",4,0))</f>
        <v>9</v>
      </c>
      <c r="J3474" s="2"/>
      <c r="K3474" s="2"/>
    </row>
    <row r="3475" customFormat="false" ht="15" hidden="false" customHeight="false" outlineLevel="0" collapsed="false">
      <c r="A3475" s="2" t="s">
        <v>273</v>
      </c>
      <c r="B3475" s="2" t="s">
        <v>274</v>
      </c>
      <c r="C3475" s="2" t="s">
        <v>28</v>
      </c>
      <c r="D3475" s="3" t="n">
        <v>46236</v>
      </c>
      <c r="E3475" s="2" t="str">
        <f aca="false">TEXT(D3475,"dddd")</f>
        <v>Sunday</v>
      </c>
      <c r="F3475" s="2" t="s">
        <v>460</v>
      </c>
      <c r="G3475" s="2"/>
      <c r="H3475" s="2"/>
      <c r="I3475" s="2" t="n">
        <f aca="false">IF(F3475="Present",9,IF(F3475="Half Day",4,0))</f>
        <v>0</v>
      </c>
      <c r="J3475" s="2"/>
      <c r="K3475" s="2" t="s">
        <v>460</v>
      </c>
    </row>
    <row r="3476" customFormat="false" ht="15" hidden="false" customHeight="false" outlineLevel="0" collapsed="false">
      <c r="A3476" s="2" t="s">
        <v>273</v>
      </c>
      <c r="B3476" s="2" t="s">
        <v>274</v>
      </c>
      <c r="C3476" s="2" t="s">
        <v>28</v>
      </c>
      <c r="D3476" s="3" t="n">
        <v>46237</v>
      </c>
      <c r="E3476" s="2" t="str">
        <f aca="false">TEXT(D3476,"dddd")</f>
        <v>Monday</v>
      </c>
      <c r="F3476" s="2" t="s">
        <v>461</v>
      </c>
      <c r="G3476" s="2"/>
      <c r="H3476" s="2"/>
      <c r="I3476" s="2" t="n">
        <f aca="false">IF(F3476="Present",9,IF(F3476="Half Day",4,0))</f>
        <v>0</v>
      </c>
      <c r="J3476" s="2"/>
      <c r="K3476" s="2" t="s">
        <v>462</v>
      </c>
    </row>
    <row r="3477" customFormat="false" ht="15" hidden="false" customHeight="false" outlineLevel="0" collapsed="false">
      <c r="A3477" s="2" t="s">
        <v>273</v>
      </c>
      <c r="B3477" s="2" t="s">
        <v>274</v>
      </c>
      <c r="C3477" s="2" t="s">
        <v>28</v>
      </c>
      <c r="D3477" s="3" t="n">
        <v>46238</v>
      </c>
      <c r="E3477" s="2" t="str">
        <f aca="false">TEXT(D3477,"dddd")</f>
        <v>Tuesday</v>
      </c>
      <c r="F3477" s="2" t="s">
        <v>457</v>
      </c>
      <c r="G3477" s="2" t="s">
        <v>458</v>
      </c>
      <c r="H3477" s="2" t="s">
        <v>459</v>
      </c>
      <c r="I3477" s="2" t="n">
        <f aca="false">IF(F3477="Present",9,IF(F3477="Half Day",4,0))</f>
        <v>9</v>
      </c>
      <c r="J3477" s="2"/>
      <c r="K3477" s="2"/>
    </row>
    <row r="3478" customFormat="false" ht="15" hidden="false" customHeight="false" outlineLevel="0" collapsed="false">
      <c r="A3478" s="2" t="s">
        <v>273</v>
      </c>
      <c r="B3478" s="2" t="s">
        <v>274</v>
      </c>
      <c r="C3478" s="2" t="s">
        <v>28</v>
      </c>
      <c r="D3478" s="3" t="n">
        <v>46239</v>
      </c>
      <c r="E3478" s="2" t="str">
        <f aca="false">TEXT(D3478,"dddd")</f>
        <v>Wednesday</v>
      </c>
      <c r="F3478" s="2" t="s">
        <v>461</v>
      </c>
      <c r="G3478" s="2"/>
      <c r="H3478" s="2"/>
      <c r="I3478" s="2" t="n">
        <f aca="false">IF(F3478="Present",9,IF(F3478="Half Day",4,0))</f>
        <v>0</v>
      </c>
      <c r="J3478" s="2"/>
      <c r="K3478" s="2" t="s">
        <v>462</v>
      </c>
    </row>
    <row r="3479" customFormat="false" ht="15" hidden="false" customHeight="false" outlineLevel="0" collapsed="false">
      <c r="A3479" s="2" t="s">
        <v>273</v>
      </c>
      <c r="B3479" s="2" t="s">
        <v>274</v>
      </c>
      <c r="C3479" s="2" t="s">
        <v>28</v>
      </c>
      <c r="D3479" s="3" t="n">
        <v>46240</v>
      </c>
      <c r="E3479" s="2" t="str">
        <f aca="false">TEXT(D3479,"dddd")</f>
        <v>Thursday</v>
      </c>
      <c r="F3479" s="2" t="s">
        <v>457</v>
      </c>
      <c r="G3479" s="2" t="s">
        <v>458</v>
      </c>
      <c r="H3479" s="2" t="s">
        <v>459</v>
      </c>
      <c r="I3479" s="2" t="n">
        <f aca="false">IF(F3479="Present",9,IF(F3479="Half Day",4,0))</f>
        <v>9</v>
      </c>
      <c r="J3479" s="2"/>
      <c r="K3479" s="2"/>
    </row>
    <row r="3480" customFormat="false" ht="15" hidden="false" customHeight="false" outlineLevel="0" collapsed="false">
      <c r="A3480" s="2" t="s">
        <v>273</v>
      </c>
      <c r="B3480" s="2" t="s">
        <v>274</v>
      </c>
      <c r="C3480" s="2" t="s">
        <v>28</v>
      </c>
      <c r="D3480" s="3" t="n">
        <v>46241</v>
      </c>
      <c r="E3480" s="2" t="str">
        <f aca="false">TEXT(D3480,"dddd")</f>
        <v>Friday</v>
      </c>
      <c r="F3480" s="2" t="s">
        <v>457</v>
      </c>
      <c r="G3480" s="2" t="s">
        <v>458</v>
      </c>
      <c r="H3480" s="2" t="s">
        <v>459</v>
      </c>
      <c r="I3480" s="2" t="n">
        <f aca="false">IF(F3480="Present",9,IF(F3480="Half Day",4,0))</f>
        <v>9</v>
      </c>
      <c r="J3480" s="2"/>
      <c r="K3480" s="2"/>
    </row>
    <row r="3481" customFormat="false" ht="15" hidden="false" customHeight="false" outlineLevel="0" collapsed="false">
      <c r="A3481" s="2" t="s">
        <v>273</v>
      </c>
      <c r="B3481" s="2" t="s">
        <v>274</v>
      </c>
      <c r="C3481" s="2" t="s">
        <v>28</v>
      </c>
      <c r="D3481" s="3" t="n">
        <v>46242</v>
      </c>
      <c r="E3481" s="2" t="str">
        <f aca="false">TEXT(D3481,"dddd")</f>
        <v>Saturday</v>
      </c>
      <c r="F3481" s="2" t="s">
        <v>457</v>
      </c>
      <c r="G3481" s="2" t="s">
        <v>458</v>
      </c>
      <c r="H3481" s="2" t="s">
        <v>459</v>
      </c>
      <c r="I3481" s="2" t="n">
        <f aca="false">IF(F3481="Present",9,IF(F3481="Half Day",4,0))</f>
        <v>9</v>
      </c>
      <c r="J3481" s="2"/>
      <c r="K3481" s="2"/>
    </row>
    <row r="3482" customFormat="false" ht="15" hidden="false" customHeight="false" outlineLevel="0" collapsed="false">
      <c r="A3482" s="2" t="s">
        <v>273</v>
      </c>
      <c r="B3482" s="2" t="s">
        <v>274</v>
      </c>
      <c r="C3482" s="2" t="s">
        <v>28</v>
      </c>
      <c r="D3482" s="3" t="n">
        <v>46243</v>
      </c>
      <c r="E3482" s="2" t="str">
        <f aca="false">TEXT(D3482,"dddd")</f>
        <v>Sunday</v>
      </c>
      <c r="F3482" s="2" t="s">
        <v>460</v>
      </c>
      <c r="G3482" s="2"/>
      <c r="H3482" s="2"/>
      <c r="I3482" s="2" t="n">
        <f aca="false">IF(F3482="Present",9,IF(F3482="Half Day",4,0))</f>
        <v>0</v>
      </c>
      <c r="J3482" s="2"/>
      <c r="K3482" s="2" t="s">
        <v>460</v>
      </c>
    </row>
    <row r="3483" customFormat="false" ht="15" hidden="false" customHeight="false" outlineLevel="0" collapsed="false">
      <c r="A3483" s="2" t="s">
        <v>273</v>
      </c>
      <c r="B3483" s="2" t="s">
        <v>274</v>
      </c>
      <c r="C3483" s="2" t="s">
        <v>28</v>
      </c>
      <c r="D3483" s="3" t="n">
        <v>46244</v>
      </c>
      <c r="E3483" s="2" t="str">
        <f aca="false">TEXT(D3483,"dddd")</f>
        <v>Monday</v>
      </c>
      <c r="F3483" s="2" t="s">
        <v>457</v>
      </c>
      <c r="G3483" s="2" t="s">
        <v>458</v>
      </c>
      <c r="H3483" s="2" t="s">
        <v>459</v>
      </c>
      <c r="I3483" s="2" t="n">
        <f aca="false">IF(F3483="Present",9,IF(F3483="Half Day",4,0))</f>
        <v>9</v>
      </c>
      <c r="J3483" s="2"/>
      <c r="K3483" s="2"/>
    </row>
    <row r="3484" customFormat="false" ht="15" hidden="false" customHeight="false" outlineLevel="0" collapsed="false">
      <c r="A3484" s="2" t="s">
        <v>273</v>
      </c>
      <c r="B3484" s="2" t="s">
        <v>274</v>
      </c>
      <c r="C3484" s="2" t="s">
        <v>28</v>
      </c>
      <c r="D3484" s="3" t="n">
        <v>46245</v>
      </c>
      <c r="E3484" s="2" t="str">
        <f aca="false">TEXT(D3484,"dddd")</f>
        <v>Tuesday</v>
      </c>
      <c r="F3484" s="2" t="s">
        <v>457</v>
      </c>
      <c r="G3484" s="2" t="s">
        <v>458</v>
      </c>
      <c r="H3484" s="2" t="s">
        <v>459</v>
      </c>
      <c r="I3484" s="2" t="n">
        <f aca="false">IF(F3484="Present",9,IF(F3484="Half Day",4,0))</f>
        <v>9</v>
      </c>
      <c r="J3484" s="2"/>
      <c r="K3484" s="2"/>
    </row>
    <row r="3485" customFormat="false" ht="15" hidden="false" customHeight="false" outlineLevel="0" collapsed="false">
      <c r="A3485" s="2" t="s">
        <v>273</v>
      </c>
      <c r="B3485" s="2" t="s">
        <v>274</v>
      </c>
      <c r="C3485" s="2" t="s">
        <v>28</v>
      </c>
      <c r="D3485" s="3" t="n">
        <v>46246</v>
      </c>
      <c r="E3485" s="2" t="str">
        <f aca="false">TEXT(D3485,"dddd")</f>
        <v>Wednesday</v>
      </c>
      <c r="F3485" s="2" t="s">
        <v>457</v>
      </c>
      <c r="G3485" s="2" t="s">
        <v>458</v>
      </c>
      <c r="H3485" s="2" t="s">
        <v>459</v>
      </c>
      <c r="I3485" s="2" t="n">
        <f aca="false">IF(F3485="Present",9,IF(F3485="Half Day",4,0))</f>
        <v>9</v>
      </c>
      <c r="J3485" s="2"/>
      <c r="K3485" s="2"/>
    </row>
    <row r="3486" customFormat="false" ht="15" hidden="false" customHeight="false" outlineLevel="0" collapsed="false">
      <c r="A3486" s="2" t="s">
        <v>273</v>
      </c>
      <c r="B3486" s="2" t="s">
        <v>274</v>
      </c>
      <c r="C3486" s="2" t="s">
        <v>28</v>
      </c>
      <c r="D3486" s="3" t="n">
        <v>46247</v>
      </c>
      <c r="E3486" s="2" t="str">
        <f aca="false">TEXT(D3486,"dddd")</f>
        <v>Thursday</v>
      </c>
      <c r="F3486" s="2" t="s">
        <v>457</v>
      </c>
      <c r="G3486" s="2" t="s">
        <v>458</v>
      </c>
      <c r="H3486" s="2" t="s">
        <v>459</v>
      </c>
      <c r="I3486" s="2" t="n">
        <f aca="false">IF(F3486="Present",9,IF(F3486="Half Day",4,0))</f>
        <v>9</v>
      </c>
      <c r="J3486" s="2"/>
      <c r="K3486" s="2"/>
    </row>
    <row r="3487" customFormat="false" ht="15" hidden="false" customHeight="false" outlineLevel="0" collapsed="false">
      <c r="A3487" s="2" t="s">
        <v>273</v>
      </c>
      <c r="B3487" s="2" t="s">
        <v>274</v>
      </c>
      <c r="C3487" s="2" t="s">
        <v>28</v>
      </c>
      <c r="D3487" s="3" t="n">
        <v>46248</v>
      </c>
      <c r="E3487" s="2" t="str">
        <f aca="false">TEXT(D3487,"dddd")</f>
        <v>Friday</v>
      </c>
      <c r="F3487" s="2" t="s">
        <v>457</v>
      </c>
      <c r="G3487" s="2" t="s">
        <v>458</v>
      </c>
      <c r="H3487" s="2" t="s">
        <v>459</v>
      </c>
      <c r="I3487" s="2" t="n">
        <f aca="false">IF(F3487="Present",9,IF(F3487="Half Day",4,0))</f>
        <v>9</v>
      </c>
      <c r="J3487" s="2"/>
      <c r="K3487" s="2"/>
    </row>
    <row r="3488" customFormat="false" ht="15" hidden="false" customHeight="false" outlineLevel="0" collapsed="false">
      <c r="A3488" s="2" t="s">
        <v>273</v>
      </c>
      <c r="B3488" s="2" t="s">
        <v>274</v>
      </c>
      <c r="C3488" s="2" t="s">
        <v>28</v>
      </c>
      <c r="D3488" s="3" t="n">
        <v>46249</v>
      </c>
      <c r="E3488" s="2" t="str">
        <f aca="false">TEXT(D3488,"dddd")</f>
        <v>Saturday</v>
      </c>
      <c r="F3488" s="2" t="s">
        <v>457</v>
      </c>
      <c r="G3488" s="2" t="s">
        <v>458</v>
      </c>
      <c r="H3488" s="2" t="s">
        <v>459</v>
      </c>
      <c r="I3488" s="2" t="n">
        <f aca="false">IF(F3488="Present",9,IF(F3488="Half Day",4,0))</f>
        <v>9</v>
      </c>
      <c r="J3488" s="2"/>
      <c r="K3488" s="2"/>
    </row>
    <row r="3489" customFormat="false" ht="15" hidden="false" customHeight="false" outlineLevel="0" collapsed="false">
      <c r="A3489" s="2" t="s">
        <v>273</v>
      </c>
      <c r="B3489" s="2" t="s">
        <v>274</v>
      </c>
      <c r="C3489" s="2" t="s">
        <v>28</v>
      </c>
      <c r="D3489" s="3" t="n">
        <v>46250</v>
      </c>
      <c r="E3489" s="2" t="str">
        <f aca="false">TEXT(D3489,"dddd")</f>
        <v>Sunday</v>
      </c>
      <c r="F3489" s="2" t="s">
        <v>460</v>
      </c>
      <c r="G3489" s="2"/>
      <c r="H3489" s="2"/>
      <c r="I3489" s="2" t="n">
        <f aca="false">IF(F3489="Present",9,IF(F3489="Half Day",4,0))</f>
        <v>0</v>
      </c>
      <c r="J3489" s="2"/>
      <c r="K3489" s="2" t="s">
        <v>460</v>
      </c>
    </row>
    <row r="3490" customFormat="false" ht="15" hidden="false" customHeight="false" outlineLevel="0" collapsed="false">
      <c r="A3490" s="2" t="s">
        <v>273</v>
      </c>
      <c r="B3490" s="2" t="s">
        <v>274</v>
      </c>
      <c r="C3490" s="2" t="s">
        <v>28</v>
      </c>
      <c r="D3490" s="3" t="n">
        <v>46251</v>
      </c>
      <c r="E3490" s="2" t="str">
        <f aca="false">TEXT(D3490,"dddd")</f>
        <v>Monday</v>
      </c>
      <c r="F3490" s="2" t="s">
        <v>457</v>
      </c>
      <c r="G3490" s="2" t="s">
        <v>458</v>
      </c>
      <c r="H3490" s="2" t="s">
        <v>459</v>
      </c>
      <c r="I3490" s="2" t="n">
        <f aca="false">IF(F3490="Present",9,IF(F3490="Half Day",4,0))</f>
        <v>9</v>
      </c>
      <c r="J3490" s="2"/>
      <c r="K3490" s="2"/>
    </row>
    <row r="3491" customFormat="false" ht="15" hidden="false" customHeight="false" outlineLevel="0" collapsed="false">
      <c r="A3491" s="2" t="s">
        <v>273</v>
      </c>
      <c r="B3491" s="2" t="s">
        <v>274</v>
      </c>
      <c r="C3491" s="2" t="s">
        <v>28</v>
      </c>
      <c r="D3491" s="3" t="n">
        <v>46252</v>
      </c>
      <c r="E3491" s="2" t="str">
        <f aca="false">TEXT(D3491,"dddd")</f>
        <v>Tuesday</v>
      </c>
      <c r="F3491" s="2" t="s">
        <v>457</v>
      </c>
      <c r="G3491" s="2" t="s">
        <v>458</v>
      </c>
      <c r="H3491" s="2" t="s">
        <v>459</v>
      </c>
      <c r="I3491" s="2" t="n">
        <f aca="false">IF(F3491="Present",9,IF(F3491="Half Day",4,0))</f>
        <v>9</v>
      </c>
      <c r="J3491" s="2"/>
      <c r="K3491" s="2"/>
    </row>
    <row r="3492" customFormat="false" ht="15" hidden="false" customHeight="false" outlineLevel="0" collapsed="false">
      <c r="A3492" s="2" t="s">
        <v>273</v>
      </c>
      <c r="B3492" s="2" t="s">
        <v>274</v>
      </c>
      <c r="C3492" s="2" t="s">
        <v>28</v>
      </c>
      <c r="D3492" s="3" t="n">
        <v>46253</v>
      </c>
      <c r="E3492" s="2" t="str">
        <f aca="false">TEXT(D3492,"dddd")</f>
        <v>Wednesday</v>
      </c>
      <c r="F3492" s="2" t="s">
        <v>457</v>
      </c>
      <c r="G3492" s="2" t="s">
        <v>458</v>
      </c>
      <c r="H3492" s="2" t="s">
        <v>459</v>
      </c>
      <c r="I3492" s="2" t="n">
        <f aca="false">IF(F3492="Present",9,IF(F3492="Half Day",4,0))</f>
        <v>9</v>
      </c>
      <c r="J3492" s="2"/>
      <c r="K3492" s="2"/>
    </row>
    <row r="3493" customFormat="false" ht="15" hidden="false" customHeight="false" outlineLevel="0" collapsed="false">
      <c r="A3493" s="2" t="s">
        <v>273</v>
      </c>
      <c r="B3493" s="2" t="s">
        <v>274</v>
      </c>
      <c r="C3493" s="2" t="s">
        <v>28</v>
      </c>
      <c r="D3493" s="3" t="n">
        <v>46254</v>
      </c>
      <c r="E3493" s="2" t="str">
        <f aca="false">TEXT(D3493,"dddd")</f>
        <v>Thursday</v>
      </c>
      <c r="F3493" s="2" t="s">
        <v>457</v>
      </c>
      <c r="G3493" s="2" t="s">
        <v>458</v>
      </c>
      <c r="H3493" s="2" t="s">
        <v>459</v>
      </c>
      <c r="I3493" s="2" t="n">
        <f aca="false">IF(F3493="Present",9,IF(F3493="Half Day",4,0))</f>
        <v>9</v>
      </c>
      <c r="J3493" s="2"/>
      <c r="K3493" s="2"/>
    </row>
    <row r="3494" customFormat="false" ht="15" hidden="false" customHeight="false" outlineLevel="0" collapsed="false">
      <c r="A3494" s="2" t="s">
        <v>273</v>
      </c>
      <c r="B3494" s="2" t="s">
        <v>274</v>
      </c>
      <c r="C3494" s="2" t="s">
        <v>28</v>
      </c>
      <c r="D3494" s="3" t="n">
        <v>46255</v>
      </c>
      <c r="E3494" s="2" t="str">
        <f aca="false">TEXT(D3494,"dddd")</f>
        <v>Friday</v>
      </c>
      <c r="F3494" s="2" t="s">
        <v>457</v>
      </c>
      <c r="G3494" s="2" t="s">
        <v>458</v>
      </c>
      <c r="H3494" s="2" t="s">
        <v>459</v>
      </c>
      <c r="I3494" s="2" t="n">
        <f aca="false">IF(F3494="Present",9,IF(F3494="Half Day",4,0))</f>
        <v>9</v>
      </c>
      <c r="J3494" s="2"/>
      <c r="K3494" s="2"/>
    </row>
    <row r="3495" customFormat="false" ht="15" hidden="false" customHeight="false" outlineLevel="0" collapsed="false">
      <c r="A3495" s="2" t="s">
        <v>273</v>
      </c>
      <c r="B3495" s="2" t="s">
        <v>274</v>
      </c>
      <c r="C3495" s="2" t="s">
        <v>28</v>
      </c>
      <c r="D3495" s="3" t="n">
        <v>46256</v>
      </c>
      <c r="E3495" s="2" t="str">
        <f aca="false">TEXT(D3495,"dddd")</f>
        <v>Saturday</v>
      </c>
      <c r="F3495" s="2" t="s">
        <v>461</v>
      </c>
      <c r="G3495" s="2"/>
      <c r="H3495" s="2"/>
      <c r="I3495" s="2" t="n">
        <f aca="false">IF(F3495="Present",9,IF(F3495="Half Day",4,0))</f>
        <v>0</v>
      </c>
      <c r="J3495" s="2"/>
      <c r="K3495" s="2" t="s">
        <v>462</v>
      </c>
    </row>
    <row r="3496" customFormat="false" ht="15" hidden="false" customHeight="false" outlineLevel="0" collapsed="false">
      <c r="A3496" s="2" t="s">
        <v>273</v>
      </c>
      <c r="B3496" s="2" t="s">
        <v>274</v>
      </c>
      <c r="C3496" s="2" t="s">
        <v>28</v>
      </c>
      <c r="D3496" s="3" t="n">
        <v>46257</v>
      </c>
      <c r="E3496" s="2" t="str">
        <f aca="false">TEXT(D3496,"dddd")</f>
        <v>Sunday</v>
      </c>
      <c r="F3496" s="2" t="s">
        <v>460</v>
      </c>
      <c r="G3496" s="2"/>
      <c r="H3496" s="2"/>
      <c r="I3496" s="2" t="n">
        <f aca="false">IF(F3496="Present",9,IF(F3496="Half Day",4,0))</f>
        <v>0</v>
      </c>
      <c r="J3496" s="2"/>
      <c r="K3496" s="2" t="s">
        <v>460</v>
      </c>
    </row>
    <row r="3497" customFormat="false" ht="15" hidden="false" customHeight="false" outlineLevel="0" collapsed="false">
      <c r="A3497" s="2" t="s">
        <v>273</v>
      </c>
      <c r="B3497" s="2" t="s">
        <v>274</v>
      </c>
      <c r="C3497" s="2" t="s">
        <v>28</v>
      </c>
      <c r="D3497" s="3" t="n">
        <v>46258</v>
      </c>
      <c r="E3497" s="2" t="str">
        <f aca="false">TEXT(D3497,"dddd")</f>
        <v>Monday</v>
      </c>
      <c r="F3497" s="2" t="s">
        <v>457</v>
      </c>
      <c r="G3497" s="2" t="s">
        <v>458</v>
      </c>
      <c r="H3497" s="2" t="s">
        <v>459</v>
      </c>
      <c r="I3497" s="2" t="n">
        <f aca="false">IF(F3497="Present",9,IF(F3497="Half Day",4,0))</f>
        <v>9</v>
      </c>
      <c r="J3497" s="2"/>
      <c r="K3497" s="2"/>
    </row>
    <row r="3498" customFormat="false" ht="15" hidden="false" customHeight="false" outlineLevel="0" collapsed="false">
      <c r="A3498" s="2" t="s">
        <v>273</v>
      </c>
      <c r="B3498" s="2" t="s">
        <v>274</v>
      </c>
      <c r="C3498" s="2" t="s">
        <v>28</v>
      </c>
      <c r="D3498" s="3" t="n">
        <v>46259</v>
      </c>
      <c r="E3498" s="2" t="str">
        <f aca="false">TEXT(D3498,"dddd")</f>
        <v>Tuesday</v>
      </c>
      <c r="F3498" s="2" t="s">
        <v>457</v>
      </c>
      <c r="G3498" s="2" t="s">
        <v>458</v>
      </c>
      <c r="H3498" s="2" t="s">
        <v>459</v>
      </c>
      <c r="I3498" s="2" t="n">
        <f aca="false">IF(F3498="Present",9,IF(F3498="Half Day",4,0))</f>
        <v>9</v>
      </c>
      <c r="J3498" s="2"/>
      <c r="K3498" s="2"/>
    </row>
    <row r="3499" customFormat="false" ht="15" hidden="false" customHeight="false" outlineLevel="0" collapsed="false">
      <c r="A3499" s="2" t="s">
        <v>273</v>
      </c>
      <c r="B3499" s="2" t="s">
        <v>274</v>
      </c>
      <c r="C3499" s="2" t="s">
        <v>28</v>
      </c>
      <c r="D3499" s="3" t="n">
        <v>46260</v>
      </c>
      <c r="E3499" s="2" t="str">
        <f aca="false">TEXT(D3499,"dddd")</f>
        <v>Wednesday</v>
      </c>
      <c r="F3499" s="2" t="s">
        <v>457</v>
      </c>
      <c r="G3499" s="2" t="s">
        <v>458</v>
      </c>
      <c r="H3499" s="2" t="s">
        <v>459</v>
      </c>
      <c r="I3499" s="2" t="n">
        <f aca="false">IF(F3499="Present",9,IF(F3499="Half Day",4,0))</f>
        <v>9</v>
      </c>
      <c r="J3499" s="2"/>
      <c r="K3499" s="2"/>
    </row>
    <row r="3500" customFormat="false" ht="15" hidden="false" customHeight="false" outlineLevel="0" collapsed="false">
      <c r="A3500" s="2" t="s">
        <v>273</v>
      </c>
      <c r="B3500" s="2" t="s">
        <v>274</v>
      </c>
      <c r="C3500" s="2" t="s">
        <v>28</v>
      </c>
      <c r="D3500" s="3" t="n">
        <v>46261</v>
      </c>
      <c r="E3500" s="2" t="str">
        <f aca="false">TEXT(D3500,"dddd")</f>
        <v>Thursday</v>
      </c>
      <c r="F3500" s="2" t="s">
        <v>461</v>
      </c>
      <c r="G3500" s="2"/>
      <c r="H3500" s="2"/>
      <c r="I3500" s="2" t="n">
        <f aca="false">IF(F3500="Present",9,IF(F3500="Half Day",4,0))</f>
        <v>0</v>
      </c>
      <c r="J3500" s="2"/>
      <c r="K3500" s="2" t="s">
        <v>462</v>
      </c>
    </row>
    <row r="3501" customFormat="false" ht="15" hidden="false" customHeight="false" outlineLevel="0" collapsed="false">
      <c r="A3501" s="2" t="s">
        <v>273</v>
      </c>
      <c r="B3501" s="2" t="s">
        <v>274</v>
      </c>
      <c r="C3501" s="2" t="s">
        <v>28</v>
      </c>
      <c r="D3501" s="3" t="n">
        <v>46262</v>
      </c>
      <c r="E3501" s="2" t="str">
        <f aca="false">TEXT(D3501,"dddd")</f>
        <v>Friday</v>
      </c>
      <c r="F3501" s="2" t="s">
        <v>457</v>
      </c>
      <c r="G3501" s="2" t="s">
        <v>458</v>
      </c>
      <c r="H3501" s="2" t="s">
        <v>459</v>
      </c>
      <c r="I3501" s="2" t="n">
        <f aca="false">IF(F3501="Present",9,IF(F3501="Half Day",4,0))</f>
        <v>9</v>
      </c>
      <c r="J3501" s="2"/>
      <c r="K3501" s="2"/>
    </row>
    <row r="3502" customFormat="false" ht="15" hidden="false" customHeight="false" outlineLevel="0" collapsed="false">
      <c r="A3502" s="2" t="s">
        <v>273</v>
      </c>
      <c r="B3502" s="2" t="s">
        <v>274</v>
      </c>
      <c r="C3502" s="2" t="s">
        <v>28</v>
      </c>
      <c r="D3502" s="3" t="n">
        <v>46263</v>
      </c>
      <c r="E3502" s="2" t="str">
        <f aca="false">TEXT(D3502,"dddd")</f>
        <v>Saturday</v>
      </c>
      <c r="F3502" s="2" t="s">
        <v>457</v>
      </c>
      <c r="G3502" s="2" t="s">
        <v>458</v>
      </c>
      <c r="H3502" s="2" t="s">
        <v>459</v>
      </c>
      <c r="I3502" s="2" t="n">
        <f aca="false">IF(F3502="Present",9,IF(F3502="Half Day",4,0))</f>
        <v>9</v>
      </c>
      <c r="J3502" s="2"/>
      <c r="K3502" s="2"/>
    </row>
    <row r="3503" customFormat="false" ht="15" hidden="false" customHeight="false" outlineLevel="0" collapsed="false">
      <c r="A3503" s="2" t="s">
        <v>273</v>
      </c>
      <c r="B3503" s="2" t="s">
        <v>274</v>
      </c>
      <c r="C3503" s="2" t="s">
        <v>28</v>
      </c>
      <c r="D3503" s="3" t="n">
        <v>46264</v>
      </c>
      <c r="E3503" s="2" t="str">
        <f aca="false">TEXT(D3503,"dddd")</f>
        <v>Sunday</v>
      </c>
      <c r="F3503" s="2" t="s">
        <v>460</v>
      </c>
      <c r="G3503" s="2"/>
      <c r="H3503" s="2"/>
      <c r="I3503" s="2" t="n">
        <f aca="false">IF(F3503="Present",9,IF(F3503="Half Day",4,0))</f>
        <v>0</v>
      </c>
      <c r="J3503" s="2"/>
      <c r="K3503" s="2" t="s">
        <v>460</v>
      </c>
    </row>
    <row r="3504" customFormat="false" ht="15" hidden="false" customHeight="false" outlineLevel="0" collapsed="false">
      <c r="A3504" s="2" t="s">
        <v>273</v>
      </c>
      <c r="B3504" s="2" t="s">
        <v>274</v>
      </c>
      <c r="C3504" s="2" t="s">
        <v>28</v>
      </c>
      <c r="D3504" s="3" t="n">
        <v>46265</v>
      </c>
      <c r="E3504" s="2" t="str">
        <f aca="false">TEXT(D3504,"dddd")</f>
        <v>Monday</v>
      </c>
      <c r="F3504" s="2" t="s">
        <v>457</v>
      </c>
      <c r="G3504" s="2" t="s">
        <v>458</v>
      </c>
      <c r="H3504" s="2" t="s">
        <v>459</v>
      </c>
      <c r="I3504" s="2" t="n">
        <f aca="false">IF(F3504="Present",9,IF(F3504="Half Day",4,0))</f>
        <v>9</v>
      </c>
      <c r="J3504" s="2"/>
      <c r="K3504" s="2"/>
    </row>
    <row r="3505" customFormat="false" ht="15" hidden="false" customHeight="false" outlineLevel="0" collapsed="false">
      <c r="A3505" s="2" t="s">
        <v>275</v>
      </c>
      <c r="B3505" s="2" t="s">
        <v>276</v>
      </c>
      <c r="C3505" s="2" t="s">
        <v>32</v>
      </c>
      <c r="D3505" s="3" t="n">
        <v>46235</v>
      </c>
      <c r="E3505" s="2" t="str">
        <f aca="false">TEXT(D3505,"dddd")</f>
        <v>Saturday</v>
      </c>
      <c r="F3505" s="2" t="s">
        <v>457</v>
      </c>
      <c r="G3505" s="2" t="s">
        <v>458</v>
      </c>
      <c r="H3505" s="2" t="s">
        <v>459</v>
      </c>
      <c r="I3505" s="2" t="n">
        <f aca="false">IF(F3505="Present",9,IF(F3505="Half Day",4,0))</f>
        <v>9</v>
      </c>
      <c r="J3505" s="2"/>
      <c r="K3505" s="2"/>
    </row>
    <row r="3506" customFormat="false" ht="15" hidden="false" customHeight="false" outlineLevel="0" collapsed="false">
      <c r="A3506" s="2" t="s">
        <v>275</v>
      </c>
      <c r="B3506" s="2" t="s">
        <v>276</v>
      </c>
      <c r="C3506" s="2" t="s">
        <v>32</v>
      </c>
      <c r="D3506" s="3" t="n">
        <v>46236</v>
      </c>
      <c r="E3506" s="2" t="str">
        <f aca="false">TEXT(D3506,"dddd")</f>
        <v>Sunday</v>
      </c>
      <c r="F3506" s="2" t="s">
        <v>460</v>
      </c>
      <c r="G3506" s="2"/>
      <c r="H3506" s="2"/>
      <c r="I3506" s="2" t="n">
        <f aca="false">IF(F3506="Present",9,IF(F3506="Half Day",4,0))</f>
        <v>0</v>
      </c>
      <c r="J3506" s="2"/>
      <c r="K3506" s="2" t="s">
        <v>460</v>
      </c>
    </row>
    <row r="3507" customFormat="false" ht="15" hidden="false" customHeight="false" outlineLevel="0" collapsed="false">
      <c r="A3507" s="2" t="s">
        <v>275</v>
      </c>
      <c r="B3507" s="2" t="s">
        <v>276</v>
      </c>
      <c r="C3507" s="2" t="s">
        <v>32</v>
      </c>
      <c r="D3507" s="3" t="n">
        <v>46237</v>
      </c>
      <c r="E3507" s="2" t="str">
        <f aca="false">TEXT(D3507,"dddd")</f>
        <v>Monday</v>
      </c>
      <c r="F3507" s="2" t="s">
        <v>466</v>
      </c>
      <c r="G3507" s="2" t="s">
        <v>458</v>
      </c>
      <c r="H3507" s="2" t="s">
        <v>467</v>
      </c>
      <c r="I3507" s="2" t="n">
        <f aca="false">IF(F3507="Present",9,IF(F3507="Half Day",4,0))</f>
        <v>4</v>
      </c>
      <c r="J3507" s="2"/>
      <c r="K3507" s="2" t="s">
        <v>466</v>
      </c>
    </row>
    <row r="3508" customFormat="false" ht="15" hidden="false" customHeight="false" outlineLevel="0" collapsed="false">
      <c r="A3508" s="2" t="s">
        <v>275</v>
      </c>
      <c r="B3508" s="2" t="s">
        <v>276</v>
      </c>
      <c r="C3508" s="2" t="s">
        <v>32</v>
      </c>
      <c r="D3508" s="3" t="n">
        <v>46238</v>
      </c>
      <c r="E3508" s="2" t="str">
        <f aca="false">TEXT(D3508,"dddd")</f>
        <v>Tuesday</v>
      </c>
      <c r="F3508" s="2" t="s">
        <v>457</v>
      </c>
      <c r="G3508" s="2" t="s">
        <v>458</v>
      </c>
      <c r="H3508" s="2" t="s">
        <v>459</v>
      </c>
      <c r="I3508" s="2" t="n">
        <f aca="false">IF(F3508="Present",9,IF(F3508="Half Day",4,0))</f>
        <v>9</v>
      </c>
      <c r="J3508" s="2"/>
      <c r="K3508" s="2"/>
    </row>
    <row r="3509" customFormat="false" ht="15" hidden="false" customHeight="false" outlineLevel="0" collapsed="false">
      <c r="A3509" s="2" t="s">
        <v>275</v>
      </c>
      <c r="B3509" s="2" t="s">
        <v>276</v>
      </c>
      <c r="C3509" s="2" t="s">
        <v>32</v>
      </c>
      <c r="D3509" s="3" t="n">
        <v>46239</v>
      </c>
      <c r="E3509" s="2" t="str">
        <f aca="false">TEXT(D3509,"dddd")</f>
        <v>Wednesday</v>
      </c>
      <c r="F3509" s="2" t="s">
        <v>457</v>
      </c>
      <c r="G3509" s="2" t="s">
        <v>458</v>
      </c>
      <c r="H3509" s="2" t="s">
        <v>459</v>
      </c>
      <c r="I3509" s="2" t="n">
        <f aca="false">IF(F3509="Present",9,IF(F3509="Half Day",4,0))</f>
        <v>9</v>
      </c>
      <c r="J3509" s="2"/>
      <c r="K3509" s="2"/>
    </row>
    <row r="3510" customFormat="false" ht="15" hidden="false" customHeight="false" outlineLevel="0" collapsed="false">
      <c r="A3510" s="2" t="s">
        <v>275</v>
      </c>
      <c r="B3510" s="2" t="s">
        <v>276</v>
      </c>
      <c r="C3510" s="2" t="s">
        <v>32</v>
      </c>
      <c r="D3510" s="3" t="n">
        <v>46240</v>
      </c>
      <c r="E3510" s="2" t="str">
        <f aca="false">TEXT(D3510,"dddd")</f>
        <v>Thursday</v>
      </c>
      <c r="F3510" s="2" t="s">
        <v>457</v>
      </c>
      <c r="G3510" s="2" t="s">
        <v>458</v>
      </c>
      <c r="H3510" s="2" t="s">
        <v>459</v>
      </c>
      <c r="I3510" s="2" t="n">
        <f aca="false">IF(F3510="Present",9,IF(F3510="Half Day",4,0))</f>
        <v>9</v>
      </c>
      <c r="J3510" s="2"/>
      <c r="K3510" s="2"/>
    </row>
    <row r="3511" customFormat="false" ht="15" hidden="false" customHeight="false" outlineLevel="0" collapsed="false">
      <c r="A3511" s="2" t="s">
        <v>275</v>
      </c>
      <c r="B3511" s="2" t="s">
        <v>276</v>
      </c>
      <c r="C3511" s="2" t="s">
        <v>32</v>
      </c>
      <c r="D3511" s="3" t="n">
        <v>46241</v>
      </c>
      <c r="E3511" s="2" t="str">
        <f aca="false">TEXT(D3511,"dddd")</f>
        <v>Friday</v>
      </c>
      <c r="F3511" s="2" t="s">
        <v>457</v>
      </c>
      <c r="G3511" s="2" t="s">
        <v>458</v>
      </c>
      <c r="H3511" s="2" t="s">
        <v>459</v>
      </c>
      <c r="I3511" s="2" t="n">
        <f aca="false">IF(F3511="Present",9,IF(F3511="Half Day",4,0))</f>
        <v>9</v>
      </c>
      <c r="J3511" s="2"/>
      <c r="K3511" s="2"/>
    </row>
    <row r="3512" customFormat="false" ht="15" hidden="false" customHeight="false" outlineLevel="0" collapsed="false">
      <c r="A3512" s="2" t="s">
        <v>275</v>
      </c>
      <c r="B3512" s="2" t="s">
        <v>276</v>
      </c>
      <c r="C3512" s="2" t="s">
        <v>32</v>
      </c>
      <c r="D3512" s="3" t="n">
        <v>46242</v>
      </c>
      <c r="E3512" s="2" t="str">
        <f aca="false">TEXT(D3512,"dddd")</f>
        <v>Saturday</v>
      </c>
      <c r="F3512" s="2" t="s">
        <v>457</v>
      </c>
      <c r="G3512" s="2" t="s">
        <v>458</v>
      </c>
      <c r="H3512" s="2" t="s">
        <v>459</v>
      </c>
      <c r="I3512" s="2" t="n">
        <f aca="false">IF(F3512="Present",9,IF(F3512="Half Day",4,0))</f>
        <v>9</v>
      </c>
      <c r="J3512" s="2"/>
      <c r="K3512" s="2"/>
    </row>
    <row r="3513" customFormat="false" ht="15" hidden="false" customHeight="false" outlineLevel="0" collapsed="false">
      <c r="A3513" s="2" t="s">
        <v>275</v>
      </c>
      <c r="B3513" s="2" t="s">
        <v>276</v>
      </c>
      <c r="C3513" s="2" t="s">
        <v>32</v>
      </c>
      <c r="D3513" s="3" t="n">
        <v>46243</v>
      </c>
      <c r="E3513" s="2" t="str">
        <f aca="false">TEXT(D3513,"dddd")</f>
        <v>Sunday</v>
      </c>
      <c r="F3513" s="2" t="s">
        <v>460</v>
      </c>
      <c r="G3513" s="2"/>
      <c r="H3513" s="2"/>
      <c r="I3513" s="2" t="n">
        <f aca="false">IF(F3513="Present",9,IF(F3513="Half Day",4,0))</f>
        <v>0</v>
      </c>
      <c r="J3513" s="2"/>
      <c r="K3513" s="2" t="s">
        <v>460</v>
      </c>
    </row>
    <row r="3514" customFormat="false" ht="15" hidden="false" customHeight="false" outlineLevel="0" collapsed="false">
      <c r="A3514" s="2" t="s">
        <v>275</v>
      </c>
      <c r="B3514" s="2" t="s">
        <v>276</v>
      </c>
      <c r="C3514" s="2" t="s">
        <v>32</v>
      </c>
      <c r="D3514" s="3" t="n">
        <v>46244</v>
      </c>
      <c r="E3514" s="2" t="str">
        <f aca="false">TEXT(D3514,"dddd")</f>
        <v>Monday</v>
      </c>
      <c r="F3514" s="2" t="s">
        <v>457</v>
      </c>
      <c r="G3514" s="2" t="s">
        <v>458</v>
      </c>
      <c r="H3514" s="2" t="s">
        <v>459</v>
      </c>
      <c r="I3514" s="2" t="n">
        <f aca="false">IF(F3514="Present",9,IF(F3514="Half Day",4,0))</f>
        <v>9</v>
      </c>
      <c r="J3514" s="2"/>
      <c r="K3514" s="2"/>
    </row>
    <row r="3515" customFormat="false" ht="15" hidden="false" customHeight="false" outlineLevel="0" collapsed="false">
      <c r="A3515" s="2" t="s">
        <v>275</v>
      </c>
      <c r="B3515" s="2" t="s">
        <v>276</v>
      </c>
      <c r="C3515" s="2" t="s">
        <v>32</v>
      </c>
      <c r="D3515" s="3" t="n">
        <v>46245</v>
      </c>
      <c r="E3515" s="2" t="str">
        <f aca="false">TEXT(D3515,"dddd")</f>
        <v>Tuesday</v>
      </c>
      <c r="F3515" s="2" t="s">
        <v>457</v>
      </c>
      <c r="G3515" s="2" t="s">
        <v>458</v>
      </c>
      <c r="H3515" s="2" t="s">
        <v>459</v>
      </c>
      <c r="I3515" s="2" t="n">
        <f aca="false">IF(F3515="Present",9,IF(F3515="Half Day",4,0))</f>
        <v>9</v>
      </c>
      <c r="J3515" s="2"/>
      <c r="K3515" s="2"/>
    </row>
    <row r="3516" customFormat="false" ht="15" hidden="false" customHeight="false" outlineLevel="0" collapsed="false">
      <c r="A3516" s="2" t="s">
        <v>275</v>
      </c>
      <c r="B3516" s="2" t="s">
        <v>276</v>
      </c>
      <c r="C3516" s="2" t="s">
        <v>32</v>
      </c>
      <c r="D3516" s="3" t="n">
        <v>46246</v>
      </c>
      <c r="E3516" s="2" t="str">
        <f aca="false">TEXT(D3516,"dddd")</f>
        <v>Wednesday</v>
      </c>
      <c r="F3516" s="2" t="s">
        <v>457</v>
      </c>
      <c r="G3516" s="2" t="s">
        <v>458</v>
      </c>
      <c r="H3516" s="2" t="s">
        <v>459</v>
      </c>
      <c r="I3516" s="2" t="n">
        <f aca="false">IF(F3516="Present",9,IF(F3516="Half Day",4,0))</f>
        <v>9</v>
      </c>
      <c r="J3516" s="2"/>
      <c r="K3516" s="2"/>
    </row>
    <row r="3517" customFormat="false" ht="15" hidden="false" customHeight="false" outlineLevel="0" collapsed="false">
      <c r="A3517" s="2" t="s">
        <v>275</v>
      </c>
      <c r="B3517" s="2" t="s">
        <v>276</v>
      </c>
      <c r="C3517" s="2" t="s">
        <v>32</v>
      </c>
      <c r="D3517" s="3" t="n">
        <v>46247</v>
      </c>
      <c r="E3517" s="2" t="str">
        <f aca="false">TEXT(D3517,"dddd")</f>
        <v>Thursday</v>
      </c>
      <c r="F3517" s="2" t="s">
        <v>457</v>
      </c>
      <c r="G3517" s="2" t="s">
        <v>458</v>
      </c>
      <c r="H3517" s="2" t="s">
        <v>459</v>
      </c>
      <c r="I3517" s="2" t="n">
        <f aca="false">IF(F3517="Present",9,IF(F3517="Half Day",4,0))</f>
        <v>9</v>
      </c>
      <c r="J3517" s="2"/>
      <c r="K3517" s="2"/>
    </row>
    <row r="3518" customFormat="false" ht="15" hidden="false" customHeight="false" outlineLevel="0" collapsed="false">
      <c r="A3518" s="2" t="s">
        <v>275</v>
      </c>
      <c r="B3518" s="2" t="s">
        <v>276</v>
      </c>
      <c r="C3518" s="2" t="s">
        <v>32</v>
      </c>
      <c r="D3518" s="3" t="n">
        <v>46248</v>
      </c>
      <c r="E3518" s="2" t="str">
        <f aca="false">TEXT(D3518,"dddd")</f>
        <v>Friday</v>
      </c>
      <c r="F3518" s="2" t="s">
        <v>457</v>
      </c>
      <c r="G3518" s="2" t="s">
        <v>458</v>
      </c>
      <c r="H3518" s="2" t="s">
        <v>459</v>
      </c>
      <c r="I3518" s="2" t="n">
        <f aca="false">IF(F3518="Present",9,IF(F3518="Half Day",4,0))</f>
        <v>9</v>
      </c>
      <c r="J3518" s="2"/>
      <c r="K3518" s="2"/>
    </row>
    <row r="3519" customFormat="false" ht="15" hidden="false" customHeight="false" outlineLevel="0" collapsed="false">
      <c r="A3519" s="2" t="s">
        <v>275</v>
      </c>
      <c r="B3519" s="2" t="s">
        <v>276</v>
      </c>
      <c r="C3519" s="2" t="s">
        <v>32</v>
      </c>
      <c r="D3519" s="3" t="n">
        <v>46249</v>
      </c>
      <c r="E3519" s="2" t="str">
        <f aca="false">TEXT(D3519,"dddd")</f>
        <v>Saturday</v>
      </c>
      <c r="F3519" s="2" t="s">
        <v>457</v>
      </c>
      <c r="G3519" s="2" t="s">
        <v>458</v>
      </c>
      <c r="H3519" s="2" t="s">
        <v>459</v>
      </c>
      <c r="I3519" s="2" t="n">
        <f aca="false">IF(F3519="Present",9,IF(F3519="Half Day",4,0))</f>
        <v>9</v>
      </c>
      <c r="J3519" s="2"/>
      <c r="K3519" s="2"/>
    </row>
    <row r="3520" customFormat="false" ht="15" hidden="false" customHeight="false" outlineLevel="0" collapsed="false">
      <c r="A3520" s="2" t="s">
        <v>275</v>
      </c>
      <c r="B3520" s="2" t="s">
        <v>276</v>
      </c>
      <c r="C3520" s="2" t="s">
        <v>32</v>
      </c>
      <c r="D3520" s="3" t="n">
        <v>46250</v>
      </c>
      <c r="E3520" s="2" t="str">
        <f aca="false">TEXT(D3520,"dddd")</f>
        <v>Sunday</v>
      </c>
      <c r="F3520" s="2" t="s">
        <v>460</v>
      </c>
      <c r="G3520" s="2"/>
      <c r="H3520" s="2"/>
      <c r="I3520" s="2" t="n">
        <f aca="false">IF(F3520="Present",9,IF(F3520="Half Day",4,0))</f>
        <v>0</v>
      </c>
      <c r="J3520" s="2"/>
      <c r="K3520" s="2" t="s">
        <v>460</v>
      </c>
    </row>
    <row r="3521" customFormat="false" ht="15" hidden="false" customHeight="false" outlineLevel="0" collapsed="false">
      <c r="A3521" s="2" t="s">
        <v>275</v>
      </c>
      <c r="B3521" s="2" t="s">
        <v>276</v>
      </c>
      <c r="C3521" s="2" t="s">
        <v>32</v>
      </c>
      <c r="D3521" s="3" t="n">
        <v>46251</v>
      </c>
      <c r="E3521" s="2" t="str">
        <f aca="false">TEXT(D3521,"dddd")</f>
        <v>Monday</v>
      </c>
      <c r="F3521" s="2" t="s">
        <v>457</v>
      </c>
      <c r="G3521" s="2" t="s">
        <v>458</v>
      </c>
      <c r="H3521" s="2" t="s">
        <v>459</v>
      </c>
      <c r="I3521" s="2" t="n">
        <f aca="false">IF(F3521="Present",9,IF(F3521="Half Day",4,0))</f>
        <v>9</v>
      </c>
      <c r="J3521" s="2"/>
      <c r="K3521" s="2"/>
    </row>
    <row r="3522" customFormat="false" ht="15" hidden="false" customHeight="false" outlineLevel="0" collapsed="false">
      <c r="A3522" s="2" t="s">
        <v>275</v>
      </c>
      <c r="B3522" s="2" t="s">
        <v>276</v>
      </c>
      <c r="C3522" s="2" t="s">
        <v>32</v>
      </c>
      <c r="D3522" s="3" t="n">
        <v>46252</v>
      </c>
      <c r="E3522" s="2" t="str">
        <f aca="false">TEXT(D3522,"dddd")</f>
        <v>Tuesday</v>
      </c>
      <c r="F3522" s="2" t="s">
        <v>457</v>
      </c>
      <c r="G3522" s="2" t="s">
        <v>458</v>
      </c>
      <c r="H3522" s="2" t="s">
        <v>459</v>
      </c>
      <c r="I3522" s="2" t="n">
        <f aca="false">IF(F3522="Present",9,IF(F3522="Half Day",4,0))</f>
        <v>9</v>
      </c>
      <c r="J3522" s="2"/>
      <c r="K3522" s="2"/>
    </row>
    <row r="3523" customFormat="false" ht="15" hidden="false" customHeight="false" outlineLevel="0" collapsed="false">
      <c r="A3523" s="2" t="s">
        <v>275</v>
      </c>
      <c r="B3523" s="2" t="s">
        <v>276</v>
      </c>
      <c r="C3523" s="2" t="s">
        <v>32</v>
      </c>
      <c r="D3523" s="3" t="n">
        <v>46253</v>
      </c>
      <c r="E3523" s="2" t="str">
        <f aca="false">TEXT(D3523,"dddd")</f>
        <v>Wednesday</v>
      </c>
      <c r="F3523" s="2" t="s">
        <v>457</v>
      </c>
      <c r="G3523" s="2" t="s">
        <v>458</v>
      </c>
      <c r="H3523" s="2" t="s">
        <v>459</v>
      </c>
      <c r="I3523" s="2" t="n">
        <f aca="false">IF(F3523="Present",9,IF(F3523="Half Day",4,0))</f>
        <v>9</v>
      </c>
      <c r="J3523" s="2"/>
      <c r="K3523" s="2"/>
    </row>
    <row r="3524" customFormat="false" ht="15" hidden="false" customHeight="false" outlineLevel="0" collapsed="false">
      <c r="A3524" s="2" t="s">
        <v>275</v>
      </c>
      <c r="B3524" s="2" t="s">
        <v>276</v>
      </c>
      <c r="C3524" s="2" t="s">
        <v>32</v>
      </c>
      <c r="D3524" s="3" t="n">
        <v>46254</v>
      </c>
      <c r="E3524" s="2" t="str">
        <f aca="false">TEXT(D3524,"dddd")</f>
        <v>Thursday</v>
      </c>
      <c r="F3524" s="2" t="s">
        <v>457</v>
      </c>
      <c r="G3524" s="2" t="s">
        <v>458</v>
      </c>
      <c r="H3524" s="2" t="s">
        <v>459</v>
      </c>
      <c r="I3524" s="2" t="n">
        <f aca="false">IF(F3524="Present",9,IF(F3524="Half Day",4,0))</f>
        <v>9</v>
      </c>
      <c r="J3524" s="2"/>
      <c r="K3524" s="2"/>
    </row>
    <row r="3525" customFormat="false" ht="15" hidden="false" customHeight="false" outlineLevel="0" collapsed="false">
      <c r="A3525" s="2" t="s">
        <v>275</v>
      </c>
      <c r="B3525" s="2" t="s">
        <v>276</v>
      </c>
      <c r="C3525" s="2" t="s">
        <v>32</v>
      </c>
      <c r="D3525" s="3" t="n">
        <v>46255</v>
      </c>
      <c r="E3525" s="2" t="str">
        <f aca="false">TEXT(D3525,"dddd")</f>
        <v>Friday</v>
      </c>
      <c r="F3525" s="2" t="s">
        <v>457</v>
      </c>
      <c r="G3525" s="2" t="s">
        <v>458</v>
      </c>
      <c r="H3525" s="2" t="s">
        <v>459</v>
      </c>
      <c r="I3525" s="2" t="n">
        <f aca="false">IF(F3525="Present",9,IF(F3525="Half Day",4,0))</f>
        <v>9</v>
      </c>
      <c r="J3525" s="2"/>
      <c r="K3525" s="2"/>
    </row>
    <row r="3526" customFormat="false" ht="15" hidden="false" customHeight="false" outlineLevel="0" collapsed="false">
      <c r="A3526" s="2" t="s">
        <v>275</v>
      </c>
      <c r="B3526" s="2" t="s">
        <v>276</v>
      </c>
      <c r="C3526" s="2" t="s">
        <v>32</v>
      </c>
      <c r="D3526" s="3" t="n">
        <v>46256</v>
      </c>
      <c r="E3526" s="2" t="str">
        <f aca="false">TEXT(D3526,"dddd")</f>
        <v>Saturday</v>
      </c>
      <c r="F3526" s="2" t="s">
        <v>457</v>
      </c>
      <c r="G3526" s="2" t="s">
        <v>458</v>
      </c>
      <c r="H3526" s="2" t="s">
        <v>459</v>
      </c>
      <c r="I3526" s="2" t="n">
        <f aca="false">IF(F3526="Present",9,IF(F3526="Half Day",4,0))</f>
        <v>9</v>
      </c>
      <c r="J3526" s="2"/>
      <c r="K3526" s="2"/>
    </row>
    <row r="3527" customFormat="false" ht="15" hidden="false" customHeight="false" outlineLevel="0" collapsed="false">
      <c r="A3527" s="2" t="s">
        <v>275</v>
      </c>
      <c r="B3527" s="2" t="s">
        <v>276</v>
      </c>
      <c r="C3527" s="2" t="s">
        <v>32</v>
      </c>
      <c r="D3527" s="3" t="n">
        <v>46257</v>
      </c>
      <c r="E3527" s="2" t="str">
        <f aca="false">TEXT(D3527,"dddd")</f>
        <v>Sunday</v>
      </c>
      <c r="F3527" s="2" t="s">
        <v>460</v>
      </c>
      <c r="G3527" s="2"/>
      <c r="H3527" s="2"/>
      <c r="I3527" s="2" t="n">
        <f aca="false">IF(F3527="Present",9,IF(F3527="Half Day",4,0))</f>
        <v>0</v>
      </c>
      <c r="J3527" s="2"/>
      <c r="K3527" s="2" t="s">
        <v>460</v>
      </c>
    </row>
    <row r="3528" customFormat="false" ht="15" hidden="false" customHeight="false" outlineLevel="0" collapsed="false">
      <c r="A3528" s="2" t="s">
        <v>275</v>
      </c>
      <c r="B3528" s="2" t="s">
        <v>276</v>
      </c>
      <c r="C3528" s="2" t="s">
        <v>32</v>
      </c>
      <c r="D3528" s="3" t="n">
        <v>46258</v>
      </c>
      <c r="E3528" s="2" t="str">
        <f aca="false">TEXT(D3528,"dddd")</f>
        <v>Monday</v>
      </c>
      <c r="F3528" s="2" t="s">
        <v>457</v>
      </c>
      <c r="G3528" s="2" t="s">
        <v>458</v>
      </c>
      <c r="H3528" s="2" t="s">
        <v>459</v>
      </c>
      <c r="I3528" s="2" t="n">
        <f aca="false">IF(F3528="Present",9,IF(F3528="Half Day",4,0))</f>
        <v>9</v>
      </c>
      <c r="J3528" s="2"/>
      <c r="K3528" s="2"/>
    </row>
    <row r="3529" customFormat="false" ht="15" hidden="false" customHeight="false" outlineLevel="0" collapsed="false">
      <c r="A3529" s="2" t="s">
        <v>275</v>
      </c>
      <c r="B3529" s="2" t="s">
        <v>276</v>
      </c>
      <c r="C3529" s="2" t="s">
        <v>32</v>
      </c>
      <c r="D3529" s="3" t="n">
        <v>46259</v>
      </c>
      <c r="E3529" s="2" t="str">
        <f aca="false">TEXT(D3529,"dddd")</f>
        <v>Tuesday</v>
      </c>
      <c r="F3529" s="2" t="s">
        <v>457</v>
      </c>
      <c r="G3529" s="2" t="s">
        <v>458</v>
      </c>
      <c r="H3529" s="2" t="s">
        <v>459</v>
      </c>
      <c r="I3529" s="2" t="n">
        <f aca="false">IF(F3529="Present",9,IF(F3529="Half Day",4,0))</f>
        <v>9</v>
      </c>
      <c r="J3529" s="2"/>
      <c r="K3529" s="2"/>
    </row>
    <row r="3530" customFormat="false" ht="15" hidden="false" customHeight="false" outlineLevel="0" collapsed="false">
      <c r="A3530" s="2" t="s">
        <v>275</v>
      </c>
      <c r="B3530" s="2" t="s">
        <v>276</v>
      </c>
      <c r="C3530" s="2" t="s">
        <v>32</v>
      </c>
      <c r="D3530" s="3" t="n">
        <v>46260</v>
      </c>
      <c r="E3530" s="2" t="str">
        <f aca="false">TEXT(D3530,"dddd")</f>
        <v>Wednesday</v>
      </c>
      <c r="F3530" s="2" t="s">
        <v>457</v>
      </c>
      <c r="G3530" s="2" t="s">
        <v>458</v>
      </c>
      <c r="H3530" s="2" t="s">
        <v>459</v>
      </c>
      <c r="I3530" s="2" t="n">
        <f aca="false">IF(F3530="Present",9,IF(F3530="Half Day",4,0))</f>
        <v>9</v>
      </c>
      <c r="J3530" s="2"/>
      <c r="K3530" s="2"/>
    </row>
    <row r="3531" customFormat="false" ht="15" hidden="false" customHeight="false" outlineLevel="0" collapsed="false">
      <c r="A3531" s="2" t="s">
        <v>275</v>
      </c>
      <c r="B3531" s="2" t="s">
        <v>276</v>
      </c>
      <c r="C3531" s="2" t="s">
        <v>32</v>
      </c>
      <c r="D3531" s="3" t="n">
        <v>46261</v>
      </c>
      <c r="E3531" s="2" t="str">
        <f aca="false">TEXT(D3531,"dddd")</f>
        <v>Thursday</v>
      </c>
      <c r="F3531" s="2" t="s">
        <v>457</v>
      </c>
      <c r="G3531" s="2" t="s">
        <v>458</v>
      </c>
      <c r="H3531" s="2" t="s">
        <v>459</v>
      </c>
      <c r="I3531" s="2" t="n">
        <f aca="false">IF(F3531="Present",9,IF(F3531="Half Day",4,0))</f>
        <v>9</v>
      </c>
      <c r="J3531" s="2"/>
      <c r="K3531" s="2"/>
    </row>
    <row r="3532" customFormat="false" ht="15" hidden="false" customHeight="false" outlineLevel="0" collapsed="false">
      <c r="A3532" s="2" t="s">
        <v>275</v>
      </c>
      <c r="B3532" s="2" t="s">
        <v>276</v>
      </c>
      <c r="C3532" s="2" t="s">
        <v>32</v>
      </c>
      <c r="D3532" s="3" t="n">
        <v>46262</v>
      </c>
      <c r="E3532" s="2" t="str">
        <f aca="false">TEXT(D3532,"dddd")</f>
        <v>Friday</v>
      </c>
      <c r="F3532" s="2" t="s">
        <v>457</v>
      </c>
      <c r="G3532" s="2" t="s">
        <v>458</v>
      </c>
      <c r="H3532" s="2" t="s">
        <v>459</v>
      </c>
      <c r="I3532" s="2" t="n">
        <f aca="false">IF(F3532="Present",9,IF(F3532="Half Day",4,0))</f>
        <v>9</v>
      </c>
      <c r="J3532" s="2"/>
      <c r="K3532" s="2"/>
    </row>
    <row r="3533" customFormat="false" ht="15" hidden="false" customHeight="false" outlineLevel="0" collapsed="false">
      <c r="A3533" s="2" t="s">
        <v>275</v>
      </c>
      <c r="B3533" s="2" t="s">
        <v>276</v>
      </c>
      <c r="C3533" s="2" t="s">
        <v>32</v>
      </c>
      <c r="D3533" s="3" t="n">
        <v>46263</v>
      </c>
      <c r="E3533" s="2" t="str">
        <f aca="false">TEXT(D3533,"dddd")</f>
        <v>Saturday</v>
      </c>
      <c r="F3533" s="2" t="s">
        <v>457</v>
      </c>
      <c r="G3533" s="2" t="s">
        <v>458</v>
      </c>
      <c r="H3533" s="2" t="s">
        <v>459</v>
      </c>
      <c r="I3533" s="2" t="n">
        <f aca="false">IF(F3533="Present",9,IF(F3533="Half Day",4,0))</f>
        <v>9</v>
      </c>
      <c r="J3533" s="2"/>
      <c r="K3533" s="2"/>
    </row>
    <row r="3534" customFormat="false" ht="15" hidden="false" customHeight="false" outlineLevel="0" collapsed="false">
      <c r="A3534" s="2" t="s">
        <v>275</v>
      </c>
      <c r="B3534" s="2" t="s">
        <v>276</v>
      </c>
      <c r="C3534" s="2" t="s">
        <v>32</v>
      </c>
      <c r="D3534" s="3" t="n">
        <v>46264</v>
      </c>
      <c r="E3534" s="2" t="str">
        <f aca="false">TEXT(D3534,"dddd")</f>
        <v>Sunday</v>
      </c>
      <c r="F3534" s="2" t="s">
        <v>460</v>
      </c>
      <c r="G3534" s="2"/>
      <c r="H3534" s="2"/>
      <c r="I3534" s="2" t="n">
        <f aca="false">IF(F3534="Present",9,IF(F3534="Half Day",4,0))</f>
        <v>0</v>
      </c>
      <c r="J3534" s="2"/>
      <c r="K3534" s="2" t="s">
        <v>460</v>
      </c>
    </row>
    <row r="3535" customFormat="false" ht="15" hidden="false" customHeight="false" outlineLevel="0" collapsed="false">
      <c r="A3535" s="2" t="s">
        <v>275</v>
      </c>
      <c r="B3535" s="2" t="s">
        <v>276</v>
      </c>
      <c r="C3535" s="2" t="s">
        <v>32</v>
      </c>
      <c r="D3535" s="3" t="n">
        <v>46265</v>
      </c>
      <c r="E3535" s="2" t="str">
        <f aca="false">TEXT(D3535,"dddd")</f>
        <v>Monday</v>
      </c>
      <c r="F3535" s="2" t="s">
        <v>457</v>
      </c>
      <c r="G3535" s="2" t="s">
        <v>458</v>
      </c>
      <c r="H3535" s="2" t="s">
        <v>459</v>
      </c>
      <c r="I3535" s="2" t="n">
        <f aca="false">IF(F3535="Present",9,IF(F3535="Half Day",4,0))</f>
        <v>9</v>
      </c>
      <c r="J3535" s="2"/>
      <c r="K3535" s="2"/>
    </row>
    <row r="3536" customFormat="false" ht="15" hidden="false" customHeight="false" outlineLevel="0" collapsed="false">
      <c r="A3536" s="2" t="s">
        <v>277</v>
      </c>
      <c r="B3536" s="2" t="s">
        <v>278</v>
      </c>
      <c r="C3536" s="2" t="s">
        <v>36</v>
      </c>
      <c r="D3536" s="3" t="n">
        <v>46235</v>
      </c>
      <c r="E3536" s="2" t="str">
        <f aca="false">TEXT(D3536,"dddd")</f>
        <v>Saturday</v>
      </c>
      <c r="F3536" s="2" t="s">
        <v>457</v>
      </c>
      <c r="G3536" s="2" t="s">
        <v>458</v>
      </c>
      <c r="H3536" s="2" t="s">
        <v>459</v>
      </c>
      <c r="I3536" s="2" t="n">
        <f aca="false">IF(F3536="Present",9,IF(F3536="Half Day",4,0))</f>
        <v>9</v>
      </c>
      <c r="J3536" s="2"/>
      <c r="K3536" s="2"/>
    </row>
    <row r="3537" customFormat="false" ht="15" hidden="false" customHeight="false" outlineLevel="0" collapsed="false">
      <c r="A3537" s="2" t="s">
        <v>277</v>
      </c>
      <c r="B3537" s="2" t="s">
        <v>278</v>
      </c>
      <c r="C3537" s="2" t="s">
        <v>36</v>
      </c>
      <c r="D3537" s="3" t="n">
        <v>46236</v>
      </c>
      <c r="E3537" s="2" t="str">
        <f aca="false">TEXT(D3537,"dddd")</f>
        <v>Sunday</v>
      </c>
      <c r="F3537" s="2" t="s">
        <v>460</v>
      </c>
      <c r="G3537" s="2"/>
      <c r="H3537" s="2"/>
      <c r="I3537" s="2" t="n">
        <f aca="false">IF(F3537="Present",9,IF(F3537="Half Day",4,0))</f>
        <v>0</v>
      </c>
      <c r="J3537" s="2"/>
      <c r="K3537" s="2" t="s">
        <v>460</v>
      </c>
    </row>
    <row r="3538" customFormat="false" ht="15" hidden="false" customHeight="false" outlineLevel="0" collapsed="false">
      <c r="A3538" s="2" t="s">
        <v>277</v>
      </c>
      <c r="B3538" s="2" t="s">
        <v>278</v>
      </c>
      <c r="C3538" s="2" t="s">
        <v>36</v>
      </c>
      <c r="D3538" s="3" t="n">
        <v>46237</v>
      </c>
      <c r="E3538" s="2" t="str">
        <f aca="false">TEXT(D3538,"dddd")</f>
        <v>Monday</v>
      </c>
      <c r="F3538" s="2" t="s">
        <v>461</v>
      </c>
      <c r="G3538" s="2"/>
      <c r="H3538" s="2"/>
      <c r="I3538" s="2" t="n">
        <f aca="false">IF(F3538="Present",9,IF(F3538="Half Day",4,0))</f>
        <v>0</v>
      </c>
      <c r="J3538" s="2"/>
      <c r="K3538" s="2" t="s">
        <v>462</v>
      </c>
    </row>
    <row r="3539" customFormat="false" ht="15" hidden="false" customHeight="false" outlineLevel="0" collapsed="false">
      <c r="A3539" s="2" t="s">
        <v>277</v>
      </c>
      <c r="B3539" s="2" t="s">
        <v>278</v>
      </c>
      <c r="C3539" s="2" t="s">
        <v>36</v>
      </c>
      <c r="D3539" s="3" t="n">
        <v>46238</v>
      </c>
      <c r="E3539" s="2" t="str">
        <f aca="false">TEXT(D3539,"dddd")</f>
        <v>Tuesday</v>
      </c>
      <c r="F3539" s="2" t="s">
        <v>461</v>
      </c>
      <c r="G3539" s="2"/>
      <c r="H3539" s="2"/>
      <c r="I3539" s="2" t="n">
        <f aca="false">IF(F3539="Present",9,IF(F3539="Half Day",4,0))</f>
        <v>0</v>
      </c>
      <c r="J3539" s="2"/>
      <c r="K3539" s="2" t="s">
        <v>462</v>
      </c>
    </row>
    <row r="3540" customFormat="false" ht="15" hidden="false" customHeight="false" outlineLevel="0" collapsed="false">
      <c r="A3540" s="2" t="s">
        <v>277</v>
      </c>
      <c r="B3540" s="2" t="s">
        <v>278</v>
      </c>
      <c r="C3540" s="2" t="s">
        <v>36</v>
      </c>
      <c r="D3540" s="3" t="n">
        <v>46239</v>
      </c>
      <c r="E3540" s="2" t="str">
        <f aca="false">TEXT(D3540,"dddd")</f>
        <v>Wednesday</v>
      </c>
      <c r="F3540" s="2" t="s">
        <v>457</v>
      </c>
      <c r="G3540" s="2" t="s">
        <v>458</v>
      </c>
      <c r="H3540" s="2" t="s">
        <v>459</v>
      </c>
      <c r="I3540" s="2" t="n">
        <f aca="false">IF(F3540="Present",9,IF(F3540="Half Day",4,0))</f>
        <v>9</v>
      </c>
      <c r="J3540" s="2"/>
      <c r="K3540" s="2"/>
    </row>
    <row r="3541" customFormat="false" ht="15" hidden="false" customHeight="false" outlineLevel="0" collapsed="false">
      <c r="A3541" s="2" t="s">
        <v>277</v>
      </c>
      <c r="B3541" s="2" t="s">
        <v>278</v>
      </c>
      <c r="C3541" s="2" t="s">
        <v>36</v>
      </c>
      <c r="D3541" s="3" t="n">
        <v>46240</v>
      </c>
      <c r="E3541" s="2" t="str">
        <f aca="false">TEXT(D3541,"dddd")</f>
        <v>Thursday</v>
      </c>
      <c r="F3541" s="2" t="s">
        <v>457</v>
      </c>
      <c r="G3541" s="2" t="s">
        <v>458</v>
      </c>
      <c r="H3541" s="2" t="s">
        <v>459</v>
      </c>
      <c r="I3541" s="2" t="n">
        <f aca="false">IF(F3541="Present",9,IF(F3541="Half Day",4,0))</f>
        <v>9</v>
      </c>
      <c r="J3541" s="2"/>
      <c r="K3541" s="2"/>
    </row>
    <row r="3542" customFormat="false" ht="15" hidden="false" customHeight="false" outlineLevel="0" collapsed="false">
      <c r="A3542" s="2" t="s">
        <v>277</v>
      </c>
      <c r="B3542" s="2" t="s">
        <v>278</v>
      </c>
      <c r="C3542" s="2" t="s">
        <v>36</v>
      </c>
      <c r="D3542" s="3" t="n">
        <v>46241</v>
      </c>
      <c r="E3542" s="2" t="str">
        <f aca="false">TEXT(D3542,"dddd")</f>
        <v>Friday</v>
      </c>
      <c r="F3542" s="2" t="s">
        <v>457</v>
      </c>
      <c r="G3542" s="2" t="s">
        <v>458</v>
      </c>
      <c r="H3542" s="2" t="s">
        <v>459</v>
      </c>
      <c r="I3542" s="2" t="n">
        <f aca="false">IF(F3542="Present",9,IF(F3542="Half Day",4,0))</f>
        <v>9</v>
      </c>
      <c r="J3542" s="2"/>
      <c r="K3542" s="2"/>
    </row>
    <row r="3543" customFormat="false" ht="15" hidden="false" customHeight="false" outlineLevel="0" collapsed="false">
      <c r="A3543" s="2" t="s">
        <v>277</v>
      </c>
      <c r="B3543" s="2" t="s">
        <v>278</v>
      </c>
      <c r="C3543" s="2" t="s">
        <v>36</v>
      </c>
      <c r="D3543" s="3" t="n">
        <v>46242</v>
      </c>
      <c r="E3543" s="2" t="str">
        <f aca="false">TEXT(D3543,"dddd")</f>
        <v>Saturday</v>
      </c>
      <c r="F3543" s="2" t="s">
        <v>457</v>
      </c>
      <c r="G3543" s="2" t="s">
        <v>458</v>
      </c>
      <c r="H3543" s="2" t="s">
        <v>459</v>
      </c>
      <c r="I3543" s="2" t="n">
        <f aca="false">IF(F3543="Present",9,IF(F3543="Half Day",4,0))</f>
        <v>9</v>
      </c>
      <c r="J3543" s="2"/>
      <c r="K3543" s="2"/>
    </row>
    <row r="3544" customFormat="false" ht="15" hidden="false" customHeight="false" outlineLevel="0" collapsed="false">
      <c r="A3544" s="2" t="s">
        <v>277</v>
      </c>
      <c r="B3544" s="2" t="s">
        <v>278</v>
      </c>
      <c r="C3544" s="2" t="s">
        <v>36</v>
      </c>
      <c r="D3544" s="3" t="n">
        <v>46243</v>
      </c>
      <c r="E3544" s="2" t="str">
        <f aca="false">TEXT(D3544,"dddd")</f>
        <v>Sunday</v>
      </c>
      <c r="F3544" s="2" t="s">
        <v>460</v>
      </c>
      <c r="G3544" s="2"/>
      <c r="H3544" s="2"/>
      <c r="I3544" s="2" t="n">
        <f aca="false">IF(F3544="Present",9,IF(F3544="Half Day",4,0))</f>
        <v>0</v>
      </c>
      <c r="J3544" s="2"/>
      <c r="K3544" s="2" t="s">
        <v>460</v>
      </c>
    </row>
    <row r="3545" customFormat="false" ht="15" hidden="false" customHeight="false" outlineLevel="0" collapsed="false">
      <c r="A3545" s="2" t="s">
        <v>277</v>
      </c>
      <c r="B3545" s="2" t="s">
        <v>278</v>
      </c>
      <c r="C3545" s="2" t="s">
        <v>36</v>
      </c>
      <c r="D3545" s="3" t="n">
        <v>46244</v>
      </c>
      <c r="E3545" s="2" t="str">
        <f aca="false">TEXT(D3545,"dddd")</f>
        <v>Monday</v>
      </c>
      <c r="F3545" s="2" t="s">
        <v>457</v>
      </c>
      <c r="G3545" s="2" t="s">
        <v>458</v>
      </c>
      <c r="H3545" s="2" t="s">
        <v>459</v>
      </c>
      <c r="I3545" s="2" t="n">
        <f aca="false">IF(F3545="Present",9,IF(F3545="Half Day",4,0))</f>
        <v>9</v>
      </c>
      <c r="J3545" s="2"/>
      <c r="K3545" s="2"/>
    </row>
    <row r="3546" customFormat="false" ht="15" hidden="false" customHeight="false" outlineLevel="0" collapsed="false">
      <c r="A3546" s="2" t="s">
        <v>277</v>
      </c>
      <c r="B3546" s="2" t="s">
        <v>278</v>
      </c>
      <c r="C3546" s="2" t="s">
        <v>36</v>
      </c>
      <c r="D3546" s="3" t="n">
        <v>46245</v>
      </c>
      <c r="E3546" s="2" t="str">
        <f aca="false">TEXT(D3546,"dddd")</f>
        <v>Tuesday</v>
      </c>
      <c r="F3546" s="2" t="s">
        <v>457</v>
      </c>
      <c r="G3546" s="2" t="s">
        <v>458</v>
      </c>
      <c r="H3546" s="2" t="s">
        <v>459</v>
      </c>
      <c r="I3546" s="2" t="n">
        <f aca="false">IF(F3546="Present",9,IF(F3546="Half Day",4,0))</f>
        <v>9</v>
      </c>
      <c r="J3546" s="2"/>
      <c r="K3546" s="2"/>
    </row>
    <row r="3547" customFormat="false" ht="15" hidden="false" customHeight="false" outlineLevel="0" collapsed="false">
      <c r="A3547" s="2" t="s">
        <v>277</v>
      </c>
      <c r="B3547" s="2" t="s">
        <v>278</v>
      </c>
      <c r="C3547" s="2" t="s">
        <v>36</v>
      </c>
      <c r="D3547" s="3" t="n">
        <v>46246</v>
      </c>
      <c r="E3547" s="2" t="str">
        <f aca="false">TEXT(D3547,"dddd")</f>
        <v>Wednesday</v>
      </c>
      <c r="F3547" s="2" t="s">
        <v>461</v>
      </c>
      <c r="G3547" s="2"/>
      <c r="H3547" s="2"/>
      <c r="I3547" s="2" t="n">
        <f aca="false">IF(F3547="Present",9,IF(F3547="Half Day",4,0))</f>
        <v>0</v>
      </c>
      <c r="J3547" s="2"/>
      <c r="K3547" s="2" t="s">
        <v>462</v>
      </c>
    </row>
    <row r="3548" customFormat="false" ht="15" hidden="false" customHeight="false" outlineLevel="0" collapsed="false">
      <c r="A3548" s="2" t="s">
        <v>277</v>
      </c>
      <c r="B3548" s="2" t="s">
        <v>278</v>
      </c>
      <c r="C3548" s="2" t="s">
        <v>36</v>
      </c>
      <c r="D3548" s="3" t="n">
        <v>46247</v>
      </c>
      <c r="E3548" s="2" t="str">
        <f aca="false">TEXT(D3548,"dddd")</f>
        <v>Thursday</v>
      </c>
      <c r="F3548" s="2" t="s">
        <v>461</v>
      </c>
      <c r="G3548" s="2"/>
      <c r="H3548" s="2"/>
      <c r="I3548" s="2" t="n">
        <f aca="false">IF(F3548="Present",9,IF(F3548="Half Day",4,0))</f>
        <v>0</v>
      </c>
      <c r="J3548" s="2"/>
      <c r="K3548" s="2" t="s">
        <v>462</v>
      </c>
    </row>
    <row r="3549" customFormat="false" ht="15" hidden="false" customHeight="false" outlineLevel="0" collapsed="false">
      <c r="A3549" s="2" t="s">
        <v>277</v>
      </c>
      <c r="B3549" s="2" t="s">
        <v>278</v>
      </c>
      <c r="C3549" s="2" t="s">
        <v>36</v>
      </c>
      <c r="D3549" s="3" t="n">
        <v>46248</v>
      </c>
      <c r="E3549" s="2" t="str">
        <f aca="false">TEXT(D3549,"dddd")</f>
        <v>Friday</v>
      </c>
      <c r="F3549" s="2" t="s">
        <v>457</v>
      </c>
      <c r="G3549" s="2" t="s">
        <v>458</v>
      </c>
      <c r="H3549" s="2" t="s">
        <v>459</v>
      </c>
      <c r="I3549" s="2" t="n">
        <f aca="false">IF(F3549="Present",9,IF(F3549="Half Day",4,0))</f>
        <v>9</v>
      </c>
      <c r="J3549" s="2"/>
      <c r="K3549" s="2"/>
    </row>
    <row r="3550" customFormat="false" ht="15" hidden="false" customHeight="false" outlineLevel="0" collapsed="false">
      <c r="A3550" s="2" t="s">
        <v>277</v>
      </c>
      <c r="B3550" s="2" t="s">
        <v>278</v>
      </c>
      <c r="C3550" s="2" t="s">
        <v>36</v>
      </c>
      <c r="D3550" s="3" t="n">
        <v>46249</v>
      </c>
      <c r="E3550" s="2" t="str">
        <f aca="false">TEXT(D3550,"dddd")</f>
        <v>Saturday</v>
      </c>
      <c r="F3550" s="2" t="s">
        <v>457</v>
      </c>
      <c r="G3550" s="2" t="s">
        <v>458</v>
      </c>
      <c r="H3550" s="2" t="s">
        <v>459</v>
      </c>
      <c r="I3550" s="2" t="n">
        <f aca="false">IF(F3550="Present",9,IF(F3550="Half Day",4,0))</f>
        <v>9</v>
      </c>
      <c r="J3550" s="2"/>
      <c r="K3550" s="2"/>
    </row>
    <row r="3551" customFormat="false" ht="15" hidden="false" customHeight="false" outlineLevel="0" collapsed="false">
      <c r="A3551" s="2" t="s">
        <v>277</v>
      </c>
      <c r="B3551" s="2" t="s">
        <v>278</v>
      </c>
      <c r="C3551" s="2" t="s">
        <v>36</v>
      </c>
      <c r="D3551" s="3" t="n">
        <v>46250</v>
      </c>
      <c r="E3551" s="2" t="str">
        <f aca="false">TEXT(D3551,"dddd")</f>
        <v>Sunday</v>
      </c>
      <c r="F3551" s="2" t="s">
        <v>460</v>
      </c>
      <c r="G3551" s="2"/>
      <c r="H3551" s="2"/>
      <c r="I3551" s="2" t="n">
        <f aca="false">IF(F3551="Present",9,IF(F3551="Half Day",4,0))</f>
        <v>0</v>
      </c>
      <c r="J3551" s="2"/>
      <c r="K3551" s="2" t="s">
        <v>460</v>
      </c>
    </row>
    <row r="3552" customFormat="false" ht="15" hidden="false" customHeight="false" outlineLevel="0" collapsed="false">
      <c r="A3552" s="2" t="s">
        <v>277</v>
      </c>
      <c r="B3552" s="2" t="s">
        <v>278</v>
      </c>
      <c r="C3552" s="2" t="s">
        <v>36</v>
      </c>
      <c r="D3552" s="3" t="n">
        <v>46251</v>
      </c>
      <c r="E3552" s="2" t="str">
        <f aca="false">TEXT(D3552,"dddd")</f>
        <v>Monday</v>
      </c>
      <c r="F3552" s="2" t="s">
        <v>461</v>
      </c>
      <c r="G3552" s="2"/>
      <c r="H3552" s="2"/>
      <c r="I3552" s="2" t="n">
        <f aca="false">IF(F3552="Present",9,IF(F3552="Half Day",4,0))</f>
        <v>0</v>
      </c>
      <c r="J3552" s="2"/>
      <c r="K3552" s="2" t="s">
        <v>462</v>
      </c>
    </row>
    <row r="3553" customFormat="false" ht="15" hidden="false" customHeight="false" outlineLevel="0" collapsed="false">
      <c r="A3553" s="2" t="s">
        <v>277</v>
      </c>
      <c r="B3553" s="2" t="s">
        <v>278</v>
      </c>
      <c r="C3553" s="2" t="s">
        <v>36</v>
      </c>
      <c r="D3553" s="3" t="n">
        <v>46252</v>
      </c>
      <c r="E3553" s="2" t="str">
        <f aca="false">TEXT(D3553,"dddd")</f>
        <v>Tuesday</v>
      </c>
      <c r="F3553" s="2" t="s">
        <v>457</v>
      </c>
      <c r="G3553" s="2" t="s">
        <v>458</v>
      </c>
      <c r="H3553" s="2" t="s">
        <v>459</v>
      </c>
      <c r="I3553" s="2" t="n">
        <f aca="false">IF(F3553="Present",9,IF(F3553="Half Day",4,0))</f>
        <v>9</v>
      </c>
      <c r="J3553" s="2"/>
      <c r="K3553" s="2"/>
    </row>
    <row r="3554" customFormat="false" ht="15" hidden="false" customHeight="false" outlineLevel="0" collapsed="false">
      <c r="A3554" s="2" t="s">
        <v>277</v>
      </c>
      <c r="B3554" s="2" t="s">
        <v>278</v>
      </c>
      <c r="C3554" s="2" t="s">
        <v>36</v>
      </c>
      <c r="D3554" s="3" t="n">
        <v>46253</v>
      </c>
      <c r="E3554" s="2" t="str">
        <f aca="false">TEXT(D3554,"dddd")</f>
        <v>Wednesday</v>
      </c>
      <c r="F3554" s="2" t="s">
        <v>457</v>
      </c>
      <c r="G3554" s="2" t="s">
        <v>458</v>
      </c>
      <c r="H3554" s="2" t="s">
        <v>459</v>
      </c>
      <c r="I3554" s="2" t="n">
        <f aca="false">IF(F3554="Present",9,IF(F3554="Half Day",4,0))</f>
        <v>9</v>
      </c>
      <c r="J3554" s="2"/>
      <c r="K3554" s="2"/>
    </row>
    <row r="3555" customFormat="false" ht="15" hidden="false" customHeight="false" outlineLevel="0" collapsed="false">
      <c r="A3555" s="2" t="s">
        <v>277</v>
      </c>
      <c r="B3555" s="2" t="s">
        <v>278</v>
      </c>
      <c r="C3555" s="2" t="s">
        <v>36</v>
      </c>
      <c r="D3555" s="3" t="n">
        <v>46254</v>
      </c>
      <c r="E3555" s="2" t="str">
        <f aca="false">TEXT(D3555,"dddd")</f>
        <v>Thursday</v>
      </c>
      <c r="F3555" s="2" t="s">
        <v>461</v>
      </c>
      <c r="G3555" s="2"/>
      <c r="H3555" s="2"/>
      <c r="I3555" s="2" t="n">
        <f aca="false">IF(F3555="Present",9,IF(F3555="Half Day",4,0))</f>
        <v>0</v>
      </c>
      <c r="J3555" s="2"/>
      <c r="K3555" s="2" t="s">
        <v>462</v>
      </c>
    </row>
    <row r="3556" customFormat="false" ht="15" hidden="false" customHeight="false" outlineLevel="0" collapsed="false">
      <c r="A3556" s="2" t="s">
        <v>277</v>
      </c>
      <c r="B3556" s="2" t="s">
        <v>278</v>
      </c>
      <c r="C3556" s="2" t="s">
        <v>36</v>
      </c>
      <c r="D3556" s="3" t="n">
        <v>46255</v>
      </c>
      <c r="E3556" s="2" t="str">
        <f aca="false">TEXT(D3556,"dddd")</f>
        <v>Friday</v>
      </c>
      <c r="F3556" s="2" t="s">
        <v>457</v>
      </c>
      <c r="G3556" s="2" t="s">
        <v>458</v>
      </c>
      <c r="H3556" s="2" t="s">
        <v>459</v>
      </c>
      <c r="I3556" s="2" t="n">
        <f aca="false">IF(F3556="Present",9,IF(F3556="Half Day",4,0))</f>
        <v>9</v>
      </c>
      <c r="J3556" s="2"/>
      <c r="K3556" s="2"/>
    </row>
    <row r="3557" customFormat="false" ht="15" hidden="false" customHeight="false" outlineLevel="0" collapsed="false">
      <c r="A3557" s="2" t="s">
        <v>277</v>
      </c>
      <c r="B3557" s="2" t="s">
        <v>278</v>
      </c>
      <c r="C3557" s="2" t="s">
        <v>36</v>
      </c>
      <c r="D3557" s="3" t="n">
        <v>46256</v>
      </c>
      <c r="E3557" s="2" t="str">
        <f aca="false">TEXT(D3557,"dddd")</f>
        <v>Saturday</v>
      </c>
      <c r="F3557" s="2" t="s">
        <v>457</v>
      </c>
      <c r="G3557" s="2" t="s">
        <v>458</v>
      </c>
      <c r="H3557" s="2" t="s">
        <v>459</v>
      </c>
      <c r="I3557" s="2" t="n">
        <f aca="false">IF(F3557="Present",9,IF(F3557="Half Day",4,0))</f>
        <v>9</v>
      </c>
      <c r="J3557" s="2"/>
      <c r="K3557" s="2"/>
    </row>
    <row r="3558" customFormat="false" ht="15" hidden="false" customHeight="false" outlineLevel="0" collapsed="false">
      <c r="A3558" s="2" t="s">
        <v>277</v>
      </c>
      <c r="B3558" s="2" t="s">
        <v>278</v>
      </c>
      <c r="C3558" s="2" t="s">
        <v>36</v>
      </c>
      <c r="D3558" s="3" t="n">
        <v>46257</v>
      </c>
      <c r="E3558" s="2" t="str">
        <f aca="false">TEXT(D3558,"dddd")</f>
        <v>Sunday</v>
      </c>
      <c r="F3558" s="2" t="s">
        <v>460</v>
      </c>
      <c r="G3558" s="2"/>
      <c r="H3558" s="2"/>
      <c r="I3558" s="2" t="n">
        <f aca="false">IF(F3558="Present",9,IF(F3558="Half Day",4,0))</f>
        <v>0</v>
      </c>
      <c r="J3558" s="2"/>
      <c r="K3558" s="2" t="s">
        <v>460</v>
      </c>
    </row>
    <row r="3559" customFormat="false" ht="15" hidden="false" customHeight="false" outlineLevel="0" collapsed="false">
      <c r="A3559" s="2" t="s">
        <v>277</v>
      </c>
      <c r="B3559" s="2" t="s">
        <v>278</v>
      </c>
      <c r="C3559" s="2" t="s">
        <v>36</v>
      </c>
      <c r="D3559" s="3" t="n">
        <v>46258</v>
      </c>
      <c r="E3559" s="2" t="str">
        <f aca="false">TEXT(D3559,"dddd")</f>
        <v>Monday</v>
      </c>
      <c r="F3559" s="2" t="s">
        <v>461</v>
      </c>
      <c r="G3559" s="2"/>
      <c r="H3559" s="2"/>
      <c r="I3559" s="2" t="n">
        <f aca="false">IF(F3559="Present",9,IF(F3559="Half Day",4,0))</f>
        <v>0</v>
      </c>
      <c r="J3559" s="2"/>
      <c r="K3559" s="2" t="s">
        <v>462</v>
      </c>
    </row>
    <row r="3560" customFormat="false" ht="15" hidden="false" customHeight="false" outlineLevel="0" collapsed="false">
      <c r="A3560" s="2" t="s">
        <v>277</v>
      </c>
      <c r="B3560" s="2" t="s">
        <v>278</v>
      </c>
      <c r="C3560" s="2" t="s">
        <v>36</v>
      </c>
      <c r="D3560" s="3" t="n">
        <v>46259</v>
      </c>
      <c r="E3560" s="2" t="str">
        <f aca="false">TEXT(D3560,"dddd")</f>
        <v>Tuesday</v>
      </c>
      <c r="F3560" s="2" t="s">
        <v>457</v>
      </c>
      <c r="G3560" s="2" t="s">
        <v>458</v>
      </c>
      <c r="H3560" s="2" t="s">
        <v>459</v>
      </c>
      <c r="I3560" s="2" t="n">
        <f aca="false">IF(F3560="Present",9,IF(F3560="Half Day",4,0))</f>
        <v>9</v>
      </c>
      <c r="J3560" s="2"/>
      <c r="K3560" s="2"/>
    </row>
    <row r="3561" customFormat="false" ht="15" hidden="false" customHeight="false" outlineLevel="0" collapsed="false">
      <c r="A3561" s="2" t="s">
        <v>277</v>
      </c>
      <c r="B3561" s="2" t="s">
        <v>278</v>
      </c>
      <c r="C3561" s="2" t="s">
        <v>36</v>
      </c>
      <c r="D3561" s="3" t="n">
        <v>46260</v>
      </c>
      <c r="E3561" s="2" t="str">
        <f aca="false">TEXT(D3561,"dddd")</f>
        <v>Wednesday</v>
      </c>
      <c r="F3561" s="2" t="s">
        <v>457</v>
      </c>
      <c r="G3561" s="2" t="s">
        <v>458</v>
      </c>
      <c r="H3561" s="2" t="s">
        <v>459</v>
      </c>
      <c r="I3561" s="2" t="n">
        <f aca="false">IF(F3561="Present",9,IF(F3561="Half Day",4,0))</f>
        <v>9</v>
      </c>
      <c r="J3561" s="2"/>
      <c r="K3561" s="2"/>
    </row>
    <row r="3562" customFormat="false" ht="15" hidden="false" customHeight="false" outlineLevel="0" collapsed="false">
      <c r="A3562" s="2" t="s">
        <v>277</v>
      </c>
      <c r="B3562" s="2" t="s">
        <v>278</v>
      </c>
      <c r="C3562" s="2" t="s">
        <v>36</v>
      </c>
      <c r="D3562" s="3" t="n">
        <v>46261</v>
      </c>
      <c r="E3562" s="2" t="str">
        <f aca="false">TEXT(D3562,"dddd")</f>
        <v>Thursday</v>
      </c>
      <c r="F3562" s="2" t="s">
        <v>457</v>
      </c>
      <c r="G3562" s="2" t="s">
        <v>458</v>
      </c>
      <c r="H3562" s="2" t="s">
        <v>459</v>
      </c>
      <c r="I3562" s="2" t="n">
        <f aca="false">IF(F3562="Present",9,IF(F3562="Half Day",4,0))</f>
        <v>9</v>
      </c>
      <c r="J3562" s="2"/>
      <c r="K3562" s="2"/>
    </row>
    <row r="3563" customFormat="false" ht="15" hidden="false" customHeight="false" outlineLevel="0" collapsed="false">
      <c r="A3563" s="2" t="s">
        <v>277</v>
      </c>
      <c r="B3563" s="2" t="s">
        <v>278</v>
      </c>
      <c r="C3563" s="2" t="s">
        <v>36</v>
      </c>
      <c r="D3563" s="3" t="n">
        <v>46262</v>
      </c>
      <c r="E3563" s="2" t="str">
        <f aca="false">TEXT(D3563,"dddd")</f>
        <v>Friday</v>
      </c>
      <c r="F3563" s="2" t="s">
        <v>457</v>
      </c>
      <c r="G3563" s="2" t="s">
        <v>458</v>
      </c>
      <c r="H3563" s="2" t="s">
        <v>459</v>
      </c>
      <c r="I3563" s="2" t="n">
        <f aca="false">IF(F3563="Present",9,IF(F3563="Half Day",4,0))</f>
        <v>9</v>
      </c>
      <c r="J3563" s="2"/>
      <c r="K3563" s="2"/>
    </row>
    <row r="3564" customFormat="false" ht="15" hidden="false" customHeight="false" outlineLevel="0" collapsed="false">
      <c r="A3564" s="2" t="s">
        <v>277</v>
      </c>
      <c r="B3564" s="2" t="s">
        <v>278</v>
      </c>
      <c r="C3564" s="2" t="s">
        <v>36</v>
      </c>
      <c r="D3564" s="3" t="n">
        <v>46263</v>
      </c>
      <c r="E3564" s="2" t="str">
        <f aca="false">TEXT(D3564,"dddd")</f>
        <v>Saturday</v>
      </c>
      <c r="F3564" s="2" t="s">
        <v>457</v>
      </c>
      <c r="G3564" s="2" t="s">
        <v>458</v>
      </c>
      <c r="H3564" s="2" t="s">
        <v>459</v>
      </c>
      <c r="I3564" s="2" t="n">
        <f aca="false">IF(F3564="Present",9,IF(F3564="Half Day",4,0))</f>
        <v>9</v>
      </c>
      <c r="J3564" s="2"/>
      <c r="K3564" s="2"/>
    </row>
    <row r="3565" customFormat="false" ht="15" hidden="false" customHeight="false" outlineLevel="0" collapsed="false">
      <c r="A3565" s="2" t="s">
        <v>277</v>
      </c>
      <c r="B3565" s="2" t="s">
        <v>278</v>
      </c>
      <c r="C3565" s="2" t="s">
        <v>36</v>
      </c>
      <c r="D3565" s="3" t="n">
        <v>46264</v>
      </c>
      <c r="E3565" s="2" t="str">
        <f aca="false">TEXT(D3565,"dddd")</f>
        <v>Sunday</v>
      </c>
      <c r="F3565" s="2" t="s">
        <v>460</v>
      </c>
      <c r="G3565" s="2"/>
      <c r="H3565" s="2"/>
      <c r="I3565" s="2" t="n">
        <f aca="false">IF(F3565="Present",9,IF(F3565="Half Day",4,0))</f>
        <v>0</v>
      </c>
      <c r="J3565" s="2"/>
      <c r="K3565" s="2" t="s">
        <v>460</v>
      </c>
    </row>
    <row r="3566" customFormat="false" ht="15" hidden="false" customHeight="false" outlineLevel="0" collapsed="false">
      <c r="A3566" s="2" t="s">
        <v>277</v>
      </c>
      <c r="B3566" s="2" t="s">
        <v>278</v>
      </c>
      <c r="C3566" s="2" t="s">
        <v>36</v>
      </c>
      <c r="D3566" s="3" t="n">
        <v>46265</v>
      </c>
      <c r="E3566" s="2" t="str">
        <f aca="false">TEXT(D3566,"dddd")</f>
        <v>Monday</v>
      </c>
      <c r="F3566" s="2" t="s">
        <v>457</v>
      </c>
      <c r="G3566" s="2" t="s">
        <v>458</v>
      </c>
      <c r="H3566" s="2" t="s">
        <v>459</v>
      </c>
      <c r="I3566" s="2" t="n">
        <f aca="false">IF(F3566="Present",9,IF(F3566="Half Day",4,0))</f>
        <v>9</v>
      </c>
      <c r="J3566" s="2"/>
      <c r="K3566" s="2"/>
    </row>
    <row r="3567" customFormat="false" ht="15" hidden="false" customHeight="false" outlineLevel="0" collapsed="false">
      <c r="A3567" s="2" t="s">
        <v>279</v>
      </c>
      <c r="B3567" s="2" t="s">
        <v>280</v>
      </c>
      <c r="C3567" s="2" t="s">
        <v>41</v>
      </c>
      <c r="D3567" s="3" t="n">
        <v>46235</v>
      </c>
      <c r="E3567" s="2" t="str">
        <f aca="false">TEXT(D3567,"dddd")</f>
        <v>Saturday</v>
      </c>
      <c r="F3567" s="2" t="s">
        <v>457</v>
      </c>
      <c r="G3567" s="2" t="s">
        <v>458</v>
      </c>
      <c r="H3567" s="2" t="s">
        <v>459</v>
      </c>
      <c r="I3567" s="2" t="n">
        <f aca="false">IF(F3567="Present",9,IF(F3567="Half Day",4,0))</f>
        <v>9</v>
      </c>
      <c r="J3567" s="2"/>
      <c r="K3567" s="2"/>
    </row>
    <row r="3568" customFormat="false" ht="15" hidden="false" customHeight="false" outlineLevel="0" collapsed="false">
      <c r="A3568" s="2" t="s">
        <v>279</v>
      </c>
      <c r="B3568" s="2" t="s">
        <v>280</v>
      </c>
      <c r="C3568" s="2" t="s">
        <v>41</v>
      </c>
      <c r="D3568" s="3" t="n">
        <v>46236</v>
      </c>
      <c r="E3568" s="2" t="str">
        <f aca="false">TEXT(D3568,"dddd")</f>
        <v>Sunday</v>
      </c>
      <c r="F3568" s="2" t="s">
        <v>460</v>
      </c>
      <c r="G3568" s="2"/>
      <c r="H3568" s="2"/>
      <c r="I3568" s="2" t="n">
        <f aca="false">IF(F3568="Present",9,IF(F3568="Half Day",4,0))</f>
        <v>0</v>
      </c>
      <c r="J3568" s="2"/>
      <c r="K3568" s="2" t="s">
        <v>460</v>
      </c>
    </row>
    <row r="3569" customFormat="false" ht="15" hidden="false" customHeight="false" outlineLevel="0" collapsed="false">
      <c r="A3569" s="2" t="s">
        <v>279</v>
      </c>
      <c r="B3569" s="2" t="s">
        <v>280</v>
      </c>
      <c r="C3569" s="2" t="s">
        <v>41</v>
      </c>
      <c r="D3569" s="3" t="n">
        <v>46237</v>
      </c>
      <c r="E3569" s="2" t="str">
        <f aca="false">TEXT(D3569,"dddd")</f>
        <v>Monday</v>
      </c>
      <c r="F3569" s="2" t="s">
        <v>457</v>
      </c>
      <c r="G3569" s="2" t="s">
        <v>458</v>
      </c>
      <c r="H3569" s="2" t="s">
        <v>459</v>
      </c>
      <c r="I3569" s="2" t="n">
        <f aca="false">IF(F3569="Present",9,IF(F3569="Half Day",4,0))</f>
        <v>9</v>
      </c>
      <c r="J3569" s="2"/>
      <c r="K3569" s="2"/>
    </row>
    <row r="3570" customFormat="false" ht="15" hidden="false" customHeight="false" outlineLevel="0" collapsed="false">
      <c r="A3570" s="2" t="s">
        <v>279</v>
      </c>
      <c r="B3570" s="2" t="s">
        <v>280</v>
      </c>
      <c r="C3570" s="2" t="s">
        <v>41</v>
      </c>
      <c r="D3570" s="3" t="n">
        <v>46238</v>
      </c>
      <c r="E3570" s="2" t="str">
        <f aca="false">TEXT(D3570,"dddd")</f>
        <v>Tuesday</v>
      </c>
      <c r="F3570" s="2" t="s">
        <v>461</v>
      </c>
      <c r="G3570" s="2"/>
      <c r="H3570" s="2"/>
      <c r="I3570" s="2" t="n">
        <f aca="false">IF(F3570="Present",9,IF(F3570="Half Day",4,0))</f>
        <v>0</v>
      </c>
      <c r="J3570" s="2"/>
      <c r="K3570" s="2" t="s">
        <v>462</v>
      </c>
    </row>
    <row r="3571" customFormat="false" ht="15" hidden="false" customHeight="false" outlineLevel="0" collapsed="false">
      <c r="A3571" s="2" t="s">
        <v>279</v>
      </c>
      <c r="B3571" s="2" t="s">
        <v>280</v>
      </c>
      <c r="C3571" s="2" t="s">
        <v>41</v>
      </c>
      <c r="D3571" s="3" t="n">
        <v>46239</v>
      </c>
      <c r="E3571" s="2" t="str">
        <f aca="false">TEXT(D3571,"dddd")</f>
        <v>Wednesday</v>
      </c>
      <c r="F3571" s="2" t="s">
        <v>461</v>
      </c>
      <c r="G3571" s="2"/>
      <c r="H3571" s="2"/>
      <c r="I3571" s="2" t="n">
        <f aca="false">IF(F3571="Present",9,IF(F3571="Half Day",4,0))</f>
        <v>0</v>
      </c>
      <c r="J3571" s="2"/>
      <c r="K3571" s="2" t="s">
        <v>462</v>
      </c>
    </row>
    <row r="3572" customFormat="false" ht="15" hidden="false" customHeight="false" outlineLevel="0" collapsed="false">
      <c r="A3572" s="2" t="s">
        <v>279</v>
      </c>
      <c r="B3572" s="2" t="s">
        <v>280</v>
      </c>
      <c r="C3572" s="2" t="s">
        <v>41</v>
      </c>
      <c r="D3572" s="3" t="n">
        <v>46240</v>
      </c>
      <c r="E3572" s="2" t="str">
        <f aca="false">TEXT(D3572,"dddd")</f>
        <v>Thursday</v>
      </c>
      <c r="F3572" s="2" t="s">
        <v>461</v>
      </c>
      <c r="G3572" s="2"/>
      <c r="H3572" s="2"/>
      <c r="I3572" s="2" t="n">
        <f aca="false">IF(F3572="Present",9,IF(F3572="Half Day",4,0))</f>
        <v>0</v>
      </c>
      <c r="J3572" s="2"/>
      <c r="K3572" s="2" t="s">
        <v>462</v>
      </c>
    </row>
    <row r="3573" customFormat="false" ht="15" hidden="false" customHeight="false" outlineLevel="0" collapsed="false">
      <c r="A3573" s="2" t="s">
        <v>279</v>
      </c>
      <c r="B3573" s="2" t="s">
        <v>280</v>
      </c>
      <c r="C3573" s="2" t="s">
        <v>41</v>
      </c>
      <c r="D3573" s="3" t="n">
        <v>46241</v>
      </c>
      <c r="E3573" s="2" t="str">
        <f aca="false">TEXT(D3573,"dddd")</f>
        <v>Friday</v>
      </c>
      <c r="F3573" s="2" t="s">
        <v>457</v>
      </c>
      <c r="G3573" s="2" t="s">
        <v>458</v>
      </c>
      <c r="H3573" s="2" t="s">
        <v>459</v>
      </c>
      <c r="I3573" s="2" t="n">
        <f aca="false">IF(F3573="Present",9,IF(F3573="Half Day",4,0))</f>
        <v>9</v>
      </c>
      <c r="J3573" s="2"/>
      <c r="K3573" s="2"/>
    </row>
    <row r="3574" customFormat="false" ht="15" hidden="false" customHeight="false" outlineLevel="0" collapsed="false">
      <c r="A3574" s="2" t="s">
        <v>279</v>
      </c>
      <c r="B3574" s="2" t="s">
        <v>280</v>
      </c>
      <c r="C3574" s="2" t="s">
        <v>41</v>
      </c>
      <c r="D3574" s="3" t="n">
        <v>46242</v>
      </c>
      <c r="E3574" s="2" t="str">
        <f aca="false">TEXT(D3574,"dddd")</f>
        <v>Saturday</v>
      </c>
      <c r="F3574" s="2" t="s">
        <v>457</v>
      </c>
      <c r="G3574" s="2" t="s">
        <v>458</v>
      </c>
      <c r="H3574" s="2" t="s">
        <v>459</v>
      </c>
      <c r="I3574" s="2" t="n">
        <f aca="false">IF(F3574="Present",9,IF(F3574="Half Day",4,0))</f>
        <v>9</v>
      </c>
      <c r="J3574" s="2"/>
      <c r="K3574" s="2"/>
    </row>
    <row r="3575" customFormat="false" ht="15" hidden="false" customHeight="false" outlineLevel="0" collapsed="false">
      <c r="A3575" s="2" t="s">
        <v>279</v>
      </c>
      <c r="B3575" s="2" t="s">
        <v>280</v>
      </c>
      <c r="C3575" s="2" t="s">
        <v>41</v>
      </c>
      <c r="D3575" s="3" t="n">
        <v>46243</v>
      </c>
      <c r="E3575" s="2" t="str">
        <f aca="false">TEXT(D3575,"dddd")</f>
        <v>Sunday</v>
      </c>
      <c r="F3575" s="2" t="s">
        <v>460</v>
      </c>
      <c r="G3575" s="2"/>
      <c r="H3575" s="2"/>
      <c r="I3575" s="2" t="n">
        <f aca="false">IF(F3575="Present",9,IF(F3575="Half Day",4,0))</f>
        <v>0</v>
      </c>
      <c r="J3575" s="2"/>
      <c r="K3575" s="2" t="s">
        <v>460</v>
      </c>
    </row>
    <row r="3576" customFormat="false" ht="15" hidden="false" customHeight="false" outlineLevel="0" collapsed="false">
      <c r="A3576" s="2" t="s">
        <v>279</v>
      </c>
      <c r="B3576" s="2" t="s">
        <v>280</v>
      </c>
      <c r="C3576" s="2" t="s">
        <v>41</v>
      </c>
      <c r="D3576" s="3" t="n">
        <v>46244</v>
      </c>
      <c r="E3576" s="2" t="str">
        <f aca="false">TEXT(D3576,"dddd")</f>
        <v>Monday</v>
      </c>
      <c r="F3576" s="2" t="s">
        <v>466</v>
      </c>
      <c r="G3576" s="2" t="s">
        <v>458</v>
      </c>
      <c r="H3576" s="2" t="s">
        <v>467</v>
      </c>
      <c r="I3576" s="2" t="n">
        <f aca="false">IF(F3576="Present",9,IF(F3576="Half Day",4,0))</f>
        <v>4</v>
      </c>
      <c r="J3576" s="2"/>
      <c r="K3576" s="2" t="s">
        <v>466</v>
      </c>
    </row>
    <row r="3577" customFormat="false" ht="15" hidden="false" customHeight="false" outlineLevel="0" collapsed="false">
      <c r="A3577" s="2" t="s">
        <v>279</v>
      </c>
      <c r="B3577" s="2" t="s">
        <v>280</v>
      </c>
      <c r="C3577" s="2" t="s">
        <v>41</v>
      </c>
      <c r="D3577" s="3" t="n">
        <v>46245</v>
      </c>
      <c r="E3577" s="2" t="str">
        <f aca="false">TEXT(D3577,"dddd")</f>
        <v>Tuesday</v>
      </c>
      <c r="F3577" s="2" t="s">
        <v>457</v>
      </c>
      <c r="G3577" s="2" t="s">
        <v>458</v>
      </c>
      <c r="H3577" s="2" t="s">
        <v>459</v>
      </c>
      <c r="I3577" s="2" t="n">
        <f aca="false">IF(F3577="Present",9,IF(F3577="Half Day",4,0))</f>
        <v>9</v>
      </c>
      <c r="J3577" s="2"/>
      <c r="K3577" s="2"/>
    </row>
    <row r="3578" customFormat="false" ht="15" hidden="false" customHeight="false" outlineLevel="0" collapsed="false">
      <c r="A3578" s="2" t="s">
        <v>279</v>
      </c>
      <c r="B3578" s="2" t="s">
        <v>280</v>
      </c>
      <c r="C3578" s="2" t="s">
        <v>41</v>
      </c>
      <c r="D3578" s="3" t="n">
        <v>46246</v>
      </c>
      <c r="E3578" s="2" t="str">
        <f aca="false">TEXT(D3578,"dddd")</f>
        <v>Wednesday</v>
      </c>
      <c r="F3578" s="2" t="s">
        <v>461</v>
      </c>
      <c r="G3578" s="2"/>
      <c r="H3578" s="2"/>
      <c r="I3578" s="2" t="n">
        <f aca="false">IF(F3578="Present",9,IF(F3578="Half Day",4,0))</f>
        <v>0</v>
      </c>
      <c r="J3578" s="2"/>
      <c r="K3578" s="2" t="s">
        <v>462</v>
      </c>
    </row>
    <row r="3579" customFormat="false" ht="15" hidden="false" customHeight="false" outlineLevel="0" collapsed="false">
      <c r="A3579" s="2" t="s">
        <v>279</v>
      </c>
      <c r="B3579" s="2" t="s">
        <v>280</v>
      </c>
      <c r="C3579" s="2" t="s">
        <v>41</v>
      </c>
      <c r="D3579" s="3" t="n">
        <v>46247</v>
      </c>
      <c r="E3579" s="2" t="str">
        <f aca="false">TEXT(D3579,"dddd")</f>
        <v>Thursday</v>
      </c>
      <c r="F3579" s="2" t="s">
        <v>461</v>
      </c>
      <c r="G3579" s="2"/>
      <c r="H3579" s="2"/>
      <c r="I3579" s="2" t="n">
        <f aca="false">IF(F3579="Present",9,IF(F3579="Half Day",4,0))</f>
        <v>0</v>
      </c>
      <c r="J3579" s="2"/>
      <c r="K3579" s="2" t="s">
        <v>462</v>
      </c>
    </row>
    <row r="3580" customFormat="false" ht="15" hidden="false" customHeight="false" outlineLevel="0" collapsed="false">
      <c r="A3580" s="2" t="s">
        <v>279</v>
      </c>
      <c r="B3580" s="2" t="s">
        <v>280</v>
      </c>
      <c r="C3580" s="2" t="s">
        <v>41</v>
      </c>
      <c r="D3580" s="3" t="n">
        <v>46248</v>
      </c>
      <c r="E3580" s="2" t="str">
        <f aca="false">TEXT(D3580,"dddd")</f>
        <v>Friday</v>
      </c>
      <c r="F3580" s="2" t="s">
        <v>457</v>
      </c>
      <c r="G3580" s="2" t="s">
        <v>458</v>
      </c>
      <c r="H3580" s="2" t="s">
        <v>459</v>
      </c>
      <c r="I3580" s="2" t="n">
        <f aca="false">IF(F3580="Present",9,IF(F3580="Half Day",4,0))</f>
        <v>9</v>
      </c>
      <c r="J3580" s="2"/>
      <c r="K3580" s="2"/>
    </row>
    <row r="3581" customFormat="false" ht="15" hidden="false" customHeight="false" outlineLevel="0" collapsed="false">
      <c r="A3581" s="2" t="s">
        <v>279</v>
      </c>
      <c r="B3581" s="2" t="s">
        <v>280</v>
      </c>
      <c r="C3581" s="2" t="s">
        <v>41</v>
      </c>
      <c r="D3581" s="3" t="n">
        <v>46249</v>
      </c>
      <c r="E3581" s="2" t="str">
        <f aca="false">TEXT(D3581,"dddd")</f>
        <v>Saturday</v>
      </c>
      <c r="F3581" s="2" t="s">
        <v>457</v>
      </c>
      <c r="G3581" s="2" t="s">
        <v>458</v>
      </c>
      <c r="H3581" s="2" t="s">
        <v>459</v>
      </c>
      <c r="I3581" s="2" t="n">
        <f aca="false">IF(F3581="Present",9,IF(F3581="Half Day",4,0))</f>
        <v>9</v>
      </c>
      <c r="J3581" s="2"/>
      <c r="K3581" s="2"/>
    </row>
    <row r="3582" customFormat="false" ht="15" hidden="false" customHeight="false" outlineLevel="0" collapsed="false">
      <c r="A3582" s="2" t="s">
        <v>279</v>
      </c>
      <c r="B3582" s="2" t="s">
        <v>280</v>
      </c>
      <c r="C3582" s="2" t="s">
        <v>41</v>
      </c>
      <c r="D3582" s="3" t="n">
        <v>46250</v>
      </c>
      <c r="E3582" s="2" t="str">
        <f aca="false">TEXT(D3582,"dddd")</f>
        <v>Sunday</v>
      </c>
      <c r="F3582" s="2" t="s">
        <v>460</v>
      </c>
      <c r="G3582" s="2"/>
      <c r="H3582" s="2"/>
      <c r="I3582" s="2" t="n">
        <f aca="false">IF(F3582="Present",9,IF(F3582="Half Day",4,0))</f>
        <v>0</v>
      </c>
      <c r="J3582" s="2"/>
      <c r="K3582" s="2" t="s">
        <v>460</v>
      </c>
    </row>
    <row r="3583" customFormat="false" ht="15" hidden="false" customHeight="false" outlineLevel="0" collapsed="false">
      <c r="A3583" s="2" t="s">
        <v>279</v>
      </c>
      <c r="B3583" s="2" t="s">
        <v>280</v>
      </c>
      <c r="C3583" s="2" t="s">
        <v>41</v>
      </c>
      <c r="D3583" s="3" t="n">
        <v>46251</v>
      </c>
      <c r="E3583" s="2" t="str">
        <f aca="false">TEXT(D3583,"dddd")</f>
        <v>Monday</v>
      </c>
      <c r="F3583" s="2" t="s">
        <v>457</v>
      </c>
      <c r="G3583" s="2" t="s">
        <v>458</v>
      </c>
      <c r="H3583" s="2" t="s">
        <v>459</v>
      </c>
      <c r="I3583" s="2" t="n">
        <f aca="false">IF(F3583="Present",9,IF(F3583="Half Day",4,0))</f>
        <v>9</v>
      </c>
      <c r="J3583" s="2"/>
      <c r="K3583" s="2"/>
    </row>
    <row r="3584" customFormat="false" ht="15" hidden="false" customHeight="false" outlineLevel="0" collapsed="false">
      <c r="A3584" s="2" t="s">
        <v>279</v>
      </c>
      <c r="B3584" s="2" t="s">
        <v>280</v>
      </c>
      <c r="C3584" s="2" t="s">
        <v>41</v>
      </c>
      <c r="D3584" s="3" t="n">
        <v>46252</v>
      </c>
      <c r="E3584" s="2" t="str">
        <f aca="false">TEXT(D3584,"dddd")</f>
        <v>Tuesday</v>
      </c>
      <c r="F3584" s="2" t="s">
        <v>457</v>
      </c>
      <c r="G3584" s="2" t="s">
        <v>458</v>
      </c>
      <c r="H3584" s="2" t="s">
        <v>459</v>
      </c>
      <c r="I3584" s="2" t="n">
        <f aca="false">IF(F3584="Present",9,IF(F3584="Half Day",4,0))</f>
        <v>9</v>
      </c>
      <c r="J3584" s="2"/>
      <c r="K3584" s="2"/>
    </row>
    <row r="3585" customFormat="false" ht="15" hidden="false" customHeight="false" outlineLevel="0" collapsed="false">
      <c r="A3585" s="2" t="s">
        <v>279</v>
      </c>
      <c r="B3585" s="2" t="s">
        <v>280</v>
      </c>
      <c r="C3585" s="2" t="s">
        <v>41</v>
      </c>
      <c r="D3585" s="3" t="n">
        <v>46253</v>
      </c>
      <c r="E3585" s="2" t="str">
        <f aca="false">TEXT(D3585,"dddd")</f>
        <v>Wednesday</v>
      </c>
      <c r="F3585" s="2" t="s">
        <v>457</v>
      </c>
      <c r="G3585" s="2" t="s">
        <v>458</v>
      </c>
      <c r="H3585" s="2" t="s">
        <v>459</v>
      </c>
      <c r="I3585" s="2" t="n">
        <f aca="false">IF(F3585="Present",9,IF(F3585="Half Day",4,0))</f>
        <v>9</v>
      </c>
      <c r="J3585" s="2"/>
      <c r="K3585" s="2"/>
    </row>
    <row r="3586" customFormat="false" ht="15" hidden="false" customHeight="false" outlineLevel="0" collapsed="false">
      <c r="A3586" s="2" t="s">
        <v>279</v>
      </c>
      <c r="B3586" s="2" t="s">
        <v>280</v>
      </c>
      <c r="C3586" s="2" t="s">
        <v>41</v>
      </c>
      <c r="D3586" s="3" t="n">
        <v>46254</v>
      </c>
      <c r="E3586" s="2" t="str">
        <f aca="false">TEXT(D3586,"dddd")</f>
        <v>Thursday</v>
      </c>
      <c r="F3586" s="2" t="s">
        <v>457</v>
      </c>
      <c r="G3586" s="2" t="s">
        <v>458</v>
      </c>
      <c r="H3586" s="2" t="s">
        <v>459</v>
      </c>
      <c r="I3586" s="2" t="n">
        <f aca="false">IF(F3586="Present",9,IF(F3586="Half Day",4,0))</f>
        <v>9</v>
      </c>
      <c r="J3586" s="2"/>
      <c r="K3586" s="2"/>
    </row>
    <row r="3587" customFormat="false" ht="15" hidden="false" customHeight="false" outlineLevel="0" collapsed="false">
      <c r="A3587" s="2" t="s">
        <v>279</v>
      </c>
      <c r="B3587" s="2" t="s">
        <v>280</v>
      </c>
      <c r="C3587" s="2" t="s">
        <v>41</v>
      </c>
      <c r="D3587" s="3" t="n">
        <v>46255</v>
      </c>
      <c r="E3587" s="2" t="str">
        <f aca="false">TEXT(D3587,"dddd")</f>
        <v>Friday</v>
      </c>
      <c r="F3587" s="2" t="s">
        <v>457</v>
      </c>
      <c r="G3587" s="2" t="s">
        <v>458</v>
      </c>
      <c r="H3587" s="2" t="s">
        <v>459</v>
      </c>
      <c r="I3587" s="2" t="n">
        <f aca="false">IF(F3587="Present",9,IF(F3587="Half Day",4,0))</f>
        <v>9</v>
      </c>
      <c r="J3587" s="2"/>
      <c r="K3587" s="2"/>
    </row>
    <row r="3588" customFormat="false" ht="15" hidden="false" customHeight="false" outlineLevel="0" collapsed="false">
      <c r="A3588" s="2" t="s">
        <v>279</v>
      </c>
      <c r="B3588" s="2" t="s">
        <v>280</v>
      </c>
      <c r="C3588" s="2" t="s">
        <v>41</v>
      </c>
      <c r="D3588" s="3" t="n">
        <v>46256</v>
      </c>
      <c r="E3588" s="2" t="str">
        <f aca="false">TEXT(D3588,"dddd")</f>
        <v>Saturday</v>
      </c>
      <c r="F3588" s="2" t="s">
        <v>461</v>
      </c>
      <c r="G3588" s="2"/>
      <c r="H3588" s="2"/>
      <c r="I3588" s="2" t="n">
        <f aca="false">IF(F3588="Present",9,IF(F3588="Half Day",4,0))</f>
        <v>0</v>
      </c>
      <c r="J3588" s="2"/>
      <c r="K3588" s="2" t="s">
        <v>462</v>
      </c>
    </row>
    <row r="3589" customFormat="false" ht="15" hidden="false" customHeight="false" outlineLevel="0" collapsed="false">
      <c r="A3589" s="2" t="s">
        <v>279</v>
      </c>
      <c r="B3589" s="2" t="s">
        <v>280</v>
      </c>
      <c r="C3589" s="2" t="s">
        <v>41</v>
      </c>
      <c r="D3589" s="3" t="n">
        <v>46257</v>
      </c>
      <c r="E3589" s="2" t="str">
        <f aca="false">TEXT(D3589,"dddd")</f>
        <v>Sunday</v>
      </c>
      <c r="F3589" s="2" t="s">
        <v>460</v>
      </c>
      <c r="G3589" s="2"/>
      <c r="H3589" s="2"/>
      <c r="I3589" s="2" t="n">
        <f aca="false">IF(F3589="Present",9,IF(F3589="Half Day",4,0))</f>
        <v>0</v>
      </c>
      <c r="J3589" s="2"/>
      <c r="K3589" s="2" t="s">
        <v>460</v>
      </c>
    </row>
    <row r="3590" customFormat="false" ht="15" hidden="false" customHeight="false" outlineLevel="0" collapsed="false">
      <c r="A3590" s="2" t="s">
        <v>279</v>
      </c>
      <c r="B3590" s="2" t="s">
        <v>280</v>
      </c>
      <c r="C3590" s="2" t="s">
        <v>41</v>
      </c>
      <c r="D3590" s="3" t="n">
        <v>46258</v>
      </c>
      <c r="E3590" s="2" t="str">
        <f aca="false">TEXT(D3590,"dddd")</f>
        <v>Monday</v>
      </c>
      <c r="F3590" s="2" t="s">
        <v>457</v>
      </c>
      <c r="G3590" s="2" t="s">
        <v>458</v>
      </c>
      <c r="H3590" s="2" t="s">
        <v>459</v>
      </c>
      <c r="I3590" s="2" t="n">
        <f aca="false">IF(F3590="Present",9,IF(F3590="Half Day",4,0))</f>
        <v>9</v>
      </c>
      <c r="J3590" s="2"/>
      <c r="K3590" s="2"/>
    </row>
    <row r="3591" customFormat="false" ht="15" hidden="false" customHeight="false" outlineLevel="0" collapsed="false">
      <c r="A3591" s="2" t="s">
        <v>279</v>
      </c>
      <c r="B3591" s="2" t="s">
        <v>280</v>
      </c>
      <c r="C3591" s="2" t="s">
        <v>41</v>
      </c>
      <c r="D3591" s="3" t="n">
        <v>46259</v>
      </c>
      <c r="E3591" s="2" t="str">
        <f aca="false">TEXT(D3591,"dddd")</f>
        <v>Tuesday</v>
      </c>
      <c r="F3591" s="2" t="s">
        <v>461</v>
      </c>
      <c r="G3591" s="2"/>
      <c r="H3591" s="2"/>
      <c r="I3591" s="2" t="n">
        <f aca="false">IF(F3591="Present",9,IF(F3591="Half Day",4,0))</f>
        <v>0</v>
      </c>
      <c r="J3591" s="2"/>
      <c r="K3591" s="2" t="s">
        <v>462</v>
      </c>
    </row>
    <row r="3592" customFormat="false" ht="15" hidden="false" customHeight="false" outlineLevel="0" collapsed="false">
      <c r="A3592" s="2" t="s">
        <v>279</v>
      </c>
      <c r="B3592" s="2" t="s">
        <v>280</v>
      </c>
      <c r="C3592" s="2" t="s">
        <v>41</v>
      </c>
      <c r="D3592" s="3" t="n">
        <v>46260</v>
      </c>
      <c r="E3592" s="2" t="str">
        <f aca="false">TEXT(D3592,"dddd")</f>
        <v>Wednesday</v>
      </c>
      <c r="F3592" s="2" t="s">
        <v>461</v>
      </c>
      <c r="G3592" s="2"/>
      <c r="H3592" s="2"/>
      <c r="I3592" s="2" t="n">
        <f aca="false">IF(F3592="Present",9,IF(F3592="Half Day",4,0))</f>
        <v>0</v>
      </c>
      <c r="J3592" s="2"/>
      <c r="K3592" s="2" t="s">
        <v>462</v>
      </c>
    </row>
    <row r="3593" customFormat="false" ht="15" hidden="false" customHeight="false" outlineLevel="0" collapsed="false">
      <c r="A3593" s="2" t="s">
        <v>279</v>
      </c>
      <c r="B3593" s="2" t="s">
        <v>280</v>
      </c>
      <c r="C3593" s="2" t="s">
        <v>41</v>
      </c>
      <c r="D3593" s="3" t="n">
        <v>46261</v>
      </c>
      <c r="E3593" s="2" t="str">
        <f aca="false">TEXT(D3593,"dddd")</f>
        <v>Thursday</v>
      </c>
      <c r="F3593" s="2" t="s">
        <v>461</v>
      </c>
      <c r="G3593" s="2"/>
      <c r="H3593" s="2"/>
      <c r="I3593" s="2" t="n">
        <f aca="false">IF(F3593="Present",9,IF(F3593="Half Day",4,0))</f>
        <v>0</v>
      </c>
      <c r="J3593" s="2"/>
      <c r="K3593" s="2" t="s">
        <v>462</v>
      </c>
    </row>
    <row r="3594" customFormat="false" ht="15" hidden="false" customHeight="false" outlineLevel="0" collapsed="false">
      <c r="A3594" s="2" t="s">
        <v>279</v>
      </c>
      <c r="B3594" s="2" t="s">
        <v>280</v>
      </c>
      <c r="C3594" s="2" t="s">
        <v>41</v>
      </c>
      <c r="D3594" s="3" t="n">
        <v>46262</v>
      </c>
      <c r="E3594" s="2" t="str">
        <f aca="false">TEXT(D3594,"dddd")</f>
        <v>Friday</v>
      </c>
      <c r="F3594" s="2" t="s">
        <v>466</v>
      </c>
      <c r="G3594" s="2" t="s">
        <v>458</v>
      </c>
      <c r="H3594" s="2" t="s">
        <v>467</v>
      </c>
      <c r="I3594" s="2" t="n">
        <f aca="false">IF(F3594="Present",9,IF(F3594="Half Day",4,0))</f>
        <v>4</v>
      </c>
      <c r="J3594" s="2"/>
      <c r="K3594" s="2" t="s">
        <v>466</v>
      </c>
    </row>
    <row r="3595" customFormat="false" ht="15" hidden="false" customHeight="false" outlineLevel="0" collapsed="false">
      <c r="A3595" s="2" t="s">
        <v>279</v>
      </c>
      <c r="B3595" s="2" t="s">
        <v>280</v>
      </c>
      <c r="C3595" s="2" t="s">
        <v>41</v>
      </c>
      <c r="D3595" s="3" t="n">
        <v>46263</v>
      </c>
      <c r="E3595" s="2" t="str">
        <f aca="false">TEXT(D3595,"dddd")</f>
        <v>Saturday</v>
      </c>
      <c r="F3595" s="2" t="s">
        <v>457</v>
      </c>
      <c r="G3595" s="2" t="s">
        <v>458</v>
      </c>
      <c r="H3595" s="2" t="s">
        <v>459</v>
      </c>
      <c r="I3595" s="2" t="n">
        <f aca="false">IF(F3595="Present",9,IF(F3595="Half Day",4,0))</f>
        <v>9</v>
      </c>
      <c r="J3595" s="2"/>
      <c r="K3595" s="2"/>
    </row>
    <row r="3596" customFormat="false" ht="15" hidden="false" customHeight="false" outlineLevel="0" collapsed="false">
      <c r="A3596" s="2" t="s">
        <v>279</v>
      </c>
      <c r="B3596" s="2" t="s">
        <v>280</v>
      </c>
      <c r="C3596" s="2" t="s">
        <v>41</v>
      </c>
      <c r="D3596" s="3" t="n">
        <v>46264</v>
      </c>
      <c r="E3596" s="2" t="str">
        <f aca="false">TEXT(D3596,"dddd")</f>
        <v>Sunday</v>
      </c>
      <c r="F3596" s="2" t="s">
        <v>460</v>
      </c>
      <c r="G3596" s="2"/>
      <c r="H3596" s="2"/>
      <c r="I3596" s="2" t="n">
        <f aca="false">IF(F3596="Present",9,IF(F3596="Half Day",4,0))</f>
        <v>0</v>
      </c>
      <c r="J3596" s="2"/>
      <c r="K3596" s="2" t="s">
        <v>460</v>
      </c>
    </row>
    <row r="3597" customFormat="false" ht="15" hidden="false" customHeight="false" outlineLevel="0" collapsed="false">
      <c r="A3597" s="2" t="s">
        <v>279</v>
      </c>
      <c r="B3597" s="2" t="s">
        <v>280</v>
      </c>
      <c r="C3597" s="2" t="s">
        <v>41</v>
      </c>
      <c r="D3597" s="3" t="n">
        <v>46265</v>
      </c>
      <c r="E3597" s="2" t="str">
        <f aca="false">TEXT(D3597,"dddd")</f>
        <v>Monday</v>
      </c>
      <c r="F3597" s="2" t="s">
        <v>457</v>
      </c>
      <c r="G3597" s="2" t="s">
        <v>458</v>
      </c>
      <c r="H3597" s="2" t="s">
        <v>459</v>
      </c>
      <c r="I3597" s="2" t="n">
        <f aca="false">IF(F3597="Present",9,IF(F3597="Half Day",4,0))</f>
        <v>9</v>
      </c>
      <c r="J3597" s="2"/>
      <c r="K3597" s="2"/>
    </row>
    <row r="3598" customFormat="false" ht="15" hidden="false" customHeight="false" outlineLevel="0" collapsed="false">
      <c r="A3598" s="2" t="s">
        <v>281</v>
      </c>
      <c r="B3598" s="2" t="s">
        <v>282</v>
      </c>
      <c r="C3598" s="2" t="s">
        <v>45</v>
      </c>
      <c r="D3598" s="3" t="n">
        <v>46235</v>
      </c>
      <c r="E3598" s="2" t="str">
        <f aca="false">TEXT(D3598,"dddd")</f>
        <v>Saturday</v>
      </c>
      <c r="F3598" s="2" t="s">
        <v>461</v>
      </c>
      <c r="G3598" s="2"/>
      <c r="H3598" s="2"/>
      <c r="I3598" s="2" t="n">
        <f aca="false">IF(F3598="Present",9,IF(F3598="Half Day",4,0))</f>
        <v>0</v>
      </c>
      <c r="J3598" s="2"/>
      <c r="K3598" s="2" t="s">
        <v>462</v>
      </c>
    </row>
    <row r="3599" customFormat="false" ht="15" hidden="false" customHeight="false" outlineLevel="0" collapsed="false">
      <c r="A3599" s="2" t="s">
        <v>281</v>
      </c>
      <c r="B3599" s="2" t="s">
        <v>282</v>
      </c>
      <c r="C3599" s="2" t="s">
        <v>45</v>
      </c>
      <c r="D3599" s="3" t="n">
        <v>46236</v>
      </c>
      <c r="E3599" s="2" t="str">
        <f aca="false">TEXT(D3599,"dddd")</f>
        <v>Sunday</v>
      </c>
      <c r="F3599" s="2" t="s">
        <v>460</v>
      </c>
      <c r="G3599" s="2"/>
      <c r="H3599" s="2"/>
      <c r="I3599" s="2" t="n">
        <f aca="false">IF(F3599="Present",9,IF(F3599="Half Day",4,0))</f>
        <v>0</v>
      </c>
      <c r="J3599" s="2"/>
      <c r="K3599" s="2" t="s">
        <v>460</v>
      </c>
    </row>
    <row r="3600" customFormat="false" ht="15" hidden="false" customHeight="false" outlineLevel="0" collapsed="false">
      <c r="A3600" s="2" t="s">
        <v>281</v>
      </c>
      <c r="B3600" s="2" t="s">
        <v>282</v>
      </c>
      <c r="C3600" s="2" t="s">
        <v>45</v>
      </c>
      <c r="D3600" s="3" t="n">
        <v>46237</v>
      </c>
      <c r="E3600" s="2" t="str">
        <f aca="false">TEXT(D3600,"dddd")</f>
        <v>Monday</v>
      </c>
      <c r="F3600" s="2" t="s">
        <v>457</v>
      </c>
      <c r="G3600" s="2" t="s">
        <v>458</v>
      </c>
      <c r="H3600" s="2" t="s">
        <v>459</v>
      </c>
      <c r="I3600" s="2" t="n">
        <f aca="false">IF(F3600="Present",9,IF(F3600="Half Day",4,0))</f>
        <v>9</v>
      </c>
      <c r="J3600" s="2"/>
      <c r="K3600" s="2"/>
    </row>
    <row r="3601" customFormat="false" ht="15" hidden="false" customHeight="false" outlineLevel="0" collapsed="false">
      <c r="A3601" s="2" t="s">
        <v>281</v>
      </c>
      <c r="B3601" s="2" t="s">
        <v>282</v>
      </c>
      <c r="C3601" s="2" t="s">
        <v>45</v>
      </c>
      <c r="D3601" s="3" t="n">
        <v>46238</v>
      </c>
      <c r="E3601" s="2" t="str">
        <f aca="false">TEXT(D3601,"dddd")</f>
        <v>Tuesday</v>
      </c>
      <c r="F3601" s="2" t="s">
        <v>457</v>
      </c>
      <c r="G3601" s="2" t="s">
        <v>458</v>
      </c>
      <c r="H3601" s="2" t="s">
        <v>459</v>
      </c>
      <c r="I3601" s="2" t="n">
        <f aca="false">IF(F3601="Present",9,IF(F3601="Half Day",4,0))</f>
        <v>9</v>
      </c>
      <c r="J3601" s="2"/>
      <c r="K3601" s="2"/>
    </row>
    <row r="3602" customFormat="false" ht="15" hidden="false" customHeight="false" outlineLevel="0" collapsed="false">
      <c r="A3602" s="2" t="s">
        <v>281</v>
      </c>
      <c r="B3602" s="2" t="s">
        <v>282</v>
      </c>
      <c r="C3602" s="2" t="s">
        <v>45</v>
      </c>
      <c r="D3602" s="3" t="n">
        <v>46239</v>
      </c>
      <c r="E3602" s="2" t="str">
        <f aca="false">TEXT(D3602,"dddd")</f>
        <v>Wednesday</v>
      </c>
      <c r="F3602" s="2" t="s">
        <v>457</v>
      </c>
      <c r="G3602" s="2" t="s">
        <v>458</v>
      </c>
      <c r="H3602" s="2" t="s">
        <v>459</v>
      </c>
      <c r="I3602" s="2" t="n">
        <f aca="false">IF(F3602="Present",9,IF(F3602="Half Day",4,0))</f>
        <v>9</v>
      </c>
      <c r="J3602" s="2"/>
      <c r="K3602" s="2"/>
    </row>
    <row r="3603" customFormat="false" ht="15" hidden="false" customHeight="false" outlineLevel="0" collapsed="false">
      <c r="A3603" s="2" t="s">
        <v>281</v>
      </c>
      <c r="B3603" s="2" t="s">
        <v>282</v>
      </c>
      <c r="C3603" s="2" t="s">
        <v>45</v>
      </c>
      <c r="D3603" s="3" t="n">
        <v>46240</v>
      </c>
      <c r="E3603" s="2" t="str">
        <f aca="false">TEXT(D3603,"dddd")</f>
        <v>Thursday</v>
      </c>
      <c r="F3603" s="2" t="s">
        <v>457</v>
      </c>
      <c r="G3603" s="2" t="s">
        <v>458</v>
      </c>
      <c r="H3603" s="2" t="s">
        <v>459</v>
      </c>
      <c r="I3603" s="2" t="n">
        <f aca="false">IF(F3603="Present",9,IF(F3603="Half Day",4,0))</f>
        <v>9</v>
      </c>
      <c r="J3603" s="2"/>
      <c r="K3603" s="2"/>
    </row>
    <row r="3604" customFormat="false" ht="15" hidden="false" customHeight="false" outlineLevel="0" collapsed="false">
      <c r="A3604" s="2" t="s">
        <v>281</v>
      </c>
      <c r="B3604" s="2" t="s">
        <v>282</v>
      </c>
      <c r="C3604" s="2" t="s">
        <v>45</v>
      </c>
      <c r="D3604" s="3" t="n">
        <v>46241</v>
      </c>
      <c r="E3604" s="2" t="str">
        <f aca="false">TEXT(D3604,"dddd")</f>
        <v>Friday</v>
      </c>
      <c r="F3604" s="2" t="s">
        <v>461</v>
      </c>
      <c r="G3604" s="2"/>
      <c r="H3604" s="2"/>
      <c r="I3604" s="2" t="n">
        <f aca="false">IF(F3604="Present",9,IF(F3604="Half Day",4,0))</f>
        <v>0</v>
      </c>
      <c r="J3604" s="2"/>
      <c r="K3604" s="2" t="s">
        <v>462</v>
      </c>
    </row>
    <row r="3605" customFormat="false" ht="15" hidden="false" customHeight="false" outlineLevel="0" collapsed="false">
      <c r="A3605" s="2" t="s">
        <v>281</v>
      </c>
      <c r="B3605" s="2" t="s">
        <v>282</v>
      </c>
      <c r="C3605" s="2" t="s">
        <v>45</v>
      </c>
      <c r="D3605" s="3" t="n">
        <v>46242</v>
      </c>
      <c r="E3605" s="2" t="str">
        <f aca="false">TEXT(D3605,"dddd")</f>
        <v>Saturday</v>
      </c>
      <c r="F3605" s="2" t="s">
        <v>457</v>
      </c>
      <c r="G3605" s="2" t="s">
        <v>458</v>
      </c>
      <c r="H3605" s="2" t="s">
        <v>459</v>
      </c>
      <c r="I3605" s="2" t="n">
        <f aca="false">IF(F3605="Present",9,IF(F3605="Half Day",4,0))</f>
        <v>9</v>
      </c>
      <c r="J3605" s="2"/>
      <c r="K3605" s="2"/>
    </row>
    <row r="3606" customFormat="false" ht="15" hidden="false" customHeight="false" outlineLevel="0" collapsed="false">
      <c r="A3606" s="2" t="s">
        <v>281</v>
      </c>
      <c r="B3606" s="2" t="s">
        <v>282</v>
      </c>
      <c r="C3606" s="2" t="s">
        <v>45</v>
      </c>
      <c r="D3606" s="3" t="n">
        <v>46243</v>
      </c>
      <c r="E3606" s="2" t="str">
        <f aca="false">TEXT(D3606,"dddd")</f>
        <v>Sunday</v>
      </c>
      <c r="F3606" s="2" t="s">
        <v>460</v>
      </c>
      <c r="G3606" s="2"/>
      <c r="H3606" s="2"/>
      <c r="I3606" s="2" t="n">
        <f aca="false">IF(F3606="Present",9,IF(F3606="Half Day",4,0))</f>
        <v>0</v>
      </c>
      <c r="J3606" s="2"/>
      <c r="K3606" s="2" t="s">
        <v>460</v>
      </c>
    </row>
    <row r="3607" customFormat="false" ht="15" hidden="false" customHeight="false" outlineLevel="0" collapsed="false">
      <c r="A3607" s="2" t="s">
        <v>281</v>
      </c>
      <c r="B3607" s="2" t="s">
        <v>282</v>
      </c>
      <c r="C3607" s="2" t="s">
        <v>45</v>
      </c>
      <c r="D3607" s="3" t="n">
        <v>46244</v>
      </c>
      <c r="E3607" s="2" t="str">
        <f aca="false">TEXT(D3607,"dddd")</f>
        <v>Monday</v>
      </c>
      <c r="F3607" s="2" t="s">
        <v>457</v>
      </c>
      <c r="G3607" s="2" t="s">
        <v>458</v>
      </c>
      <c r="H3607" s="2" t="s">
        <v>459</v>
      </c>
      <c r="I3607" s="2" t="n">
        <f aca="false">IF(F3607="Present",9,IF(F3607="Half Day",4,0))</f>
        <v>9</v>
      </c>
      <c r="J3607" s="2"/>
      <c r="K3607" s="2"/>
    </row>
    <row r="3608" customFormat="false" ht="15" hidden="false" customHeight="false" outlineLevel="0" collapsed="false">
      <c r="A3608" s="2" t="s">
        <v>281</v>
      </c>
      <c r="B3608" s="2" t="s">
        <v>282</v>
      </c>
      <c r="C3608" s="2" t="s">
        <v>45</v>
      </c>
      <c r="D3608" s="3" t="n">
        <v>46245</v>
      </c>
      <c r="E3608" s="2" t="str">
        <f aca="false">TEXT(D3608,"dddd")</f>
        <v>Tuesday</v>
      </c>
      <c r="F3608" s="2" t="s">
        <v>457</v>
      </c>
      <c r="G3608" s="2" t="s">
        <v>458</v>
      </c>
      <c r="H3608" s="2" t="s">
        <v>459</v>
      </c>
      <c r="I3608" s="2" t="n">
        <f aca="false">IF(F3608="Present",9,IF(F3608="Half Day",4,0))</f>
        <v>9</v>
      </c>
      <c r="J3608" s="2"/>
      <c r="K3608" s="2"/>
    </row>
    <row r="3609" customFormat="false" ht="15" hidden="false" customHeight="false" outlineLevel="0" collapsed="false">
      <c r="A3609" s="2" t="s">
        <v>281</v>
      </c>
      <c r="B3609" s="2" t="s">
        <v>282</v>
      </c>
      <c r="C3609" s="2" t="s">
        <v>45</v>
      </c>
      <c r="D3609" s="3" t="n">
        <v>46246</v>
      </c>
      <c r="E3609" s="2" t="str">
        <f aca="false">TEXT(D3609,"dddd")</f>
        <v>Wednesday</v>
      </c>
      <c r="F3609" s="2" t="s">
        <v>457</v>
      </c>
      <c r="G3609" s="2" t="s">
        <v>458</v>
      </c>
      <c r="H3609" s="2" t="s">
        <v>459</v>
      </c>
      <c r="I3609" s="2" t="n">
        <f aca="false">IF(F3609="Present",9,IF(F3609="Half Day",4,0))</f>
        <v>9</v>
      </c>
      <c r="J3609" s="2"/>
      <c r="K3609" s="2"/>
    </row>
    <row r="3610" customFormat="false" ht="15" hidden="false" customHeight="false" outlineLevel="0" collapsed="false">
      <c r="A3610" s="2" t="s">
        <v>281</v>
      </c>
      <c r="B3610" s="2" t="s">
        <v>282</v>
      </c>
      <c r="C3610" s="2" t="s">
        <v>45</v>
      </c>
      <c r="D3610" s="3" t="n">
        <v>46247</v>
      </c>
      <c r="E3610" s="2" t="str">
        <f aca="false">TEXT(D3610,"dddd")</f>
        <v>Thursday</v>
      </c>
      <c r="F3610" s="2" t="s">
        <v>457</v>
      </c>
      <c r="G3610" s="2" t="s">
        <v>458</v>
      </c>
      <c r="H3610" s="2" t="s">
        <v>459</v>
      </c>
      <c r="I3610" s="2" t="n">
        <f aca="false">IF(F3610="Present",9,IF(F3610="Half Day",4,0))</f>
        <v>9</v>
      </c>
      <c r="J3610" s="2"/>
      <c r="K3610" s="2"/>
    </row>
    <row r="3611" customFormat="false" ht="15" hidden="false" customHeight="false" outlineLevel="0" collapsed="false">
      <c r="A3611" s="2" t="s">
        <v>281</v>
      </c>
      <c r="B3611" s="2" t="s">
        <v>282</v>
      </c>
      <c r="C3611" s="2" t="s">
        <v>45</v>
      </c>
      <c r="D3611" s="3" t="n">
        <v>46248</v>
      </c>
      <c r="E3611" s="2" t="str">
        <f aca="false">TEXT(D3611,"dddd")</f>
        <v>Friday</v>
      </c>
      <c r="F3611" s="2" t="s">
        <v>457</v>
      </c>
      <c r="G3611" s="2" t="s">
        <v>458</v>
      </c>
      <c r="H3611" s="2" t="s">
        <v>459</v>
      </c>
      <c r="I3611" s="2" t="n">
        <f aca="false">IF(F3611="Present",9,IF(F3611="Half Day",4,0))</f>
        <v>9</v>
      </c>
      <c r="J3611" s="2"/>
      <c r="K3611" s="2"/>
    </row>
    <row r="3612" customFormat="false" ht="15" hidden="false" customHeight="false" outlineLevel="0" collapsed="false">
      <c r="A3612" s="2" t="s">
        <v>281</v>
      </c>
      <c r="B3612" s="2" t="s">
        <v>282</v>
      </c>
      <c r="C3612" s="2" t="s">
        <v>45</v>
      </c>
      <c r="D3612" s="3" t="n">
        <v>46249</v>
      </c>
      <c r="E3612" s="2" t="str">
        <f aca="false">TEXT(D3612,"dddd")</f>
        <v>Saturday</v>
      </c>
      <c r="F3612" s="2" t="s">
        <v>457</v>
      </c>
      <c r="G3612" s="2" t="s">
        <v>458</v>
      </c>
      <c r="H3612" s="2" t="s">
        <v>459</v>
      </c>
      <c r="I3612" s="2" t="n">
        <f aca="false">IF(F3612="Present",9,IF(F3612="Half Day",4,0))</f>
        <v>9</v>
      </c>
      <c r="J3612" s="2"/>
      <c r="K3612" s="2"/>
    </row>
    <row r="3613" customFormat="false" ht="15" hidden="false" customHeight="false" outlineLevel="0" collapsed="false">
      <c r="A3613" s="2" t="s">
        <v>281</v>
      </c>
      <c r="B3613" s="2" t="s">
        <v>282</v>
      </c>
      <c r="C3613" s="2" t="s">
        <v>45</v>
      </c>
      <c r="D3613" s="3" t="n">
        <v>46250</v>
      </c>
      <c r="E3613" s="2" t="str">
        <f aca="false">TEXT(D3613,"dddd")</f>
        <v>Sunday</v>
      </c>
      <c r="F3613" s="2" t="s">
        <v>460</v>
      </c>
      <c r="G3613" s="2"/>
      <c r="H3613" s="2"/>
      <c r="I3613" s="2" t="n">
        <f aca="false">IF(F3613="Present",9,IF(F3613="Half Day",4,0))</f>
        <v>0</v>
      </c>
      <c r="J3613" s="2"/>
      <c r="K3613" s="2" t="s">
        <v>460</v>
      </c>
    </row>
    <row r="3614" customFormat="false" ht="15" hidden="false" customHeight="false" outlineLevel="0" collapsed="false">
      <c r="A3614" s="2" t="s">
        <v>281</v>
      </c>
      <c r="B3614" s="2" t="s">
        <v>282</v>
      </c>
      <c r="C3614" s="2" t="s">
        <v>45</v>
      </c>
      <c r="D3614" s="3" t="n">
        <v>46251</v>
      </c>
      <c r="E3614" s="2" t="str">
        <f aca="false">TEXT(D3614,"dddd")</f>
        <v>Monday</v>
      </c>
      <c r="F3614" s="2" t="s">
        <v>457</v>
      </c>
      <c r="G3614" s="2" t="s">
        <v>458</v>
      </c>
      <c r="H3614" s="2" t="s">
        <v>459</v>
      </c>
      <c r="I3614" s="2" t="n">
        <f aca="false">IF(F3614="Present",9,IF(F3614="Half Day",4,0))</f>
        <v>9</v>
      </c>
      <c r="J3614" s="2"/>
      <c r="K3614" s="2"/>
    </row>
    <row r="3615" customFormat="false" ht="15" hidden="false" customHeight="false" outlineLevel="0" collapsed="false">
      <c r="A3615" s="2" t="s">
        <v>281</v>
      </c>
      <c r="B3615" s="2" t="s">
        <v>282</v>
      </c>
      <c r="C3615" s="2" t="s">
        <v>45</v>
      </c>
      <c r="D3615" s="3" t="n">
        <v>46252</v>
      </c>
      <c r="E3615" s="2" t="str">
        <f aca="false">TEXT(D3615,"dddd")</f>
        <v>Tuesday</v>
      </c>
      <c r="F3615" s="2" t="s">
        <v>457</v>
      </c>
      <c r="G3615" s="2" t="s">
        <v>458</v>
      </c>
      <c r="H3615" s="2" t="s">
        <v>459</v>
      </c>
      <c r="I3615" s="2" t="n">
        <f aca="false">IF(F3615="Present",9,IF(F3615="Half Day",4,0))</f>
        <v>9</v>
      </c>
      <c r="J3615" s="2"/>
      <c r="K3615" s="2"/>
    </row>
    <row r="3616" customFormat="false" ht="15" hidden="false" customHeight="false" outlineLevel="0" collapsed="false">
      <c r="A3616" s="2" t="s">
        <v>281</v>
      </c>
      <c r="B3616" s="2" t="s">
        <v>282</v>
      </c>
      <c r="C3616" s="2" t="s">
        <v>45</v>
      </c>
      <c r="D3616" s="3" t="n">
        <v>46253</v>
      </c>
      <c r="E3616" s="2" t="str">
        <f aca="false">TEXT(D3616,"dddd")</f>
        <v>Wednesday</v>
      </c>
      <c r="F3616" s="2" t="s">
        <v>457</v>
      </c>
      <c r="G3616" s="2" t="s">
        <v>458</v>
      </c>
      <c r="H3616" s="2" t="s">
        <v>459</v>
      </c>
      <c r="I3616" s="2" t="n">
        <f aca="false">IF(F3616="Present",9,IF(F3616="Half Day",4,0))</f>
        <v>9</v>
      </c>
      <c r="J3616" s="2"/>
      <c r="K3616" s="2"/>
    </row>
    <row r="3617" customFormat="false" ht="15" hidden="false" customHeight="false" outlineLevel="0" collapsed="false">
      <c r="A3617" s="2" t="s">
        <v>281</v>
      </c>
      <c r="B3617" s="2" t="s">
        <v>282</v>
      </c>
      <c r="C3617" s="2" t="s">
        <v>45</v>
      </c>
      <c r="D3617" s="3" t="n">
        <v>46254</v>
      </c>
      <c r="E3617" s="2" t="str">
        <f aca="false">TEXT(D3617,"dddd")</f>
        <v>Thursday</v>
      </c>
      <c r="F3617" s="2" t="s">
        <v>457</v>
      </c>
      <c r="G3617" s="2" t="s">
        <v>458</v>
      </c>
      <c r="H3617" s="2" t="s">
        <v>459</v>
      </c>
      <c r="I3617" s="2" t="n">
        <f aca="false">IF(F3617="Present",9,IF(F3617="Half Day",4,0))</f>
        <v>9</v>
      </c>
      <c r="J3617" s="2"/>
      <c r="K3617" s="2"/>
    </row>
    <row r="3618" customFormat="false" ht="15" hidden="false" customHeight="false" outlineLevel="0" collapsed="false">
      <c r="A3618" s="2" t="s">
        <v>281</v>
      </c>
      <c r="B3618" s="2" t="s">
        <v>282</v>
      </c>
      <c r="C3618" s="2" t="s">
        <v>45</v>
      </c>
      <c r="D3618" s="3" t="n">
        <v>46255</v>
      </c>
      <c r="E3618" s="2" t="str">
        <f aca="false">TEXT(D3618,"dddd")</f>
        <v>Friday</v>
      </c>
      <c r="F3618" s="2" t="s">
        <v>457</v>
      </c>
      <c r="G3618" s="2" t="s">
        <v>458</v>
      </c>
      <c r="H3618" s="2" t="s">
        <v>459</v>
      </c>
      <c r="I3618" s="2" t="n">
        <f aca="false">IF(F3618="Present",9,IF(F3618="Half Day",4,0))</f>
        <v>9</v>
      </c>
      <c r="J3618" s="2"/>
      <c r="K3618" s="2"/>
    </row>
    <row r="3619" customFormat="false" ht="15" hidden="false" customHeight="false" outlineLevel="0" collapsed="false">
      <c r="A3619" s="2" t="s">
        <v>281</v>
      </c>
      <c r="B3619" s="2" t="s">
        <v>282</v>
      </c>
      <c r="C3619" s="2" t="s">
        <v>45</v>
      </c>
      <c r="D3619" s="3" t="n">
        <v>46256</v>
      </c>
      <c r="E3619" s="2" t="str">
        <f aca="false">TEXT(D3619,"dddd")</f>
        <v>Saturday</v>
      </c>
      <c r="F3619" s="2" t="s">
        <v>457</v>
      </c>
      <c r="G3619" s="2" t="s">
        <v>458</v>
      </c>
      <c r="H3619" s="2" t="s">
        <v>459</v>
      </c>
      <c r="I3619" s="2" t="n">
        <f aca="false">IF(F3619="Present",9,IF(F3619="Half Day",4,0))</f>
        <v>9</v>
      </c>
      <c r="J3619" s="2"/>
      <c r="K3619" s="2"/>
    </row>
    <row r="3620" customFormat="false" ht="15" hidden="false" customHeight="false" outlineLevel="0" collapsed="false">
      <c r="A3620" s="2" t="s">
        <v>281</v>
      </c>
      <c r="B3620" s="2" t="s">
        <v>282</v>
      </c>
      <c r="C3620" s="2" t="s">
        <v>45</v>
      </c>
      <c r="D3620" s="3" t="n">
        <v>46257</v>
      </c>
      <c r="E3620" s="2" t="str">
        <f aca="false">TEXT(D3620,"dddd")</f>
        <v>Sunday</v>
      </c>
      <c r="F3620" s="2" t="s">
        <v>460</v>
      </c>
      <c r="G3620" s="2"/>
      <c r="H3620" s="2"/>
      <c r="I3620" s="2" t="n">
        <f aca="false">IF(F3620="Present",9,IF(F3620="Half Day",4,0))</f>
        <v>0</v>
      </c>
      <c r="J3620" s="2"/>
      <c r="K3620" s="2" t="s">
        <v>460</v>
      </c>
    </row>
    <row r="3621" customFormat="false" ht="15" hidden="false" customHeight="false" outlineLevel="0" collapsed="false">
      <c r="A3621" s="2" t="s">
        <v>281</v>
      </c>
      <c r="B3621" s="2" t="s">
        <v>282</v>
      </c>
      <c r="C3621" s="2" t="s">
        <v>45</v>
      </c>
      <c r="D3621" s="3" t="n">
        <v>46258</v>
      </c>
      <c r="E3621" s="2" t="str">
        <f aca="false">TEXT(D3621,"dddd")</f>
        <v>Monday</v>
      </c>
      <c r="F3621" s="2" t="s">
        <v>457</v>
      </c>
      <c r="G3621" s="2" t="s">
        <v>458</v>
      </c>
      <c r="H3621" s="2" t="s">
        <v>459</v>
      </c>
      <c r="I3621" s="2" t="n">
        <f aca="false">IF(F3621="Present",9,IF(F3621="Half Day",4,0))</f>
        <v>9</v>
      </c>
      <c r="J3621" s="2"/>
      <c r="K3621" s="2"/>
    </row>
    <row r="3622" customFormat="false" ht="15" hidden="false" customHeight="false" outlineLevel="0" collapsed="false">
      <c r="A3622" s="2" t="s">
        <v>281</v>
      </c>
      <c r="B3622" s="2" t="s">
        <v>282</v>
      </c>
      <c r="C3622" s="2" t="s">
        <v>45</v>
      </c>
      <c r="D3622" s="3" t="n">
        <v>46259</v>
      </c>
      <c r="E3622" s="2" t="str">
        <f aca="false">TEXT(D3622,"dddd")</f>
        <v>Tuesday</v>
      </c>
      <c r="F3622" s="2" t="s">
        <v>457</v>
      </c>
      <c r="G3622" s="2" t="s">
        <v>458</v>
      </c>
      <c r="H3622" s="2" t="s">
        <v>459</v>
      </c>
      <c r="I3622" s="2" t="n">
        <f aca="false">IF(F3622="Present",9,IF(F3622="Half Day",4,0))</f>
        <v>9</v>
      </c>
      <c r="J3622" s="2"/>
      <c r="K3622" s="2"/>
    </row>
    <row r="3623" customFormat="false" ht="15" hidden="false" customHeight="false" outlineLevel="0" collapsed="false">
      <c r="A3623" s="2" t="s">
        <v>281</v>
      </c>
      <c r="B3623" s="2" t="s">
        <v>282</v>
      </c>
      <c r="C3623" s="2" t="s">
        <v>45</v>
      </c>
      <c r="D3623" s="3" t="n">
        <v>46260</v>
      </c>
      <c r="E3623" s="2" t="str">
        <f aca="false">TEXT(D3623,"dddd")</f>
        <v>Wednesday</v>
      </c>
      <c r="F3623" s="2" t="s">
        <v>457</v>
      </c>
      <c r="G3623" s="2" t="s">
        <v>458</v>
      </c>
      <c r="H3623" s="2" t="s">
        <v>459</v>
      </c>
      <c r="I3623" s="2" t="n">
        <f aca="false">IF(F3623="Present",9,IF(F3623="Half Day",4,0))</f>
        <v>9</v>
      </c>
      <c r="J3623" s="2"/>
      <c r="K3623" s="2"/>
    </row>
    <row r="3624" customFormat="false" ht="15" hidden="false" customHeight="false" outlineLevel="0" collapsed="false">
      <c r="A3624" s="2" t="s">
        <v>281</v>
      </c>
      <c r="B3624" s="2" t="s">
        <v>282</v>
      </c>
      <c r="C3624" s="2" t="s">
        <v>45</v>
      </c>
      <c r="D3624" s="3" t="n">
        <v>46261</v>
      </c>
      <c r="E3624" s="2" t="str">
        <f aca="false">TEXT(D3624,"dddd")</f>
        <v>Thursday</v>
      </c>
      <c r="F3624" s="2" t="s">
        <v>461</v>
      </c>
      <c r="G3624" s="2"/>
      <c r="H3624" s="2"/>
      <c r="I3624" s="2" t="n">
        <f aca="false">IF(F3624="Present",9,IF(F3624="Half Day",4,0))</f>
        <v>0</v>
      </c>
      <c r="J3624" s="2"/>
      <c r="K3624" s="2" t="s">
        <v>462</v>
      </c>
    </row>
    <row r="3625" customFormat="false" ht="15" hidden="false" customHeight="false" outlineLevel="0" collapsed="false">
      <c r="A3625" s="2" t="s">
        <v>281</v>
      </c>
      <c r="B3625" s="2" t="s">
        <v>282</v>
      </c>
      <c r="C3625" s="2" t="s">
        <v>45</v>
      </c>
      <c r="D3625" s="3" t="n">
        <v>46262</v>
      </c>
      <c r="E3625" s="2" t="str">
        <f aca="false">TEXT(D3625,"dddd")</f>
        <v>Friday</v>
      </c>
      <c r="F3625" s="2" t="s">
        <v>463</v>
      </c>
      <c r="G3625" s="2"/>
      <c r="H3625" s="2"/>
      <c r="I3625" s="2" t="n">
        <f aca="false">IF(F3625="Present",9,IF(F3625="Half Day",4,0))</f>
        <v>0</v>
      </c>
      <c r="J3625" s="2" t="s">
        <v>464</v>
      </c>
      <c r="K3625" s="2" t="s">
        <v>465</v>
      </c>
    </row>
    <row r="3626" customFormat="false" ht="15" hidden="false" customHeight="false" outlineLevel="0" collapsed="false">
      <c r="A3626" s="2" t="s">
        <v>281</v>
      </c>
      <c r="B3626" s="2" t="s">
        <v>282</v>
      </c>
      <c r="C3626" s="2" t="s">
        <v>45</v>
      </c>
      <c r="D3626" s="3" t="n">
        <v>46263</v>
      </c>
      <c r="E3626" s="2" t="str">
        <f aca="false">TEXT(D3626,"dddd")</f>
        <v>Saturday</v>
      </c>
      <c r="F3626" s="2" t="s">
        <v>461</v>
      </c>
      <c r="G3626" s="2"/>
      <c r="H3626" s="2"/>
      <c r="I3626" s="2" t="n">
        <f aca="false">IF(F3626="Present",9,IF(F3626="Half Day",4,0))</f>
        <v>0</v>
      </c>
      <c r="J3626" s="2"/>
      <c r="K3626" s="2" t="s">
        <v>462</v>
      </c>
    </row>
    <row r="3627" customFormat="false" ht="15" hidden="false" customHeight="false" outlineLevel="0" collapsed="false">
      <c r="A3627" s="2" t="s">
        <v>281</v>
      </c>
      <c r="B3627" s="2" t="s">
        <v>282</v>
      </c>
      <c r="C3627" s="2" t="s">
        <v>45</v>
      </c>
      <c r="D3627" s="3" t="n">
        <v>46264</v>
      </c>
      <c r="E3627" s="2" t="str">
        <f aca="false">TEXT(D3627,"dddd")</f>
        <v>Sunday</v>
      </c>
      <c r="F3627" s="2" t="s">
        <v>460</v>
      </c>
      <c r="G3627" s="2"/>
      <c r="H3627" s="2"/>
      <c r="I3627" s="2" t="n">
        <f aca="false">IF(F3627="Present",9,IF(F3627="Half Day",4,0))</f>
        <v>0</v>
      </c>
      <c r="J3627" s="2"/>
      <c r="K3627" s="2" t="s">
        <v>460</v>
      </c>
    </row>
    <row r="3628" customFormat="false" ht="15" hidden="false" customHeight="false" outlineLevel="0" collapsed="false">
      <c r="A3628" s="2" t="s">
        <v>281</v>
      </c>
      <c r="B3628" s="2" t="s">
        <v>282</v>
      </c>
      <c r="C3628" s="2" t="s">
        <v>45</v>
      </c>
      <c r="D3628" s="3" t="n">
        <v>46265</v>
      </c>
      <c r="E3628" s="2" t="str">
        <f aca="false">TEXT(D3628,"dddd")</f>
        <v>Monday</v>
      </c>
      <c r="F3628" s="2" t="s">
        <v>457</v>
      </c>
      <c r="G3628" s="2" t="s">
        <v>458</v>
      </c>
      <c r="H3628" s="2" t="s">
        <v>459</v>
      </c>
      <c r="I3628" s="2" t="n">
        <f aca="false">IF(F3628="Present",9,IF(F3628="Half Day",4,0))</f>
        <v>9</v>
      </c>
      <c r="J3628" s="2"/>
      <c r="K3628" s="2"/>
    </row>
    <row r="3629" customFormat="false" ht="15" hidden="false" customHeight="false" outlineLevel="0" collapsed="false">
      <c r="A3629" s="2" t="s">
        <v>283</v>
      </c>
      <c r="B3629" s="2" t="s">
        <v>284</v>
      </c>
      <c r="C3629" s="2" t="s">
        <v>49</v>
      </c>
      <c r="D3629" s="3" t="n">
        <v>46235</v>
      </c>
      <c r="E3629" s="2" t="str">
        <f aca="false">TEXT(D3629,"dddd")</f>
        <v>Saturday</v>
      </c>
      <c r="F3629" s="2" t="s">
        <v>457</v>
      </c>
      <c r="G3629" s="2" t="s">
        <v>458</v>
      </c>
      <c r="H3629" s="2" t="s">
        <v>459</v>
      </c>
      <c r="I3629" s="2" t="n">
        <f aca="false">IF(F3629="Present",9,IF(F3629="Half Day",4,0))</f>
        <v>9</v>
      </c>
      <c r="J3629" s="2"/>
      <c r="K3629" s="2"/>
    </row>
    <row r="3630" customFormat="false" ht="15" hidden="false" customHeight="false" outlineLevel="0" collapsed="false">
      <c r="A3630" s="2" t="s">
        <v>283</v>
      </c>
      <c r="B3630" s="2" t="s">
        <v>284</v>
      </c>
      <c r="C3630" s="2" t="s">
        <v>49</v>
      </c>
      <c r="D3630" s="3" t="n">
        <v>46236</v>
      </c>
      <c r="E3630" s="2" t="str">
        <f aca="false">TEXT(D3630,"dddd")</f>
        <v>Sunday</v>
      </c>
      <c r="F3630" s="2" t="s">
        <v>460</v>
      </c>
      <c r="G3630" s="2"/>
      <c r="H3630" s="2"/>
      <c r="I3630" s="2" t="n">
        <f aca="false">IF(F3630="Present",9,IF(F3630="Half Day",4,0))</f>
        <v>0</v>
      </c>
      <c r="J3630" s="2"/>
      <c r="K3630" s="2" t="s">
        <v>460</v>
      </c>
    </row>
    <row r="3631" customFormat="false" ht="15" hidden="false" customHeight="false" outlineLevel="0" collapsed="false">
      <c r="A3631" s="2" t="s">
        <v>283</v>
      </c>
      <c r="B3631" s="2" t="s">
        <v>284</v>
      </c>
      <c r="C3631" s="2" t="s">
        <v>49</v>
      </c>
      <c r="D3631" s="3" t="n">
        <v>46237</v>
      </c>
      <c r="E3631" s="2" t="str">
        <f aca="false">TEXT(D3631,"dddd")</f>
        <v>Monday</v>
      </c>
      <c r="F3631" s="2" t="s">
        <v>461</v>
      </c>
      <c r="G3631" s="2"/>
      <c r="H3631" s="2"/>
      <c r="I3631" s="2" t="n">
        <f aca="false">IF(F3631="Present",9,IF(F3631="Half Day",4,0))</f>
        <v>0</v>
      </c>
      <c r="J3631" s="2"/>
      <c r="K3631" s="2" t="s">
        <v>462</v>
      </c>
    </row>
    <row r="3632" customFormat="false" ht="15" hidden="false" customHeight="false" outlineLevel="0" collapsed="false">
      <c r="A3632" s="2" t="s">
        <v>283</v>
      </c>
      <c r="B3632" s="2" t="s">
        <v>284</v>
      </c>
      <c r="C3632" s="2" t="s">
        <v>49</v>
      </c>
      <c r="D3632" s="3" t="n">
        <v>46238</v>
      </c>
      <c r="E3632" s="2" t="str">
        <f aca="false">TEXT(D3632,"dddd")</f>
        <v>Tuesday</v>
      </c>
      <c r="F3632" s="2" t="s">
        <v>457</v>
      </c>
      <c r="G3632" s="2" t="s">
        <v>458</v>
      </c>
      <c r="H3632" s="2" t="s">
        <v>459</v>
      </c>
      <c r="I3632" s="2" t="n">
        <f aca="false">IF(F3632="Present",9,IF(F3632="Half Day",4,0))</f>
        <v>9</v>
      </c>
      <c r="J3632" s="2"/>
      <c r="K3632" s="2"/>
    </row>
    <row r="3633" customFormat="false" ht="15" hidden="false" customHeight="false" outlineLevel="0" collapsed="false">
      <c r="A3633" s="2" t="s">
        <v>283</v>
      </c>
      <c r="B3633" s="2" t="s">
        <v>284</v>
      </c>
      <c r="C3633" s="2" t="s">
        <v>49</v>
      </c>
      <c r="D3633" s="3" t="n">
        <v>46239</v>
      </c>
      <c r="E3633" s="2" t="str">
        <f aca="false">TEXT(D3633,"dddd")</f>
        <v>Wednesday</v>
      </c>
      <c r="F3633" s="2" t="s">
        <v>457</v>
      </c>
      <c r="G3633" s="2" t="s">
        <v>458</v>
      </c>
      <c r="H3633" s="2" t="s">
        <v>459</v>
      </c>
      <c r="I3633" s="2" t="n">
        <f aca="false">IF(F3633="Present",9,IF(F3633="Half Day",4,0))</f>
        <v>9</v>
      </c>
      <c r="J3633" s="2"/>
      <c r="K3633" s="2"/>
    </row>
    <row r="3634" customFormat="false" ht="15" hidden="false" customHeight="false" outlineLevel="0" collapsed="false">
      <c r="A3634" s="2" t="s">
        <v>283</v>
      </c>
      <c r="B3634" s="2" t="s">
        <v>284</v>
      </c>
      <c r="C3634" s="2" t="s">
        <v>49</v>
      </c>
      <c r="D3634" s="3" t="n">
        <v>46240</v>
      </c>
      <c r="E3634" s="2" t="str">
        <f aca="false">TEXT(D3634,"dddd")</f>
        <v>Thursday</v>
      </c>
      <c r="F3634" s="2" t="s">
        <v>457</v>
      </c>
      <c r="G3634" s="2" t="s">
        <v>458</v>
      </c>
      <c r="H3634" s="2" t="s">
        <v>459</v>
      </c>
      <c r="I3634" s="2" t="n">
        <f aca="false">IF(F3634="Present",9,IF(F3634="Half Day",4,0))</f>
        <v>9</v>
      </c>
      <c r="J3634" s="2"/>
      <c r="K3634" s="2"/>
    </row>
    <row r="3635" customFormat="false" ht="15" hidden="false" customHeight="false" outlineLevel="0" collapsed="false">
      <c r="A3635" s="2" t="s">
        <v>283</v>
      </c>
      <c r="B3635" s="2" t="s">
        <v>284</v>
      </c>
      <c r="C3635" s="2" t="s">
        <v>49</v>
      </c>
      <c r="D3635" s="3" t="n">
        <v>46241</v>
      </c>
      <c r="E3635" s="2" t="str">
        <f aca="false">TEXT(D3635,"dddd")</f>
        <v>Friday</v>
      </c>
      <c r="F3635" s="2" t="s">
        <v>463</v>
      </c>
      <c r="G3635" s="2"/>
      <c r="H3635" s="2"/>
      <c r="I3635" s="2" t="n">
        <f aca="false">IF(F3635="Present",9,IF(F3635="Half Day",4,0))</f>
        <v>0</v>
      </c>
      <c r="J3635" s="2" t="s">
        <v>464</v>
      </c>
      <c r="K3635" s="2" t="s">
        <v>465</v>
      </c>
    </row>
    <row r="3636" customFormat="false" ht="15" hidden="false" customHeight="false" outlineLevel="0" collapsed="false">
      <c r="A3636" s="2" t="s">
        <v>283</v>
      </c>
      <c r="B3636" s="2" t="s">
        <v>284</v>
      </c>
      <c r="C3636" s="2" t="s">
        <v>49</v>
      </c>
      <c r="D3636" s="3" t="n">
        <v>46242</v>
      </c>
      <c r="E3636" s="2" t="str">
        <f aca="false">TEXT(D3636,"dddd")</f>
        <v>Saturday</v>
      </c>
      <c r="F3636" s="2" t="s">
        <v>457</v>
      </c>
      <c r="G3636" s="2" t="s">
        <v>458</v>
      </c>
      <c r="H3636" s="2" t="s">
        <v>459</v>
      </c>
      <c r="I3636" s="2" t="n">
        <f aca="false">IF(F3636="Present",9,IF(F3636="Half Day",4,0))</f>
        <v>9</v>
      </c>
      <c r="J3636" s="2"/>
      <c r="K3636" s="2"/>
    </row>
    <row r="3637" customFormat="false" ht="15" hidden="false" customHeight="false" outlineLevel="0" collapsed="false">
      <c r="A3637" s="2" t="s">
        <v>283</v>
      </c>
      <c r="B3637" s="2" t="s">
        <v>284</v>
      </c>
      <c r="C3637" s="2" t="s">
        <v>49</v>
      </c>
      <c r="D3637" s="3" t="n">
        <v>46243</v>
      </c>
      <c r="E3637" s="2" t="str">
        <f aca="false">TEXT(D3637,"dddd")</f>
        <v>Sunday</v>
      </c>
      <c r="F3637" s="2" t="s">
        <v>460</v>
      </c>
      <c r="G3637" s="2"/>
      <c r="H3637" s="2"/>
      <c r="I3637" s="2" t="n">
        <f aca="false">IF(F3637="Present",9,IF(F3637="Half Day",4,0))</f>
        <v>0</v>
      </c>
      <c r="J3637" s="2"/>
      <c r="K3637" s="2" t="s">
        <v>460</v>
      </c>
    </row>
    <row r="3638" customFormat="false" ht="15" hidden="false" customHeight="false" outlineLevel="0" collapsed="false">
      <c r="A3638" s="2" t="s">
        <v>283</v>
      </c>
      <c r="B3638" s="2" t="s">
        <v>284</v>
      </c>
      <c r="C3638" s="2" t="s">
        <v>49</v>
      </c>
      <c r="D3638" s="3" t="n">
        <v>46244</v>
      </c>
      <c r="E3638" s="2" t="str">
        <f aca="false">TEXT(D3638,"dddd")</f>
        <v>Monday</v>
      </c>
      <c r="F3638" s="2" t="s">
        <v>457</v>
      </c>
      <c r="G3638" s="2" t="s">
        <v>458</v>
      </c>
      <c r="H3638" s="2" t="s">
        <v>459</v>
      </c>
      <c r="I3638" s="2" t="n">
        <f aca="false">IF(F3638="Present",9,IF(F3638="Half Day",4,0))</f>
        <v>9</v>
      </c>
      <c r="J3638" s="2"/>
      <c r="K3638" s="2"/>
    </row>
    <row r="3639" customFormat="false" ht="15" hidden="false" customHeight="false" outlineLevel="0" collapsed="false">
      <c r="A3639" s="2" t="s">
        <v>283</v>
      </c>
      <c r="B3639" s="2" t="s">
        <v>284</v>
      </c>
      <c r="C3639" s="2" t="s">
        <v>49</v>
      </c>
      <c r="D3639" s="3" t="n">
        <v>46245</v>
      </c>
      <c r="E3639" s="2" t="str">
        <f aca="false">TEXT(D3639,"dddd")</f>
        <v>Tuesday</v>
      </c>
      <c r="F3639" s="2" t="s">
        <v>457</v>
      </c>
      <c r="G3639" s="2" t="s">
        <v>458</v>
      </c>
      <c r="H3639" s="2" t="s">
        <v>459</v>
      </c>
      <c r="I3639" s="2" t="n">
        <f aca="false">IF(F3639="Present",9,IF(F3639="Half Day",4,0))</f>
        <v>9</v>
      </c>
      <c r="J3639" s="2"/>
      <c r="K3639" s="2"/>
    </row>
    <row r="3640" customFormat="false" ht="15" hidden="false" customHeight="false" outlineLevel="0" collapsed="false">
      <c r="A3640" s="2" t="s">
        <v>283</v>
      </c>
      <c r="B3640" s="2" t="s">
        <v>284</v>
      </c>
      <c r="C3640" s="2" t="s">
        <v>49</v>
      </c>
      <c r="D3640" s="3" t="n">
        <v>46246</v>
      </c>
      <c r="E3640" s="2" t="str">
        <f aca="false">TEXT(D3640,"dddd")</f>
        <v>Wednesday</v>
      </c>
      <c r="F3640" s="2" t="s">
        <v>457</v>
      </c>
      <c r="G3640" s="2" t="s">
        <v>458</v>
      </c>
      <c r="H3640" s="2" t="s">
        <v>459</v>
      </c>
      <c r="I3640" s="2" t="n">
        <f aca="false">IF(F3640="Present",9,IF(F3640="Half Day",4,0))</f>
        <v>9</v>
      </c>
      <c r="J3640" s="2"/>
      <c r="K3640" s="2"/>
    </row>
    <row r="3641" customFormat="false" ht="15" hidden="false" customHeight="false" outlineLevel="0" collapsed="false">
      <c r="A3641" s="2" t="s">
        <v>283</v>
      </c>
      <c r="B3641" s="2" t="s">
        <v>284</v>
      </c>
      <c r="C3641" s="2" t="s">
        <v>49</v>
      </c>
      <c r="D3641" s="3" t="n">
        <v>46247</v>
      </c>
      <c r="E3641" s="2" t="str">
        <f aca="false">TEXT(D3641,"dddd")</f>
        <v>Thursday</v>
      </c>
      <c r="F3641" s="2" t="s">
        <v>457</v>
      </c>
      <c r="G3641" s="2" t="s">
        <v>458</v>
      </c>
      <c r="H3641" s="2" t="s">
        <v>459</v>
      </c>
      <c r="I3641" s="2" t="n">
        <f aca="false">IF(F3641="Present",9,IF(F3641="Half Day",4,0))</f>
        <v>9</v>
      </c>
      <c r="J3641" s="2"/>
      <c r="K3641" s="2"/>
    </row>
    <row r="3642" customFormat="false" ht="15" hidden="false" customHeight="false" outlineLevel="0" collapsed="false">
      <c r="A3642" s="2" t="s">
        <v>283</v>
      </c>
      <c r="B3642" s="2" t="s">
        <v>284</v>
      </c>
      <c r="C3642" s="2" t="s">
        <v>49</v>
      </c>
      <c r="D3642" s="3" t="n">
        <v>46248</v>
      </c>
      <c r="E3642" s="2" t="str">
        <f aca="false">TEXT(D3642,"dddd")</f>
        <v>Friday</v>
      </c>
      <c r="F3642" s="2" t="s">
        <v>457</v>
      </c>
      <c r="G3642" s="2" t="s">
        <v>458</v>
      </c>
      <c r="H3642" s="2" t="s">
        <v>459</v>
      </c>
      <c r="I3642" s="2" t="n">
        <f aca="false">IF(F3642="Present",9,IF(F3642="Half Day",4,0))</f>
        <v>9</v>
      </c>
      <c r="J3642" s="2"/>
      <c r="K3642" s="2"/>
    </row>
    <row r="3643" customFormat="false" ht="15" hidden="false" customHeight="false" outlineLevel="0" collapsed="false">
      <c r="A3643" s="2" t="s">
        <v>283</v>
      </c>
      <c r="B3643" s="2" t="s">
        <v>284</v>
      </c>
      <c r="C3643" s="2" t="s">
        <v>49</v>
      </c>
      <c r="D3643" s="3" t="n">
        <v>46249</v>
      </c>
      <c r="E3643" s="2" t="str">
        <f aca="false">TEXT(D3643,"dddd")</f>
        <v>Saturday</v>
      </c>
      <c r="F3643" s="2" t="s">
        <v>457</v>
      </c>
      <c r="G3643" s="2" t="s">
        <v>458</v>
      </c>
      <c r="H3643" s="2" t="s">
        <v>459</v>
      </c>
      <c r="I3643" s="2" t="n">
        <f aca="false">IF(F3643="Present",9,IF(F3643="Half Day",4,0))</f>
        <v>9</v>
      </c>
      <c r="J3643" s="2"/>
      <c r="K3643" s="2"/>
    </row>
    <row r="3644" customFormat="false" ht="15" hidden="false" customHeight="false" outlineLevel="0" collapsed="false">
      <c r="A3644" s="2" t="s">
        <v>283</v>
      </c>
      <c r="B3644" s="2" t="s">
        <v>284</v>
      </c>
      <c r="C3644" s="2" t="s">
        <v>49</v>
      </c>
      <c r="D3644" s="3" t="n">
        <v>46250</v>
      </c>
      <c r="E3644" s="2" t="str">
        <f aca="false">TEXT(D3644,"dddd")</f>
        <v>Sunday</v>
      </c>
      <c r="F3644" s="2" t="s">
        <v>460</v>
      </c>
      <c r="G3644" s="2"/>
      <c r="H3644" s="2"/>
      <c r="I3644" s="2" t="n">
        <f aca="false">IF(F3644="Present",9,IF(F3644="Half Day",4,0))</f>
        <v>0</v>
      </c>
      <c r="J3644" s="2"/>
      <c r="K3644" s="2" t="s">
        <v>460</v>
      </c>
    </row>
    <row r="3645" customFormat="false" ht="15" hidden="false" customHeight="false" outlineLevel="0" collapsed="false">
      <c r="A3645" s="2" t="s">
        <v>283</v>
      </c>
      <c r="B3645" s="2" t="s">
        <v>284</v>
      </c>
      <c r="C3645" s="2" t="s">
        <v>49</v>
      </c>
      <c r="D3645" s="3" t="n">
        <v>46251</v>
      </c>
      <c r="E3645" s="2" t="str">
        <f aca="false">TEXT(D3645,"dddd")</f>
        <v>Monday</v>
      </c>
      <c r="F3645" s="2" t="s">
        <v>457</v>
      </c>
      <c r="G3645" s="2" t="s">
        <v>458</v>
      </c>
      <c r="H3645" s="2" t="s">
        <v>459</v>
      </c>
      <c r="I3645" s="2" t="n">
        <f aca="false">IF(F3645="Present",9,IF(F3645="Half Day",4,0))</f>
        <v>9</v>
      </c>
      <c r="J3645" s="2"/>
      <c r="K3645" s="2"/>
    </row>
    <row r="3646" customFormat="false" ht="15" hidden="false" customHeight="false" outlineLevel="0" collapsed="false">
      <c r="A3646" s="2" t="s">
        <v>283</v>
      </c>
      <c r="B3646" s="2" t="s">
        <v>284</v>
      </c>
      <c r="C3646" s="2" t="s">
        <v>49</v>
      </c>
      <c r="D3646" s="3" t="n">
        <v>46252</v>
      </c>
      <c r="E3646" s="2" t="str">
        <f aca="false">TEXT(D3646,"dddd")</f>
        <v>Tuesday</v>
      </c>
      <c r="F3646" s="2" t="s">
        <v>457</v>
      </c>
      <c r="G3646" s="2" t="s">
        <v>458</v>
      </c>
      <c r="H3646" s="2" t="s">
        <v>459</v>
      </c>
      <c r="I3646" s="2" t="n">
        <f aca="false">IF(F3646="Present",9,IF(F3646="Half Day",4,0))</f>
        <v>9</v>
      </c>
      <c r="J3646" s="2"/>
      <c r="K3646" s="2"/>
    </row>
    <row r="3647" customFormat="false" ht="15" hidden="false" customHeight="false" outlineLevel="0" collapsed="false">
      <c r="A3647" s="2" t="s">
        <v>283</v>
      </c>
      <c r="B3647" s="2" t="s">
        <v>284</v>
      </c>
      <c r="C3647" s="2" t="s">
        <v>49</v>
      </c>
      <c r="D3647" s="3" t="n">
        <v>46253</v>
      </c>
      <c r="E3647" s="2" t="str">
        <f aca="false">TEXT(D3647,"dddd")</f>
        <v>Wednesday</v>
      </c>
      <c r="F3647" s="2" t="s">
        <v>457</v>
      </c>
      <c r="G3647" s="2" t="s">
        <v>458</v>
      </c>
      <c r="H3647" s="2" t="s">
        <v>459</v>
      </c>
      <c r="I3647" s="2" t="n">
        <f aca="false">IF(F3647="Present",9,IF(F3647="Half Day",4,0))</f>
        <v>9</v>
      </c>
      <c r="J3647" s="2"/>
      <c r="K3647" s="2"/>
    </row>
    <row r="3648" customFormat="false" ht="15" hidden="false" customHeight="false" outlineLevel="0" collapsed="false">
      <c r="A3648" s="2" t="s">
        <v>283</v>
      </c>
      <c r="B3648" s="2" t="s">
        <v>284</v>
      </c>
      <c r="C3648" s="2" t="s">
        <v>49</v>
      </c>
      <c r="D3648" s="3" t="n">
        <v>46254</v>
      </c>
      <c r="E3648" s="2" t="str">
        <f aca="false">TEXT(D3648,"dddd")</f>
        <v>Thursday</v>
      </c>
      <c r="F3648" s="2" t="s">
        <v>457</v>
      </c>
      <c r="G3648" s="2" t="s">
        <v>458</v>
      </c>
      <c r="H3648" s="2" t="s">
        <v>459</v>
      </c>
      <c r="I3648" s="2" t="n">
        <f aca="false">IF(F3648="Present",9,IF(F3648="Half Day",4,0))</f>
        <v>9</v>
      </c>
      <c r="J3648" s="2"/>
      <c r="K3648" s="2"/>
    </row>
    <row r="3649" customFormat="false" ht="15" hidden="false" customHeight="false" outlineLevel="0" collapsed="false">
      <c r="A3649" s="2" t="s">
        <v>283</v>
      </c>
      <c r="B3649" s="2" t="s">
        <v>284</v>
      </c>
      <c r="C3649" s="2" t="s">
        <v>49</v>
      </c>
      <c r="D3649" s="3" t="n">
        <v>46255</v>
      </c>
      <c r="E3649" s="2" t="str">
        <f aca="false">TEXT(D3649,"dddd")</f>
        <v>Friday</v>
      </c>
      <c r="F3649" s="2" t="s">
        <v>457</v>
      </c>
      <c r="G3649" s="2" t="s">
        <v>458</v>
      </c>
      <c r="H3649" s="2" t="s">
        <v>459</v>
      </c>
      <c r="I3649" s="2" t="n">
        <f aca="false">IF(F3649="Present",9,IF(F3649="Half Day",4,0))</f>
        <v>9</v>
      </c>
      <c r="J3649" s="2"/>
      <c r="K3649" s="2"/>
    </row>
    <row r="3650" customFormat="false" ht="15" hidden="false" customHeight="false" outlineLevel="0" collapsed="false">
      <c r="A3650" s="2" t="s">
        <v>283</v>
      </c>
      <c r="B3650" s="2" t="s">
        <v>284</v>
      </c>
      <c r="C3650" s="2" t="s">
        <v>49</v>
      </c>
      <c r="D3650" s="3" t="n">
        <v>46256</v>
      </c>
      <c r="E3650" s="2" t="str">
        <f aca="false">TEXT(D3650,"dddd")</f>
        <v>Saturday</v>
      </c>
      <c r="F3650" s="2" t="s">
        <v>457</v>
      </c>
      <c r="G3650" s="2" t="s">
        <v>458</v>
      </c>
      <c r="H3650" s="2" t="s">
        <v>459</v>
      </c>
      <c r="I3650" s="2" t="n">
        <f aca="false">IF(F3650="Present",9,IF(F3650="Half Day",4,0))</f>
        <v>9</v>
      </c>
      <c r="J3650" s="2"/>
      <c r="K3650" s="2"/>
    </row>
    <row r="3651" customFormat="false" ht="15" hidden="false" customHeight="false" outlineLevel="0" collapsed="false">
      <c r="A3651" s="2" t="s">
        <v>283</v>
      </c>
      <c r="B3651" s="2" t="s">
        <v>284</v>
      </c>
      <c r="C3651" s="2" t="s">
        <v>49</v>
      </c>
      <c r="D3651" s="3" t="n">
        <v>46257</v>
      </c>
      <c r="E3651" s="2" t="str">
        <f aca="false">TEXT(D3651,"dddd")</f>
        <v>Sunday</v>
      </c>
      <c r="F3651" s="2" t="s">
        <v>460</v>
      </c>
      <c r="G3651" s="2"/>
      <c r="H3651" s="2"/>
      <c r="I3651" s="2" t="n">
        <f aca="false">IF(F3651="Present",9,IF(F3651="Half Day",4,0))</f>
        <v>0</v>
      </c>
      <c r="J3651" s="2"/>
      <c r="K3651" s="2" t="s">
        <v>460</v>
      </c>
    </row>
    <row r="3652" customFormat="false" ht="15" hidden="false" customHeight="false" outlineLevel="0" collapsed="false">
      <c r="A3652" s="2" t="s">
        <v>283</v>
      </c>
      <c r="B3652" s="2" t="s">
        <v>284</v>
      </c>
      <c r="C3652" s="2" t="s">
        <v>49</v>
      </c>
      <c r="D3652" s="3" t="n">
        <v>46258</v>
      </c>
      <c r="E3652" s="2" t="str">
        <f aca="false">TEXT(D3652,"dddd")</f>
        <v>Monday</v>
      </c>
      <c r="F3652" s="2" t="s">
        <v>457</v>
      </c>
      <c r="G3652" s="2" t="s">
        <v>458</v>
      </c>
      <c r="H3652" s="2" t="s">
        <v>459</v>
      </c>
      <c r="I3652" s="2" t="n">
        <f aca="false">IF(F3652="Present",9,IF(F3652="Half Day",4,0))</f>
        <v>9</v>
      </c>
      <c r="J3652" s="2"/>
      <c r="K3652" s="2"/>
    </row>
    <row r="3653" customFormat="false" ht="15" hidden="false" customHeight="false" outlineLevel="0" collapsed="false">
      <c r="A3653" s="2" t="s">
        <v>283</v>
      </c>
      <c r="B3653" s="2" t="s">
        <v>284</v>
      </c>
      <c r="C3653" s="2" t="s">
        <v>49</v>
      </c>
      <c r="D3653" s="3" t="n">
        <v>46259</v>
      </c>
      <c r="E3653" s="2" t="str">
        <f aca="false">TEXT(D3653,"dddd")</f>
        <v>Tuesday</v>
      </c>
      <c r="F3653" s="2" t="s">
        <v>457</v>
      </c>
      <c r="G3653" s="2" t="s">
        <v>458</v>
      </c>
      <c r="H3653" s="2" t="s">
        <v>459</v>
      </c>
      <c r="I3653" s="2" t="n">
        <f aca="false">IF(F3653="Present",9,IF(F3653="Half Day",4,0))</f>
        <v>9</v>
      </c>
      <c r="J3653" s="2"/>
      <c r="K3653" s="2"/>
    </row>
    <row r="3654" customFormat="false" ht="15" hidden="false" customHeight="false" outlineLevel="0" collapsed="false">
      <c r="A3654" s="2" t="s">
        <v>283</v>
      </c>
      <c r="B3654" s="2" t="s">
        <v>284</v>
      </c>
      <c r="C3654" s="2" t="s">
        <v>49</v>
      </c>
      <c r="D3654" s="3" t="n">
        <v>46260</v>
      </c>
      <c r="E3654" s="2" t="str">
        <f aca="false">TEXT(D3654,"dddd")</f>
        <v>Wednesday</v>
      </c>
      <c r="F3654" s="2" t="s">
        <v>457</v>
      </c>
      <c r="G3654" s="2" t="s">
        <v>458</v>
      </c>
      <c r="H3654" s="2" t="s">
        <v>459</v>
      </c>
      <c r="I3654" s="2" t="n">
        <f aca="false">IF(F3654="Present",9,IF(F3654="Half Day",4,0))</f>
        <v>9</v>
      </c>
      <c r="J3654" s="2"/>
      <c r="K3654" s="2"/>
    </row>
    <row r="3655" customFormat="false" ht="15" hidden="false" customHeight="false" outlineLevel="0" collapsed="false">
      <c r="A3655" s="2" t="s">
        <v>283</v>
      </c>
      <c r="B3655" s="2" t="s">
        <v>284</v>
      </c>
      <c r="C3655" s="2" t="s">
        <v>49</v>
      </c>
      <c r="D3655" s="3" t="n">
        <v>46261</v>
      </c>
      <c r="E3655" s="2" t="str">
        <f aca="false">TEXT(D3655,"dddd")</f>
        <v>Thursday</v>
      </c>
      <c r="F3655" s="2" t="s">
        <v>457</v>
      </c>
      <c r="G3655" s="2" t="s">
        <v>458</v>
      </c>
      <c r="H3655" s="2" t="s">
        <v>459</v>
      </c>
      <c r="I3655" s="2" t="n">
        <f aca="false">IF(F3655="Present",9,IF(F3655="Half Day",4,0))</f>
        <v>9</v>
      </c>
      <c r="J3655" s="2"/>
      <c r="K3655" s="2"/>
    </row>
    <row r="3656" customFormat="false" ht="15" hidden="false" customHeight="false" outlineLevel="0" collapsed="false">
      <c r="A3656" s="2" t="s">
        <v>283</v>
      </c>
      <c r="B3656" s="2" t="s">
        <v>284</v>
      </c>
      <c r="C3656" s="2" t="s">
        <v>49</v>
      </c>
      <c r="D3656" s="3" t="n">
        <v>46262</v>
      </c>
      <c r="E3656" s="2" t="str">
        <f aca="false">TEXT(D3656,"dddd")</f>
        <v>Friday</v>
      </c>
      <c r="F3656" s="2" t="s">
        <v>457</v>
      </c>
      <c r="G3656" s="2" t="s">
        <v>458</v>
      </c>
      <c r="H3656" s="2" t="s">
        <v>459</v>
      </c>
      <c r="I3656" s="2" t="n">
        <f aca="false">IF(F3656="Present",9,IF(F3656="Half Day",4,0))</f>
        <v>9</v>
      </c>
      <c r="J3656" s="2"/>
      <c r="K3656" s="2"/>
    </row>
    <row r="3657" customFormat="false" ht="15" hidden="false" customHeight="false" outlineLevel="0" collapsed="false">
      <c r="A3657" s="2" t="s">
        <v>283</v>
      </c>
      <c r="B3657" s="2" t="s">
        <v>284</v>
      </c>
      <c r="C3657" s="2" t="s">
        <v>49</v>
      </c>
      <c r="D3657" s="3" t="n">
        <v>46263</v>
      </c>
      <c r="E3657" s="2" t="str">
        <f aca="false">TEXT(D3657,"dddd")</f>
        <v>Saturday</v>
      </c>
      <c r="F3657" s="2" t="s">
        <v>457</v>
      </c>
      <c r="G3657" s="2" t="s">
        <v>458</v>
      </c>
      <c r="H3657" s="2" t="s">
        <v>459</v>
      </c>
      <c r="I3657" s="2" t="n">
        <f aca="false">IF(F3657="Present",9,IF(F3657="Half Day",4,0))</f>
        <v>9</v>
      </c>
      <c r="J3657" s="2"/>
      <c r="K3657" s="2"/>
    </row>
    <row r="3658" customFormat="false" ht="15" hidden="false" customHeight="false" outlineLevel="0" collapsed="false">
      <c r="A3658" s="2" t="s">
        <v>283</v>
      </c>
      <c r="B3658" s="2" t="s">
        <v>284</v>
      </c>
      <c r="C3658" s="2" t="s">
        <v>49</v>
      </c>
      <c r="D3658" s="3" t="n">
        <v>46264</v>
      </c>
      <c r="E3658" s="2" t="str">
        <f aca="false">TEXT(D3658,"dddd")</f>
        <v>Sunday</v>
      </c>
      <c r="F3658" s="2" t="s">
        <v>460</v>
      </c>
      <c r="G3658" s="2"/>
      <c r="H3658" s="2"/>
      <c r="I3658" s="2" t="n">
        <f aca="false">IF(F3658="Present",9,IF(F3658="Half Day",4,0))</f>
        <v>0</v>
      </c>
      <c r="J3658" s="2"/>
      <c r="K3658" s="2" t="s">
        <v>460</v>
      </c>
    </row>
    <row r="3659" customFormat="false" ht="15" hidden="false" customHeight="false" outlineLevel="0" collapsed="false">
      <c r="A3659" s="2" t="s">
        <v>283</v>
      </c>
      <c r="B3659" s="2" t="s">
        <v>284</v>
      </c>
      <c r="C3659" s="2" t="s">
        <v>49</v>
      </c>
      <c r="D3659" s="3" t="n">
        <v>46265</v>
      </c>
      <c r="E3659" s="2" t="str">
        <f aca="false">TEXT(D3659,"dddd")</f>
        <v>Monday</v>
      </c>
      <c r="F3659" s="2" t="s">
        <v>457</v>
      </c>
      <c r="G3659" s="2" t="s">
        <v>458</v>
      </c>
      <c r="H3659" s="2" t="s">
        <v>459</v>
      </c>
      <c r="I3659" s="2" t="n">
        <f aca="false">IF(F3659="Present",9,IF(F3659="Half Day",4,0))</f>
        <v>9</v>
      </c>
      <c r="J3659" s="2"/>
      <c r="K3659" s="2"/>
    </row>
    <row r="3660" customFormat="false" ht="15" hidden="false" customHeight="false" outlineLevel="0" collapsed="false">
      <c r="A3660" s="2" t="s">
        <v>285</v>
      </c>
      <c r="B3660" s="2" t="s">
        <v>286</v>
      </c>
      <c r="C3660" s="2" t="s">
        <v>53</v>
      </c>
      <c r="D3660" s="3" t="n">
        <v>46235</v>
      </c>
      <c r="E3660" s="2" t="str">
        <f aca="false">TEXT(D3660,"dddd")</f>
        <v>Saturday</v>
      </c>
      <c r="F3660" s="2" t="s">
        <v>457</v>
      </c>
      <c r="G3660" s="2" t="s">
        <v>458</v>
      </c>
      <c r="H3660" s="2" t="s">
        <v>459</v>
      </c>
      <c r="I3660" s="2" t="n">
        <f aca="false">IF(F3660="Present",9,IF(F3660="Half Day",4,0))</f>
        <v>9</v>
      </c>
      <c r="J3660" s="2"/>
      <c r="K3660" s="2"/>
    </row>
    <row r="3661" customFormat="false" ht="15" hidden="false" customHeight="false" outlineLevel="0" collapsed="false">
      <c r="A3661" s="2" t="s">
        <v>285</v>
      </c>
      <c r="B3661" s="2" t="s">
        <v>286</v>
      </c>
      <c r="C3661" s="2" t="s">
        <v>53</v>
      </c>
      <c r="D3661" s="3" t="n">
        <v>46236</v>
      </c>
      <c r="E3661" s="2" t="str">
        <f aca="false">TEXT(D3661,"dddd")</f>
        <v>Sunday</v>
      </c>
      <c r="F3661" s="2" t="s">
        <v>460</v>
      </c>
      <c r="G3661" s="2"/>
      <c r="H3661" s="2"/>
      <c r="I3661" s="2" t="n">
        <f aca="false">IF(F3661="Present",9,IF(F3661="Half Day",4,0))</f>
        <v>0</v>
      </c>
      <c r="J3661" s="2"/>
      <c r="K3661" s="2" t="s">
        <v>460</v>
      </c>
    </row>
    <row r="3662" customFormat="false" ht="15" hidden="false" customHeight="false" outlineLevel="0" collapsed="false">
      <c r="A3662" s="2" t="s">
        <v>285</v>
      </c>
      <c r="B3662" s="2" t="s">
        <v>286</v>
      </c>
      <c r="C3662" s="2" t="s">
        <v>53</v>
      </c>
      <c r="D3662" s="3" t="n">
        <v>46237</v>
      </c>
      <c r="E3662" s="2" t="str">
        <f aca="false">TEXT(D3662,"dddd")</f>
        <v>Monday</v>
      </c>
      <c r="F3662" s="2" t="s">
        <v>461</v>
      </c>
      <c r="G3662" s="2"/>
      <c r="H3662" s="2"/>
      <c r="I3662" s="2" t="n">
        <f aca="false">IF(F3662="Present",9,IF(F3662="Half Day",4,0))</f>
        <v>0</v>
      </c>
      <c r="J3662" s="2"/>
      <c r="K3662" s="2" t="s">
        <v>462</v>
      </c>
    </row>
    <row r="3663" customFormat="false" ht="15" hidden="false" customHeight="false" outlineLevel="0" collapsed="false">
      <c r="A3663" s="2" t="s">
        <v>285</v>
      </c>
      <c r="B3663" s="2" t="s">
        <v>286</v>
      </c>
      <c r="C3663" s="2" t="s">
        <v>53</v>
      </c>
      <c r="D3663" s="3" t="n">
        <v>46238</v>
      </c>
      <c r="E3663" s="2" t="str">
        <f aca="false">TEXT(D3663,"dddd")</f>
        <v>Tuesday</v>
      </c>
      <c r="F3663" s="2" t="s">
        <v>461</v>
      </c>
      <c r="G3663" s="2"/>
      <c r="H3663" s="2"/>
      <c r="I3663" s="2" t="n">
        <f aca="false">IF(F3663="Present",9,IF(F3663="Half Day",4,0))</f>
        <v>0</v>
      </c>
      <c r="J3663" s="2"/>
      <c r="K3663" s="2" t="s">
        <v>462</v>
      </c>
    </row>
    <row r="3664" customFormat="false" ht="15" hidden="false" customHeight="false" outlineLevel="0" collapsed="false">
      <c r="A3664" s="2" t="s">
        <v>285</v>
      </c>
      <c r="B3664" s="2" t="s">
        <v>286</v>
      </c>
      <c r="C3664" s="2" t="s">
        <v>53</v>
      </c>
      <c r="D3664" s="3" t="n">
        <v>46239</v>
      </c>
      <c r="E3664" s="2" t="str">
        <f aca="false">TEXT(D3664,"dddd")</f>
        <v>Wednesday</v>
      </c>
      <c r="F3664" s="2" t="s">
        <v>457</v>
      </c>
      <c r="G3664" s="2" t="s">
        <v>458</v>
      </c>
      <c r="H3664" s="2" t="s">
        <v>459</v>
      </c>
      <c r="I3664" s="2" t="n">
        <f aca="false">IF(F3664="Present",9,IF(F3664="Half Day",4,0))</f>
        <v>9</v>
      </c>
      <c r="J3664" s="2"/>
      <c r="K3664" s="2"/>
    </row>
    <row r="3665" customFormat="false" ht="15" hidden="false" customHeight="false" outlineLevel="0" collapsed="false">
      <c r="A3665" s="2" t="s">
        <v>285</v>
      </c>
      <c r="B3665" s="2" t="s">
        <v>286</v>
      </c>
      <c r="C3665" s="2" t="s">
        <v>53</v>
      </c>
      <c r="D3665" s="3" t="n">
        <v>46240</v>
      </c>
      <c r="E3665" s="2" t="str">
        <f aca="false">TEXT(D3665,"dddd")</f>
        <v>Thursday</v>
      </c>
      <c r="F3665" s="2" t="s">
        <v>457</v>
      </c>
      <c r="G3665" s="2" t="s">
        <v>458</v>
      </c>
      <c r="H3665" s="2" t="s">
        <v>459</v>
      </c>
      <c r="I3665" s="2" t="n">
        <f aca="false">IF(F3665="Present",9,IF(F3665="Half Day",4,0))</f>
        <v>9</v>
      </c>
      <c r="J3665" s="2"/>
      <c r="K3665" s="2"/>
    </row>
    <row r="3666" customFormat="false" ht="15" hidden="false" customHeight="false" outlineLevel="0" collapsed="false">
      <c r="A3666" s="2" t="s">
        <v>285</v>
      </c>
      <c r="B3666" s="2" t="s">
        <v>286</v>
      </c>
      <c r="C3666" s="2" t="s">
        <v>53</v>
      </c>
      <c r="D3666" s="3" t="n">
        <v>46241</v>
      </c>
      <c r="E3666" s="2" t="str">
        <f aca="false">TEXT(D3666,"dddd")</f>
        <v>Friday</v>
      </c>
      <c r="F3666" s="2" t="s">
        <v>457</v>
      </c>
      <c r="G3666" s="2" t="s">
        <v>458</v>
      </c>
      <c r="H3666" s="2" t="s">
        <v>459</v>
      </c>
      <c r="I3666" s="2" t="n">
        <f aca="false">IF(F3666="Present",9,IF(F3666="Half Day",4,0))</f>
        <v>9</v>
      </c>
      <c r="J3666" s="2"/>
      <c r="K3666" s="2"/>
    </row>
    <row r="3667" customFormat="false" ht="15" hidden="false" customHeight="false" outlineLevel="0" collapsed="false">
      <c r="A3667" s="2" t="s">
        <v>285</v>
      </c>
      <c r="B3667" s="2" t="s">
        <v>286</v>
      </c>
      <c r="C3667" s="2" t="s">
        <v>53</v>
      </c>
      <c r="D3667" s="3" t="n">
        <v>46242</v>
      </c>
      <c r="E3667" s="2" t="str">
        <f aca="false">TEXT(D3667,"dddd")</f>
        <v>Saturday</v>
      </c>
      <c r="F3667" s="2" t="s">
        <v>457</v>
      </c>
      <c r="G3667" s="2" t="s">
        <v>458</v>
      </c>
      <c r="H3667" s="2" t="s">
        <v>459</v>
      </c>
      <c r="I3667" s="2" t="n">
        <f aca="false">IF(F3667="Present",9,IF(F3667="Half Day",4,0))</f>
        <v>9</v>
      </c>
      <c r="J3667" s="2"/>
      <c r="K3667" s="2"/>
    </row>
    <row r="3668" customFormat="false" ht="15" hidden="false" customHeight="false" outlineLevel="0" collapsed="false">
      <c r="A3668" s="2" t="s">
        <v>285</v>
      </c>
      <c r="B3668" s="2" t="s">
        <v>286</v>
      </c>
      <c r="C3668" s="2" t="s">
        <v>53</v>
      </c>
      <c r="D3668" s="3" t="n">
        <v>46243</v>
      </c>
      <c r="E3668" s="2" t="str">
        <f aca="false">TEXT(D3668,"dddd")</f>
        <v>Sunday</v>
      </c>
      <c r="F3668" s="2" t="s">
        <v>460</v>
      </c>
      <c r="G3668" s="2"/>
      <c r="H3668" s="2"/>
      <c r="I3668" s="2" t="n">
        <f aca="false">IF(F3668="Present",9,IF(F3668="Half Day",4,0))</f>
        <v>0</v>
      </c>
      <c r="J3668" s="2"/>
      <c r="K3668" s="2" t="s">
        <v>460</v>
      </c>
    </row>
    <row r="3669" customFormat="false" ht="15" hidden="false" customHeight="false" outlineLevel="0" collapsed="false">
      <c r="A3669" s="2" t="s">
        <v>285</v>
      </c>
      <c r="B3669" s="2" t="s">
        <v>286</v>
      </c>
      <c r="C3669" s="2" t="s">
        <v>53</v>
      </c>
      <c r="D3669" s="3" t="n">
        <v>46244</v>
      </c>
      <c r="E3669" s="2" t="str">
        <f aca="false">TEXT(D3669,"dddd")</f>
        <v>Monday</v>
      </c>
      <c r="F3669" s="2" t="s">
        <v>457</v>
      </c>
      <c r="G3669" s="2" t="s">
        <v>458</v>
      </c>
      <c r="H3669" s="2" t="s">
        <v>459</v>
      </c>
      <c r="I3669" s="2" t="n">
        <f aca="false">IF(F3669="Present",9,IF(F3669="Half Day",4,0))</f>
        <v>9</v>
      </c>
      <c r="J3669" s="2"/>
      <c r="K3669" s="2"/>
    </row>
    <row r="3670" customFormat="false" ht="15" hidden="false" customHeight="false" outlineLevel="0" collapsed="false">
      <c r="A3670" s="2" t="s">
        <v>285</v>
      </c>
      <c r="B3670" s="2" t="s">
        <v>286</v>
      </c>
      <c r="C3670" s="2" t="s">
        <v>53</v>
      </c>
      <c r="D3670" s="3" t="n">
        <v>46245</v>
      </c>
      <c r="E3670" s="2" t="str">
        <f aca="false">TEXT(D3670,"dddd")</f>
        <v>Tuesday</v>
      </c>
      <c r="F3670" s="2" t="s">
        <v>457</v>
      </c>
      <c r="G3670" s="2" t="s">
        <v>458</v>
      </c>
      <c r="H3670" s="2" t="s">
        <v>459</v>
      </c>
      <c r="I3670" s="2" t="n">
        <f aca="false">IF(F3670="Present",9,IF(F3670="Half Day",4,0))</f>
        <v>9</v>
      </c>
      <c r="J3670" s="2"/>
      <c r="K3670" s="2"/>
    </row>
    <row r="3671" customFormat="false" ht="15" hidden="false" customHeight="false" outlineLevel="0" collapsed="false">
      <c r="A3671" s="2" t="s">
        <v>285</v>
      </c>
      <c r="B3671" s="2" t="s">
        <v>286</v>
      </c>
      <c r="C3671" s="2" t="s">
        <v>53</v>
      </c>
      <c r="D3671" s="3" t="n">
        <v>46246</v>
      </c>
      <c r="E3671" s="2" t="str">
        <f aca="false">TEXT(D3671,"dddd")</f>
        <v>Wednesday</v>
      </c>
      <c r="F3671" s="2" t="s">
        <v>457</v>
      </c>
      <c r="G3671" s="2" t="s">
        <v>458</v>
      </c>
      <c r="H3671" s="2" t="s">
        <v>459</v>
      </c>
      <c r="I3671" s="2" t="n">
        <f aca="false">IF(F3671="Present",9,IF(F3671="Half Day",4,0))</f>
        <v>9</v>
      </c>
      <c r="J3671" s="2"/>
      <c r="K3671" s="2"/>
    </row>
    <row r="3672" customFormat="false" ht="15" hidden="false" customHeight="false" outlineLevel="0" collapsed="false">
      <c r="A3672" s="2" t="s">
        <v>285</v>
      </c>
      <c r="B3672" s="2" t="s">
        <v>286</v>
      </c>
      <c r="C3672" s="2" t="s">
        <v>53</v>
      </c>
      <c r="D3672" s="3" t="n">
        <v>46247</v>
      </c>
      <c r="E3672" s="2" t="str">
        <f aca="false">TEXT(D3672,"dddd")</f>
        <v>Thursday</v>
      </c>
      <c r="F3672" s="2" t="s">
        <v>457</v>
      </c>
      <c r="G3672" s="2" t="s">
        <v>458</v>
      </c>
      <c r="H3672" s="2" t="s">
        <v>459</v>
      </c>
      <c r="I3672" s="2" t="n">
        <f aca="false">IF(F3672="Present",9,IF(F3672="Half Day",4,0))</f>
        <v>9</v>
      </c>
      <c r="J3672" s="2"/>
      <c r="K3672" s="2"/>
    </row>
    <row r="3673" customFormat="false" ht="15" hidden="false" customHeight="false" outlineLevel="0" collapsed="false">
      <c r="A3673" s="2" t="s">
        <v>285</v>
      </c>
      <c r="B3673" s="2" t="s">
        <v>286</v>
      </c>
      <c r="C3673" s="2" t="s">
        <v>53</v>
      </c>
      <c r="D3673" s="3" t="n">
        <v>46248</v>
      </c>
      <c r="E3673" s="2" t="str">
        <f aca="false">TEXT(D3673,"dddd")</f>
        <v>Friday</v>
      </c>
      <c r="F3673" s="2" t="s">
        <v>457</v>
      </c>
      <c r="G3673" s="2" t="s">
        <v>458</v>
      </c>
      <c r="H3673" s="2" t="s">
        <v>459</v>
      </c>
      <c r="I3673" s="2" t="n">
        <f aca="false">IF(F3673="Present",9,IF(F3673="Half Day",4,0))</f>
        <v>9</v>
      </c>
      <c r="J3673" s="2"/>
      <c r="K3673" s="2"/>
    </row>
    <row r="3674" customFormat="false" ht="15" hidden="false" customHeight="false" outlineLevel="0" collapsed="false">
      <c r="A3674" s="2" t="s">
        <v>285</v>
      </c>
      <c r="B3674" s="2" t="s">
        <v>286</v>
      </c>
      <c r="C3674" s="2" t="s">
        <v>53</v>
      </c>
      <c r="D3674" s="3" t="n">
        <v>46249</v>
      </c>
      <c r="E3674" s="2" t="str">
        <f aca="false">TEXT(D3674,"dddd")</f>
        <v>Saturday</v>
      </c>
      <c r="F3674" s="2" t="s">
        <v>461</v>
      </c>
      <c r="G3674" s="2"/>
      <c r="H3674" s="2"/>
      <c r="I3674" s="2" t="n">
        <f aca="false">IF(F3674="Present",9,IF(F3674="Half Day",4,0))</f>
        <v>0</v>
      </c>
      <c r="J3674" s="2"/>
      <c r="K3674" s="2" t="s">
        <v>462</v>
      </c>
    </row>
    <row r="3675" customFormat="false" ht="15" hidden="false" customHeight="false" outlineLevel="0" collapsed="false">
      <c r="A3675" s="2" t="s">
        <v>285</v>
      </c>
      <c r="B3675" s="2" t="s">
        <v>286</v>
      </c>
      <c r="C3675" s="2" t="s">
        <v>53</v>
      </c>
      <c r="D3675" s="3" t="n">
        <v>46250</v>
      </c>
      <c r="E3675" s="2" t="str">
        <f aca="false">TEXT(D3675,"dddd")</f>
        <v>Sunday</v>
      </c>
      <c r="F3675" s="2" t="s">
        <v>460</v>
      </c>
      <c r="G3675" s="2"/>
      <c r="H3675" s="2"/>
      <c r="I3675" s="2" t="n">
        <f aca="false">IF(F3675="Present",9,IF(F3675="Half Day",4,0))</f>
        <v>0</v>
      </c>
      <c r="J3675" s="2"/>
      <c r="K3675" s="2" t="s">
        <v>460</v>
      </c>
    </row>
    <row r="3676" customFormat="false" ht="15" hidden="false" customHeight="false" outlineLevel="0" collapsed="false">
      <c r="A3676" s="2" t="s">
        <v>285</v>
      </c>
      <c r="B3676" s="2" t="s">
        <v>286</v>
      </c>
      <c r="C3676" s="2" t="s">
        <v>53</v>
      </c>
      <c r="D3676" s="3" t="n">
        <v>46251</v>
      </c>
      <c r="E3676" s="2" t="str">
        <f aca="false">TEXT(D3676,"dddd")</f>
        <v>Monday</v>
      </c>
      <c r="F3676" s="2" t="s">
        <v>457</v>
      </c>
      <c r="G3676" s="2" t="s">
        <v>458</v>
      </c>
      <c r="H3676" s="2" t="s">
        <v>459</v>
      </c>
      <c r="I3676" s="2" t="n">
        <f aca="false">IF(F3676="Present",9,IF(F3676="Half Day",4,0))</f>
        <v>9</v>
      </c>
      <c r="J3676" s="2"/>
      <c r="K3676" s="2"/>
    </row>
    <row r="3677" customFormat="false" ht="15" hidden="false" customHeight="false" outlineLevel="0" collapsed="false">
      <c r="A3677" s="2" t="s">
        <v>285</v>
      </c>
      <c r="B3677" s="2" t="s">
        <v>286</v>
      </c>
      <c r="C3677" s="2" t="s">
        <v>53</v>
      </c>
      <c r="D3677" s="3" t="n">
        <v>46252</v>
      </c>
      <c r="E3677" s="2" t="str">
        <f aca="false">TEXT(D3677,"dddd")</f>
        <v>Tuesday</v>
      </c>
      <c r="F3677" s="2" t="s">
        <v>457</v>
      </c>
      <c r="G3677" s="2" t="s">
        <v>458</v>
      </c>
      <c r="H3677" s="2" t="s">
        <v>459</v>
      </c>
      <c r="I3677" s="2" t="n">
        <f aca="false">IF(F3677="Present",9,IF(F3677="Half Day",4,0))</f>
        <v>9</v>
      </c>
      <c r="J3677" s="2"/>
      <c r="K3677" s="2"/>
    </row>
    <row r="3678" customFormat="false" ht="15" hidden="false" customHeight="false" outlineLevel="0" collapsed="false">
      <c r="A3678" s="2" t="s">
        <v>285</v>
      </c>
      <c r="B3678" s="2" t="s">
        <v>286</v>
      </c>
      <c r="C3678" s="2" t="s">
        <v>53</v>
      </c>
      <c r="D3678" s="3" t="n">
        <v>46253</v>
      </c>
      <c r="E3678" s="2" t="str">
        <f aca="false">TEXT(D3678,"dddd")</f>
        <v>Wednesday</v>
      </c>
      <c r="F3678" s="2" t="s">
        <v>457</v>
      </c>
      <c r="G3678" s="2" t="s">
        <v>458</v>
      </c>
      <c r="H3678" s="2" t="s">
        <v>459</v>
      </c>
      <c r="I3678" s="2" t="n">
        <f aca="false">IF(F3678="Present",9,IF(F3678="Half Day",4,0))</f>
        <v>9</v>
      </c>
      <c r="J3678" s="2"/>
      <c r="K3678" s="2"/>
    </row>
    <row r="3679" customFormat="false" ht="15" hidden="false" customHeight="false" outlineLevel="0" collapsed="false">
      <c r="A3679" s="2" t="s">
        <v>285</v>
      </c>
      <c r="B3679" s="2" t="s">
        <v>286</v>
      </c>
      <c r="C3679" s="2" t="s">
        <v>53</v>
      </c>
      <c r="D3679" s="3" t="n">
        <v>46254</v>
      </c>
      <c r="E3679" s="2" t="str">
        <f aca="false">TEXT(D3679,"dddd")</f>
        <v>Thursday</v>
      </c>
      <c r="F3679" s="2" t="s">
        <v>461</v>
      </c>
      <c r="G3679" s="2"/>
      <c r="H3679" s="2"/>
      <c r="I3679" s="2" t="n">
        <f aca="false">IF(F3679="Present",9,IF(F3679="Half Day",4,0))</f>
        <v>0</v>
      </c>
      <c r="J3679" s="2"/>
      <c r="K3679" s="2" t="s">
        <v>462</v>
      </c>
    </row>
    <row r="3680" customFormat="false" ht="15" hidden="false" customHeight="false" outlineLevel="0" collapsed="false">
      <c r="A3680" s="2" t="s">
        <v>285</v>
      </c>
      <c r="B3680" s="2" t="s">
        <v>286</v>
      </c>
      <c r="C3680" s="2" t="s">
        <v>53</v>
      </c>
      <c r="D3680" s="3" t="n">
        <v>46255</v>
      </c>
      <c r="E3680" s="2" t="str">
        <f aca="false">TEXT(D3680,"dddd")</f>
        <v>Friday</v>
      </c>
      <c r="F3680" s="2" t="s">
        <v>457</v>
      </c>
      <c r="G3680" s="2" t="s">
        <v>458</v>
      </c>
      <c r="H3680" s="2" t="s">
        <v>459</v>
      </c>
      <c r="I3680" s="2" t="n">
        <f aca="false">IF(F3680="Present",9,IF(F3680="Half Day",4,0))</f>
        <v>9</v>
      </c>
      <c r="J3680" s="2"/>
      <c r="K3680" s="2"/>
    </row>
    <row r="3681" customFormat="false" ht="15" hidden="false" customHeight="false" outlineLevel="0" collapsed="false">
      <c r="A3681" s="2" t="s">
        <v>285</v>
      </c>
      <c r="B3681" s="2" t="s">
        <v>286</v>
      </c>
      <c r="C3681" s="2" t="s">
        <v>53</v>
      </c>
      <c r="D3681" s="3" t="n">
        <v>46256</v>
      </c>
      <c r="E3681" s="2" t="str">
        <f aca="false">TEXT(D3681,"dddd")</f>
        <v>Saturday</v>
      </c>
      <c r="F3681" s="2" t="s">
        <v>457</v>
      </c>
      <c r="G3681" s="2" t="s">
        <v>458</v>
      </c>
      <c r="H3681" s="2" t="s">
        <v>459</v>
      </c>
      <c r="I3681" s="2" t="n">
        <f aca="false">IF(F3681="Present",9,IF(F3681="Half Day",4,0))</f>
        <v>9</v>
      </c>
      <c r="J3681" s="2"/>
      <c r="K3681" s="2"/>
    </row>
    <row r="3682" customFormat="false" ht="15" hidden="false" customHeight="false" outlineLevel="0" collapsed="false">
      <c r="A3682" s="2" t="s">
        <v>285</v>
      </c>
      <c r="B3682" s="2" t="s">
        <v>286</v>
      </c>
      <c r="C3682" s="2" t="s">
        <v>53</v>
      </c>
      <c r="D3682" s="3" t="n">
        <v>46257</v>
      </c>
      <c r="E3682" s="2" t="str">
        <f aca="false">TEXT(D3682,"dddd")</f>
        <v>Sunday</v>
      </c>
      <c r="F3682" s="2" t="s">
        <v>460</v>
      </c>
      <c r="G3682" s="2"/>
      <c r="H3682" s="2"/>
      <c r="I3682" s="2" t="n">
        <f aca="false">IF(F3682="Present",9,IF(F3682="Half Day",4,0))</f>
        <v>0</v>
      </c>
      <c r="J3682" s="2"/>
      <c r="K3682" s="2" t="s">
        <v>460</v>
      </c>
    </row>
    <row r="3683" customFormat="false" ht="15" hidden="false" customHeight="false" outlineLevel="0" collapsed="false">
      <c r="A3683" s="2" t="s">
        <v>285</v>
      </c>
      <c r="B3683" s="2" t="s">
        <v>286</v>
      </c>
      <c r="C3683" s="2" t="s">
        <v>53</v>
      </c>
      <c r="D3683" s="3" t="n">
        <v>46258</v>
      </c>
      <c r="E3683" s="2" t="str">
        <f aca="false">TEXT(D3683,"dddd")</f>
        <v>Monday</v>
      </c>
      <c r="F3683" s="2" t="s">
        <v>457</v>
      </c>
      <c r="G3683" s="2" t="s">
        <v>458</v>
      </c>
      <c r="H3683" s="2" t="s">
        <v>459</v>
      </c>
      <c r="I3683" s="2" t="n">
        <f aca="false">IF(F3683="Present",9,IF(F3683="Half Day",4,0))</f>
        <v>9</v>
      </c>
      <c r="J3683" s="2"/>
      <c r="K3683" s="2"/>
    </row>
    <row r="3684" customFormat="false" ht="15" hidden="false" customHeight="false" outlineLevel="0" collapsed="false">
      <c r="A3684" s="2" t="s">
        <v>285</v>
      </c>
      <c r="B3684" s="2" t="s">
        <v>286</v>
      </c>
      <c r="C3684" s="2" t="s">
        <v>53</v>
      </c>
      <c r="D3684" s="3" t="n">
        <v>46259</v>
      </c>
      <c r="E3684" s="2" t="str">
        <f aca="false">TEXT(D3684,"dddd")</f>
        <v>Tuesday</v>
      </c>
      <c r="F3684" s="2" t="s">
        <v>461</v>
      </c>
      <c r="G3684" s="2"/>
      <c r="H3684" s="2"/>
      <c r="I3684" s="2" t="n">
        <f aca="false">IF(F3684="Present",9,IF(F3684="Half Day",4,0))</f>
        <v>0</v>
      </c>
      <c r="J3684" s="2"/>
      <c r="K3684" s="2" t="s">
        <v>462</v>
      </c>
    </row>
    <row r="3685" customFormat="false" ht="15" hidden="false" customHeight="false" outlineLevel="0" collapsed="false">
      <c r="A3685" s="2" t="s">
        <v>285</v>
      </c>
      <c r="B3685" s="2" t="s">
        <v>286</v>
      </c>
      <c r="C3685" s="2" t="s">
        <v>53</v>
      </c>
      <c r="D3685" s="3" t="n">
        <v>46260</v>
      </c>
      <c r="E3685" s="2" t="str">
        <f aca="false">TEXT(D3685,"dddd")</f>
        <v>Wednesday</v>
      </c>
      <c r="F3685" s="2" t="s">
        <v>463</v>
      </c>
      <c r="G3685" s="2"/>
      <c r="H3685" s="2"/>
      <c r="I3685" s="2" t="n">
        <f aca="false">IF(F3685="Present",9,IF(F3685="Half Day",4,0))</f>
        <v>0</v>
      </c>
      <c r="J3685" s="2" t="s">
        <v>468</v>
      </c>
      <c r="K3685" s="2" t="s">
        <v>469</v>
      </c>
    </row>
    <row r="3686" customFormat="false" ht="15" hidden="false" customHeight="false" outlineLevel="0" collapsed="false">
      <c r="A3686" s="2" t="s">
        <v>285</v>
      </c>
      <c r="B3686" s="2" t="s">
        <v>286</v>
      </c>
      <c r="C3686" s="2" t="s">
        <v>53</v>
      </c>
      <c r="D3686" s="3" t="n">
        <v>46261</v>
      </c>
      <c r="E3686" s="2" t="str">
        <f aca="false">TEXT(D3686,"dddd")</f>
        <v>Thursday</v>
      </c>
      <c r="F3686" s="2" t="s">
        <v>457</v>
      </c>
      <c r="G3686" s="2" t="s">
        <v>458</v>
      </c>
      <c r="H3686" s="2" t="s">
        <v>459</v>
      </c>
      <c r="I3686" s="2" t="n">
        <f aca="false">IF(F3686="Present",9,IF(F3686="Half Day",4,0))</f>
        <v>9</v>
      </c>
      <c r="J3686" s="2"/>
      <c r="K3686" s="2"/>
    </row>
    <row r="3687" customFormat="false" ht="15" hidden="false" customHeight="false" outlineLevel="0" collapsed="false">
      <c r="A3687" s="2" t="s">
        <v>285</v>
      </c>
      <c r="B3687" s="2" t="s">
        <v>286</v>
      </c>
      <c r="C3687" s="2" t="s">
        <v>53</v>
      </c>
      <c r="D3687" s="3" t="n">
        <v>46262</v>
      </c>
      <c r="E3687" s="2" t="str">
        <f aca="false">TEXT(D3687,"dddd")</f>
        <v>Friday</v>
      </c>
      <c r="F3687" s="2" t="s">
        <v>457</v>
      </c>
      <c r="G3687" s="2" t="s">
        <v>458</v>
      </c>
      <c r="H3687" s="2" t="s">
        <v>459</v>
      </c>
      <c r="I3687" s="2" t="n">
        <f aca="false">IF(F3687="Present",9,IF(F3687="Half Day",4,0))</f>
        <v>9</v>
      </c>
      <c r="J3687" s="2"/>
      <c r="K3687" s="2"/>
    </row>
    <row r="3688" customFormat="false" ht="15" hidden="false" customHeight="false" outlineLevel="0" collapsed="false">
      <c r="A3688" s="2" t="s">
        <v>285</v>
      </c>
      <c r="B3688" s="2" t="s">
        <v>286</v>
      </c>
      <c r="C3688" s="2" t="s">
        <v>53</v>
      </c>
      <c r="D3688" s="3" t="n">
        <v>46263</v>
      </c>
      <c r="E3688" s="2" t="str">
        <f aca="false">TEXT(D3688,"dddd")</f>
        <v>Saturday</v>
      </c>
      <c r="F3688" s="2" t="s">
        <v>457</v>
      </c>
      <c r="G3688" s="2" t="s">
        <v>458</v>
      </c>
      <c r="H3688" s="2" t="s">
        <v>459</v>
      </c>
      <c r="I3688" s="2" t="n">
        <f aca="false">IF(F3688="Present",9,IF(F3688="Half Day",4,0))</f>
        <v>9</v>
      </c>
      <c r="J3688" s="2"/>
      <c r="K3688" s="2"/>
    </row>
    <row r="3689" customFormat="false" ht="15" hidden="false" customHeight="false" outlineLevel="0" collapsed="false">
      <c r="A3689" s="2" t="s">
        <v>285</v>
      </c>
      <c r="B3689" s="2" t="s">
        <v>286</v>
      </c>
      <c r="C3689" s="2" t="s">
        <v>53</v>
      </c>
      <c r="D3689" s="3" t="n">
        <v>46264</v>
      </c>
      <c r="E3689" s="2" t="str">
        <f aca="false">TEXT(D3689,"dddd")</f>
        <v>Sunday</v>
      </c>
      <c r="F3689" s="2" t="s">
        <v>460</v>
      </c>
      <c r="G3689" s="2"/>
      <c r="H3689" s="2"/>
      <c r="I3689" s="2" t="n">
        <f aca="false">IF(F3689="Present",9,IF(F3689="Half Day",4,0))</f>
        <v>0</v>
      </c>
      <c r="J3689" s="2"/>
      <c r="K3689" s="2" t="s">
        <v>460</v>
      </c>
    </row>
    <row r="3690" customFormat="false" ht="15" hidden="false" customHeight="false" outlineLevel="0" collapsed="false">
      <c r="A3690" s="2" t="s">
        <v>285</v>
      </c>
      <c r="B3690" s="2" t="s">
        <v>286</v>
      </c>
      <c r="C3690" s="2" t="s">
        <v>53</v>
      </c>
      <c r="D3690" s="3" t="n">
        <v>46265</v>
      </c>
      <c r="E3690" s="2" t="str">
        <f aca="false">TEXT(D3690,"dddd")</f>
        <v>Monday</v>
      </c>
      <c r="F3690" s="2" t="s">
        <v>457</v>
      </c>
      <c r="G3690" s="2" t="s">
        <v>458</v>
      </c>
      <c r="H3690" s="2" t="s">
        <v>459</v>
      </c>
      <c r="I3690" s="2" t="n">
        <f aca="false">IF(F3690="Present",9,IF(F3690="Half Day",4,0))</f>
        <v>9</v>
      </c>
      <c r="J3690" s="2"/>
      <c r="K3690" s="2"/>
    </row>
    <row r="3691" customFormat="false" ht="15" hidden="false" customHeight="false" outlineLevel="0" collapsed="false">
      <c r="A3691" s="2" t="s">
        <v>287</v>
      </c>
      <c r="B3691" s="2" t="s">
        <v>288</v>
      </c>
      <c r="C3691" s="2" t="s">
        <v>57</v>
      </c>
      <c r="D3691" s="3" t="n">
        <v>46235</v>
      </c>
      <c r="E3691" s="2" t="str">
        <f aca="false">TEXT(D3691,"dddd")</f>
        <v>Saturday</v>
      </c>
      <c r="F3691" s="2" t="s">
        <v>457</v>
      </c>
      <c r="G3691" s="2" t="s">
        <v>458</v>
      </c>
      <c r="H3691" s="2" t="s">
        <v>459</v>
      </c>
      <c r="I3691" s="2" t="n">
        <f aca="false">IF(F3691="Present",9,IF(F3691="Half Day",4,0))</f>
        <v>9</v>
      </c>
      <c r="J3691" s="2"/>
      <c r="K3691" s="2"/>
    </row>
    <row r="3692" customFormat="false" ht="15" hidden="false" customHeight="false" outlineLevel="0" collapsed="false">
      <c r="A3692" s="2" t="s">
        <v>287</v>
      </c>
      <c r="B3692" s="2" t="s">
        <v>288</v>
      </c>
      <c r="C3692" s="2" t="s">
        <v>57</v>
      </c>
      <c r="D3692" s="3" t="n">
        <v>46236</v>
      </c>
      <c r="E3692" s="2" t="str">
        <f aca="false">TEXT(D3692,"dddd")</f>
        <v>Sunday</v>
      </c>
      <c r="F3692" s="2" t="s">
        <v>460</v>
      </c>
      <c r="G3692" s="2"/>
      <c r="H3692" s="2"/>
      <c r="I3692" s="2" t="n">
        <f aca="false">IF(F3692="Present",9,IF(F3692="Half Day",4,0))</f>
        <v>0</v>
      </c>
      <c r="J3692" s="2"/>
      <c r="K3692" s="2" t="s">
        <v>460</v>
      </c>
    </row>
    <row r="3693" customFormat="false" ht="15" hidden="false" customHeight="false" outlineLevel="0" collapsed="false">
      <c r="A3693" s="2" t="s">
        <v>287</v>
      </c>
      <c r="B3693" s="2" t="s">
        <v>288</v>
      </c>
      <c r="C3693" s="2" t="s">
        <v>57</v>
      </c>
      <c r="D3693" s="3" t="n">
        <v>46237</v>
      </c>
      <c r="E3693" s="2" t="str">
        <f aca="false">TEXT(D3693,"dddd")</f>
        <v>Monday</v>
      </c>
      <c r="F3693" s="2" t="s">
        <v>457</v>
      </c>
      <c r="G3693" s="2" t="s">
        <v>458</v>
      </c>
      <c r="H3693" s="2" t="s">
        <v>459</v>
      </c>
      <c r="I3693" s="2" t="n">
        <f aca="false">IF(F3693="Present",9,IF(F3693="Half Day",4,0))</f>
        <v>9</v>
      </c>
      <c r="J3693" s="2"/>
      <c r="K3693" s="2"/>
    </row>
    <row r="3694" customFormat="false" ht="15" hidden="false" customHeight="false" outlineLevel="0" collapsed="false">
      <c r="A3694" s="2" t="s">
        <v>287</v>
      </c>
      <c r="B3694" s="2" t="s">
        <v>288</v>
      </c>
      <c r="C3694" s="2" t="s">
        <v>57</v>
      </c>
      <c r="D3694" s="3" t="n">
        <v>46238</v>
      </c>
      <c r="E3694" s="2" t="str">
        <f aca="false">TEXT(D3694,"dddd")</f>
        <v>Tuesday</v>
      </c>
      <c r="F3694" s="2" t="s">
        <v>457</v>
      </c>
      <c r="G3694" s="2" t="s">
        <v>458</v>
      </c>
      <c r="H3694" s="2" t="s">
        <v>459</v>
      </c>
      <c r="I3694" s="2" t="n">
        <f aca="false">IF(F3694="Present",9,IF(F3694="Half Day",4,0))</f>
        <v>9</v>
      </c>
      <c r="J3694" s="2"/>
      <c r="K3694" s="2"/>
    </row>
    <row r="3695" customFormat="false" ht="15" hidden="false" customHeight="false" outlineLevel="0" collapsed="false">
      <c r="A3695" s="2" t="s">
        <v>287</v>
      </c>
      <c r="B3695" s="2" t="s">
        <v>288</v>
      </c>
      <c r="C3695" s="2" t="s">
        <v>57</v>
      </c>
      <c r="D3695" s="3" t="n">
        <v>46239</v>
      </c>
      <c r="E3695" s="2" t="str">
        <f aca="false">TEXT(D3695,"dddd")</f>
        <v>Wednesday</v>
      </c>
      <c r="F3695" s="2" t="s">
        <v>457</v>
      </c>
      <c r="G3695" s="2" t="s">
        <v>458</v>
      </c>
      <c r="H3695" s="2" t="s">
        <v>459</v>
      </c>
      <c r="I3695" s="2" t="n">
        <f aca="false">IF(F3695="Present",9,IF(F3695="Half Day",4,0))</f>
        <v>9</v>
      </c>
      <c r="J3695" s="2"/>
      <c r="K3695" s="2"/>
    </row>
    <row r="3696" customFormat="false" ht="15" hidden="false" customHeight="false" outlineLevel="0" collapsed="false">
      <c r="A3696" s="2" t="s">
        <v>287</v>
      </c>
      <c r="B3696" s="2" t="s">
        <v>288</v>
      </c>
      <c r="C3696" s="2" t="s">
        <v>57</v>
      </c>
      <c r="D3696" s="3" t="n">
        <v>46240</v>
      </c>
      <c r="E3696" s="2" t="str">
        <f aca="false">TEXT(D3696,"dddd")</f>
        <v>Thursday</v>
      </c>
      <c r="F3696" s="2" t="s">
        <v>457</v>
      </c>
      <c r="G3696" s="2" t="s">
        <v>458</v>
      </c>
      <c r="H3696" s="2" t="s">
        <v>459</v>
      </c>
      <c r="I3696" s="2" t="n">
        <f aca="false">IF(F3696="Present",9,IF(F3696="Half Day",4,0))</f>
        <v>9</v>
      </c>
      <c r="J3696" s="2"/>
      <c r="K3696" s="2"/>
    </row>
    <row r="3697" customFormat="false" ht="15" hidden="false" customHeight="false" outlineLevel="0" collapsed="false">
      <c r="A3697" s="2" t="s">
        <v>287</v>
      </c>
      <c r="B3697" s="2" t="s">
        <v>288</v>
      </c>
      <c r="C3697" s="2" t="s">
        <v>57</v>
      </c>
      <c r="D3697" s="3" t="n">
        <v>46241</v>
      </c>
      <c r="E3697" s="2" t="str">
        <f aca="false">TEXT(D3697,"dddd")</f>
        <v>Friday</v>
      </c>
      <c r="F3697" s="2" t="s">
        <v>457</v>
      </c>
      <c r="G3697" s="2" t="s">
        <v>458</v>
      </c>
      <c r="H3697" s="2" t="s">
        <v>459</v>
      </c>
      <c r="I3697" s="2" t="n">
        <f aca="false">IF(F3697="Present",9,IF(F3697="Half Day",4,0))</f>
        <v>9</v>
      </c>
      <c r="J3697" s="2"/>
      <c r="K3697" s="2"/>
    </row>
    <row r="3698" customFormat="false" ht="15" hidden="false" customHeight="false" outlineLevel="0" collapsed="false">
      <c r="A3698" s="2" t="s">
        <v>287</v>
      </c>
      <c r="B3698" s="2" t="s">
        <v>288</v>
      </c>
      <c r="C3698" s="2" t="s">
        <v>57</v>
      </c>
      <c r="D3698" s="3" t="n">
        <v>46242</v>
      </c>
      <c r="E3698" s="2" t="str">
        <f aca="false">TEXT(D3698,"dddd")</f>
        <v>Saturday</v>
      </c>
      <c r="F3698" s="2" t="s">
        <v>457</v>
      </c>
      <c r="G3698" s="2" t="s">
        <v>458</v>
      </c>
      <c r="H3698" s="2" t="s">
        <v>459</v>
      </c>
      <c r="I3698" s="2" t="n">
        <f aca="false">IF(F3698="Present",9,IF(F3698="Half Day",4,0))</f>
        <v>9</v>
      </c>
      <c r="J3698" s="2"/>
      <c r="K3698" s="2"/>
    </row>
    <row r="3699" customFormat="false" ht="15" hidden="false" customHeight="false" outlineLevel="0" collapsed="false">
      <c r="A3699" s="2" t="s">
        <v>287</v>
      </c>
      <c r="B3699" s="2" t="s">
        <v>288</v>
      </c>
      <c r="C3699" s="2" t="s">
        <v>57</v>
      </c>
      <c r="D3699" s="3" t="n">
        <v>46243</v>
      </c>
      <c r="E3699" s="2" t="str">
        <f aca="false">TEXT(D3699,"dddd")</f>
        <v>Sunday</v>
      </c>
      <c r="F3699" s="2" t="s">
        <v>460</v>
      </c>
      <c r="G3699" s="2"/>
      <c r="H3699" s="2"/>
      <c r="I3699" s="2" t="n">
        <f aca="false">IF(F3699="Present",9,IF(F3699="Half Day",4,0))</f>
        <v>0</v>
      </c>
      <c r="J3699" s="2"/>
      <c r="K3699" s="2" t="s">
        <v>460</v>
      </c>
    </row>
    <row r="3700" customFormat="false" ht="15" hidden="false" customHeight="false" outlineLevel="0" collapsed="false">
      <c r="A3700" s="2" t="s">
        <v>287</v>
      </c>
      <c r="B3700" s="2" t="s">
        <v>288</v>
      </c>
      <c r="C3700" s="2" t="s">
        <v>57</v>
      </c>
      <c r="D3700" s="3" t="n">
        <v>46244</v>
      </c>
      <c r="E3700" s="2" t="str">
        <f aca="false">TEXT(D3700,"dddd")</f>
        <v>Monday</v>
      </c>
      <c r="F3700" s="2" t="s">
        <v>457</v>
      </c>
      <c r="G3700" s="2" t="s">
        <v>458</v>
      </c>
      <c r="H3700" s="2" t="s">
        <v>459</v>
      </c>
      <c r="I3700" s="2" t="n">
        <f aca="false">IF(F3700="Present",9,IF(F3700="Half Day",4,0))</f>
        <v>9</v>
      </c>
      <c r="J3700" s="2"/>
      <c r="K3700" s="2"/>
    </row>
    <row r="3701" customFormat="false" ht="15" hidden="false" customHeight="false" outlineLevel="0" collapsed="false">
      <c r="A3701" s="2" t="s">
        <v>287</v>
      </c>
      <c r="B3701" s="2" t="s">
        <v>288</v>
      </c>
      <c r="C3701" s="2" t="s">
        <v>57</v>
      </c>
      <c r="D3701" s="3" t="n">
        <v>46245</v>
      </c>
      <c r="E3701" s="2" t="str">
        <f aca="false">TEXT(D3701,"dddd")</f>
        <v>Tuesday</v>
      </c>
      <c r="F3701" s="2" t="s">
        <v>457</v>
      </c>
      <c r="G3701" s="2" t="s">
        <v>458</v>
      </c>
      <c r="H3701" s="2" t="s">
        <v>459</v>
      </c>
      <c r="I3701" s="2" t="n">
        <f aca="false">IF(F3701="Present",9,IF(F3701="Half Day",4,0))</f>
        <v>9</v>
      </c>
      <c r="J3701" s="2"/>
      <c r="K3701" s="2"/>
    </row>
    <row r="3702" customFormat="false" ht="15" hidden="false" customHeight="false" outlineLevel="0" collapsed="false">
      <c r="A3702" s="2" t="s">
        <v>287</v>
      </c>
      <c r="B3702" s="2" t="s">
        <v>288</v>
      </c>
      <c r="C3702" s="2" t="s">
        <v>57</v>
      </c>
      <c r="D3702" s="3" t="n">
        <v>46246</v>
      </c>
      <c r="E3702" s="2" t="str">
        <f aca="false">TEXT(D3702,"dddd")</f>
        <v>Wednesday</v>
      </c>
      <c r="F3702" s="2" t="s">
        <v>457</v>
      </c>
      <c r="G3702" s="2" t="s">
        <v>458</v>
      </c>
      <c r="H3702" s="2" t="s">
        <v>459</v>
      </c>
      <c r="I3702" s="2" t="n">
        <f aca="false">IF(F3702="Present",9,IF(F3702="Half Day",4,0))</f>
        <v>9</v>
      </c>
      <c r="J3702" s="2"/>
      <c r="K3702" s="2"/>
    </row>
    <row r="3703" customFormat="false" ht="15" hidden="false" customHeight="false" outlineLevel="0" collapsed="false">
      <c r="A3703" s="2" t="s">
        <v>287</v>
      </c>
      <c r="B3703" s="2" t="s">
        <v>288</v>
      </c>
      <c r="C3703" s="2" t="s">
        <v>57</v>
      </c>
      <c r="D3703" s="3" t="n">
        <v>46247</v>
      </c>
      <c r="E3703" s="2" t="str">
        <f aca="false">TEXT(D3703,"dddd")</f>
        <v>Thursday</v>
      </c>
      <c r="F3703" s="2" t="s">
        <v>457</v>
      </c>
      <c r="G3703" s="2" t="s">
        <v>458</v>
      </c>
      <c r="H3703" s="2" t="s">
        <v>459</v>
      </c>
      <c r="I3703" s="2" t="n">
        <f aca="false">IF(F3703="Present",9,IF(F3703="Half Day",4,0))</f>
        <v>9</v>
      </c>
      <c r="J3703" s="2"/>
      <c r="K3703" s="2"/>
    </row>
    <row r="3704" customFormat="false" ht="15" hidden="false" customHeight="false" outlineLevel="0" collapsed="false">
      <c r="A3704" s="2" t="s">
        <v>287</v>
      </c>
      <c r="B3704" s="2" t="s">
        <v>288</v>
      </c>
      <c r="C3704" s="2" t="s">
        <v>57</v>
      </c>
      <c r="D3704" s="3" t="n">
        <v>46248</v>
      </c>
      <c r="E3704" s="2" t="str">
        <f aca="false">TEXT(D3704,"dddd")</f>
        <v>Friday</v>
      </c>
      <c r="F3704" s="2" t="s">
        <v>461</v>
      </c>
      <c r="G3704" s="2"/>
      <c r="H3704" s="2"/>
      <c r="I3704" s="2" t="n">
        <f aca="false">IF(F3704="Present",9,IF(F3704="Half Day",4,0))</f>
        <v>0</v>
      </c>
      <c r="J3704" s="2"/>
      <c r="K3704" s="2" t="s">
        <v>462</v>
      </c>
    </row>
    <row r="3705" customFormat="false" ht="15" hidden="false" customHeight="false" outlineLevel="0" collapsed="false">
      <c r="A3705" s="2" t="s">
        <v>287</v>
      </c>
      <c r="B3705" s="2" t="s">
        <v>288</v>
      </c>
      <c r="C3705" s="2" t="s">
        <v>57</v>
      </c>
      <c r="D3705" s="3" t="n">
        <v>46249</v>
      </c>
      <c r="E3705" s="2" t="str">
        <f aca="false">TEXT(D3705,"dddd")</f>
        <v>Saturday</v>
      </c>
      <c r="F3705" s="2" t="s">
        <v>457</v>
      </c>
      <c r="G3705" s="2" t="s">
        <v>458</v>
      </c>
      <c r="H3705" s="2" t="s">
        <v>459</v>
      </c>
      <c r="I3705" s="2" t="n">
        <f aca="false">IF(F3705="Present",9,IF(F3705="Half Day",4,0))</f>
        <v>9</v>
      </c>
      <c r="J3705" s="2"/>
      <c r="K3705" s="2"/>
    </row>
    <row r="3706" customFormat="false" ht="15" hidden="false" customHeight="false" outlineLevel="0" collapsed="false">
      <c r="A3706" s="2" t="s">
        <v>287</v>
      </c>
      <c r="B3706" s="2" t="s">
        <v>288</v>
      </c>
      <c r="C3706" s="2" t="s">
        <v>57</v>
      </c>
      <c r="D3706" s="3" t="n">
        <v>46250</v>
      </c>
      <c r="E3706" s="2" t="str">
        <f aca="false">TEXT(D3706,"dddd")</f>
        <v>Sunday</v>
      </c>
      <c r="F3706" s="2" t="s">
        <v>460</v>
      </c>
      <c r="G3706" s="2"/>
      <c r="H3706" s="2"/>
      <c r="I3706" s="2" t="n">
        <f aca="false">IF(F3706="Present",9,IF(F3706="Half Day",4,0))</f>
        <v>0</v>
      </c>
      <c r="J3706" s="2"/>
      <c r="K3706" s="2" t="s">
        <v>460</v>
      </c>
    </row>
    <row r="3707" customFormat="false" ht="15" hidden="false" customHeight="false" outlineLevel="0" collapsed="false">
      <c r="A3707" s="2" t="s">
        <v>287</v>
      </c>
      <c r="B3707" s="2" t="s">
        <v>288</v>
      </c>
      <c r="C3707" s="2" t="s">
        <v>57</v>
      </c>
      <c r="D3707" s="3" t="n">
        <v>46251</v>
      </c>
      <c r="E3707" s="2" t="str">
        <f aca="false">TEXT(D3707,"dddd")</f>
        <v>Monday</v>
      </c>
      <c r="F3707" s="2" t="s">
        <v>457</v>
      </c>
      <c r="G3707" s="2" t="s">
        <v>458</v>
      </c>
      <c r="H3707" s="2" t="s">
        <v>459</v>
      </c>
      <c r="I3707" s="2" t="n">
        <f aca="false">IF(F3707="Present",9,IF(F3707="Half Day",4,0))</f>
        <v>9</v>
      </c>
      <c r="J3707" s="2"/>
      <c r="K3707" s="2"/>
    </row>
    <row r="3708" customFormat="false" ht="15" hidden="false" customHeight="false" outlineLevel="0" collapsed="false">
      <c r="A3708" s="2" t="s">
        <v>287</v>
      </c>
      <c r="B3708" s="2" t="s">
        <v>288</v>
      </c>
      <c r="C3708" s="2" t="s">
        <v>57</v>
      </c>
      <c r="D3708" s="3" t="n">
        <v>46252</v>
      </c>
      <c r="E3708" s="2" t="str">
        <f aca="false">TEXT(D3708,"dddd")</f>
        <v>Tuesday</v>
      </c>
      <c r="F3708" s="2" t="s">
        <v>457</v>
      </c>
      <c r="G3708" s="2" t="s">
        <v>458</v>
      </c>
      <c r="H3708" s="2" t="s">
        <v>459</v>
      </c>
      <c r="I3708" s="2" t="n">
        <f aca="false">IF(F3708="Present",9,IF(F3708="Half Day",4,0))</f>
        <v>9</v>
      </c>
      <c r="J3708" s="2"/>
      <c r="K3708" s="2"/>
    </row>
    <row r="3709" customFormat="false" ht="15" hidden="false" customHeight="false" outlineLevel="0" collapsed="false">
      <c r="A3709" s="2" t="s">
        <v>287</v>
      </c>
      <c r="B3709" s="2" t="s">
        <v>288</v>
      </c>
      <c r="C3709" s="2" t="s">
        <v>57</v>
      </c>
      <c r="D3709" s="3" t="n">
        <v>46253</v>
      </c>
      <c r="E3709" s="2" t="str">
        <f aca="false">TEXT(D3709,"dddd")</f>
        <v>Wednesday</v>
      </c>
      <c r="F3709" s="2" t="s">
        <v>457</v>
      </c>
      <c r="G3709" s="2" t="s">
        <v>458</v>
      </c>
      <c r="H3709" s="2" t="s">
        <v>459</v>
      </c>
      <c r="I3709" s="2" t="n">
        <f aca="false">IF(F3709="Present",9,IF(F3709="Half Day",4,0))</f>
        <v>9</v>
      </c>
      <c r="J3709" s="2"/>
      <c r="K3709" s="2"/>
    </row>
    <row r="3710" customFormat="false" ht="15" hidden="false" customHeight="false" outlineLevel="0" collapsed="false">
      <c r="A3710" s="2" t="s">
        <v>287</v>
      </c>
      <c r="B3710" s="2" t="s">
        <v>288</v>
      </c>
      <c r="C3710" s="2" t="s">
        <v>57</v>
      </c>
      <c r="D3710" s="3" t="n">
        <v>46254</v>
      </c>
      <c r="E3710" s="2" t="str">
        <f aca="false">TEXT(D3710,"dddd")</f>
        <v>Thursday</v>
      </c>
      <c r="F3710" s="2" t="s">
        <v>457</v>
      </c>
      <c r="G3710" s="2" t="s">
        <v>458</v>
      </c>
      <c r="H3710" s="2" t="s">
        <v>459</v>
      </c>
      <c r="I3710" s="2" t="n">
        <f aca="false">IF(F3710="Present",9,IF(F3710="Half Day",4,0))</f>
        <v>9</v>
      </c>
      <c r="J3710" s="2"/>
      <c r="K3710" s="2"/>
    </row>
    <row r="3711" customFormat="false" ht="15" hidden="false" customHeight="false" outlineLevel="0" collapsed="false">
      <c r="A3711" s="2" t="s">
        <v>287</v>
      </c>
      <c r="B3711" s="2" t="s">
        <v>288</v>
      </c>
      <c r="C3711" s="2" t="s">
        <v>57</v>
      </c>
      <c r="D3711" s="3" t="n">
        <v>46255</v>
      </c>
      <c r="E3711" s="2" t="str">
        <f aca="false">TEXT(D3711,"dddd")</f>
        <v>Friday</v>
      </c>
      <c r="F3711" s="2" t="s">
        <v>463</v>
      </c>
      <c r="G3711" s="2"/>
      <c r="H3711" s="2"/>
      <c r="I3711" s="2" t="n">
        <f aca="false">IF(F3711="Present",9,IF(F3711="Half Day",4,0))</f>
        <v>0</v>
      </c>
      <c r="J3711" s="2" t="s">
        <v>474</v>
      </c>
      <c r="K3711" s="2" t="s">
        <v>475</v>
      </c>
    </row>
    <row r="3712" customFormat="false" ht="15" hidden="false" customHeight="false" outlineLevel="0" collapsed="false">
      <c r="A3712" s="2" t="s">
        <v>287</v>
      </c>
      <c r="B3712" s="2" t="s">
        <v>288</v>
      </c>
      <c r="C3712" s="2" t="s">
        <v>57</v>
      </c>
      <c r="D3712" s="3" t="n">
        <v>46256</v>
      </c>
      <c r="E3712" s="2" t="str">
        <f aca="false">TEXT(D3712,"dddd")</f>
        <v>Saturday</v>
      </c>
      <c r="F3712" s="2" t="s">
        <v>457</v>
      </c>
      <c r="G3712" s="2" t="s">
        <v>458</v>
      </c>
      <c r="H3712" s="2" t="s">
        <v>459</v>
      </c>
      <c r="I3712" s="2" t="n">
        <f aca="false">IF(F3712="Present",9,IF(F3712="Half Day",4,0))</f>
        <v>9</v>
      </c>
      <c r="J3712" s="2"/>
      <c r="K3712" s="2"/>
    </row>
    <row r="3713" customFormat="false" ht="15" hidden="false" customHeight="false" outlineLevel="0" collapsed="false">
      <c r="A3713" s="2" t="s">
        <v>287</v>
      </c>
      <c r="B3713" s="2" t="s">
        <v>288</v>
      </c>
      <c r="C3713" s="2" t="s">
        <v>57</v>
      </c>
      <c r="D3713" s="3" t="n">
        <v>46257</v>
      </c>
      <c r="E3713" s="2" t="str">
        <f aca="false">TEXT(D3713,"dddd")</f>
        <v>Sunday</v>
      </c>
      <c r="F3713" s="2" t="s">
        <v>460</v>
      </c>
      <c r="G3713" s="2"/>
      <c r="H3713" s="2"/>
      <c r="I3713" s="2" t="n">
        <f aca="false">IF(F3713="Present",9,IF(F3713="Half Day",4,0))</f>
        <v>0</v>
      </c>
      <c r="J3713" s="2"/>
      <c r="K3713" s="2" t="s">
        <v>460</v>
      </c>
    </row>
    <row r="3714" customFormat="false" ht="15" hidden="false" customHeight="false" outlineLevel="0" collapsed="false">
      <c r="A3714" s="2" t="s">
        <v>287</v>
      </c>
      <c r="B3714" s="2" t="s">
        <v>288</v>
      </c>
      <c r="C3714" s="2" t="s">
        <v>57</v>
      </c>
      <c r="D3714" s="3" t="n">
        <v>46258</v>
      </c>
      <c r="E3714" s="2" t="str">
        <f aca="false">TEXT(D3714,"dddd")</f>
        <v>Monday</v>
      </c>
      <c r="F3714" s="2" t="s">
        <v>457</v>
      </c>
      <c r="G3714" s="2" t="s">
        <v>458</v>
      </c>
      <c r="H3714" s="2" t="s">
        <v>459</v>
      </c>
      <c r="I3714" s="2" t="n">
        <f aca="false">IF(F3714="Present",9,IF(F3714="Half Day",4,0))</f>
        <v>9</v>
      </c>
      <c r="J3714" s="2"/>
      <c r="K3714" s="2"/>
    </row>
    <row r="3715" customFormat="false" ht="15" hidden="false" customHeight="false" outlineLevel="0" collapsed="false">
      <c r="A3715" s="2" t="s">
        <v>287</v>
      </c>
      <c r="B3715" s="2" t="s">
        <v>288</v>
      </c>
      <c r="C3715" s="2" t="s">
        <v>57</v>
      </c>
      <c r="D3715" s="3" t="n">
        <v>46259</v>
      </c>
      <c r="E3715" s="2" t="str">
        <f aca="false">TEXT(D3715,"dddd")</f>
        <v>Tuesday</v>
      </c>
      <c r="F3715" s="2" t="s">
        <v>457</v>
      </c>
      <c r="G3715" s="2" t="s">
        <v>458</v>
      </c>
      <c r="H3715" s="2" t="s">
        <v>459</v>
      </c>
      <c r="I3715" s="2" t="n">
        <f aca="false">IF(F3715="Present",9,IF(F3715="Half Day",4,0))</f>
        <v>9</v>
      </c>
      <c r="J3715" s="2"/>
      <c r="K3715" s="2"/>
    </row>
    <row r="3716" customFormat="false" ht="15" hidden="false" customHeight="false" outlineLevel="0" collapsed="false">
      <c r="A3716" s="2" t="s">
        <v>287</v>
      </c>
      <c r="B3716" s="2" t="s">
        <v>288</v>
      </c>
      <c r="C3716" s="2" t="s">
        <v>57</v>
      </c>
      <c r="D3716" s="3" t="n">
        <v>46260</v>
      </c>
      <c r="E3716" s="2" t="str">
        <f aca="false">TEXT(D3716,"dddd")</f>
        <v>Wednesday</v>
      </c>
      <c r="F3716" s="2" t="s">
        <v>457</v>
      </c>
      <c r="G3716" s="2" t="s">
        <v>458</v>
      </c>
      <c r="H3716" s="2" t="s">
        <v>459</v>
      </c>
      <c r="I3716" s="2" t="n">
        <f aca="false">IF(F3716="Present",9,IF(F3716="Half Day",4,0))</f>
        <v>9</v>
      </c>
      <c r="J3716" s="2"/>
      <c r="K3716" s="2"/>
    </row>
    <row r="3717" customFormat="false" ht="15" hidden="false" customHeight="false" outlineLevel="0" collapsed="false">
      <c r="A3717" s="2" t="s">
        <v>287</v>
      </c>
      <c r="B3717" s="2" t="s">
        <v>288</v>
      </c>
      <c r="C3717" s="2" t="s">
        <v>57</v>
      </c>
      <c r="D3717" s="3" t="n">
        <v>46261</v>
      </c>
      <c r="E3717" s="2" t="str">
        <f aca="false">TEXT(D3717,"dddd")</f>
        <v>Thursday</v>
      </c>
      <c r="F3717" s="2" t="s">
        <v>457</v>
      </c>
      <c r="G3717" s="2" t="s">
        <v>458</v>
      </c>
      <c r="H3717" s="2" t="s">
        <v>459</v>
      </c>
      <c r="I3717" s="2" t="n">
        <f aca="false">IF(F3717="Present",9,IF(F3717="Half Day",4,0))</f>
        <v>9</v>
      </c>
      <c r="J3717" s="2"/>
      <c r="K3717" s="2"/>
    </row>
    <row r="3718" customFormat="false" ht="15" hidden="false" customHeight="false" outlineLevel="0" collapsed="false">
      <c r="A3718" s="2" t="s">
        <v>287</v>
      </c>
      <c r="B3718" s="2" t="s">
        <v>288</v>
      </c>
      <c r="C3718" s="2" t="s">
        <v>57</v>
      </c>
      <c r="D3718" s="3" t="n">
        <v>46262</v>
      </c>
      <c r="E3718" s="2" t="str">
        <f aca="false">TEXT(D3718,"dddd")</f>
        <v>Friday</v>
      </c>
      <c r="F3718" s="2" t="s">
        <v>457</v>
      </c>
      <c r="G3718" s="2" t="s">
        <v>458</v>
      </c>
      <c r="H3718" s="2" t="s">
        <v>459</v>
      </c>
      <c r="I3718" s="2" t="n">
        <f aca="false">IF(F3718="Present",9,IF(F3718="Half Day",4,0))</f>
        <v>9</v>
      </c>
      <c r="J3718" s="2"/>
      <c r="K3718" s="2"/>
    </row>
    <row r="3719" customFormat="false" ht="15" hidden="false" customHeight="false" outlineLevel="0" collapsed="false">
      <c r="A3719" s="2" t="s">
        <v>287</v>
      </c>
      <c r="B3719" s="2" t="s">
        <v>288</v>
      </c>
      <c r="C3719" s="2" t="s">
        <v>57</v>
      </c>
      <c r="D3719" s="3" t="n">
        <v>46263</v>
      </c>
      <c r="E3719" s="2" t="str">
        <f aca="false">TEXT(D3719,"dddd")</f>
        <v>Saturday</v>
      </c>
      <c r="F3719" s="2" t="s">
        <v>457</v>
      </c>
      <c r="G3719" s="2" t="s">
        <v>458</v>
      </c>
      <c r="H3719" s="2" t="s">
        <v>459</v>
      </c>
      <c r="I3719" s="2" t="n">
        <f aca="false">IF(F3719="Present",9,IF(F3719="Half Day",4,0))</f>
        <v>9</v>
      </c>
      <c r="J3719" s="2"/>
      <c r="K3719" s="2"/>
    </row>
    <row r="3720" customFormat="false" ht="15" hidden="false" customHeight="false" outlineLevel="0" collapsed="false">
      <c r="A3720" s="2" t="s">
        <v>287</v>
      </c>
      <c r="B3720" s="2" t="s">
        <v>288</v>
      </c>
      <c r="C3720" s="2" t="s">
        <v>57</v>
      </c>
      <c r="D3720" s="3" t="n">
        <v>46264</v>
      </c>
      <c r="E3720" s="2" t="str">
        <f aca="false">TEXT(D3720,"dddd")</f>
        <v>Sunday</v>
      </c>
      <c r="F3720" s="2" t="s">
        <v>460</v>
      </c>
      <c r="G3720" s="2"/>
      <c r="H3720" s="2"/>
      <c r="I3720" s="2" t="n">
        <f aca="false">IF(F3720="Present",9,IF(F3720="Half Day",4,0))</f>
        <v>0</v>
      </c>
      <c r="J3720" s="2"/>
      <c r="K3720" s="2" t="s">
        <v>460</v>
      </c>
    </row>
    <row r="3721" customFormat="false" ht="15" hidden="false" customHeight="false" outlineLevel="0" collapsed="false">
      <c r="A3721" s="2" t="s">
        <v>287</v>
      </c>
      <c r="B3721" s="2" t="s">
        <v>288</v>
      </c>
      <c r="C3721" s="2" t="s">
        <v>57</v>
      </c>
      <c r="D3721" s="3" t="n">
        <v>46265</v>
      </c>
      <c r="E3721" s="2" t="str">
        <f aca="false">TEXT(D3721,"dddd")</f>
        <v>Monday</v>
      </c>
      <c r="F3721" s="2" t="s">
        <v>457</v>
      </c>
      <c r="G3721" s="2" t="s">
        <v>458</v>
      </c>
      <c r="H3721" s="2" t="s">
        <v>459</v>
      </c>
      <c r="I3721" s="2" t="n">
        <f aca="false">IF(F3721="Present",9,IF(F3721="Half Day",4,0))</f>
        <v>9</v>
      </c>
      <c r="J3721" s="2"/>
      <c r="K3721" s="2"/>
    </row>
    <row r="3722" customFormat="false" ht="15" hidden="false" customHeight="false" outlineLevel="0" collapsed="false">
      <c r="A3722" s="2" t="s">
        <v>289</v>
      </c>
      <c r="B3722" s="2" t="s">
        <v>290</v>
      </c>
      <c r="C3722" s="2" t="s">
        <v>17</v>
      </c>
      <c r="D3722" s="3" t="n">
        <v>46235</v>
      </c>
      <c r="E3722" s="2" t="str">
        <f aca="false">TEXT(D3722,"dddd")</f>
        <v>Saturday</v>
      </c>
      <c r="F3722" s="2" t="s">
        <v>461</v>
      </c>
      <c r="G3722" s="2"/>
      <c r="H3722" s="2"/>
      <c r="I3722" s="2" t="n">
        <f aca="false">IF(F3722="Present",9,IF(F3722="Half Day",4,0))</f>
        <v>0</v>
      </c>
      <c r="J3722" s="2"/>
      <c r="K3722" s="2" t="s">
        <v>462</v>
      </c>
    </row>
    <row r="3723" customFormat="false" ht="15" hidden="false" customHeight="false" outlineLevel="0" collapsed="false">
      <c r="A3723" s="2" t="s">
        <v>289</v>
      </c>
      <c r="B3723" s="2" t="s">
        <v>290</v>
      </c>
      <c r="C3723" s="2" t="s">
        <v>17</v>
      </c>
      <c r="D3723" s="3" t="n">
        <v>46236</v>
      </c>
      <c r="E3723" s="2" t="str">
        <f aca="false">TEXT(D3723,"dddd")</f>
        <v>Sunday</v>
      </c>
      <c r="F3723" s="2" t="s">
        <v>460</v>
      </c>
      <c r="G3723" s="2"/>
      <c r="H3723" s="2"/>
      <c r="I3723" s="2" t="n">
        <f aca="false">IF(F3723="Present",9,IF(F3723="Half Day",4,0))</f>
        <v>0</v>
      </c>
      <c r="J3723" s="2"/>
      <c r="K3723" s="2" t="s">
        <v>460</v>
      </c>
    </row>
    <row r="3724" customFormat="false" ht="15" hidden="false" customHeight="false" outlineLevel="0" collapsed="false">
      <c r="A3724" s="2" t="s">
        <v>289</v>
      </c>
      <c r="B3724" s="2" t="s">
        <v>290</v>
      </c>
      <c r="C3724" s="2" t="s">
        <v>17</v>
      </c>
      <c r="D3724" s="3" t="n">
        <v>46237</v>
      </c>
      <c r="E3724" s="2" t="str">
        <f aca="false">TEXT(D3724,"dddd")</f>
        <v>Monday</v>
      </c>
      <c r="F3724" s="2" t="s">
        <v>457</v>
      </c>
      <c r="G3724" s="2" t="s">
        <v>458</v>
      </c>
      <c r="H3724" s="2" t="s">
        <v>459</v>
      </c>
      <c r="I3724" s="2" t="n">
        <f aca="false">IF(F3724="Present",9,IF(F3724="Half Day",4,0))</f>
        <v>9</v>
      </c>
      <c r="J3724" s="2"/>
      <c r="K3724" s="2"/>
    </row>
    <row r="3725" customFormat="false" ht="15" hidden="false" customHeight="false" outlineLevel="0" collapsed="false">
      <c r="A3725" s="2" t="s">
        <v>289</v>
      </c>
      <c r="B3725" s="2" t="s">
        <v>290</v>
      </c>
      <c r="C3725" s="2" t="s">
        <v>17</v>
      </c>
      <c r="D3725" s="3" t="n">
        <v>46238</v>
      </c>
      <c r="E3725" s="2" t="str">
        <f aca="false">TEXT(D3725,"dddd")</f>
        <v>Tuesday</v>
      </c>
      <c r="F3725" s="2" t="s">
        <v>457</v>
      </c>
      <c r="G3725" s="2" t="s">
        <v>458</v>
      </c>
      <c r="H3725" s="2" t="s">
        <v>459</v>
      </c>
      <c r="I3725" s="2" t="n">
        <f aca="false">IF(F3725="Present",9,IF(F3725="Half Day",4,0))</f>
        <v>9</v>
      </c>
      <c r="J3725" s="2"/>
      <c r="K3725" s="2"/>
    </row>
    <row r="3726" customFormat="false" ht="15" hidden="false" customHeight="false" outlineLevel="0" collapsed="false">
      <c r="A3726" s="2" t="s">
        <v>289</v>
      </c>
      <c r="B3726" s="2" t="s">
        <v>290</v>
      </c>
      <c r="C3726" s="2" t="s">
        <v>17</v>
      </c>
      <c r="D3726" s="3" t="n">
        <v>46239</v>
      </c>
      <c r="E3726" s="2" t="str">
        <f aca="false">TEXT(D3726,"dddd")</f>
        <v>Wednesday</v>
      </c>
      <c r="F3726" s="2" t="s">
        <v>457</v>
      </c>
      <c r="G3726" s="2" t="s">
        <v>458</v>
      </c>
      <c r="H3726" s="2" t="s">
        <v>459</v>
      </c>
      <c r="I3726" s="2" t="n">
        <f aca="false">IF(F3726="Present",9,IF(F3726="Half Day",4,0))</f>
        <v>9</v>
      </c>
      <c r="J3726" s="2"/>
      <c r="K3726" s="2"/>
    </row>
    <row r="3727" customFormat="false" ht="15" hidden="false" customHeight="false" outlineLevel="0" collapsed="false">
      <c r="A3727" s="2" t="s">
        <v>289</v>
      </c>
      <c r="B3727" s="2" t="s">
        <v>290</v>
      </c>
      <c r="C3727" s="2" t="s">
        <v>17</v>
      </c>
      <c r="D3727" s="3" t="n">
        <v>46240</v>
      </c>
      <c r="E3727" s="2" t="str">
        <f aca="false">TEXT(D3727,"dddd")</f>
        <v>Thursday</v>
      </c>
      <c r="F3727" s="2" t="s">
        <v>457</v>
      </c>
      <c r="G3727" s="2" t="s">
        <v>458</v>
      </c>
      <c r="H3727" s="2" t="s">
        <v>459</v>
      </c>
      <c r="I3727" s="2" t="n">
        <f aca="false">IF(F3727="Present",9,IF(F3727="Half Day",4,0))</f>
        <v>9</v>
      </c>
      <c r="J3727" s="2"/>
      <c r="K3727" s="2"/>
    </row>
    <row r="3728" customFormat="false" ht="15" hidden="false" customHeight="false" outlineLevel="0" collapsed="false">
      <c r="A3728" s="2" t="s">
        <v>289</v>
      </c>
      <c r="B3728" s="2" t="s">
        <v>290</v>
      </c>
      <c r="C3728" s="2" t="s">
        <v>17</v>
      </c>
      <c r="D3728" s="3" t="n">
        <v>46241</v>
      </c>
      <c r="E3728" s="2" t="str">
        <f aca="false">TEXT(D3728,"dddd")</f>
        <v>Friday</v>
      </c>
      <c r="F3728" s="2" t="s">
        <v>457</v>
      </c>
      <c r="G3728" s="2" t="s">
        <v>458</v>
      </c>
      <c r="H3728" s="2" t="s">
        <v>459</v>
      </c>
      <c r="I3728" s="2" t="n">
        <f aca="false">IF(F3728="Present",9,IF(F3728="Half Day",4,0))</f>
        <v>9</v>
      </c>
      <c r="J3728" s="2"/>
      <c r="K3728" s="2"/>
    </row>
    <row r="3729" customFormat="false" ht="15" hidden="false" customHeight="false" outlineLevel="0" collapsed="false">
      <c r="A3729" s="2" t="s">
        <v>289</v>
      </c>
      <c r="B3729" s="2" t="s">
        <v>290</v>
      </c>
      <c r="C3729" s="2" t="s">
        <v>17</v>
      </c>
      <c r="D3729" s="3" t="n">
        <v>46242</v>
      </c>
      <c r="E3729" s="2" t="str">
        <f aca="false">TEXT(D3729,"dddd")</f>
        <v>Saturday</v>
      </c>
      <c r="F3729" s="2" t="s">
        <v>463</v>
      </c>
      <c r="G3729" s="2"/>
      <c r="H3729" s="2"/>
      <c r="I3729" s="2" t="n">
        <f aca="false">IF(F3729="Present",9,IF(F3729="Half Day",4,0))</f>
        <v>0</v>
      </c>
      <c r="J3729" s="2" t="s">
        <v>472</v>
      </c>
      <c r="K3729" s="2" t="s">
        <v>473</v>
      </c>
    </row>
    <row r="3730" customFormat="false" ht="15" hidden="false" customHeight="false" outlineLevel="0" collapsed="false">
      <c r="A3730" s="2" t="s">
        <v>289</v>
      </c>
      <c r="B3730" s="2" t="s">
        <v>290</v>
      </c>
      <c r="C3730" s="2" t="s">
        <v>17</v>
      </c>
      <c r="D3730" s="3" t="n">
        <v>46243</v>
      </c>
      <c r="E3730" s="2" t="str">
        <f aca="false">TEXT(D3730,"dddd")</f>
        <v>Sunday</v>
      </c>
      <c r="F3730" s="2" t="s">
        <v>460</v>
      </c>
      <c r="G3730" s="2"/>
      <c r="H3730" s="2"/>
      <c r="I3730" s="2" t="n">
        <f aca="false">IF(F3730="Present",9,IF(F3730="Half Day",4,0))</f>
        <v>0</v>
      </c>
      <c r="J3730" s="2"/>
      <c r="K3730" s="2" t="s">
        <v>460</v>
      </c>
    </row>
    <row r="3731" customFormat="false" ht="15" hidden="false" customHeight="false" outlineLevel="0" collapsed="false">
      <c r="A3731" s="2" t="s">
        <v>289</v>
      </c>
      <c r="B3731" s="2" t="s">
        <v>290</v>
      </c>
      <c r="C3731" s="2" t="s">
        <v>17</v>
      </c>
      <c r="D3731" s="3" t="n">
        <v>46244</v>
      </c>
      <c r="E3731" s="2" t="str">
        <f aca="false">TEXT(D3731,"dddd")</f>
        <v>Monday</v>
      </c>
      <c r="F3731" s="2" t="s">
        <v>457</v>
      </c>
      <c r="G3731" s="2" t="s">
        <v>458</v>
      </c>
      <c r="H3731" s="2" t="s">
        <v>459</v>
      </c>
      <c r="I3731" s="2" t="n">
        <f aca="false">IF(F3731="Present",9,IF(F3731="Half Day",4,0))</f>
        <v>9</v>
      </c>
      <c r="J3731" s="2"/>
      <c r="K3731" s="2"/>
    </row>
    <row r="3732" customFormat="false" ht="15" hidden="false" customHeight="false" outlineLevel="0" collapsed="false">
      <c r="A3732" s="2" t="s">
        <v>289</v>
      </c>
      <c r="B3732" s="2" t="s">
        <v>290</v>
      </c>
      <c r="C3732" s="2" t="s">
        <v>17</v>
      </c>
      <c r="D3732" s="3" t="n">
        <v>46245</v>
      </c>
      <c r="E3732" s="2" t="str">
        <f aca="false">TEXT(D3732,"dddd")</f>
        <v>Tuesday</v>
      </c>
      <c r="F3732" s="2" t="s">
        <v>457</v>
      </c>
      <c r="G3732" s="2" t="s">
        <v>458</v>
      </c>
      <c r="H3732" s="2" t="s">
        <v>459</v>
      </c>
      <c r="I3732" s="2" t="n">
        <f aca="false">IF(F3732="Present",9,IF(F3732="Half Day",4,0))</f>
        <v>9</v>
      </c>
      <c r="J3732" s="2"/>
      <c r="K3732" s="2"/>
    </row>
    <row r="3733" customFormat="false" ht="15" hidden="false" customHeight="false" outlineLevel="0" collapsed="false">
      <c r="A3733" s="2" t="s">
        <v>289</v>
      </c>
      <c r="B3733" s="2" t="s">
        <v>290</v>
      </c>
      <c r="C3733" s="2" t="s">
        <v>17</v>
      </c>
      <c r="D3733" s="3" t="n">
        <v>46246</v>
      </c>
      <c r="E3733" s="2" t="str">
        <f aca="false">TEXT(D3733,"dddd")</f>
        <v>Wednesday</v>
      </c>
      <c r="F3733" s="2" t="s">
        <v>457</v>
      </c>
      <c r="G3733" s="2" t="s">
        <v>458</v>
      </c>
      <c r="H3733" s="2" t="s">
        <v>459</v>
      </c>
      <c r="I3733" s="2" t="n">
        <f aca="false">IF(F3733="Present",9,IF(F3733="Half Day",4,0))</f>
        <v>9</v>
      </c>
      <c r="J3733" s="2"/>
      <c r="K3733" s="2"/>
    </row>
    <row r="3734" customFormat="false" ht="15" hidden="false" customHeight="false" outlineLevel="0" collapsed="false">
      <c r="A3734" s="2" t="s">
        <v>289</v>
      </c>
      <c r="B3734" s="2" t="s">
        <v>290</v>
      </c>
      <c r="C3734" s="2" t="s">
        <v>17</v>
      </c>
      <c r="D3734" s="3" t="n">
        <v>46247</v>
      </c>
      <c r="E3734" s="2" t="str">
        <f aca="false">TEXT(D3734,"dddd")</f>
        <v>Thursday</v>
      </c>
      <c r="F3734" s="2" t="s">
        <v>457</v>
      </c>
      <c r="G3734" s="2" t="s">
        <v>458</v>
      </c>
      <c r="H3734" s="2" t="s">
        <v>459</v>
      </c>
      <c r="I3734" s="2" t="n">
        <f aca="false">IF(F3734="Present",9,IF(F3734="Half Day",4,0))</f>
        <v>9</v>
      </c>
      <c r="J3734" s="2"/>
      <c r="K3734" s="2"/>
    </row>
    <row r="3735" customFormat="false" ht="15" hidden="false" customHeight="false" outlineLevel="0" collapsed="false">
      <c r="A3735" s="2" t="s">
        <v>289</v>
      </c>
      <c r="B3735" s="2" t="s">
        <v>290</v>
      </c>
      <c r="C3735" s="2" t="s">
        <v>17</v>
      </c>
      <c r="D3735" s="3" t="n">
        <v>46248</v>
      </c>
      <c r="E3735" s="2" t="str">
        <f aca="false">TEXT(D3735,"dddd")</f>
        <v>Friday</v>
      </c>
      <c r="F3735" s="2" t="s">
        <v>461</v>
      </c>
      <c r="G3735" s="2"/>
      <c r="H3735" s="2"/>
      <c r="I3735" s="2" t="n">
        <f aca="false">IF(F3735="Present",9,IF(F3735="Half Day",4,0))</f>
        <v>0</v>
      </c>
      <c r="J3735" s="2"/>
      <c r="K3735" s="2" t="s">
        <v>462</v>
      </c>
    </row>
    <row r="3736" customFormat="false" ht="15" hidden="false" customHeight="false" outlineLevel="0" collapsed="false">
      <c r="A3736" s="2" t="s">
        <v>289</v>
      </c>
      <c r="B3736" s="2" t="s">
        <v>290</v>
      </c>
      <c r="C3736" s="2" t="s">
        <v>17</v>
      </c>
      <c r="D3736" s="3" t="n">
        <v>46249</v>
      </c>
      <c r="E3736" s="2" t="str">
        <f aca="false">TEXT(D3736,"dddd")</f>
        <v>Saturday</v>
      </c>
      <c r="F3736" s="2" t="s">
        <v>461</v>
      </c>
      <c r="G3736" s="2"/>
      <c r="H3736" s="2"/>
      <c r="I3736" s="2" t="n">
        <f aca="false">IF(F3736="Present",9,IF(F3736="Half Day",4,0))</f>
        <v>0</v>
      </c>
      <c r="J3736" s="2"/>
      <c r="K3736" s="2" t="s">
        <v>462</v>
      </c>
    </row>
    <row r="3737" customFormat="false" ht="15" hidden="false" customHeight="false" outlineLevel="0" collapsed="false">
      <c r="A3737" s="2" t="s">
        <v>289</v>
      </c>
      <c r="B3737" s="2" t="s">
        <v>290</v>
      </c>
      <c r="C3737" s="2" t="s">
        <v>17</v>
      </c>
      <c r="D3737" s="3" t="n">
        <v>46250</v>
      </c>
      <c r="E3737" s="2" t="str">
        <f aca="false">TEXT(D3737,"dddd")</f>
        <v>Sunday</v>
      </c>
      <c r="F3737" s="2" t="s">
        <v>460</v>
      </c>
      <c r="G3737" s="2"/>
      <c r="H3737" s="2"/>
      <c r="I3737" s="2" t="n">
        <f aca="false">IF(F3737="Present",9,IF(F3737="Half Day",4,0))</f>
        <v>0</v>
      </c>
      <c r="J3737" s="2"/>
      <c r="K3737" s="2" t="s">
        <v>460</v>
      </c>
    </row>
    <row r="3738" customFormat="false" ht="15" hidden="false" customHeight="false" outlineLevel="0" collapsed="false">
      <c r="A3738" s="2" t="s">
        <v>289</v>
      </c>
      <c r="B3738" s="2" t="s">
        <v>290</v>
      </c>
      <c r="C3738" s="2" t="s">
        <v>17</v>
      </c>
      <c r="D3738" s="3" t="n">
        <v>46251</v>
      </c>
      <c r="E3738" s="2" t="str">
        <f aca="false">TEXT(D3738,"dddd")</f>
        <v>Monday</v>
      </c>
      <c r="F3738" s="2" t="s">
        <v>457</v>
      </c>
      <c r="G3738" s="2" t="s">
        <v>458</v>
      </c>
      <c r="H3738" s="2" t="s">
        <v>459</v>
      </c>
      <c r="I3738" s="2" t="n">
        <f aca="false">IF(F3738="Present",9,IF(F3738="Half Day",4,0))</f>
        <v>9</v>
      </c>
      <c r="J3738" s="2"/>
      <c r="K3738" s="2"/>
    </row>
    <row r="3739" customFormat="false" ht="15" hidden="false" customHeight="false" outlineLevel="0" collapsed="false">
      <c r="A3739" s="2" t="s">
        <v>289</v>
      </c>
      <c r="B3739" s="2" t="s">
        <v>290</v>
      </c>
      <c r="C3739" s="2" t="s">
        <v>17</v>
      </c>
      <c r="D3739" s="3" t="n">
        <v>46252</v>
      </c>
      <c r="E3739" s="2" t="str">
        <f aca="false">TEXT(D3739,"dddd")</f>
        <v>Tuesday</v>
      </c>
      <c r="F3739" s="2" t="s">
        <v>457</v>
      </c>
      <c r="G3739" s="2" t="s">
        <v>458</v>
      </c>
      <c r="H3739" s="2" t="s">
        <v>459</v>
      </c>
      <c r="I3739" s="2" t="n">
        <f aca="false">IF(F3739="Present",9,IF(F3739="Half Day",4,0))</f>
        <v>9</v>
      </c>
      <c r="J3739" s="2"/>
      <c r="K3739" s="2"/>
    </row>
    <row r="3740" customFormat="false" ht="15" hidden="false" customHeight="false" outlineLevel="0" collapsed="false">
      <c r="A3740" s="2" t="s">
        <v>289</v>
      </c>
      <c r="B3740" s="2" t="s">
        <v>290</v>
      </c>
      <c r="C3740" s="2" t="s">
        <v>17</v>
      </c>
      <c r="D3740" s="3" t="n">
        <v>46253</v>
      </c>
      <c r="E3740" s="2" t="str">
        <f aca="false">TEXT(D3740,"dddd")</f>
        <v>Wednesday</v>
      </c>
      <c r="F3740" s="2" t="s">
        <v>457</v>
      </c>
      <c r="G3740" s="2" t="s">
        <v>458</v>
      </c>
      <c r="H3740" s="2" t="s">
        <v>459</v>
      </c>
      <c r="I3740" s="2" t="n">
        <f aca="false">IF(F3740="Present",9,IF(F3740="Half Day",4,0))</f>
        <v>9</v>
      </c>
      <c r="J3740" s="2"/>
      <c r="K3740" s="2"/>
    </row>
    <row r="3741" customFormat="false" ht="15" hidden="false" customHeight="false" outlineLevel="0" collapsed="false">
      <c r="A3741" s="2" t="s">
        <v>289</v>
      </c>
      <c r="B3741" s="2" t="s">
        <v>290</v>
      </c>
      <c r="C3741" s="2" t="s">
        <v>17</v>
      </c>
      <c r="D3741" s="3" t="n">
        <v>46254</v>
      </c>
      <c r="E3741" s="2" t="str">
        <f aca="false">TEXT(D3741,"dddd")</f>
        <v>Thursday</v>
      </c>
      <c r="F3741" s="2" t="s">
        <v>461</v>
      </c>
      <c r="G3741" s="2"/>
      <c r="H3741" s="2"/>
      <c r="I3741" s="2" t="n">
        <f aca="false">IF(F3741="Present",9,IF(F3741="Half Day",4,0))</f>
        <v>0</v>
      </c>
      <c r="J3741" s="2"/>
      <c r="K3741" s="2" t="s">
        <v>462</v>
      </c>
    </row>
    <row r="3742" customFormat="false" ht="15" hidden="false" customHeight="false" outlineLevel="0" collapsed="false">
      <c r="A3742" s="2" t="s">
        <v>289</v>
      </c>
      <c r="B3742" s="2" t="s">
        <v>290</v>
      </c>
      <c r="C3742" s="2" t="s">
        <v>17</v>
      </c>
      <c r="D3742" s="3" t="n">
        <v>46255</v>
      </c>
      <c r="E3742" s="2" t="str">
        <f aca="false">TEXT(D3742,"dddd")</f>
        <v>Friday</v>
      </c>
      <c r="F3742" s="2" t="s">
        <v>457</v>
      </c>
      <c r="G3742" s="2" t="s">
        <v>458</v>
      </c>
      <c r="H3742" s="2" t="s">
        <v>459</v>
      </c>
      <c r="I3742" s="2" t="n">
        <f aca="false">IF(F3742="Present",9,IF(F3742="Half Day",4,0))</f>
        <v>9</v>
      </c>
      <c r="J3742" s="2"/>
      <c r="K3742" s="2"/>
    </row>
    <row r="3743" customFormat="false" ht="15" hidden="false" customHeight="false" outlineLevel="0" collapsed="false">
      <c r="A3743" s="2" t="s">
        <v>289</v>
      </c>
      <c r="B3743" s="2" t="s">
        <v>290</v>
      </c>
      <c r="C3743" s="2" t="s">
        <v>17</v>
      </c>
      <c r="D3743" s="3" t="n">
        <v>46256</v>
      </c>
      <c r="E3743" s="2" t="str">
        <f aca="false">TEXT(D3743,"dddd")</f>
        <v>Saturday</v>
      </c>
      <c r="F3743" s="2" t="s">
        <v>457</v>
      </c>
      <c r="G3743" s="2" t="s">
        <v>458</v>
      </c>
      <c r="H3743" s="2" t="s">
        <v>459</v>
      </c>
      <c r="I3743" s="2" t="n">
        <f aca="false">IF(F3743="Present",9,IF(F3743="Half Day",4,0))</f>
        <v>9</v>
      </c>
      <c r="J3743" s="2"/>
      <c r="K3743" s="2"/>
    </row>
    <row r="3744" customFormat="false" ht="15" hidden="false" customHeight="false" outlineLevel="0" collapsed="false">
      <c r="A3744" s="2" t="s">
        <v>289</v>
      </c>
      <c r="B3744" s="2" t="s">
        <v>290</v>
      </c>
      <c r="C3744" s="2" t="s">
        <v>17</v>
      </c>
      <c r="D3744" s="3" t="n">
        <v>46257</v>
      </c>
      <c r="E3744" s="2" t="str">
        <f aca="false">TEXT(D3744,"dddd")</f>
        <v>Sunday</v>
      </c>
      <c r="F3744" s="2" t="s">
        <v>460</v>
      </c>
      <c r="G3744" s="2"/>
      <c r="H3744" s="2"/>
      <c r="I3744" s="2" t="n">
        <f aca="false">IF(F3744="Present",9,IF(F3744="Half Day",4,0))</f>
        <v>0</v>
      </c>
      <c r="J3744" s="2"/>
      <c r="K3744" s="2" t="s">
        <v>460</v>
      </c>
    </row>
    <row r="3745" customFormat="false" ht="15" hidden="false" customHeight="false" outlineLevel="0" collapsed="false">
      <c r="A3745" s="2" t="s">
        <v>289</v>
      </c>
      <c r="B3745" s="2" t="s">
        <v>290</v>
      </c>
      <c r="C3745" s="2" t="s">
        <v>17</v>
      </c>
      <c r="D3745" s="3" t="n">
        <v>46258</v>
      </c>
      <c r="E3745" s="2" t="str">
        <f aca="false">TEXT(D3745,"dddd")</f>
        <v>Monday</v>
      </c>
      <c r="F3745" s="2" t="s">
        <v>463</v>
      </c>
      <c r="G3745" s="2"/>
      <c r="H3745" s="2"/>
      <c r="I3745" s="2" t="n">
        <f aca="false">IF(F3745="Present",9,IF(F3745="Half Day",4,0))</f>
        <v>0</v>
      </c>
      <c r="J3745" s="2" t="s">
        <v>468</v>
      </c>
      <c r="K3745" s="2" t="s">
        <v>469</v>
      </c>
    </row>
    <row r="3746" customFormat="false" ht="15" hidden="false" customHeight="false" outlineLevel="0" collapsed="false">
      <c r="A3746" s="2" t="s">
        <v>289</v>
      </c>
      <c r="B3746" s="2" t="s">
        <v>290</v>
      </c>
      <c r="C3746" s="2" t="s">
        <v>17</v>
      </c>
      <c r="D3746" s="3" t="n">
        <v>46259</v>
      </c>
      <c r="E3746" s="2" t="str">
        <f aca="false">TEXT(D3746,"dddd")</f>
        <v>Tuesday</v>
      </c>
      <c r="F3746" s="2" t="s">
        <v>461</v>
      </c>
      <c r="G3746" s="2"/>
      <c r="H3746" s="2"/>
      <c r="I3746" s="2" t="n">
        <f aca="false">IF(F3746="Present",9,IF(F3746="Half Day",4,0))</f>
        <v>0</v>
      </c>
      <c r="J3746" s="2"/>
      <c r="K3746" s="2" t="s">
        <v>462</v>
      </c>
    </row>
    <row r="3747" customFormat="false" ht="15" hidden="false" customHeight="false" outlineLevel="0" collapsed="false">
      <c r="A3747" s="2" t="s">
        <v>289</v>
      </c>
      <c r="B3747" s="2" t="s">
        <v>290</v>
      </c>
      <c r="C3747" s="2" t="s">
        <v>17</v>
      </c>
      <c r="D3747" s="3" t="n">
        <v>46260</v>
      </c>
      <c r="E3747" s="2" t="str">
        <f aca="false">TEXT(D3747,"dddd")</f>
        <v>Wednesday</v>
      </c>
      <c r="F3747" s="2" t="s">
        <v>457</v>
      </c>
      <c r="G3747" s="2" t="s">
        <v>458</v>
      </c>
      <c r="H3747" s="2" t="s">
        <v>459</v>
      </c>
      <c r="I3747" s="2" t="n">
        <f aca="false">IF(F3747="Present",9,IF(F3747="Half Day",4,0))</f>
        <v>9</v>
      </c>
      <c r="J3747" s="2"/>
      <c r="K3747" s="2"/>
    </row>
    <row r="3748" customFormat="false" ht="15" hidden="false" customHeight="false" outlineLevel="0" collapsed="false">
      <c r="A3748" s="2" t="s">
        <v>289</v>
      </c>
      <c r="B3748" s="2" t="s">
        <v>290</v>
      </c>
      <c r="C3748" s="2" t="s">
        <v>17</v>
      </c>
      <c r="D3748" s="3" t="n">
        <v>46261</v>
      </c>
      <c r="E3748" s="2" t="str">
        <f aca="false">TEXT(D3748,"dddd")</f>
        <v>Thursday</v>
      </c>
      <c r="F3748" s="2" t="s">
        <v>457</v>
      </c>
      <c r="G3748" s="2" t="s">
        <v>458</v>
      </c>
      <c r="H3748" s="2" t="s">
        <v>459</v>
      </c>
      <c r="I3748" s="2" t="n">
        <f aca="false">IF(F3748="Present",9,IF(F3748="Half Day",4,0))</f>
        <v>9</v>
      </c>
      <c r="J3748" s="2"/>
      <c r="K3748" s="2"/>
    </row>
    <row r="3749" customFormat="false" ht="15" hidden="false" customHeight="false" outlineLevel="0" collapsed="false">
      <c r="A3749" s="2" t="s">
        <v>289</v>
      </c>
      <c r="B3749" s="2" t="s">
        <v>290</v>
      </c>
      <c r="C3749" s="2" t="s">
        <v>17</v>
      </c>
      <c r="D3749" s="3" t="n">
        <v>46262</v>
      </c>
      <c r="E3749" s="2" t="str">
        <f aca="false">TEXT(D3749,"dddd")</f>
        <v>Friday</v>
      </c>
      <c r="F3749" s="2" t="s">
        <v>457</v>
      </c>
      <c r="G3749" s="2" t="s">
        <v>458</v>
      </c>
      <c r="H3749" s="2" t="s">
        <v>459</v>
      </c>
      <c r="I3749" s="2" t="n">
        <f aca="false">IF(F3749="Present",9,IF(F3749="Half Day",4,0))</f>
        <v>9</v>
      </c>
      <c r="J3749" s="2"/>
      <c r="K3749" s="2"/>
    </row>
    <row r="3750" customFormat="false" ht="15" hidden="false" customHeight="false" outlineLevel="0" collapsed="false">
      <c r="A3750" s="2" t="s">
        <v>289</v>
      </c>
      <c r="B3750" s="2" t="s">
        <v>290</v>
      </c>
      <c r="C3750" s="2" t="s">
        <v>17</v>
      </c>
      <c r="D3750" s="3" t="n">
        <v>46263</v>
      </c>
      <c r="E3750" s="2" t="str">
        <f aca="false">TEXT(D3750,"dddd")</f>
        <v>Saturday</v>
      </c>
      <c r="F3750" s="2" t="s">
        <v>457</v>
      </c>
      <c r="G3750" s="2" t="s">
        <v>458</v>
      </c>
      <c r="H3750" s="2" t="s">
        <v>459</v>
      </c>
      <c r="I3750" s="2" t="n">
        <f aca="false">IF(F3750="Present",9,IF(F3750="Half Day",4,0))</f>
        <v>9</v>
      </c>
      <c r="J3750" s="2"/>
      <c r="K3750" s="2"/>
    </row>
    <row r="3751" customFormat="false" ht="15" hidden="false" customHeight="false" outlineLevel="0" collapsed="false">
      <c r="A3751" s="2" t="s">
        <v>289</v>
      </c>
      <c r="B3751" s="2" t="s">
        <v>290</v>
      </c>
      <c r="C3751" s="2" t="s">
        <v>17</v>
      </c>
      <c r="D3751" s="3" t="n">
        <v>46264</v>
      </c>
      <c r="E3751" s="2" t="str">
        <f aca="false">TEXT(D3751,"dddd")</f>
        <v>Sunday</v>
      </c>
      <c r="F3751" s="2" t="s">
        <v>460</v>
      </c>
      <c r="G3751" s="2"/>
      <c r="H3751" s="2"/>
      <c r="I3751" s="2" t="n">
        <f aca="false">IF(F3751="Present",9,IF(F3751="Half Day",4,0))</f>
        <v>0</v>
      </c>
      <c r="J3751" s="2"/>
      <c r="K3751" s="2" t="s">
        <v>460</v>
      </c>
    </row>
    <row r="3752" customFormat="false" ht="15" hidden="false" customHeight="false" outlineLevel="0" collapsed="false">
      <c r="A3752" s="2" t="s">
        <v>289</v>
      </c>
      <c r="B3752" s="2" t="s">
        <v>290</v>
      </c>
      <c r="C3752" s="2" t="s">
        <v>17</v>
      </c>
      <c r="D3752" s="3" t="n">
        <v>46265</v>
      </c>
      <c r="E3752" s="2" t="str">
        <f aca="false">TEXT(D3752,"dddd")</f>
        <v>Monday</v>
      </c>
      <c r="F3752" s="2" t="s">
        <v>457</v>
      </c>
      <c r="G3752" s="2" t="s">
        <v>458</v>
      </c>
      <c r="H3752" s="2" t="s">
        <v>459</v>
      </c>
      <c r="I3752" s="2" t="n">
        <f aca="false">IF(F3752="Present",9,IF(F3752="Half Day",4,0))</f>
        <v>9</v>
      </c>
      <c r="J3752" s="2"/>
      <c r="K3752" s="2"/>
    </row>
    <row r="3753" customFormat="false" ht="15" hidden="false" customHeight="false" outlineLevel="0" collapsed="false">
      <c r="A3753" s="2" t="s">
        <v>291</v>
      </c>
      <c r="B3753" s="2" t="s">
        <v>292</v>
      </c>
      <c r="C3753" s="2" t="s">
        <v>24</v>
      </c>
      <c r="D3753" s="3" t="n">
        <v>46235</v>
      </c>
      <c r="E3753" s="2" t="str">
        <f aca="false">TEXT(D3753,"dddd")</f>
        <v>Saturday</v>
      </c>
      <c r="F3753" s="2" t="s">
        <v>457</v>
      </c>
      <c r="G3753" s="2" t="s">
        <v>458</v>
      </c>
      <c r="H3753" s="2" t="s">
        <v>459</v>
      </c>
      <c r="I3753" s="2" t="n">
        <f aca="false">IF(F3753="Present",9,IF(F3753="Half Day",4,0))</f>
        <v>9</v>
      </c>
      <c r="J3753" s="2"/>
      <c r="K3753" s="2"/>
    </row>
    <row r="3754" customFormat="false" ht="15" hidden="false" customHeight="false" outlineLevel="0" collapsed="false">
      <c r="A3754" s="2" t="s">
        <v>291</v>
      </c>
      <c r="B3754" s="2" t="s">
        <v>292</v>
      </c>
      <c r="C3754" s="2" t="s">
        <v>24</v>
      </c>
      <c r="D3754" s="3" t="n">
        <v>46236</v>
      </c>
      <c r="E3754" s="2" t="str">
        <f aca="false">TEXT(D3754,"dddd")</f>
        <v>Sunday</v>
      </c>
      <c r="F3754" s="2" t="s">
        <v>460</v>
      </c>
      <c r="G3754" s="2"/>
      <c r="H3754" s="2"/>
      <c r="I3754" s="2" t="n">
        <f aca="false">IF(F3754="Present",9,IF(F3754="Half Day",4,0))</f>
        <v>0</v>
      </c>
      <c r="J3754" s="2"/>
      <c r="K3754" s="2" t="s">
        <v>460</v>
      </c>
    </row>
    <row r="3755" customFormat="false" ht="15" hidden="false" customHeight="false" outlineLevel="0" collapsed="false">
      <c r="A3755" s="2" t="s">
        <v>291</v>
      </c>
      <c r="B3755" s="2" t="s">
        <v>292</v>
      </c>
      <c r="C3755" s="2" t="s">
        <v>24</v>
      </c>
      <c r="D3755" s="3" t="n">
        <v>46237</v>
      </c>
      <c r="E3755" s="2" t="str">
        <f aca="false">TEXT(D3755,"dddd")</f>
        <v>Monday</v>
      </c>
      <c r="F3755" s="2" t="s">
        <v>457</v>
      </c>
      <c r="G3755" s="2" t="s">
        <v>458</v>
      </c>
      <c r="H3755" s="2" t="s">
        <v>459</v>
      </c>
      <c r="I3755" s="2" t="n">
        <f aca="false">IF(F3755="Present",9,IF(F3755="Half Day",4,0))</f>
        <v>9</v>
      </c>
      <c r="J3755" s="2"/>
      <c r="K3755" s="2"/>
    </row>
    <row r="3756" customFormat="false" ht="15" hidden="false" customHeight="false" outlineLevel="0" collapsed="false">
      <c r="A3756" s="2" t="s">
        <v>291</v>
      </c>
      <c r="B3756" s="2" t="s">
        <v>292</v>
      </c>
      <c r="C3756" s="2" t="s">
        <v>24</v>
      </c>
      <c r="D3756" s="3" t="n">
        <v>46238</v>
      </c>
      <c r="E3756" s="2" t="str">
        <f aca="false">TEXT(D3756,"dddd")</f>
        <v>Tuesday</v>
      </c>
      <c r="F3756" s="2" t="s">
        <v>466</v>
      </c>
      <c r="G3756" s="2" t="s">
        <v>458</v>
      </c>
      <c r="H3756" s="2" t="s">
        <v>467</v>
      </c>
      <c r="I3756" s="2" t="n">
        <f aca="false">IF(F3756="Present",9,IF(F3756="Half Day",4,0))</f>
        <v>4</v>
      </c>
      <c r="J3756" s="2"/>
      <c r="K3756" s="2" t="s">
        <v>466</v>
      </c>
    </row>
    <row r="3757" customFormat="false" ht="15" hidden="false" customHeight="false" outlineLevel="0" collapsed="false">
      <c r="A3757" s="2" t="s">
        <v>291</v>
      </c>
      <c r="B3757" s="2" t="s">
        <v>292</v>
      </c>
      <c r="C3757" s="2" t="s">
        <v>24</v>
      </c>
      <c r="D3757" s="3" t="n">
        <v>46239</v>
      </c>
      <c r="E3757" s="2" t="str">
        <f aca="false">TEXT(D3757,"dddd")</f>
        <v>Wednesday</v>
      </c>
      <c r="F3757" s="2" t="s">
        <v>457</v>
      </c>
      <c r="G3757" s="2" t="s">
        <v>458</v>
      </c>
      <c r="H3757" s="2" t="s">
        <v>459</v>
      </c>
      <c r="I3757" s="2" t="n">
        <f aca="false">IF(F3757="Present",9,IF(F3757="Half Day",4,0))</f>
        <v>9</v>
      </c>
      <c r="J3757" s="2"/>
      <c r="K3757" s="2"/>
    </row>
    <row r="3758" customFormat="false" ht="15" hidden="false" customHeight="false" outlineLevel="0" collapsed="false">
      <c r="A3758" s="2" t="s">
        <v>291</v>
      </c>
      <c r="B3758" s="2" t="s">
        <v>292</v>
      </c>
      <c r="C3758" s="2" t="s">
        <v>24</v>
      </c>
      <c r="D3758" s="3" t="n">
        <v>46240</v>
      </c>
      <c r="E3758" s="2" t="str">
        <f aca="false">TEXT(D3758,"dddd")</f>
        <v>Thursday</v>
      </c>
      <c r="F3758" s="2" t="s">
        <v>461</v>
      </c>
      <c r="G3758" s="2"/>
      <c r="H3758" s="2"/>
      <c r="I3758" s="2" t="n">
        <f aca="false">IF(F3758="Present",9,IF(F3758="Half Day",4,0))</f>
        <v>0</v>
      </c>
      <c r="J3758" s="2"/>
      <c r="K3758" s="2" t="s">
        <v>462</v>
      </c>
    </row>
    <row r="3759" customFormat="false" ht="15" hidden="false" customHeight="false" outlineLevel="0" collapsed="false">
      <c r="A3759" s="2" t="s">
        <v>291</v>
      </c>
      <c r="B3759" s="2" t="s">
        <v>292</v>
      </c>
      <c r="C3759" s="2" t="s">
        <v>24</v>
      </c>
      <c r="D3759" s="3" t="n">
        <v>46241</v>
      </c>
      <c r="E3759" s="2" t="str">
        <f aca="false">TEXT(D3759,"dddd")</f>
        <v>Friday</v>
      </c>
      <c r="F3759" s="2" t="s">
        <v>457</v>
      </c>
      <c r="G3759" s="2" t="s">
        <v>458</v>
      </c>
      <c r="H3759" s="2" t="s">
        <v>459</v>
      </c>
      <c r="I3759" s="2" t="n">
        <f aca="false">IF(F3759="Present",9,IF(F3759="Half Day",4,0))</f>
        <v>9</v>
      </c>
      <c r="J3759" s="2"/>
      <c r="K3759" s="2"/>
    </row>
    <row r="3760" customFormat="false" ht="15" hidden="false" customHeight="false" outlineLevel="0" collapsed="false">
      <c r="A3760" s="2" t="s">
        <v>291</v>
      </c>
      <c r="B3760" s="2" t="s">
        <v>292</v>
      </c>
      <c r="C3760" s="2" t="s">
        <v>24</v>
      </c>
      <c r="D3760" s="3" t="n">
        <v>46242</v>
      </c>
      <c r="E3760" s="2" t="str">
        <f aca="false">TEXT(D3760,"dddd")</f>
        <v>Saturday</v>
      </c>
      <c r="F3760" s="2" t="s">
        <v>461</v>
      </c>
      <c r="G3760" s="2"/>
      <c r="H3760" s="2"/>
      <c r="I3760" s="2" t="n">
        <f aca="false">IF(F3760="Present",9,IF(F3760="Half Day",4,0))</f>
        <v>0</v>
      </c>
      <c r="J3760" s="2"/>
      <c r="K3760" s="2" t="s">
        <v>462</v>
      </c>
    </row>
    <row r="3761" customFormat="false" ht="15" hidden="false" customHeight="false" outlineLevel="0" collapsed="false">
      <c r="A3761" s="2" t="s">
        <v>291</v>
      </c>
      <c r="B3761" s="2" t="s">
        <v>292</v>
      </c>
      <c r="C3761" s="2" t="s">
        <v>24</v>
      </c>
      <c r="D3761" s="3" t="n">
        <v>46243</v>
      </c>
      <c r="E3761" s="2" t="str">
        <f aca="false">TEXT(D3761,"dddd")</f>
        <v>Sunday</v>
      </c>
      <c r="F3761" s="2" t="s">
        <v>460</v>
      </c>
      <c r="G3761" s="2"/>
      <c r="H3761" s="2"/>
      <c r="I3761" s="2" t="n">
        <f aca="false">IF(F3761="Present",9,IF(F3761="Half Day",4,0))</f>
        <v>0</v>
      </c>
      <c r="J3761" s="2"/>
      <c r="K3761" s="2" t="s">
        <v>460</v>
      </c>
    </row>
    <row r="3762" customFormat="false" ht="15" hidden="false" customHeight="false" outlineLevel="0" collapsed="false">
      <c r="A3762" s="2" t="s">
        <v>291</v>
      </c>
      <c r="B3762" s="2" t="s">
        <v>292</v>
      </c>
      <c r="C3762" s="2" t="s">
        <v>24</v>
      </c>
      <c r="D3762" s="3" t="n">
        <v>46244</v>
      </c>
      <c r="E3762" s="2" t="str">
        <f aca="false">TEXT(D3762,"dddd")</f>
        <v>Monday</v>
      </c>
      <c r="F3762" s="2" t="s">
        <v>461</v>
      </c>
      <c r="G3762" s="2"/>
      <c r="H3762" s="2"/>
      <c r="I3762" s="2" t="n">
        <f aca="false">IF(F3762="Present",9,IF(F3762="Half Day",4,0))</f>
        <v>0</v>
      </c>
      <c r="J3762" s="2"/>
      <c r="K3762" s="2" t="s">
        <v>462</v>
      </c>
    </row>
    <row r="3763" customFormat="false" ht="15" hidden="false" customHeight="false" outlineLevel="0" collapsed="false">
      <c r="A3763" s="2" t="s">
        <v>291</v>
      </c>
      <c r="B3763" s="2" t="s">
        <v>292</v>
      </c>
      <c r="C3763" s="2" t="s">
        <v>24</v>
      </c>
      <c r="D3763" s="3" t="n">
        <v>46245</v>
      </c>
      <c r="E3763" s="2" t="str">
        <f aca="false">TEXT(D3763,"dddd")</f>
        <v>Tuesday</v>
      </c>
      <c r="F3763" s="2" t="s">
        <v>457</v>
      </c>
      <c r="G3763" s="2" t="s">
        <v>458</v>
      </c>
      <c r="H3763" s="2" t="s">
        <v>459</v>
      </c>
      <c r="I3763" s="2" t="n">
        <f aca="false">IF(F3763="Present",9,IF(F3763="Half Day",4,0))</f>
        <v>9</v>
      </c>
      <c r="J3763" s="2"/>
      <c r="K3763" s="2"/>
    </row>
    <row r="3764" customFormat="false" ht="15" hidden="false" customHeight="false" outlineLevel="0" collapsed="false">
      <c r="A3764" s="2" t="s">
        <v>291</v>
      </c>
      <c r="B3764" s="2" t="s">
        <v>292</v>
      </c>
      <c r="C3764" s="2" t="s">
        <v>24</v>
      </c>
      <c r="D3764" s="3" t="n">
        <v>46246</v>
      </c>
      <c r="E3764" s="2" t="str">
        <f aca="false">TEXT(D3764,"dddd")</f>
        <v>Wednesday</v>
      </c>
      <c r="F3764" s="2" t="s">
        <v>457</v>
      </c>
      <c r="G3764" s="2" t="s">
        <v>458</v>
      </c>
      <c r="H3764" s="2" t="s">
        <v>459</v>
      </c>
      <c r="I3764" s="2" t="n">
        <f aca="false">IF(F3764="Present",9,IF(F3764="Half Day",4,0))</f>
        <v>9</v>
      </c>
      <c r="J3764" s="2"/>
      <c r="K3764" s="2"/>
    </row>
    <row r="3765" customFormat="false" ht="15" hidden="false" customHeight="false" outlineLevel="0" collapsed="false">
      <c r="A3765" s="2" t="s">
        <v>291</v>
      </c>
      <c r="B3765" s="2" t="s">
        <v>292</v>
      </c>
      <c r="C3765" s="2" t="s">
        <v>24</v>
      </c>
      <c r="D3765" s="3" t="n">
        <v>46247</v>
      </c>
      <c r="E3765" s="2" t="str">
        <f aca="false">TEXT(D3765,"dddd")</f>
        <v>Thursday</v>
      </c>
      <c r="F3765" s="2" t="s">
        <v>457</v>
      </c>
      <c r="G3765" s="2" t="s">
        <v>458</v>
      </c>
      <c r="H3765" s="2" t="s">
        <v>459</v>
      </c>
      <c r="I3765" s="2" t="n">
        <f aca="false">IF(F3765="Present",9,IF(F3765="Half Day",4,0))</f>
        <v>9</v>
      </c>
      <c r="J3765" s="2"/>
      <c r="K3765" s="2"/>
    </row>
    <row r="3766" customFormat="false" ht="15" hidden="false" customHeight="false" outlineLevel="0" collapsed="false">
      <c r="A3766" s="2" t="s">
        <v>291</v>
      </c>
      <c r="B3766" s="2" t="s">
        <v>292</v>
      </c>
      <c r="C3766" s="2" t="s">
        <v>24</v>
      </c>
      <c r="D3766" s="3" t="n">
        <v>46248</v>
      </c>
      <c r="E3766" s="2" t="str">
        <f aca="false">TEXT(D3766,"dddd")</f>
        <v>Friday</v>
      </c>
      <c r="F3766" s="2" t="s">
        <v>461</v>
      </c>
      <c r="G3766" s="2"/>
      <c r="H3766" s="2"/>
      <c r="I3766" s="2" t="n">
        <f aca="false">IF(F3766="Present",9,IF(F3766="Half Day",4,0))</f>
        <v>0</v>
      </c>
      <c r="J3766" s="2"/>
      <c r="K3766" s="2" t="s">
        <v>462</v>
      </c>
    </row>
    <row r="3767" customFormat="false" ht="15" hidden="false" customHeight="false" outlineLevel="0" collapsed="false">
      <c r="A3767" s="2" t="s">
        <v>291</v>
      </c>
      <c r="B3767" s="2" t="s">
        <v>292</v>
      </c>
      <c r="C3767" s="2" t="s">
        <v>24</v>
      </c>
      <c r="D3767" s="3" t="n">
        <v>46249</v>
      </c>
      <c r="E3767" s="2" t="str">
        <f aca="false">TEXT(D3767,"dddd")</f>
        <v>Saturday</v>
      </c>
      <c r="F3767" s="2" t="s">
        <v>457</v>
      </c>
      <c r="G3767" s="2" t="s">
        <v>458</v>
      </c>
      <c r="H3767" s="2" t="s">
        <v>459</v>
      </c>
      <c r="I3767" s="2" t="n">
        <f aca="false">IF(F3767="Present",9,IF(F3767="Half Day",4,0))</f>
        <v>9</v>
      </c>
      <c r="J3767" s="2"/>
      <c r="K3767" s="2"/>
    </row>
    <row r="3768" customFormat="false" ht="15" hidden="false" customHeight="false" outlineLevel="0" collapsed="false">
      <c r="A3768" s="2" t="s">
        <v>291</v>
      </c>
      <c r="B3768" s="2" t="s">
        <v>292</v>
      </c>
      <c r="C3768" s="2" t="s">
        <v>24</v>
      </c>
      <c r="D3768" s="3" t="n">
        <v>46250</v>
      </c>
      <c r="E3768" s="2" t="str">
        <f aca="false">TEXT(D3768,"dddd")</f>
        <v>Sunday</v>
      </c>
      <c r="F3768" s="2" t="s">
        <v>460</v>
      </c>
      <c r="G3768" s="2"/>
      <c r="H3768" s="2"/>
      <c r="I3768" s="2" t="n">
        <f aca="false">IF(F3768="Present",9,IF(F3768="Half Day",4,0))</f>
        <v>0</v>
      </c>
      <c r="J3768" s="2"/>
      <c r="K3768" s="2" t="s">
        <v>460</v>
      </c>
    </row>
    <row r="3769" customFormat="false" ht="15" hidden="false" customHeight="false" outlineLevel="0" collapsed="false">
      <c r="A3769" s="2" t="s">
        <v>291</v>
      </c>
      <c r="B3769" s="2" t="s">
        <v>292</v>
      </c>
      <c r="C3769" s="2" t="s">
        <v>24</v>
      </c>
      <c r="D3769" s="3" t="n">
        <v>46251</v>
      </c>
      <c r="E3769" s="2" t="str">
        <f aca="false">TEXT(D3769,"dddd")</f>
        <v>Monday</v>
      </c>
      <c r="F3769" s="2" t="s">
        <v>457</v>
      </c>
      <c r="G3769" s="2" t="s">
        <v>458</v>
      </c>
      <c r="H3769" s="2" t="s">
        <v>459</v>
      </c>
      <c r="I3769" s="2" t="n">
        <f aca="false">IF(F3769="Present",9,IF(F3769="Half Day",4,0))</f>
        <v>9</v>
      </c>
      <c r="J3769" s="2"/>
      <c r="K3769" s="2"/>
    </row>
    <row r="3770" customFormat="false" ht="15" hidden="false" customHeight="false" outlineLevel="0" collapsed="false">
      <c r="A3770" s="2" t="s">
        <v>291</v>
      </c>
      <c r="B3770" s="2" t="s">
        <v>292</v>
      </c>
      <c r="C3770" s="2" t="s">
        <v>24</v>
      </c>
      <c r="D3770" s="3" t="n">
        <v>46252</v>
      </c>
      <c r="E3770" s="2" t="str">
        <f aca="false">TEXT(D3770,"dddd")</f>
        <v>Tuesday</v>
      </c>
      <c r="F3770" s="2" t="s">
        <v>457</v>
      </c>
      <c r="G3770" s="2" t="s">
        <v>458</v>
      </c>
      <c r="H3770" s="2" t="s">
        <v>459</v>
      </c>
      <c r="I3770" s="2" t="n">
        <f aca="false">IF(F3770="Present",9,IF(F3770="Half Day",4,0))</f>
        <v>9</v>
      </c>
      <c r="J3770" s="2"/>
      <c r="K3770" s="2"/>
    </row>
    <row r="3771" customFormat="false" ht="15" hidden="false" customHeight="false" outlineLevel="0" collapsed="false">
      <c r="A3771" s="2" t="s">
        <v>291</v>
      </c>
      <c r="B3771" s="2" t="s">
        <v>292</v>
      </c>
      <c r="C3771" s="2" t="s">
        <v>24</v>
      </c>
      <c r="D3771" s="3" t="n">
        <v>46253</v>
      </c>
      <c r="E3771" s="2" t="str">
        <f aca="false">TEXT(D3771,"dddd")</f>
        <v>Wednesday</v>
      </c>
      <c r="F3771" s="2" t="s">
        <v>457</v>
      </c>
      <c r="G3771" s="2" t="s">
        <v>458</v>
      </c>
      <c r="H3771" s="2" t="s">
        <v>459</v>
      </c>
      <c r="I3771" s="2" t="n">
        <f aca="false">IF(F3771="Present",9,IF(F3771="Half Day",4,0))</f>
        <v>9</v>
      </c>
      <c r="J3771" s="2"/>
      <c r="K3771" s="2"/>
    </row>
    <row r="3772" customFormat="false" ht="15" hidden="false" customHeight="false" outlineLevel="0" collapsed="false">
      <c r="A3772" s="2" t="s">
        <v>291</v>
      </c>
      <c r="B3772" s="2" t="s">
        <v>292</v>
      </c>
      <c r="C3772" s="2" t="s">
        <v>24</v>
      </c>
      <c r="D3772" s="3" t="n">
        <v>46254</v>
      </c>
      <c r="E3772" s="2" t="str">
        <f aca="false">TEXT(D3772,"dddd")</f>
        <v>Thursday</v>
      </c>
      <c r="F3772" s="2" t="s">
        <v>457</v>
      </c>
      <c r="G3772" s="2" t="s">
        <v>458</v>
      </c>
      <c r="H3772" s="2" t="s">
        <v>459</v>
      </c>
      <c r="I3772" s="2" t="n">
        <f aca="false">IF(F3772="Present",9,IF(F3772="Half Day",4,0))</f>
        <v>9</v>
      </c>
      <c r="J3772" s="2"/>
      <c r="K3772" s="2"/>
    </row>
    <row r="3773" customFormat="false" ht="15" hidden="false" customHeight="false" outlineLevel="0" collapsed="false">
      <c r="A3773" s="2" t="s">
        <v>291</v>
      </c>
      <c r="B3773" s="2" t="s">
        <v>292</v>
      </c>
      <c r="C3773" s="2" t="s">
        <v>24</v>
      </c>
      <c r="D3773" s="3" t="n">
        <v>46255</v>
      </c>
      <c r="E3773" s="2" t="str">
        <f aca="false">TEXT(D3773,"dddd")</f>
        <v>Friday</v>
      </c>
      <c r="F3773" s="2" t="s">
        <v>457</v>
      </c>
      <c r="G3773" s="2" t="s">
        <v>458</v>
      </c>
      <c r="H3773" s="2" t="s">
        <v>459</v>
      </c>
      <c r="I3773" s="2" t="n">
        <f aca="false">IF(F3773="Present",9,IF(F3773="Half Day",4,0))</f>
        <v>9</v>
      </c>
      <c r="J3773" s="2"/>
      <c r="K3773" s="2"/>
    </row>
    <row r="3774" customFormat="false" ht="15" hidden="false" customHeight="false" outlineLevel="0" collapsed="false">
      <c r="A3774" s="2" t="s">
        <v>291</v>
      </c>
      <c r="B3774" s="2" t="s">
        <v>292</v>
      </c>
      <c r="C3774" s="2" t="s">
        <v>24</v>
      </c>
      <c r="D3774" s="3" t="n">
        <v>46256</v>
      </c>
      <c r="E3774" s="2" t="str">
        <f aca="false">TEXT(D3774,"dddd")</f>
        <v>Saturday</v>
      </c>
      <c r="F3774" s="2" t="s">
        <v>466</v>
      </c>
      <c r="G3774" s="2" t="s">
        <v>458</v>
      </c>
      <c r="H3774" s="2" t="s">
        <v>467</v>
      </c>
      <c r="I3774" s="2" t="n">
        <f aca="false">IF(F3774="Present",9,IF(F3774="Half Day",4,0))</f>
        <v>4</v>
      </c>
      <c r="J3774" s="2"/>
      <c r="K3774" s="2" t="s">
        <v>466</v>
      </c>
    </row>
    <row r="3775" customFormat="false" ht="15" hidden="false" customHeight="false" outlineLevel="0" collapsed="false">
      <c r="A3775" s="2" t="s">
        <v>291</v>
      </c>
      <c r="B3775" s="2" t="s">
        <v>292</v>
      </c>
      <c r="C3775" s="2" t="s">
        <v>24</v>
      </c>
      <c r="D3775" s="3" t="n">
        <v>46257</v>
      </c>
      <c r="E3775" s="2" t="str">
        <f aca="false">TEXT(D3775,"dddd")</f>
        <v>Sunday</v>
      </c>
      <c r="F3775" s="2" t="s">
        <v>460</v>
      </c>
      <c r="G3775" s="2"/>
      <c r="H3775" s="2"/>
      <c r="I3775" s="2" t="n">
        <f aca="false">IF(F3775="Present",9,IF(F3775="Half Day",4,0))</f>
        <v>0</v>
      </c>
      <c r="J3775" s="2"/>
      <c r="K3775" s="2" t="s">
        <v>460</v>
      </c>
    </row>
    <row r="3776" customFormat="false" ht="15" hidden="false" customHeight="false" outlineLevel="0" collapsed="false">
      <c r="A3776" s="2" t="s">
        <v>291</v>
      </c>
      <c r="B3776" s="2" t="s">
        <v>292</v>
      </c>
      <c r="C3776" s="2" t="s">
        <v>24</v>
      </c>
      <c r="D3776" s="3" t="n">
        <v>46258</v>
      </c>
      <c r="E3776" s="2" t="str">
        <f aca="false">TEXT(D3776,"dddd")</f>
        <v>Monday</v>
      </c>
      <c r="F3776" s="2" t="s">
        <v>457</v>
      </c>
      <c r="G3776" s="2" t="s">
        <v>458</v>
      </c>
      <c r="H3776" s="2" t="s">
        <v>459</v>
      </c>
      <c r="I3776" s="2" t="n">
        <f aca="false">IF(F3776="Present",9,IF(F3776="Half Day",4,0))</f>
        <v>9</v>
      </c>
      <c r="J3776" s="2"/>
      <c r="K3776" s="2"/>
    </row>
    <row r="3777" customFormat="false" ht="15" hidden="false" customHeight="false" outlineLevel="0" collapsed="false">
      <c r="A3777" s="2" t="s">
        <v>291</v>
      </c>
      <c r="B3777" s="2" t="s">
        <v>292</v>
      </c>
      <c r="C3777" s="2" t="s">
        <v>24</v>
      </c>
      <c r="D3777" s="3" t="n">
        <v>46259</v>
      </c>
      <c r="E3777" s="2" t="str">
        <f aca="false">TEXT(D3777,"dddd")</f>
        <v>Tuesday</v>
      </c>
      <c r="F3777" s="2" t="s">
        <v>457</v>
      </c>
      <c r="G3777" s="2" t="s">
        <v>458</v>
      </c>
      <c r="H3777" s="2" t="s">
        <v>459</v>
      </c>
      <c r="I3777" s="2" t="n">
        <f aca="false">IF(F3777="Present",9,IF(F3777="Half Day",4,0))</f>
        <v>9</v>
      </c>
      <c r="J3777" s="2"/>
      <c r="K3777" s="2"/>
    </row>
    <row r="3778" customFormat="false" ht="15" hidden="false" customHeight="false" outlineLevel="0" collapsed="false">
      <c r="A3778" s="2" t="s">
        <v>291</v>
      </c>
      <c r="B3778" s="2" t="s">
        <v>292</v>
      </c>
      <c r="C3778" s="2" t="s">
        <v>24</v>
      </c>
      <c r="D3778" s="3" t="n">
        <v>46260</v>
      </c>
      <c r="E3778" s="2" t="str">
        <f aca="false">TEXT(D3778,"dddd")</f>
        <v>Wednesday</v>
      </c>
      <c r="F3778" s="2" t="s">
        <v>461</v>
      </c>
      <c r="G3778" s="2"/>
      <c r="H3778" s="2"/>
      <c r="I3778" s="2" t="n">
        <f aca="false">IF(F3778="Present",9,IF(F3778="Half Day",4,0))</f>
        <v>0</v>
      </c>
      <c r="J3778" s="2"/>
      <c r="K3778" s="2" t="s">
        <v>462</v>
      </c>
    </row>
    <row r="3779" customFormat="false" ht="15" hidden="false" customHeight="false" outlineLevel="0" collapsed="false">
      <c r="A3779" s="2" t="s">
        <v>291</v>
      </c>
      <c r="B3779" s="2" t="s">
        <v>292</v>
      </c>
      <c r="C3779" s="2" t="s">
        <v>24</v>
      </c>
      <c r="D3779" s="3" t="n">
        <v>46261</v>
      </c>
      <c r="E3779" s="2" t="str">
        <f aca="false">TEXT(D3779,"dddd")</f>
        <v>Thursday</v>
      </c>
      <c r="F3779" s="2" t="s">
        <v>461</v>
      </c>
      <c r="G3779" s="2"/>
      <c r="H3779" s="2"/>
      <c r="I3779" s="2" t="n">
        <f aca="false">IF(F3779="Present",9,IF(F3779="Half Day",4,0))</f>
        <v>0</v>
      </c>
      <c r="J3779" s="2"/>
      <c r="K3779" s="2" t="s">
        <v>462</v>
      </c>
    </row>
    <row r="3780" customFormat="false" ht="15" hidden="false" customHeight="false" outlineLevel="0" collapsed="false">
      <c r="A3780" s="2" t="s">
        <v>291</v>
      </c>
      <c r="B3780" s="2" t="s">
        <v>292</v>
      </c>
      <c r="C3780" s="2" t="s">
        <v>24</v>
      </c>
      <c r="D3780" s="3" t="n">
        <v>46262</v>
      </c>
      <c r="E3780" s="2" t="str">
        <f aca="false">TEXT(D3780,"dddd")</f>
        <v>Friday</v>
      </c>
      <c r="F3780" s="2" t="s">
        <v>457</v>
      </c>
      <c r="G3780" s="2" t="s">
        <v>458</v>
      </c>
      <c r="H3780" s="2" t="s">
        <v>459</v>
      </c>
      <c r="I3780" s="2" t="n">
        <f aca="false">IF(F3780="Present",9,IF(F3780="Half Day",4,0))</f>
        <v>9</v>
      </c>
      <c r="J3780" s="2"/>
      <c r="K3780" s="2"/>
    </row>
    <row r="3781" customFormat="false" ht="15" hidden="false" customHeight="false" outlineLevel="0" collapsed="false">
      <c r="A3781" s="2" t="s">
        <v>291</v>
      </c>
      <c r="B3781" s="2" t="s">
        <v>292</v>
      </c>
      <c r="C3781" s="2" t="s">
        <v>24</v>
      </c>
      <c r="D3781" s="3" t="n">
        <v>46263</v>
      </c>
      <c r="E3781" s="2" t="str">
        <f aca="false">TEXT(D3781,"dddd")</f>
        <v>Saturday</v>
      </c>
      <c r="F3781" s="2" t="s">
        <v>457</v>
      </c>
      <c r="G3781" s="2" t="s">
        <v>458</v>
      </c>
      <c r="H3781" s="2" t="s">
        <v>459</v>
      </c>
      <c r="I3781" s="2" t="n">
        <f aca="false">IF(F3781="Present",9,IF(F3781="Half Day",4,0))</f>
        <v>9</v>
      </c>
      <c r="J3781" s="2"/>
      <c r="K3781" s="2"/>
    </row>
    <row r="3782" customFormat="false" ht="15" hidden="false" customHeight="false" outlineLevel="0" collapsed="false">
      <c r="A3782" s="2" t="s">
        <v>291</v>
      </c>
      <c r="B3782" s="2" t="s">
        <v>292</v>
      </c>
      <c r="C3782" s="2" t="s">
        <v>24</v>
      </c>
      <c r="D3782" s="3" t="n">
        <v>46264</v>
      </c>
      <c r="E3782" s="2" t="str">
        <f aca="false">TEXT(D3782,"dddd")</f>
        <v>Sunday</v>
      </c>
      <c r="F3782" s="2" t="s">
        <v>460</v>
      </c>
      <c r="G3782" s="2"/>
      <c r="H3782" s="2"/>
      <c r="I3782" s="2" t="n">
        <f aca="false">IF(F3782="Present",9,IF(F3782="Half Day",4,0))</f>
        <v>0</v>
      </c>
      <c r="J3782" s="2"/>
      <c r="K3782" s="2" t="s">
        <v>460</v>
      </c>
    </row>
    <row r="3783" customFormat="false" ht="15" hidden="false" customHeight="false" outlineLevel="0" collapsed="false">
      <c r="A3783" s="2" t="s">
        <v>291</v>
      </c>
      <c r="B3783" s="2" t="s">
        <v>292</v>
      </c>
      <c r="C3783" s="2" t="s">
        <v>24</v>
      </c>
      <c r="D3783" s="3" t="n">
        <v>46265</v>
      </c>
      <c r="E3783" s="2" t="str">
        <f aca="false">TEXT(D3783,"dddd")</f>
        <v>Monday</v>
      </c>
      <c r="F3783" s="2" t="s">
        <v>457</v>
      </c>
      <c r="G3783" s="2" t="s">
        <v>458</v>
      </c>
      <c r="H3783" s="2" t="s">
        <v>459</v>
      </c>
      <c r="I3783" s="2" t="n">
        <f aca="false">IF(F3783="Present",9,IF(F3783="Half Day",4,0))</f>
        <v>9</v>
      </c>
      <c r="J3783" s="2"/>
      <c r="K3783" s="2"/>
    </row>
    <row r="3784" customFormat="false" ht="15" hidden="false" customHeight="false" outlineLevel="0" collapsed="false">
      <c r="A3784" s="2" t="s">
        <v>293</v>
      </c>
      <c r="B3784" s="2" t="s">
        <v>294</v>
      </c>
      <c r="C3784" s="2" t="s">
        <v>28</v>
      </c>
      <c r="D3784" s="3" t="n">
        <v>46235</v>
      </c>
      <c r="E3784" s="2" t="str">
        <f aca="false">TEXT(D3784,"dddd")</f>
        <v>Saturday</v>
      </c>
      <c r="F3784" s="2" t="s">
        <v>457</v>
      </c>
      <c r="G3784" s="2" t="s">
        <v>458</v>
      </c>
      <c r="H3784" s="2" t="s">
        <v>459</v>
      </c>
      <c r="I3784" s="2" t="n">
        <f aca="false">IF(F3784="Present",9,IF(F3784="Half Day",4,0))</f>
        <v>9</v>
      </c>
      <c r="J3784" s="2"/>
      <c r="K3784" s="2"/>
    </row>
    <row r="3785" customFormat="false" ht="15" hidden="false" customHeight="false" outlineLevel="0" collapsed="false">
      <c r="A3785" s="2" t="s">
        <v>293</v>
      </c>
      <c r="B3785" s="2" t="s">
        <v>294</v>
      </c>
      <c r="C3785" s="2" t="s">
        <v>28</v>
      </c>
      <c r="D3785" s="3" t="n">
        <v>46236</v>
      </c>
      <c r="E3785" s="2" t="str">
        <f aca="false">TEXT(D3785,"dddd")</f>
        <v>Sunday</v>
      </c>
      <c r="F3785" s="2" t="s">
        <v>460</v>
      </c>
      <c r="G3785" s="2"/>
      <c r="H3785" s="2"/>
      <c r="I3785" s="2" t="n">
        <f aca="false">IF(F3785="Present",9,IF(F3785="Half Day",4,0))</f>
        <v>0</v>
      </c>
      <c r="J3785" s="2"/>
      <c r="K3785" s="2" t="s">
        <v>460</v>
      </c>
    </row>
    <row r="3786" customFormat="false" ht="15" hidden="false" customHeight="false" outlineLevel="0" collapsed="false">
      <c r="A3786" s="2" t="s">
        <v>293</v>
      </c>
      <c r="B3786" s="2" t="s">
        <v>294</v>
      </c>
      <c r="C3786" s="2" t="s">
        <v>28</v>
      </c>
      <c r="D3786" s="3" t="n">
        <v>46237</v>
      </c>
      <c r="E3786" s="2" t="str">
        <f aca="false">TEXT(D3786,"dddd")</f>
        <v>Monday</v>
      </c>
      <c r="F3786" s="2" t="s">
        <v>457</v>
      </c>
      <c r="G3786" s="2" t="s">
        <v>458</v>
      </c>
      <c r="H3786" s="2" t="s">
        <v>459</v>
      </c>
      <c r="I3786" s="2" t="n">
        <f aca="false">IF(F3786="Present",9,IF(F3786="Half Day",4,0))</f>
        <v>9</v>
      </c>
      <c r="J3786" s="2"/>
      <c r="K3786" s="2"/>
    </row>
    <row r="3787" customFormat="false" ht="15" hidden="false" customHeight="false" outlineLevel="0" collapsed="false">
      <c r="A3787" s="2" t="s">
        <v>293</v>
      </c>
      <c r="B3787" s="2" t="s">
        <v>294</v>
      </c>
      <c r="C3787" s="2" t="s">
        <v>28</v>
      </c>
      <c r="D3787" s="3" t="n">
        <v>46238</v>
      </c>
      <c r="E3787" s="2" t="str">
        <f aca="false">TEXT(D3787,"dddd")</f>
        <v>Tuesday</v>
      </c>
      <c r="F3787" s="2" t="s">
        <v>457</v>
      </c>
      <c r="G3787" s="2" t="s">
        <v>458</v>
      </c>
      <c r="H3787" s="2" t="s">
        <v>459</v>
      </c>
      <c r="I3787" s="2" t="n">
        <f aca="false">IF(F3787="Present",9,IF(F3787="Half Day",4,0))</f>
        <v>9</v>
      </c>
      <c r="J3787" s="2"/>
      <c r="K3787" s="2"/>
    </row>
    <row r="3788" customFormat="false" ht="15" hidden="false" customHeight="false" outlineLevel="0" collapsed="false">
      <c r="A3788" s="2" t="s">
        <v>293</v>
      </c>
      <c r="B3788" s="2" t="s">
        <v>294</v>
      </c>
      <c r="C3788" s="2" t="s">
        <v>28</v>
      </c>
      <c r="D3788" s="3" t="n">
        <v>46239</v>
      </c>
      <c r="E3788" s="2" t="str">
        <f aca="false">TEXT(D3788,"dddd")</f>
        <v>Wednesday</v>
      </c>
      <c r="F3788" s="2" t="s">
        <v>457</v>
      </c>
      <c r="G3788" s="2" t="s">
        <v>458</v>
      </c>
      <c r="H3788" s="2" t="s">
        <v>459</v>
      </c>
      <c r="I3788" s="2" t="n">
        <f aca="false">IF(F3788="Present",9,IF(F3788="Half Day",4,0))</f>
        <v>9</v>
      </c>
      <c r="J3788" s="2"/>
      <c r="K3788" s="2"/>
    </row>
    <row r="3789" customFormat="false" ht="15" hidden="false" customHeight="false" outlineLevel="0" collapsed="false">
      <c r="A3789" s="2" t="s">
        <v>293</v>
      </c>
      <c r="B3789" s="2" t="s">
        <v>294</v>
      </c>
      <c r="C3789" s="2" t="s">
        <v>28</v>
      </c>
      <c r="D3789" s="3" t="n">
        <v>46240</v>
      </c>
      <c r="E3789" s="2" t="str">
        <f aca="false">TEXT(D3789,"dddd")</f>
        <v>Thursday</v>
      </c>
      <c r="F3789" s="2" t="s">
        <v>466</v>
      </c>
      <c r="G3789" s="2" t="s">
        <v>458</v>
      </c>
      <c r="H3789" s="2" t="s">
        <v>467</v>
      </c>
      <c r="I3789" s="2" t="n">
        <f aca="false">IF(F3789="Present",9,IF(F3789="Half Day",4,0))</f>
        <v>4</v>
      </c>
      <c r="J3789" s="2"/>
      <c r="K3789" s="2" t="s">
        <v>466</v>
      </c>
    </row>
    <row r="3790" customFormat="false" ht="15" hidden="false" customHeight="false" outlineLevel="0" collapsed="false">
      <c r="A3790" s="2" t="s">
        <v>293</v>
      </c>
      <c r="B3790" s="2" t="s">
        <v>294</v>
      </c>
      <c r="C3790" s="2" t="s">
        <v>28</v>
      </c>
      <c r="D3790" s="3" t="n">
        <v>46241</v>
      </c>
      <c r="E3790" s="2" t="str">
        <f aca="false">TEXT(D3790,"dddd")</f>
        <v>Friday</v>
      </c>
      <c r="F3790" s="2" t="s">
        <v>457</v>
      </c>
      <c r="G3790" s="2" t="s">
        <v>458</v>
      </c>
      <c r="H3790" s="2" t="s">
        <v>459</v>
      </c>
      <c r="I3790" s="2" t="n">
        <f aca="false">IF(F3790="Present",9,IF(F3790="Half Day",4,0))</f>
        <v>9</v>
      </c>
      <c r="J3790" s="2"/>
      <c r="K3790" s="2"/>
    </row>
    <row r="3791" customFormat="false" ht="15" hidden="false" customHeight="false" outlineLevel="0" collapsed="false">
      <c r="A3791" s="2" t="s">
        <v>293</v>
      </c>
      <c r="B3791" s="2" t="s">
        <v>294</v>
      </c>
      <c r="C3791" s="2" t="s">
        <v>28</v>
      </c>
      <c r="D3791" s="3" t="n">
        <v>46242</v>
      </c>
      <c r="E3791" s="2" t="str">
        <f aca="false">TEXT(D3791,"dddd")</f>
        <v>Saturday</v>
      </c>
      <c r="F3791" s="2" t="s">
        <v>457</v>
      </c>
      <c r="G3791" s="2" t="s">
        <v>458</v>
      </c>
      <c r="H3791" s="2" t="s">
        <v>459</v>
      </c>
      <c r="I3791" s="2" t="n">
        <f aca="false">IF(F3791="Present",9,IF(F3791="Half Day",4,0))</f>
        <v>9</v>
      </c>
      <c r="J3791" s="2"/>
      <c r="K3791" s="2"/>
    </row>
    <row r="3792" customFormat="false" ht="15" hidden="false" customHeight="false" outlineLevel="0" collapsed="false">
      <c r="A3792" s="2" t="s">
        <v>293</v>
      </c>
      <c r="B3792" s="2" t="s">
        <v>294</v>
      </c>
      <c r="C3792" s="2" t="s">
        <v>28</v>
      </c>
      <c r="D3792" s="3" t="n">
        <v>46243</v>
      </c>
      <c r="E3792" s="2" t="str">
        <f aca="false">TEXT(D3792,"dddd")</f>
        <v>Sunday</v>
      </c>
      <c r="F3792" s="2" t="s">
        <v>460</v>
      </c>
      <c r="G3792" s="2"/>
      <c r="H3792" s="2"/>
      <c r="I3792" s="2" t="n">
        <f aca="false">IF(F3792="Present",9,IF(F3792="Half Day",4,0))</f>
        <v>0</v>
      </c>
      <c r="J3792" s="2"/>
      <c r="K3792" s="2" t="s">
        <v>460</v>
      </c>
    </row>
    <row r="3793" customFormat="false" ht="15" hidden="false" customHeight="false" outlineLevel="0" collapsed="false">
      <c r="A3793" s="2" t="s">
        <v>293</v>
      </c>
      <c r="B3793" s="2" t="s">
        <v>294</v>
      </c>
      <c r="C3793" s="2" t="s">
        <v>28</v>
      </c>
      <c r="D3793" s="3" t="n">
        <v>46244</v>
      </c>
      <c r="E3793" s="2" t="str">
        <f aca="false">TEXT(D3793,"dddd")</f>
        <v>Monday</v>
      </c>
      <c r="F3793" s="2" t="s">
        <v>457</v>
      </c>
      <c r="G3793" s="2" t="s">
        <v>458</v>
      </c>
      <c r="H3793" s="2" t="s">
        <v>459</v>
      </c>
      <c r="I3793" s="2" t="n">
        <f aca="false">IF(F3793="Present",9,IF(F3793="Half Day",4,0))</f>
        <v>9</v>
      </c>
      <c r="J3793" s="2"/>
      <c r="K3793" s="2"/>
    </row>
    <row r="3794" customFormat="false" ht="15" hidden="false" customHeight="false" outlineLevel="0" collapsed="false">
      <c r="A3794" s="2" t="s">
        <v>293</v>
      </c>
      <c r="B3794" s="2" t="s">
        <v>294</v>
      </c>
      <c r="C3794" s="2" t="s">
        <v>28</v>
      </c>
      <c r="D3794" s="3" t="n">
        <v>46245</v>
      </c>
      <c r="E3794" s="2" t="str">
        <f aca="false">TEXT(D3794,"dddd")</f>
        <v>Tuesday</v>
      </c>
      <c r="F3794" s="2" t="s">
        <v>457</v>
      </c>
      <c r="G3794" s="2" t="s">
        <v>458</v>
      </c>
      <c r="H3794" s="2" t="s">
        <v>459</v>
      </c>
      <c r="I3794" s="2" t="n">
        <f aca="false">IF(F3794="Present",9,IF(F3794="Half Day",4,0))</f>
        <v>9</v>
      </c>
      <c r="J3794" s="2"/>
      <c r="K3794" s="2"/>
    </row>
    <row r="3795" customFormat="false" ht="15" hidden="false" customHeight="false" outlineLevel="0" collapsed="false">
      <c r="A3795" s="2" t="s">
        <v>293</v>
      </c>
      <c r="B3795" s="2" t="s">
        <v>294</v>
      </c>
      <c r="C3795" s="2" t="s">
        <v>28</v>
      </c>
      <c r="D3795" s="3" t="n">
        <v>46246</v>
      </c>
      <c r="E3795" s="2" t="str">
        <f aca="false">TEXT(D3795,"dddd")</f>
        <v>Wednesday</v>
      </c>
      <c r="F3795" s="2" t="s">
        <v>457</v>
      </c>
      <c r="G3795" s="2" t="s">
        <v>458</v>
      </c>
      <c r="H3795" s="2" t="s">
        <v>459</v>
      </c>
      <c r="I3795" s="2" t="n">
        <f aca="false">IF(F3795="Present",9,IF(F3795="Half Day",4,0))</f>
        <v>9</v>
      </c>
      <c r="J3795" s="2"/>
      <c r="K3795" s="2"/>
    </row>
    <row r="3796" customFormat="false" ht="15" hidden="false" customHeight="false" outlineLevel="0" collapsed="false">
      <c r="A3796" s="2" t="s">
        <v>293</v>
      </c>
      <c r="B3796" s="2" t="s">
        <v>294</v>
      </c>
      <c r="C3796" s="2" t="s">
        <v>28</v>
      </c>
      <c r="D3796" s="3" t="n">
        <v>46247</v>
      </c>
      <c r="E3796" s="2" t="str">
        <f aca="false">TEXT(D3796,"dddd")</f>
        <v>Thursday</v>
      </c>
      <c r="F3796" s="2" t="s">
        <v>457</v>
      </c>
      <c r="G3796" s="2" t="s">
        <v>458</v>
      </c>
      <c r="H3796" s="2" t="s">
        <v>459</v>
      </c>
      <c r="I3796" s="2" t="n">
        <f aca="false">IF(F3796="Present",9,IF(F3796="Half Day",4,0))</f>
        <v>9</v>
      </c>
      <c r="J3796" s="2"/>
      <c r="K3796" s="2"/>
    </row>
    <row r="3797" customFormat="false" ht="15" hidden="false" customHeight="false" outlineLevel="0" collapsed="false">
      <c r="A3797" s="2" t="s">
        <v>293</v>
      </c>
      <c r="B3797" s="2" t="s">
        <v>294</v>
      </c>
      <c r="C3797" s="2" t="s">
        <v>28</v>
      </c>
      <c r="D3797" s="3" t="n">
        <v>46248</v>
      </c>
      <c r="E3797" s="2" t="str">
        <f aca="false">TEXT(D3797,"dddd")</f>
        <v>Friday</v>
      </c>
      <c r="F3797" s="2" t="s">
        <v>461</v>
      </c>
      <c r="G3797" s="2"/>
      <c r="H3797" s="2"/>
      <c r="I3797" s="2" t="n">
        <f aca="false">IF(F3797="Present",9,IF(F3797="Half Day",4,0))</f>
        <v>0</v>
      </c>
      <c r="J3797" s="2"/>
      <c r="K3797" s="2" t="s">
        <v>462</v>
      </c>
    </row>
    <row r="3798" customFormat="false" ht="15" hidden="false" customHeight="false" outlineLevel="0" collapsed="false">
      <c r="A3798" s="2" t="s">
        <v>293</v>
      </c>
      <c r="B3798" s="2" t="s">
        <v>294</v>
      </c>
      <c r="C3798" s="2" t="s">
        <v>28</v>
      </c>
      <c r="D3798" s="3" t="n">
        <v>46249</v>
      </c>
      <c r="E3798" s="2" t="str">
        <f aca="false">TEXT(D3798,"dddd")</f>
        <v>Saturday</v>
      </c>
      <c r="F3798" s="2" t="s">
        <v>457</v>
      </c>
      <c r="G3798" s="2" t="s">
        <v>458</v>
      </c>
      <c r="H3798" s="2" t="s">
        <v>459</v>
      </c>
      <c r="I3798" s="2" t="n">
        <f aca="false">IF(F3798="Present",9,IF(F3798="Half Day",4,0))</f>
        <v>9</v>
      </c>
      <c r="J3798" s="2"/>
      <c r="K3798" s="2"/>
    </row>
    <row r="3799" customFormat="false" ht="15" hidden="false" customHeight="false" outlineLevel="0" collapsed="false">
      <c r="A3799" s="2" t="s">
        <v>293</v>
      </c>
      <c r="B3799" s="2" t="s">
        <v>294</v>
      </c>
      <c r="C3799" s="2" t="s">
        <v>28</v>
      </c>
      <c r="D3799" s="3" t="n">
        <v>46250</v>
      </c>
      <c r="E3799" s="2" t="str">
        <f aca="false">TEXT(D3799,"dddd")</f>
        <v>Sunday</v>
      </c>
      <c r="F3799" s="2" t="s">
        <v>460</v>
      </c>
      <c r="G3799" s="2"/>
      <c r="H3799" s="2"/>
      <c r="I3799" s="2" t="n">
        <f aca="false">IF(F3799="Present",9,IF(F3799="Half Day",4,0))</f>
        <v>0</v>
      </c>
      <c r="J3799" s="2"/>
      <c r="K3799" s="2" t="s">
        <v>460</v>
      </c>
    </row>
    <row r="3800" customFormat="false" ht="15" hidden="false" customHeight="false" outlineLevel="0" collapsed="false">
      <c r="A3800" s="2" t="s">
        <v>293</v>
      </c>
      <c r="B3800" s="2" t="s">
        <v>294</v>
      </c>
      <c r="C3800" s="2" t="s">
        <v>28</v>
      </c>
      <c r="D3800" s="3" t="n">
        <v>46251</v>
      </c>
      <c r="E3800" s="2" t="str">
        <f aca="false">TEXT(D3800,"dddd")</f>
        <v>Monday</v>
      </c>
      <c r="F3800" s="2" t="s">
        <v>457</v>
      </c>
      <c r="G3800" s="2" t="s">
        <v>458</v>
      </c>
      <c r="H3800" s="2" t="s">
        <v>459</v>
      </c>
      <c r="I3800" s="2" t="n">
        <f aca="false">IF(F3800="Present",9,IF(F3800="Half Day",4,0))</f>
        <v>9</v>
      </c>
      <c r="J3800" s="2"/>
      <c r="K3800" s="2"/>
    </row>
    <row r="3801" customFormat="false" ht="15" hidden="false" customHeight="false" outlineLevel="0" collapsed="false">
      <c r="A3801" s="2" t="s">
        <v>293</v>
      </c>
      <c r="B3801" s="2" t="s">
        <v>294</v>
      </c>
      <c r="C3801" s="2" t="s">
        <v>28</v>
      </c>
      <c r="D3801" s="3" t="n">
        <v>46252</v>
      </c>
      <c r="E3801" s="2" t="str">
        <f aca="false">TEXT(D3801,"dddd")</f>
        <v>Tuesday</v>
      </c>
      <c r="F3801" s="2" t="s">
        <v>457</v>
      </c>
      <c r="G3801" s="2" t="s">
        <v>458</v>
      </c>
      <c r="H3801" s="2" t="s">
        <v>459</v>
      </c>
      <c r="I3801" s="2" t="n">
        <f aca="false">IF(F3801="Present",9,IF(F3801="Half Day",4,0))</f>
        <v>9</v>
      </c>
      <c r="J3801" s="2"/>
      <c r="K3801" s="2"/>
    </row>
    <row r="3802" customFormat="false" ht="15" hidden="false" customHeight="false" outlineLevel="0" collapsed="false">
      <c r="A3802" s="2" t="s">
        <v>293</v>
      </c>
      <c r="B3802" s="2" t="s">
        <v>294</v>
      </c>
      <c r="C3802" s="2" t="s">
        <v>28</v>
      </c>
      <c r="D3802" s="3" t="n">
        <v>46253</v>
      </c>
      <c r="E3802" s="2" t="str">
        <f aca="false">TEXT(D3802,"dddd")</f>
        <v>Wednesday</v>
      </c>
      <c r="F3802" s="2" t="s">
        <v>457</v>
      </c>
      <c r="G3802" s="2" t="s">
        <v>458</v>
      </c>
      <c r="H3802" s="2" t="s">
        <v>459</v>
      </c>
      <c r="I3802" s="2" t="n">
        <f aca="false">IF(F3802="Present",9,IF(F3802="Half Day",4,0))</f>
        <v>9</v>
      </c>
      <c r="J3802" s="2"/>
      <c r="K3802" s="2"/>
    </row>
    <row r="3803" customFormat="false" ht="15" hidden="false" customHeight="false" outlineLevel="0" collapsed="false">
      <c r="A3803" s="2" t="s">
        <v>293</v>
      </c>
      <c r="B3803" s="2" t="s">
        <v>294</v>
      </c>
      <c r="C3803" s="2" t="s">
        <v>28</v>
      </c>
      <c r="D3803" s="3" t="n">
        <v>46254</v>
      </c>
      <c r="E3803" s="2" t="str">
        <f aca="false">TEXT(D3803,"dddd")</f>
        <v>Thursday</v>
      </c>
      <c r="F3803" s="2" t="s">
        <v>457</v>
      </c>
      <c r="G3803" s="2" t="s">
        <v>458</v>
      </c>
      <c r="H3803" s="2" t="s">
        <v>459</v>
      </c>
      <c r="I3803" s="2" t="n">
        <f aca="false">IF(F3803="Present",9,IF(F3803="Half Day",4,0))</f>
        <v>9</v>
      </c>
      <c r="J3803" s="2"/>
      <c r="K3803" s="2"/>
    </row>
    <row r="3804" customFormat="false" ht="15" hidden="false" customHeight="false" outlineLevel="0" collapsed="false">
      <c r="A3804" s="2" t="s">
        <v>293</v>
      </c>
      <c r="B3804" s="2" t="s">
        <v>294</v>
      </c>
      <c r="C3804" s="2" t="s">
        <v>28</v>
      </c>
      <c r="D3804" s="3" t="n">
        <v>46255</v>
      </c>
      <c r="E3804" s="2" t="str">
        <f aca="false">TEXT(D3804,"dddd")</f>
        <v>Friday</v>
      </c>
      <c r="F3804" s="2" t="s">
        <v>457</v>
      </c>
      <c r="G3804" s="2" t="s">
        <v>458</v>
      </c>
      <c r="H3804" s="2" t="s">
        <v>459</v>
      </c>
      <c r="I3804" s="2" t="n">
        <f aca="false">IF(F3804="Present",9,IF(F3804="Half Day",4,0))</f>
        <v>9</v>
      </c>
      <c r="J3804" s="2"/>
      <c r="K3804" s="2"/>
    </row>
    <row r="3805" customFormat="false" ht="15" hidden="false" customHeight="false" outlineLevel="0" collapsed="false">
      <c r="A3805" s="2" t="s">
        <v>293</v>
      </c>
      <c r="B3805" s="2" t="s">
        <v>294</v>
      </c>
      <c r="C3805" s="2" t="s">
        <v>28</v>
      </c>
      <c r="D3805" s="3" t="n">
        <v>46256</v>
      </c>
      <c r="E3805" s="2" t="str">
        <f aca="false">TEXT(D3805,"dddd")</f>
        <v>Saturday</v>
      </c>
      <c r="F3805" s="2" t="s">
        <v>457</v>
      </c>
      <c r="G3805" s="2" t="s">
        <v>458</v>
      </c>
      <c r="H3805" s="2" t="s">
        <v>459</v>
      </c>
      <c r="I3805" s="2" t="n">
        <f aca="false">IF(F3805="Present",9,IF(F3805="Half Day",4,0))</f>
        <v>9</v>
      </c>
      <c r="J3805" s="2"/>
      <c r="K3805" s="2"/>
    </row>
    <row r="3806" customFormat="false" ht="15" hidden="false" customHeight="false" outlineLevel="0" collapsed="false">
      <c r="A3806" s="2" t="s">
        <v>293</v>
      </c>
      <c r="B3806" s="2" t="s">
        <v>294</v>
      </c>
      <c r="C3806" s="2" t="s">
        <v>28</v>
      </c>
      <c r="D3806" s="3" t="n">
        <v>46257</v>
      </c>
      <c r="E3806" s="2" t="str">
        <f aca="false">TEXT(D3806,"dddd")</f>
        <v>Sunday</v>
      </c>
      <c r="F3806" s="2" t="s">
        <v>460</v>
      </c>
      <c r="G3806" s="2"/>
      <c r="H3806" s="2"/>
      <c r="I3806" s="2" t="n">
        <f aca="false">IF(F3806="Present",9,IF(F3806="Half Day",4,0))</f>
        <v>0</v>
      </c>
      <c r="J3806" s="2"/>
      <c r="K3806" s="2" t="s">
        <v>460</v>
      </c>
    </row>
    <row r="3807" customFormat="false" ht="15" hidden="false" customHeight="false" outlineLevel="0" collapsed="false">
      <c r="A3807" s="2" t="s">
        <v>293</v>
      </c>
      <c r="B3807" s="2" t="s">
        <v>294</v>
      </c>
      <c r="C3807" s="2" t="s">
        <v>28</v>
      </c>
      <c r="D3807" s="3" t="n">
        <v>46258</v>
      </c>
      <c r="E3807" s="2" t="str">
        <f aca="false">TEXT(D3807,"dddd")</f>
        <v>Monday</v>
      </c>
      <c r="F3807" s="2" t="s">
        <v>457</v>
      </c>
      <c r="G3807" s="2" t="s">
        <v>458</v>
      </c>
      <c r="H3807" s="2" t="s">
        <v>459</v>
      </c>
      <c r="I3807" s="2" t="n">
        <f aca="false">IF(F3807="Present",9,IF(F3807="Half Day",4,0))</f>
        <v>9</v>
      </c>
      <c r="J3807" s="2"/>
      <c r="K3807" s="2"/>
    </row>
    <row r="3808" customFormat="false" ht="15" hidden="false" customHeight="false" outlineLevel="0" collapsed="false">
      <c r="A3808" s="2" t="s">
        <v>293</v>
      </c>
      <c r="B3808" s="2" t="s">
        <v>294</v>
      </c>
      <c r="C3808" s="2" t="s">
        <v>28</v>
      </c>
      <c r="D3808" s="3" t="n">
        <v>46259</v>
      </c>
      <c r="E3808" s="2" t="str">
        <f aca="false">TEXT(D3808,"dddd")</f>
        <v>Tuesday</v>
      </c>
      <c r="F3808" s="2" t="s">
        <v>457</v>
      </c>
      <c r="G3808" s="2" t="s">
        <v>458</v>
      </c>
      <c r="H3808" s="2" t="s">
        <v>459</v>
      </c>
      <c r="I3808" s="2" t="n">
        <f aca="false">IF(F3808="Present",9,IF(F3808="Half Day",4,0))</f>
        <v>9</v>
      </c>
      <c r="J3808" s="2"/>
      <c r="K3808" s="2"/>
    </row>
    <row r="3809" customFormat="false" ht="15" hidden="false" customHeight="false" outlineLevel="0" collapsed="false">
      <c r="A3809" s="2" t="s">
        <v>293</v>
      </c>
      <c r="B3809" s="2" t="s">
        <v>294</v>
      </c>
      <c r="C3809" s="2" t="s">
        <v>28</v>
      </c>
      <c r="D3809" s="3" t="n">
        <v>46260</v>
      </c>
      <c r="E3809" s="2" t="str">
        <f aca="false">TEXT(D3809,"dddd")</f>
        <v>Wednesday</v>
      </c>
      <c r="F3809" s="2" t="s">
        <v>457</v>
      </c>
      <c r="G3809" s="2" t="s">
        <v>458</v>
      </c>
      <c r="H3809" s="2" t="s">
        <v>459</v>
      </c>
      <c r="I3809" s="2" t="n">
        <f aca="false">IF(F3809="Present",9,IF(F3809="Half Day",4,0))</f>
        <v>9</v>
      </c>
      <c r="J3809" s="2"/>
      <c r="K3809" s="2"/>
    </row>
    <row r="3810" customFormat="false" ht="15" hidden="false" customHeight="false" outlineLevel="0" collapsed="false">
      <c r="A3810" s="2" t="s">
        <v>293</v>
      </c>
      <c r="B3810" s="2" t="s">
        <v>294</v>
      </c>
      <c r="C3810" s="2" t="s">
        <v>28</v>
      </c>
      <c r="D3810" s="3" t="n">
        <v>46261</v>
      </c>
      <c r="E3810" s="2" t="str">
        <f aca="false">TEXT(D3810,"dddd")</f>
        <v>Thursday</v>
      </c>
      <c r="F3810" s="2" t="s">
        <v>457</v>
      </c>
      <c r="G3810" s="2" t="s">
        <v>458</v>
      </c>
      <c r="H3810" s="2" t="s">
        <v>459</v>
      </c>
      <c r="I3810" s="2" t="n">
        <f aca="false">IF(F3810="Present",9,IF(F3810="Half Day",4,0))</f>
        <v>9</v>
      </c>
      <c r="J3810" s="2"/>
      <c r="K3810" s="2"/>
    </row>
    <row r="3811" customFormat="false" ht="15" hidden="false" customHeight="false" outlineLevel="0" collapsed="false">
      <c r="A3811" s="2" t="s">
        <v>293</v>
      </c>
      <c r="B3811" s="2" t="s">
        <v>294</v>
      </c>
      <c r="C3811" s="2" t="s">
        <v>28</v>
      </c>
      <c r="D3811" s="3" t="n">
        <v>46262</v>
      </c>
      <c r="E3811" s="2" t="str">
        <f aca="false">TEXT(D3811,"dddd")</f>
        <v>Friday</v>
      </c>
      <c r="F3811" s="2" t="s">
        <v>457</v>
      </c>
      <c r="G3811" s="2" t="s">
        <v>458</v>
      </c>
      <c r="H3811" s="2" t="s">
        <v>459</v>
      </c>
      <c r="I3811" s="2" t="n">
        <f aca="false">IF(F3811="Present",9,IF(F3811="Half Day",4,0))</f>
        <v>9</v>
      </c>
      <c r="J3811" s="2"/>
      <c r="K3811" s="2"/>
    </row>
    <row r="3812" customFormat="false" ht="15" hidden="false" customHeight="false" outlineLevel="0" collapsed="false">
      <c r="A3812" s="2" t="s">
        <v>293</v>
      </c>
      <c r="B3812" s="2" t="s">
        <v>294</v>
      </c>
      <c r="C3812" s="2" t="s">
        <v>28</v>
      </c>
      <c r="D3812" s="3" t="n">
        <v>46263</v>
      </c>
      <c r="E3812" s="2" t="str">
        <f aca="false">TEXT(D3812,"dddd")</f>
        <v>Saturday</v>
      </c>
      <c r="F3812" s="2" t="s">
        <v>457</v>
      </c>
      <c r="G3812" s="2" t="s">
        <v>458</v>
      </c>
      <c r="H3812" s="2" t="s">
        <v>459</v>
      </c>
      <c r="I3812" s="2" t="n">
        <f aca="false">IF(F3812="Present",9,IF(F3812="Half Day",4,0))</f>
        <v>9</v>
      </c>
      <c r="J3812" s="2"/>
      <c r="K3812" s="2"/>
    </row>
    <row r="3813" customFormat="false" ht="15" hidden="false" customHeight="false" outlineLevel="0" collapsed="false">
      <c r="A3813" s="2" t="s">
        <v>293</v>
      </c>
      <c r="B3813" s="2" t="s">
        <v>294</v>
      </c>
      <c r="C3813" s="2" t="s">
        <v>28</v>
      </c>
      <c r="D3813" s="3" t="n">
        <v>46264</v>
      </c>
      <c r="E3813" s="2" t="str">
        <f aca="false">TEXT(D3813,"dddd")</f>
        <v>Sunday</v>
      </c>
      <c r="F3813" s="2" t="s">
        <v>460</v>
      </c>
      <c r="G3813" s="2"/>
      <c r="H3813" s="2"/>
      <c r="I3813" s="2" t="n">
        <f aca="false">IF(F3813="Present",9,IF(F3813="Half Day",4,0))</f>
        <v>0</v>
      </c>
      <c r="J3813" s="2"/>
      <c r="K3813" s="2" t="s">
        <v>460</v>
      </c>
    </row>
    <row r="3814" customFormat="false" ht="15" hidden="false" customHeight="false" outlineLevel="0" collapsed="false">
      <c r="A3814" s="2" t="s">
        <v>293</v>
      </c>
      <c r="B3814" s="2" t="s">
        <v>294</v>
      </c>
      <c r="C3814" s="2" t="s">
        <v>28</v>
      </c>
      <c r="D3814" s="3" t="n">
        <v>46265</v>
      </c>
      <c r="E3814" s="2" t="str">
        <f aca="false">TEXT(D3814,"dddd")</f>
        <v>Monday</v>
      </c>
      <c r="F3814" s="2" t="s">
        <v>457</v>
      </c>
      <c r="G3814" s="2" t="s">
        <v>458</v>
      </c>
      <c r="H3814" s="2" t="s">
        <v>459</v>
      </c>
      <c r="I3814" s="2" t="n">
        <f aca="false">IF(F3814="Present",9,IF(F3814="Half Day",4,0))</f>
        <v>9</v>
      </c>
      <c r="J3814" s="2"/>
      <c r="K3814" s="2"/>
    </row>
    <row r="3815" customFormat="false" ht="15" hidden="false" customHeight="false" outlineLevel="0" collapsed="false">
      <c r="A3815" s="2" t="s">
        <v>295</v>
      </c>
      <c r="B3815" s="2" t="s">
        <v>296</v>
      </c>
      <c r="C3815" s="2" t="s">
        <v>32</v>
      </c>
      <c r="D3815" s="3" t="n">
        <v>46235</v>
      </c>
      <c r="E3815" s="2" t="str">
        <f aca="false">TEXT(D3815,"dddd")</f>
        <v>Saturday</v>
      </c>
      <c r="F3815" s="2" t="s">
        <v>457</v>
      </c>
      <c r="G3815" s="2" t="s">
        <v>458</v>
      </c>
      <c r="H3815" s="2" t="s">
        <v>459</v>
      </c>
      <c r="I3815" s="2" t="n">
        <f aca="false">IF(F3815="Present",9,IF(F3815="Half Day",4,0))</f>
        <v>9</v>
      </c>
      <c r="J3815" s="2"/>
      <c r="K3815" s="2"/>
    </row>
    <row r="3816" customFormat="false" ht="15" hidden="false" customHeight="false" outlineLevel="0" collapsed="false">
      <c r="A3816" s="2" t="s">
        <v>295</v>
      </c>
      <c r="B3816" s="2" t="s">
        <v>296</v>
      </c>
      <c r="C3816" s="2" t="s">
        <v>32</v>
      </c>
      <c r="D3816" s="3" t="n">
        <v>46236</v>
      </c>
      <c r="E3816" s="2" t="str">
        <f aca="false">TEXT(D3816,"dddd")</f>
        <v>Sunday</v>
      </c>
      <c r="F3816" s="2" t="s">
        <v>460</v>
      </c>
      <c r="G3816" s="2"/>
      <c r="H3816" s="2"/>
      <c r="I3816" s="2" t="n">
        <f aca="false">IF(F3816="Present",9,IF(F3816="Half Day",4,0))</f>
        <v>0</v>
      </c>
      <c r="J3816" s="2"/>
      <c r="K3816" s="2" t="s">
        <v>460</v>
      </c>
    </row>
    <row r="3817" customFormat="false" ht="15" hidden="false" customHeight="false" outlineLevel="0" collapsed="false">
      <c r="A3817" s="2" t="s">
        <v>295</v>
      </c>
      <c r="B3817" s="2" t="s">
        <v>296</v>
      </c>
      <c r="C3817" s="2" t="s">
        <v>32</v>
      </c>
      <c r="D3817" s="3" t="n">
        <v>46237</v>
      </c>
      <c r="E3817" s="2" t="str">
        <f aca="false">TEXT(D3817,"dddd")</f>
        <v>Monday</v>
      </c>
      <c r="F3817" s="2" t="s">
        <v>457</v>
      </c>
      <c r="G3817" s="2" t="s">
        <v>458</v>
      </c>
      <c r="H3817" s="2" t="s">
        <v>459</v>
      </c>
      <c r="I3817" s="2" t="n">
        <f aca="false">IF(F3817="Present",9,IF(F3817="Half Day",4,0))</f>
        <v>9</v>
      </c>
      <c r="J3817" s="2"/>
      <c r="K3817" s="2"/>
    </row>
    <row r="3818" customFormat="false" ht="15" hidden="false" customHeight="false" outlineLevel="0" collapsed="false">
      <c r="A3818" s="2" t="s">
        <v>295</v>
      </c>
      <c r="B3818" s="2" t="s">
        <v>296</v>
      </c>
      <c r="C3818" s="2" t="s">
        <v>32</v>
      </c>
      <c r="D3818" s="3" t="n">
        <v>46238</v>
      </c>
      <c r="E3818" s="2" t="str">
        <f aca="false">TEXT(D3818,"dddd")</f>
        <v>Tuesday</v>
      </c>
      <c r="F3818" s="2" t="s">
        <v>457</v>
      </c>
      <c r="G3818" s="2" t="s">
        <v>458</v>
      </c>
      <c r="H3818" s="2" t="s">
        <v>459</v>
      </c>
      <c r="I3818" s="2" t="n">
        <f aca="false">IF(F3818="Present",9,IF(F3818="Half Day",4,0))</f>
        <v>9</v>
      </c>
      <c r="J3818" s="2"/>
      <c r="K3818" s="2"/>
    </row>
    <row r="3819" customFormat="false" ht="15" hidden="false" customHeight="false" outlineLevel="0" collapsed="false">
      <c r="A3819" s="2" t="s">
        <v>295</v>
      </c>
      <c r="B3819" s="2" t="s">
        <v>296</v>
      </c>
      <c r="C3819" s="2" t="s">
        <v>32</v>
      </c>
      <c r="D3819" s="3" t="n">
        <v>46239</v>
      </c>
      <c r="E3819" s="2" t="str">
        <f aca="false">TEXT(D3819,"dddd")</f>
        <v>Wednesday</v>
      </c>
      <c r="F3819" s="2" t="s">
        <v>457</v>
      </c>
      <c r="G3819" s="2" t="s">
        <v>458</v>
      </c>
      <c r="H3819" s="2" t="s">
        <v>459</v>
      </c>
      <c r="I3819" s="2" t="n">
        <f aca="false">IF(F3819="Present",9,IF(F3819="Half Day",4,0))</f>
        <v>9</v>
      </c>
      <c r="J3819" s="2"/>
      <c r="K3819" s="2"/>
    </row>
    <row r="3820" customFormat="false" ht="15" hidden="false" customHeight="false" outlineLevel="0" collapsed="false">
      <c r="A3820" s="2" t="s">
        <v>295</v>
      </c>
      <c r="B3820" s="2" t="s">
        <v>296</v>
      </c>
      <c r="C3820" s="2" t="s">
        <v>32</v>
      </c>
      <c r="D3820" s="3" t="n">
        <v>46240</v>
      </c>
      <c r="E3820" s="2" t="str">
        <f aca="false">TEXT(D3820,"dddd")</f>
        <v>Thursday</v>
      </c>
      <c r="F3820" s="2" t="s">
        <v>457</v>
      </c>
      <c r="G3820" s="2" t="s">
        <v>458</v>
      </c>
      <c r="H3820" s="2" t="s">
        <v>459</v>
      </c>
      <c r="I3820" s="2" t="n">
        <f aca="false">IF(F3820="Present",9,IF(F3820="Half Day",4,0))</f>
        <v>9</v>
      </c>
      <c r="J3820" s="2"/>
      <c r="K3820" s="2"/>
    </row>
    <row r="3821" customFormat="false" ht="15" hidden="false" customHeight="false" outlineLevel="0" collapsed="false">
      <c r="A3821" s="2" t="s">
        <v>295</v>
      </c>
      <c r="B3821" s="2" t="s">
        <v>296</v>
      </c>
      <c r="C3821" s="2" t="s">
        <v>32</v>
      </c>
      <c r="D3821" s="3" t="n">
        <v>46241</v>
      </c>
      <c r="E3821" s="2" t="str">
        <f aca="false">TEXT(D3821,"dddd")</f>
        <v>Friday</v>
      </c>
      <c r="F3821" s="2" t="s">
        <v>457</v>
      </c>
      <c r="G3821" s="2" t="s">
        <v>458</v>
      </c>
      <c r="H3821" s="2" t="s">
        <v>459</v>
      </c>
      <c r="I3821" s="2" t="n">
        <f aca="false">IF(F3821="Present",9,IF(F3821="Half Day",4,0))</f>
        <v>9</v>
      </c>
      <c r="J3821" s="2"/>
      <c r="K3821" s="2"/>
    </row>
    <row r="3822" customFormat="false" ht="15" hidden="false" customHeight="false" outlineLevel="0" collapsed="false">
      <c r="A3822" s="2" t="s">
        <v>295</v>
      </c>
      <c r="B3822" s="2" t="s">
        <v>296</v>
      </c>
      <c r="C3822" s="2" t="s">
        <v>32</v>
      </c>
      <c r="D3822" s="3" t="n">
        <v>46242</v>
      </c>
      <c r="E3822" s="2" t="str">
        <f aca="false">TEXT(D3822,"dddd")</f>
        <v>Saturday</v>
      </c>
      <c r="F3822" s="2" t="s">
        <v>461</v>
      </c>
      <c r="G3822" s="2"/>
      <c r="H3822" s="2"/>
      <c r="I3822" s="2" t="n">
        <f aca="false">IF(F3822="Present",9,IF(F3822="Half Day",4,0))</f>
        <v>0</v>
      </c>
      <c r="J3822" s="2"/>
      <c r="K3822" s="2" t="s">
        <v>462</v>
      </c>
    </row>
    <row r="3823" customFormat="false" ht="15" hidden="false" customHeight="false" outlineLevel="0" collapsed="false">
      <c r="A3823" s="2" t="s">
        <v>295</v>
      </c>
      <c r="B3823" s="2" t="s">
        <v>296</v>
      </c>
      <c r="C3823" s="2" t="s">
        <v>32</v>
      </c>
      <c r="D3823" s="3" t="n">
        <v>46243</v>
      </c>
      <c r="E3823" s="2" t="str">
        <f aca="false">TEXT(D3823,"dddd")</f>
        <v>Sunday</v>
      </c>
      <c r="F3823" s="2" t="s">
        <v>460</v>
      </c>
      <c r="G3823" s="2"/>
      <c r="H3823" s="2"/>
      <c r="I3823" s="2" t="n">
        <f aca="false">IF(F3823="Present",9,IF(F3823="Half Day",4,0))</f>
        <v>0</v>
      </c>
      <c r="J3823" s="2"/>
      <c r="K3823" s="2" t="s">
        <v>460</v>
      </c>
    </row>
    <row r="3824" customFormat="false" ht="15" hidden="false" customHeight="false" outlineLevel="0" collapsed="false">
      <c r="A3824" s="2" t="s">
        <v>295</v>
      </c>
      <c r="B3824" s="2" t="s">
        <v>296</v>
      </c>
      <c r="C3824" s="2" t="s">
        <v>32</v>
      </c>
      <c r="D3824" s="3" t="n">
        <v>46244</v>
      </c>
      <c r="E3824" s="2" t="str">
        <f aca="false">TEXT(D3824,"dddd")</f>
        <v>Monday</v>
      </c>
      <c r="F3824" s="2" t="s">
        <v>463</v>
      </c>
      <c r="G3824" s="2"/>
      <c r="H3824" s="2"/>
      <c r="I3824" s="2" t="n">
        <f aca="false">IF(F3824="Present",9,IF(F3824="Half Day",4,0))</f>
        <v>0</v>
      </c>
      <c r="J3824" s="2" t="s">
        <v>464</v>
      </c>
      <c r="K3824" s="2" t="s">
        <v>465</v>
      </c>
    </row>
    <row r="3825" customFormat="false" ht="15" hidden="false" customHeight="false" outlineLevel="0" collapsed="false">
      <c r="A3825" s="2" t="s">
        <v>295</v>
      </c>
      <c r="B3825" s="2" t="s">
        <v>296</v>
      </c>
      <c r="C3825" s="2" t="s">
        <v>32</v>
      </c>
      <c r="D3825" s="3" t="n">
        <v>46245</v>
      </c>
      <c r="E3825" s="2" t="str">
        <f aca="false">TEXT(D3825,"dddd")</f>
        <v>Tuesday</v>
      </c>
      <c r="F3825" s="2" t="s">
        <v>457</v>
      </c>
      <c r="G3825" s="2" t="s">
        <v>458</v>
      </c>
      <c r="H3825" s="2" t="s">
        <v>459</v>
      </c>
      <c r="I3825" s="2" t="n">
        <f aca="false">IF(F3825="Present",9,IF(F3825="Half Day",4,0))</f>
        <v>9</v>
      </c>
      <c r="J3825" s="2"/>
      <c r="K3825" s="2"/>
    </row>
    <row r="3826" customFormat="false" ht="15" hidden="false" customHeight="false" outlineLevel="0" collapsed="false">
      <c r="A3826" s="2" t="s">
        <v>295</v>
      </c>
      <c r="B3826" s="2" t="s">
        <v>296</v>
      </c>
      <c r="C3826" s="2" t="s">
        <v>32</v>
      </c>
      <c r="D3826" s="3" t="n">
        <v>46246</v>
      </c>
      <c r="E3826" s="2" t="str">
        <f aca="false">TEXT(D3826,"dddd")</f>
        <v>Wednesday</v>
      </c>
      <c r="F3826" s="2" t="s">
        <v>457</v>
      </c>
      <c r="G3826" s="2" t="s">
        <v>458</v>
      </c>
      <c r="H3826" s="2" t="s">
        <v>459</v>
      </c>
      <c r="I3826" s="2" t="n">
        <f aca="false">IF(F3826="Present",9,IF(F3826="Half Day",4,0))</f>
        <v>9</v>
      </c>
      <c r="J3826" s="2"/>
      <c r="K3826" s="2"/>
    </row>
    <row r="3827" customFormat="false" ht="15" hidden="false" customHeight="false" outlineLevel="0" collapsed="false">
      <c r="A3827" s="2" t="s">
        <v>295</v>
      </c>
      <c r="B3827" s="2" t="s">
        <v>296</v>
      </c>
      <c r="C3827" s="2" t="s">
        <v>32</v>
      </c>
      <c r="D3827" s="3" t="n">
        <v>46247</v>
      </c>
      <c r="E3827" s="2" t="str">
        <f aca="false">TEXT(D3827,"dddd")</f>
        <v>Thursday</v>
      </c>
      <c r="F3827" s="2" t="s">
        <v>457</v>
      </c>
      <c r="G3827" s="2" t="s">
        <v>458</v>
      </c>
      <c r="H3827" s="2" t="s">
        <v>459</v>
      </c>
      <c r="I3827" s="2" t="n">
        <f aca="false">IF(F3827="Present",9,IF(F3827="Half Day",4,0))</f>
        <v>9</v>
      </c>
      <c r="J3827" s="2"/>
      <c r="K3827" s="2"/>
    </row>
    <row r="3828" customFormat="false" ht="15" hidden="false" customHeight="false" outlineLevel="0" collapsed="false">
      <c r="A3828" s="2" t="s">
        <v>295</v>
      </c>
      <c r="B3828" s="2" t="s">
        <v>296</v>
      </c>
      <c r="C3828" s="2" t="s">
        <v>32</v>
      </c>
      <c r="D3828" s="3" t="n">
        <v>46248</v>
      </c>
      <c r="E3828" s="2" t="str">
        <f aca="false">TEXT(D3828,"dddd")</f>
        <v>Friday</v>
      </c>
      <c r="F3828" s="2" t="s">
        <v>457</v>
      </c>
      <c r="G3828" s="2" t="s">
        <v>458</v>
      </c>
      <c r="H3828" s="2" t="s">
        <v>459</v>
      </c>
      <c r="I3828" s="2" t="n">
        <f aca="false">IF(F3828="Present",9,IF(F3828="Half Day",4,0))</f>
        <v>9</v>
      </c>
      <c r="J3828" s="2"/>
      <c r="K3828" s="2"/>
    </row>
    <row r="3829" customFormat="false" ht="15" hidden="false" customHeight="false" outlineLevel="0" collapsed="false">
      <c r="A3829" s="2" t="s">
        <v>295</v>
      </c>
      <c r="B3829" s="2" t="s">
        <v>296</v>
      </c>
      <c r="C3829" s="2" t="s">
        <v>32</v>
      </c>
      <c r="D3829" s="3" t="n">
        <v>46249</v>
      </c>
      <c r="E3829" s="2" t="str">
        <f aca="false">TEXT(D3829,"dddd")</f>
        <v>Saturday</v>
      </c>
      <c r="F3829" s="2" t="s">
        <v>457</v>
      </c>
      <c r="G3829" s="2" t="s">
        <v>458</v>
      </c>
      <c r="H3829" s="2" t="s">
        <v>459</v>
      </c>
      <c r="I3829" s="2" t="n">
        <f aca="false">IF(F3829="Present",9,IF(F3829="Half Day",4,0))</f>
        <v>9</v>
      </c>
      <c r="J3829" s="2"/>
      <c r="K3829" s="2"/>
    </row>
    <row r="3830" customFormat="false" ht="15" hidden="false" customHeight="false" outlineLevel="0" collapsed="false">
      <c r="A3830" s="2" t="s">
        <v>295</v>
      </c>
      <c r="B3830" s="2" t="s">
        <v>296</v>
      </c>
      <c r="C3830" s="2" t="s">
        <v>32</v>
      </c>
      <c r="D3830" s="3" t="n">
        <v>46250</v>
      </c>
      <c r="E3830" s="2" t="str">
        <f aca="false">TEXT(D3830,"dddd")</f>
        <v>Sunday</v>
      </c>
      <c r="F3830" s="2" t="s">
        <v>460</v>
      </c>
      <c r="G3830" s="2"/>
      <c r="H3830" s="2"/>
      <c r="I3830" s="2" t="n">
        <f aca="false">IF(F3830="Present",9,IF(F3830="Half Day",4,0))</f>
        <v>0</v>
      </c>
      <c r="J3830" s="2"/>
      <c r="K3830" s="2" t="s">
        <v>460</v>
      </c>
    </row>
    <row r="3831" customFormat="false" ht="15" hidden="false" customHeight="false" outlineLevel="0" collapsed="false">
      <c r="A3831" s="2" t="s">
        <v>295</v>
      </c>
      <c r="B3831" s="2" t="s">
        <v>296</v>
      </c>
      <c r="C3831" s="2" t="s">
        <v>32</v>
      </c>
      <c r="D3831" s="3" t="n">
        <v>46251</v>
      </c>
      <c r="E3831" s="2" t="str">
        <f aca="false">TEXT(D3831,"dddd")</f>
        <v>Monday</v>
      </c>
      <c r="F3831" s="2" t="s">
        <v>457</v>
      </c>
      <c r="G3831" s="2" t="s">
        <v>458</v>
      </c>
      <c r="H3831" s="2" t="s">
        <v>459</v>
      </c>
      <c r="I3831" s="2" t="n">
        <f aca="false">IF(F3831="Present",9,IF(F3831="Half Day",4,0))</f>
        <v>9</v>
      </c>
      <c r="J3831" s="2"/>
      <c r="K3831" s="2"/>
    </row>
    <row r="3832" customFormat="false" ht="15" hidden="false" customHeight="false" outlineLevel="0" collapsed="false">
      <c r="A3832" s="2" t="s">
        <v>295</v>
      </c>
      <c r="B3832" s="2" t="s">
        <v>296</v>
      </c>
      <c r="C3832" s="2" t="s">
        <v>32</v>
      </c>
      <c r="D3832" s="3" t="n">
        <v>46252</v>
      </c>
      <c r="E3832" s="2" t="str">
        <f aca="false">TEXT(D3832,"dddd")</f>
        <v>Tuesday</v>
      </c>
      <c r="F3832" s="2" t="s">
        <v>457</v>
      </c>
      <c r="G3832" s="2" t="s">
        <v>458</v>
      </c>
      <c r="H3832" s="2" t="s">
        <v>459</v>
      </c>
      <c r="I3832" s="2" t="n">
        <f aca="false">IF(F3832="Present",9,IF(F3832="Half Day",4,0))</f>
        <v>9</v>
      </c>
      <c r="J3832" s="2"/>
      <c r="K3832" s="2"/>
    </row>
    <row r="3833" customFormat="false" ht="15" hidden="false" customHeight="false" outlineLevel="0" collapsed="false">
      <c r="A3833" s="2" t="s">
        <v>295</v>
      </c>
      <c r="B3833" s="2" t="s">
        <v>296</v>
      </c>
      <c r="C3833" s="2" t="s">
        <v>32</v>
      </c>
      <c r="D3833" s="3" t="n">
        <v>46253</v>
      </c>
      <c r="E3833" s="2" t="str">
        <f aca="false">TEXT(D3833,"dddd")</f>
        <v>Wednesday</v>
      </c>
      <c r="F3833" s="2" t="s">
        <v>463</v>
      </c>
      <c r="G3833" s="2"/>
      <c r="H3833" s="2"/>
      <c r="I3833" s="2" t="n">
        <f aca="false">IF(F3833="Present",9,IF(F3833="Half Day",4,0))</f>
        <v>0</v>
      </c>
      <c r="J3833" s="2" t="s">
        <v>470</v>
      </c>
      <c r="K3833" s="2" t="s">
        <v>471</v>
      </c>
    </row>
    <row r="3834" customFormat="false" ht="15" hidden="false" customHeight="false" outlineLevel="0" collapsed="false">
      <c r="A3834" s="2" t="s">
        <v>295</v>
      </c>
      <c r="B3834" s="2" t="s">
        <v>296</v>
      </c>
      <c r="C3834" s="2" t="s">
        <v>32</v>
      </c>
      <c r="D3834" s="3" t="n">
        <v>46254</v>
      </c>
      <c r="E3834" s="2" t="str">
        <f aca="false">TEXT(D3834,"dddd")</f>
        <v>Thursday</v>
      </c>
      <c r="F3834" s="2" t="s">
        <v>457</v>
      </c>
      <c r="G3834" s="2" t="s">
        <v>458</v>
      </c>
      <c r="H3834" s="2" t="s">
        <v>459</v>
      </c>
      <c r="I3834" s="2" t="n">
        <f aca="false">IF(F3834="Present",9,IF(F3834="Half Day",4,0))</f>
        <v>9</v>
      </c>
      <c r="J3834" s="2"/>
      <c r="K3834" s="2"/>
    </row>
    <row r="3835" customFormat="false" ht="15" hidden="false" customHeight="false" outlineLevel="0" collapsed="false">
      <c r="A3835" s="2" t="s">
        <v>295</v>
      </c>
      <c r="B3835" s="2" t="s">
        <v>296</v>
      </c>
      <c r="C3835" s="2" t="s">
        <v>32</v>
      </c>
      <c r="D3835" s="3" t="n">
        <v>46255</v>
      </c>
      <c r="E3835" s="2" t="str">
        <f aca="false">TEXT(D3835,"dddd")</f>
        <v>Friday</v>
      </c>
      <c r="F3835" s="2" t="s">
        <v>457</v>
      </c>
      <c r="G3835" s="2" t="s">
        <v>458</v>
      </c>
      <c r="H3835" s="2" t="s">
        <v>459</v>
      </c>
      <c r="I3835" s="2" t="n">
        <f aca="false">IF(F3835="Present",9,IF(F3835="Half Day",4,0))</f>
        <v>9</v>
      </c>
      <c r="J3835" s="2"/>
      <c r="K3835" s="2"/>
    </row>
    <row r="3836" customFormat="false" ht="15" hidden="false" customHeight="false" outlineLevel="0" collapsed="false">
      <c r="A3836" s="2" t="s">
        <v>295</v>
      </c>
      <c r="B3836" s="2" t="s">
        <v>296</v>
      </c>
      <c r="C3836" s="2" t="s">
        <v>32</v>
      </c>
      <c r="D3836" s="3" t="n">
        <v>46256</v>
      </c>
      <c r="E3836" s="2" t="str">
        <f aca="false">TEXT(D3836,"dddd")</f>
        <v>Saturday</v>
      </c>
      <c r="F3836" s="2" t="s">
        <v>457</v>
      </c>
      <c r="G3836" s="2" t="s">
        <v>458</v>
      </c>
      <c r="H3836" s="2" t="s">
        <v>459</v>
      </c>
      <c r="I3836" s="2" t="n">
        <f aca="false">IF(F3836="Present",9,IF(F3836="Half Day",4,0))</f>
        <v>9</v>
      </c>
      <c r="J3836" s="2"/>
      <c r="K3836" s="2"/>
    </row>
    <row r="3837" customFormat="false" ht="15" hidden="false" customHeight="false" outlineLevel="0" collapsed="false">
      <c r="A3837" s="2" t="s">
        <v>295</v>
      </c>
      <c r="B3837" s="2" t="s">
        <v>296</v>
      </c>
      <c r="C3837" s="2" t="s">
        <v>32</v>
      </c>
      <c r="D3837" s="3" t="n">
        <v>46257</v>
      </c>
      <c r="E3837" s="2" t="str">
        <f aca="false">TEXT(D3837,"dddd")</f>
        <v>Sunday</v>
      </c>
      <c r="F3837" s="2" t="s">
        <v>460</v>
      </c>
      <c r="G3837" s="2"/>
      <c r="H3837" s="2"/>
      <c r="I3837" s="2" t="n">
        <f aca="false">IF(F3837="Present",9,IF(F3837="Half Day",4,0))</f>
        <v>0</v>
      </c>
      <c r="J3837" s="2"/>
      <c r="K3837" s="2" t="s">
        <v>460</v>
      </c>
    </row>
    <row r="3838" customFormat="false" ht="15" hidden="false" customHeight="false" outlineLevel="0" collapsed="false">
      <c r="A3838" s="2" t="s">
        <v>295</v>
      </c>
      <c r="B3838" s="2" t="s">
        <v>296</v>
      </c>
      <c r="C3838" s="2" t="s">
        <v>32</v>
      </c>
      <c r="D3838" s="3" t="n">
        <v>46258</v>
      </c>
      <c r="E3838" s="2" t="str">
        <f aca="false">TEXT(D3838,"dddd")</f>
        <v>Monday</v>
      </c>
      <c r="F3838" s="2" t="s">
        <v>457</v>
      </c>
      <c r="G3838" s="2" t="s">
        <v>458</v>
      </c>
      <c r="H3838" s="2" t="s">
        <v>459</v>
      </c>
      <c r="I3838" s="2" t="n">
        <f aca="false">IF(F3838="Present",9,IF(F3838="Half Day",4,0))</f>
        <v>9</v>
      </c>
      <c r="J3838" s="2"/>
      <c r="K3838" s="2"/>
    </row>
    <row r="3839" customFormat="false" ht="15" hidden="false" customHeight="false" outlineLevel="0" collapsed="false">
      <c r="A3839" s="2" t="s">
        <v>295</v>
      </c>
      <c r="B3839" s="2" t="s">
        <v>296</v>
      </c>
      <c r="C3839" s="2" t="s">
        <v>32</v>
      </c>
      <c r="D3839" s="3" t="n">
        <v>46259</v>
      </c>
      <c r="E3839" s="2" t="str">
        <f aca="false">TEXT(D3839,"dddd")</f>
        <v>Tuesday</v>
      </c>
      <c r="F3839" s="2" t="s">
        <v>461</v>
      </c>
      <c r="G3839" s="2"/>
      <c r="H3839" s="2"/>
      <c r="I3839" s="2" t="n">
        <f aca="false">IF(F3839="Present",9,IF(F3839="Half Day",4,0))</f>
        <v>0</v>
      </c>
      <c r="J3839" s="2"/>
      <c r="K3839" s="2" t="s">
        <v>462</v>
      </c>
    </row>
    <row r="3840" customFormat="false" ht="15" hidden="false" customHeight="false" outlineLevel="0" collapsed="false">
      <c r="A3840" s="2" t="s">
        <v>295</v>
      </c>
      <c r="B3840" s="2" t="s">
        <v>296</v>
      </c>
      <c r="C3840" s="2" t="s">
        <v>32</v>
      </c>
      <c r="D3840" s="3" t="n">
        <v>46260</v>
      </c>
      <c r="E3840" s="2" t="str">
        <f aca="false">TEXT(D3840,"dddd")</f>
        <v>Wednesday</v>
      </c>
      <c r="F3840" s="2" t="s">
        <v>457</v>
      </c>
      <c r="G3840" s="2" t="s">
        <v>458</v>
      </c>
      <c r="H3840" s="2" t="s">
        <v>459</v>
      </c>
      <c r="I3840" s="2" t="n">
        <f aca="false">IF(F3840="Present",9,IF(F3840="Half Day",4,0))</f>
        <v>9</v>
      </c>
      <c r="J3840" s="2"/>
      <c r="K3840" s="2"/>
    </row>
    <row r="3841" customFormat="false" ht="15" hidden="false" customHeight="false" outlineLevel="0" collapsed="false">
      <c r="A3841" s="2" t="s">
        <v>295</v>
      </c>
      <c r="B3841" s="2" t="s">
        <v>296</v>
      </c>
      <c r="C3841" s="2" t="s">
        <v>32</v>
      </c>
      <c r="D3841" s="3" t="n">
        <v>46261</v>
      </c>
      <c r="E3841" s="2" t="str">
        <f aca="false">TEXT(D3841,"dddd")</f>
        <v>Thursday</v>
      </c>
      <c r="F3841" s="2" t="s">
        <v>461</v>
      </c>
      <c r="G3841" s="2"/>
      <c r="H3841" s="2"/>
      <c r="I3841" s="2" t="n">
        <f aca="false">IF(F3841="Present",9,IF(F3841="Half Day",4,0))</f>
        <v>0</v>
      </c>
      <c r="J3841" s="2"/>
      <c r="K3841" s="2" t="s">
        <v>462</v>
      </c>
    </row>
    <row r="3842" customFormat="false" ht="15" hidden="false" customHeight="false" outlineLevel="0" collapsed="false">
      <c r="A3842" s="2" t="s">
        <v>295</v>
      </c>
      <c r="B3842" s="2" t="s">
        <v>296</v>
      </c>
      <c r="C3842" s="2" t="s">
        <v>32</v>
      </c>
      <c r="D3842" s="3" t="n">
        <v>46262</v>
      </c>
      <c r="E3842" s="2" t="str">
        <f aca="false">TEXT(D3842,"dddd")</f>
        <v>Friday</v>
      </c>
      <c r="F3842" s="2" t="s">
        <v>461</v>
      </c>
      <c r="G3842" s="2"/>
      <c r="H3842" s="2"/>
      <c r="I3842" s="2" t="n">
        <f aca="false">IF(F3842="Present",9,IF(F3842="Half Day",4,0))</f>
        <v>0</v>
      </c>
      <c r="J3842" s="2"/>
      <c r="K3842" s="2" t="s">
        <v>462</v>
      </c>
    </row>
    <row r="3843" customFormat="false" ht="15" hidden="false" customHeight="false" outlineLevel="0" collapsed="false">
      <c r="A3843" s="2" t="s">
        <v>295</v>
      </c>
      <c r="B3843" s="2" t="s">
        <v>296</v>
      </c>
      <c r="C3843" s="2" t="s">
        <v>32</v>
      </c>
      <c r="D3843" s="3" t="n">
        <v>46263</v>
      </c>
      <c r="E3843" s="2" t="str">
        <f aca="false">TEXT(D3843,"dddd")</f>
        <v>Saturday</v>
      </c>
      <c r="F3843" s="2" t="s">
        <v>457</v>
      </c>
      <c r="G3843" s="2" t="s">
        <v>458</v>
      </c>
      <c r="H3843" s="2" t="s">
        <v>459</v>
      </c>
      <c r="I3843" s="2" t="n">
        <f aca="false">IF(F3843="Present",9,IF(F3843="Half Day",4,0))</f>
        <v>9</v>
      </c>
      <c r="J3843" s="2"/>
      <c r="K3843" s="2"/>
    </row>
    <row r="3844" customFormat="false" ht="15" hidden="false" customHeight="false" outlineLevel="0" collapsed="false">
      <c r="A3844" s="2" t="s">
        <v>295</v>
      </c>
      <c r="B3844" s="2" t="s">
        <v>296</v>
      </c>
      <c r="C3844" s="2" t="s">
        <v>32</v>
      </c>
      <c r="D3844" s="3" t="n">
        <v>46264</v>
      </c>
      <c r="E3844" s="2" t="str">
        <f aca="false">TEXT(D3844,"dddd")</f>
        <v>Sunday</v>
      </c>
      <c r="F3844" s="2" t="s">
        <v>460</v>
      </c>
      <c r="G3844" s="2"/>
      <c r="H3844" s="2"/>
      <c r="I3844" s="2" t="n">
        <f aca="false">IF(F3844="Present",9,IF(F3844="Half Day",4,0))</f>
        <v>0</v>
      </c>
      <c r="J3844" s="2"/>
      <c r="K3844" s="2" t="s">
        <v>460</v>
      </c>
    </row>
    <row r="3845" customFormat="false" ht="15" hidden="false" customHeight="false" outlineLevel="0" collapsed="false">
      <c r="A3845" s="2" t="s">
        <v>295</v>
      </c>
      <c r="B3845" s="2" t="s">
        <v>296</v>
      </c>
      <c r="C3845" s="2" t="s">
        <v>32</v>
      </c>
      <c r="D3845" s="3" t="n">
        <v>46265</v>
      </c>
      <c r="E3845" s="2" t="str">
        <f aca="false">TEXT(D3845,"dddd")</f>
        <v>Monday</v>
      </c>
      <c r="F3845" s="2" t="s">
        <v>457</v>
      </c>
      <c r="G3845" s="2" t="s">
        <v>458</v>
      </c>
      <c r="H3845" s="2" t="s">
        <v>459</v>
      </c>
      <c r="I3845" s="2" t="n">
        <f aca="false">IF(F3845="Present",9,IF(F3845="Half Day",4,0))</f>
        <v>9</v>
      </c>
      <c r="J3845" s="2"/>
      <c r="K3845" s="2"/>
    </row>
    <row r="3846" customFormat="false" ht="15" hidden="false" customHeight="false" outlineLevel="0" collapsed="false">
      <c r="A3846" s="2" t="s">
        <v>297</v>
      </c>
      <c r="B3846" s="2" t="s">
        <v>298</v>
      </c>
      <c r="C3846" s="2" t="s">
        <v>36</v>
      </c>
      <c r="D3846" s="3" t="n">
        <v>46235</v>
      </c>
      <c r="E3846" s="2" t="str">
        <f aca="false">TEXT(D3846,"dddd")</f>
        <v>Saturday</v>
      </c>
      <c r="F3846" s="2" t="s">
        <v>457</v>
      </c>
      <c r="G3846" s="2" t="s">
        <v>458</v>
      </c>
      <c r="H3846" s="2" t="s">
        <v>459</v>
      </c>
      <c r="I3846" s="2" t="n">
        <f aca="false">IF(F3846="Present",9,IF(F3846="Half Day",4,0))</f>
        <v>9</v>
      </c>
      <c r="J3846" s="2"/>
      <c r="K3846" s="2"/>
    </row>
    <row r="3847" customFormat="false" ht="15" hidden="false" customHeight="false" outlineLevel="0" collapsed="false">
      <c r="A3847" s="2" t="s">
        <v>297</v>
      </c>
      <c r="B3847" s="2" t="s">
        <v>298</v>
      </c>
      <c r="C3847" s="2" t="s">
        <v>36</v>
      </c>
      <c r="D3847" s="3" t="n">
        <v>46236</v>
      </c>
      <c r="E3847" s="2" t="str">
        <f aca="false">TEXT(D3847,"dddd")</f>
        <v>Sunday</v>
      </c>
      <c r="F3847" s="2" t="s">
        <v>460</v>
      </c>
      <c r="G3847" s="2"/>
      <c r="H3847" s="2"/>
      <c r="I3847" s="2" t="n">
        <f aca="false">IF(F3847="Present",9,IF(F3847="Half Day",4,0))</f>
        <v>0</v>
      </c>
      <c r="J3847" s="2"/>
      <c r="K3847" s="2" t="s">
        <v>460</v>
      </c>
    </row>
    <row r="3848" customFormat="false" ht="15" hidden="false" customHeight="false" outlineLevel="0" collapsed="false">
      <c r="A3848" s="2" t="s">
        <v>297</v>
      </c>
      <c r="B3848" s="2" t="s">
        <v>298</v>
      </c>
      <c r="C3848" s="2" t="s">
        <v>36</v>
      </c>
      <c r="D3848" s="3" t="n">
        <v>46237</v>
      </c>
      <c r="E3848" s="2" t="str">
        <f aca="false">TEXT(D3848,"dddd")</f>
        <v>Monday</v>
      </c>
      <c r="F3848" s="2" t="s">
        <v>457</v>
      </c>
      <c r="G3848" s="2" t="s">
        <v>458</v>
      </c>
      <c r="H3848" s="2" t="s">
        <v>459</v>
      </c>
      <c r="I3848" s="2" t="n">
        <f aca="false">IF(F3848="Present",9,IF(F3848="Half Day",4,0))</f>
        <v>9</v>
      </c>
      <c r="J3848" s="2"/>
      <c r="K3848" s="2"/>
    </row>
    <row r="3849" customFormat="false" ht="15" hidden="false" customHeight="false" outlineLevel="0" collapsed="false">
      <c r="A3849" s="2" t="s">
        <v>297</v>
      </c>
      <c r="B3849" s="2" t="s">
        <v>298</v>
      </c>
      <c r="C3849" s="2" t="s">
        <v>36</v>
      </c>
      <c r="D3849" s="3" t="n">
        <v>46238</v>
      </c>
      <c r="E3849" s="2" t="str">
        <f aca="false">TEXT(D3849,"dddd")</f>
        <v>Tuesday</v>
      </c>
      <c r="F3849" s="2" t="s">
        <v>457</v>
      </c>
      <c r="G3849" s="2" t="s">
        <v>458</v>
      </c>
      <c r="H3849" s="2" t="s">
        <v>459</v>
      </c>
      <c r="I3849" s="2" t="n">
        <f aca="false">IF(F3849="Present",9,IF(F3849="Half Day",4,0))</f>
        <v>9</v>
      </c>
      <c r="J3849" s="2"/>
      <c r="K3849" s="2"/>
    </row>
    <row r="3850" customFormat="false" ht="15" hidden="false" customHeight="false" outlineLevel="0" collapsed="false">
      <c r="A3850" s="2" t="s">
        <v>297</v>
      </c>
      <c r="B3850" s="2" t="s">
        <v>298</v>
      </c>
      <c r="C3850" s="2" t="s">
        <v>36</v>
      </c>
      <c r="D3850" s="3" t="n">
        <v>46239</v>
      </c>
      <c r="E3850" s="2" t="str">
        <f aca="false">TEXT(D3850,"dddd")</f>
        <v>Wednesday</v>
      </c>
      <c r="F3850" s="2" t="s">
        <v>457</v>
      </c>
      <c r="G3850" s="2" t="s">
        <v>458</v>
      </c>
      <c r="H3850" s="2" t="s">
        <v>459</v>
      </c>
      <c r="I3850" s="2" t="n">
        <f aca="false">IF(F3850="Present",9,IF(F3850="Half Day",4,0))</f>
        <v>9</v>
      </c>
      <c r="J3850" s="2"/>
      <c r="K3850" s="2"/>
    </row>
    <row r="3851" customFormat="false" ht="15" hidden="false" customHeight="false" outlineLevel="0" collapsed="false">
      <c r="A3851" s="2" t="s">
        <v>297</v>
      </c>
      <c r="B3851" s="2" t="s">
        <v>298</v>
      </c>
      <c r="C3851" s="2" t="s">
        <v>36</v>
      </c>
      <c r="D3851" s="3" t="n">
        <v>46240</v>
      </c>
      <c r="E3851" s="2" t="str">
        <f aca="false">TEXT(D3851,"dddd")</f>
        <v>Thursday</v>
      </c>
      <c r="F3851" s="2" t="s">
        <v>457</v>
      </c>
      <c r="G3851" s="2" t="s">
        <v>458</v>
      </c>
      <c r="H3851" s="2" t="s">
        <v>459</v>
      </c>
      <c r="I3851" s="2" t="n">
        <f aca="false">IF(F3851="Present",9,IF(F3851="Half Day",4,0))</f>
        <v>9</v>
      </c>
      <c r="J3851" s="2"/>
      <c r="K3851" s="2"/>
    </row>
    <row r="3852" customFormat="false" ht="15" hidden="false" customHeight="false" outlineLevel="0" collapsed="false">
      <c r="A3852" s="2" t="s">
        <v>297</v>
      </c>
      <c r="B3852" s="2" t="s">
        <v>298</v>
      </c>
      <c r="C3852" s="2" t="s">
        <v>36</v>
      </c>
      <c r="D3852" s="3" t="n">
        <v>46241</v>
      </c>
      <c r="E3852" s="2" t="str">
        <f aca="false">TEXT(D3852,"dddd")</f>
        <v>Friday</v>
      </c>
      <c r="F3852" s="2" t="s">
        <v>457</v>
      </c>
      <c r="G3852" s="2" t="s">
        <v>458</v>
      </c>
      <c r="H3852" s="2" t="s">
        <v>459</v>
      </c>
      <c r="I3852" s="2" t="n">
        <f aca="false">IF(F3852="Present",9,IF(F3852="Half Day",4,0))</f>
        <v>9</v>
      </c>
      <c r="J3852" s="2"/>
      <c r="K3852" s="2"/>
    </row>
    <row r="3853" customFormat="false" ht="15" hidden="false" customHeight="false" outlineLevel="0" collapsed="false">
      <c r="A3853" s="2" t="s">
        <v>297</v>
      </c>
      <c r="B3853" s="2" t="s">
        <v>298</v>
      </c>
      <c r="C3853" s="2" t="s">
        <v>36</v>
      </c>
      <c r="D3853" s="3" t="n">
        <v>46242</v>
      </c>
      <c r="E3853" s="2" t="str">
        <f aca="false">TEXT(D3853,"dddd")</f>
        <v>Saturday</v>
      </c>
      <c r="F3853" s="2" t="s">
        <v>457</v>
      </c>
      <c r="G3853" s="2" t="s">
        <v>458</v>
      </c>
      <c r="H3853" s="2" t="s">
        <v>459</v>
      </c>
      <c r="I3853" s="2" t="n">
        <f aca="false">IF(F3853="Present",9,IF(F3853="Half Day",4,0))</f>
        <v>9</v>
      </c>
      <c r="J3853" s="2"/>
      <c r="K3853" s="2"/>
    </row>
    <row r="3854" customFormat="false" ht="15" hidden="false" customHeight="false" outlineLevel="0" collapsed="false">
      <c r="A3854" s="2" t="s">
        <v>297</v>
      </c>
      <c r="B3854" s="2" t="s">
        <v>298</v>
      </c>
      <c r="C3854" s="2" t="s">
        <v>36</v>
      </c>
      <c r="D3854" s="3" t="n">
        <v>46243</v>
      </c>
      <c r="E3854" s="2" t="str">
        <f aca="false">TEXT(D3854,"dddd")</f>
        <v>Sunday</v>
      </c>
      <c r="F3854" s="2" t="s">
        <v>460</v>
      </c>
      <c r="G3854" s="2"/>
      <c r="H3854" s="2"/>
      <c r="I3854" s="2" t="n">
        <f aca="false">IF(F3854="Present",9,IF(F3854="Half Day",4,0))</f>
        <v>0</v>
      </c>
      <c r="J3854" s="2"/>
      <c r="K3854" s="2" t="s">
        <v>460</v>
      </c>
    </row>
    <row r="3855" customFormat="false" ht="15" hidden="false" customHeight="false" outlineLevel="0" collapsed="false">
      <c r="A3855" s="2" t="s">
        <v>297</v>
      </c>
      <c r="B3855" s="2" t="s">
        <v>298</v>
      </c>
      <c r="C3855" s="2" t="s">
        <v>36</v>
      </c>
      <c r="D3855" s="3" t="n">
        <v>46244</v>
      </c>
      <c r="E3855" s="2" t="str">
        <f aca="false">TEXT(D3855,"dddd")</f>
        <v>Monday</v>
      </c>
      <c r="F3855" s="2" t="s">
        <v>457</v>
      </c>
      <c r="G3855" s="2" t="s">
        <v>458</v>
      </c>
      <c r="H3855" s="2" t="s">
        <v>459</v>
      </c>
      <c r="I3855" s="2" t="n">
        <f aca="false">IF(F3855="Present",9,IF(F3855="Half Day",4,0))</f>
        <v>9</v>
      </c>
      <c r="J3855" s="2"/>
      <c r="K3855" s="2"/>
    </row>
    <row r="3856" customFormat="false" ht="15" hidden="false" customHeight="false" outlineLevel="0" collapsed="false">
      <c r="A3856" s="2" t="s">
        <v>297</v>
      </c>
      <c r="B3856" s="2" t="s">
        <v>298</v>
      </c>
      <c r="C3856" s="2" t="s">
        <v>36</v>
      </c>
      <c r="D3856" s="3" t="n">
        <v>46245</v>
      </c>
      <c r="E3856" s="2" t="str">
        <f aca="false">TEXT(D3856,"dddd")</f>
        <v>Tuesday</v>
      </c>
      <c r="F3856" s="2" t="s">
        <v>457</v>
      </c>
      <c r="G3856" s="2" t="s">
        <v>458</v>
      </c>
      <c r="H3856" s="2" t="s">
        <v>459</v>
      </c>
      <c r="I3856" s="2" t="n">
        <f aca="false">IF(F3856="Present",9,IF(F3856="Half Day",4,0))</f>
        <v>9</v>
      </c>
      <c r="J3856" s="2"/>
      <c r="K3856" s="2"/>
    </row>
    <row r="3857" customFormat="false" ht="15" hidden="false" customHeight="false" outlineLevel="0" collapsed="false">
      <c r="A3857" s="2" t="s">
        <v>297</v>
      </c>
      <c r="B3857" s="2" t="s">
        <v>298</v>
      </c>
      <c r="C3857" s="2" t="s">
        <v>36</v>
      </c>
      <c r="D3857" s="3" t="n">
        <v>46246</v>
      </c>
      <c r="E3857" s="2" t="str">
        <f aca="false">TEXT(D3857,"dddd")</f>
        <v>Wednesday</v>
      </c>
      <c r="F3857" s="2" t="s">
        <v>457</v>
      </c>
      <c r="G3857" s="2" t="s">
        <v>458</v>
      </c>
      <c r="H3857" s="2" t="s">
        <v>459</v>
      </c>
      <c r="I3857" s="2" t="n">
        <f aca="false">IF(F3857="Present",9,IF(F3857="Half Day",4,0))</f>
        <v>9</v>
      </c>
      <c r="J3857" s="2"/>
      <c r="K3857" s="2"/>
    </row>
    <row r="3858" customFormat="false" ht="15" hidden="false" customHeight="false" outlineLevel="0" collapsed="false">
      <c r="A3858" s="2" t="s">
        <v>297</v>
      </c>
      <c r="B3858" s="2" t="s">
        <v>298</v>
      </c>
      <c r="C3858" s="2" t="s">
        <v>36</v>
      </c>
      <c r="D3858" s="3" t="n">
        <v>46247</v>
      </c>
      <c r="E3858" s="2" t="str">
        <f aca="false">TEXT(D3858,"dddd")</f>
        <v>Thursday</v>
      </c>
      <c r="F3858" s="2" t="s">
        <v>457</v>
      </c>
      <c r="G3858" s="2" t="s">
        <v>458</v>
      </c>
      <c r="H3858" s="2" t="s">
        <v>459</v>
      </c>
      <c r="I3858" s="2" t="n">
        <f aca="false">IF(F3858="Present",9,IF(F3858="Half Day",4,0))</f>
        <v>9</v>
      </c>
      <c r="J3858" s="2"/>
      <c r="K3858" s="2"/>
    </row>
    <row r="3859" customFormat="false" ht="15" hidden="false" customHeight="false" outlineLevel="0" collapsed="false">
      <c r="A3859" s="2" t="s">
        <v>297</v>
      </c>
      <c r="B3859" s="2" t="s">
        <v>298</v>
      </c>
      <c r="C3859" s="2" t="s">
        <v>36</v>
      </c>
      <c r="D3859" s="3" t="n">
        <v>46248</v>
      </c>
      <c r="E3859" s="2" t="str">
        <f aca="false">TEXT(D3859,"dddd")</f>
        <v>Friday</v>
      </c>
      <c r="F3859" s="2" t="s">
        <v>457</v>
      </c>
      <c r="G3859" s="2" t="s">
        <v>458</v>
      </c>
      <c r="H3859" s="2" t="s">
        <v>459</v>
      </c>
      <c r="I3859" s="2" t="n">
        <f aca="false">IF(F3859="Present",9,IF(F3859="Half Day",4,0))</f>
        <v>9</v>
      </c>
      <c r="J3859" s="2"/>
      <c r="K3859" s="2"/>
    </row>
    <row r="3860" customFormat="false" ht="15" hidden="false" customHeight="false" outlineLevel="0" collapsed="false">
      <c r="A3860" s="2" t="s">
        <v>297</v>
      </c>
      <c r="B3860" s="2" t="s">
        <v>298</v>
      </c>
      <c r="C3860" s="2" t="s">
        <v>36</v>
      </c>
      <c r="D3860" s="3" t="n">
        <v>46249</v>
      </c>
      <c r="E3860" s="2" t="str">
        <f aca="false">TEXT(D3860,"dddd")</f>
        <v>Saturday</v>
      </c>
      <c r="F3860" s="2" t="s">
        <v>457</v>
      </c>
      <c r="G3860" s="2" t="s">
        <v>458</v>
      </c>
      <c r="H3860" s="2" t="s">
        <v>459</v>
      </c>
      <c r="I3860" s="2" t="n">
        <f aca="false">IF(F3860="Present",9,IF(F3860="Half Day",4,0))</f>
        <v>9</v>
      </c>
      <c r="J3860" s="2"/>
      <c r="K3860" s="2"/>
    </row>
    <row r="3861" customFormat="false" ht="15" hidden="false" customHeight="false" outlineLevel="0" collapsed="false">
      <c r="A3861" s="2" t="s">
        <v>297</v>
      </c>
      <c r="B3861" s="2" t="s">
        <v>298</v>
      </c>
      <c r="C3861" s="2" t="s">
        <v>36</v>
      </c>
      <c r="D3861" s="3" t="n">
        <v>46250</v>
      </c>
      <c r="E3861" s="2" t="str">
        <f aca="false">TEXT(D3861,"dddd")</f>
        <v>Sunday</v>
      </c>
      <c r="F3861" s="2" t="s">
        <v>460</v>
      </c>
      <c r="G3861" s="2"/>
      <c r="H3861" s="2"/>
      <c r="I3861" s="2" t="n">
        <f aca="false">IF(F3861="Present",9,IF(F3861="Half Day",4,0))</f>
        <v>0</v>
      </c>
      <c r="J3861" s="2"/>
      <c r="K3861" s="2" t="s">
        <v>460</v>
      </c>
    </row>
    <row r="3862" customFormat="false" ht="15" hidden="false" customHeight="false" outlineLevel="0" collapsed="false">
      <c r="A3862" s="2" t="s">
        <v>297</v>
      </c>
      <c r="B3862" s="2" t="s">
        <v>298</v>
      </c>
      <c r="C3862" s="2" t="s">
        <v>36</v>
      </c>
      <c r="D3862" s="3" t="n">
        <v>46251</v>
      </c>
      <c r="E3862" s="2" t="str">
        <f aca="false">TEXT(D3862,"dddd")</f>
        <v>Monday</v>
      </c>
      <c r="F3862" s="2" t="s">
        <v>466</v>
      </c>
      <c r="G3862" s="2" t="s">
        <v>458</v>
      </c>
      <c r="H3862" s="2" t="s">
        <v>467</v>
      </c>
      <c r="I3862" s="2" t="n">
        <f aca="false">IF(F3862="Present",9,IF(F3862="Half Day",4,0))</f>
        <v>4</v>
      </c>
      <c r="J3862" s="2"/>
      <c r="K3862" s="2" t="s">
        <v>466</v>
      </c>
    </row>
    <row r="3863" customFormat="false" ht="15" hidden="false" customHeight="false" outlineLevel="0" collapsed="false">
      <c r="A3863" s="2" t="s">
        <v>297</v>
      </c>
      <c r="B3863" s="2" t="s">
        <v>298</v>
      </c>
      <c r="C3863" s="2" t="s">
        <v>36</v>
      </c>
      <c r="D3863" s="3" t="n">
        <v>46252</v>
      </c>
      <c r="E3863" s="2" t="str">
        <f aca="false">TEXT(D3863,"dddd")</f>
        <v>Tuesday</v>
      </c>
      <c r="F3863" s="2" t="s">
        <v>457</v>
      </c>
      <c r="G3863" s="2" t="s">
        <v>458</v>
      </c>
      <c r="H3863" s="2" t="s">
        <v>459</v>
      </c>
      <c r="I3863" s="2" t="n">
        <f aca="false">IF(F3863="Present",9,IF(F3863="Half Day",4,0))</f>
        <v>9</v>
      </c>
      <c r="J3863" s="2"/>
      <c r="K3863" s="2"/>
    </row>
    <row r="3864" customFormat="false" ht="15" hidden="false" customHeight="false" outlineLevel="0" collapsed="false">
      <c r="A3864" s="2" t="s">
        <v>297</v>
      </c>
      <c r="B3864" s="2" t="s">
        <v>298</v>
      </c>
      <c r="C3864" s="2" t="s">
        <v>36</v>
      </c>
      <c r="D3864" s="3" t="n">
        <v>46253</v>
      </c>
      <c r="E3864" s="2" t="str">
        <f aca="false">TEXT(D3864,"dddd")</f>
        <v>Wednesday</v>
      </c>
      <c r="F3864" s="2" t="s">
        <v>457</v>
      </c>
      <c r="G3864" s="2" t="s">
        <v>458</v>
      </c>
      <c r="H3864" s="2" t="s">
        <v>459</v>
      </c>
      <c r="I3864" s="2" t="n">
        <f aca="false">IF(F3864="Present",9,IF(F3864="Half Day",4,0))</f>
        <v>9</v>
      </c>
      <c r="J3864" s="2"/>
      <c r="K3864" s="2"/>
    </row>
    <row r="3865" customFormat="false" ht="15" hidden="false" customHeight="false" outlineLevel="0" collapsed="false">
      <c r="A3865" s="2" t="s">
        <v>297</v>
      </c>
      <c r="B3865" s="2" t="s">
        <v>298</v>
      </c>
      <c r="C3865" s="2" t="s">
        <v>36</v>
      </c>
      <c r="D3865" s="3" t="n">
        <v>46254</v>
      </c>
      <c r="E3865" s="2" t="str">
        <f aca="false">TEXT(D3865,"dddd")</f>
        <v>Thursday</v>
      </c>
      <c r="F3865" s="2" t="s">
        <v>457</v>
      </c>
      <c r="G3865" s="2" t="s">
        <v>458</v>
      </c>
      <c r="H3865" s="2" t="s">
        <v>459</v>
      </c>
      <c r="I3865" s="2" t="n">
        <f aca="false">IF(F3865="Present",9,IF(F3865="Half Day",4,0))</f>
        <v>9</v>
      </c>
      <c r="J3865" s="2"/>
      <c r="K3865" s="2"/>
    </row>
    <row r="3866" customFormat="false" ht="15" hidden="false" customHeight="false" outlineLevel="0" collapsed="false">
      <c r="A3866" s="2" t="s">
        <v>297</v>
      </c>
      <c r="B3866" s="2" t="s">
        <v>298</v>
      </c>
      <c r="C3866" s="2" t="s">
        <v>36</v>
      </c>
      <c r="D3866" s="3" t="n">
        <v>46255</v>
      </c>
      <c r="E3866" s="2" t="str">
        <f aca="false">TEXT(D3866,"dddd")</f>
        <v>Friday</v>
      </c>
      <c r="F3866" s="2" t="s">
        <v>457</v>
      </c>
      <c r="G3866" s="2" t="s">
        <v>458</v>
      </c>
      <c r="H3866" s="2" t="s">
        <v>459</v>
      </c>
      <c r="I3866" s="2" t="n">
        <f aca="false">IF(F3866="Present",9,IF(F3866="Half Day",4,0))</f>
        <v>9</v>
      </c>
      <c r="J3866" s="2"/>
      <c r="K3866" s="2"/>
    </row>
    <row r="3867" customFormat="false" ht="15" hidden="false" customHeight="false" outlineLevel="0" collapsed="false">
      <c r="A3867" s="2" t="s">
        <v>297</v>
      </c>
      <c r="B3867" s="2" t="s">
        <v>298</v>
      </c>
      <c r="C3867" s="2" t="s">
        <v>36</v>
      </c>
      <c r="D3867" s="3" t="n">
        <v>46256</v>
      </c>
      <c r="E3867" s="2" t="str">
        <f aca="false">TEXT(D3867,"dddd")</f>
        <v>Saturday</v>
      </c>
      <c r="F3867" s="2" t="s">
        <v>457</v>
      </c>
      <c r="G3867" s="2" t="s">
        <v>458</v>
      </c>
      <c r="H3867" s="2" t="s">
        <v>459</v>
      </c>
      <c r="I3867" s="2" t="n">
        <f aca="false">IF(F3867="Present",9,IF(F3867="Half Day",4,0))</f>
        <v>9</v>
      </c>
      <c r="J3867" s="2"/>
      <c r="K3867" s="2"/>
    </row>
    <row r="3868" customFormat="false" ht="15" hidden="false" customHeight="false" outlineLevel="0" collapsed="false">
      <c r="A3868" s="2" t="s">
        <v>297</v>
      </c>
      <c r="B3868" s="2" t="s">
        <v>298</v>
      </c>
      <c r="C3868" s="2" t="s">
        <v>36</v>
      </c>
      <c r="D3868" s="3" t="n">
        <v>46257</v>
      </c>
      <c r="E3868" s="2" t="str">
        <f aca="false">TEXT(D3868,"dddd")</f>
        <v>Sunday</v>
      </c>
      <c r="F3868" s="2" t="s">
        <v>460</v>
      </c>
      <c r="G3868" s="2"/>
      <c r="H3868" s="2"/>
      <c r="I3868" s="2" t="n">
        <f aca="false">IF(F3868="Present",9,IF(F3868="Half Day",4,0))</f>
        <v>0</v>
      </c>
      <c r="J3868" s="2"/>
      <c r="K3868" s="2" t="s">
        <v>460</v>
      </c>
    </row>
    <row r="3869" customFormat="false" ht="15" hidden="false" customHeight="false" outlineLevel="0" collapsed="false">
      <c r="A3869" s="2" t="s">
        <v>297</v>
      </c>
      <c r="B3869" s="2" t="s">
        <v>298</v>
      </c>
      <c r="C3869" s="2" t="s">
        <v>36</v>
      </c>
      <c r="D3869" s="3" t="n">
        <v>46258</v>
      </c>
      <c r="E3869" s="2" t="str">
        <f aca="false">TEXT(D3869,"dddd")</f>
        <v>Monday</v>
      </c>
      <c r="F3869" s="2" t="s">
        <v>457</v>
      </c>
      <c r="G3869" s="2" t="s">
        <v>458</v>
      </c>
      <c r="H3869" s="2" t="s">
        <v>459</v>
      </c>
      <c r="I3869" s="2" t="n">
        <f aca="false">IF(F3869="Present",9,IF(F3869="Half Day",4,0))</f>
        <v>9</v>
      </c>
      <c r="J3869" s="2"/>
      <c r="K3869" s="2"/>
    </row>
    <row r="3870" customFormat="false" ht="15" hidden="false" customHeight="false" outlineLevel="0" collapsed="false">
      <c r="A3870" s="2" t="s">
        <v>297</v>
      </c>
      <c r="B3870" s="2" t="s">
        <v>298</v>
      </c>
      <c r="C3870" s="2" t="s">
        <v>36</v>
      </c>
      <c r="D3870" s="3" t="n">
        <v>46259</v>
      </c>
      <c r="E3870" s="2" t="str">
        <f aca="false">TEXT(D3870,"dddd")</f>
        <v>Tuesday</v>
      </c>
      <c r="F3870" s="2" t="s">
        <v>457</v>
      </c>
      <c r="G3870" s="2" t="s">
        <v>458</v>
      </c>
      <c r="H3870" s="2" t="s">
        <v>459</v>
      </c>
      <c r="I3870" s="2" t="n">
        <f aca="false">IF(F3870="Present",9,IF(F3870="Half Day",4,0))</f>
        <v>9</v>
      </c>
      <c r="J3870" s="2"/>
      <c r="K3870" s="2"/>
    </row>
    <row r="3871" customFormat="false" ht="15" hidden="false" customHeight="false" outlineLevel="0" collapsed="false">
      <c r="A3871" s="2" t="s">
        <v>297</v>
      </c>
      <c r="B3871" s="2" t="s">
        <v>298</v>
      </c>
      <c r="C3871" s="2" t="s">
        <v>36</v>
      </c>
      <c r="D3871" s="3" t="n">
        <v>46260</v>
      </c>
      <c r="E3871" s="2" t="str">
        <f aca="false">TEXT(D3871,"dddd")</f>
        <v>Wednesday</v>
      </c>
      <c r="F3871" s="2" t="s">
        <v>457</v>
      </c>
      <c r="G3871" s="2" t="s">
        <v>458</v>
      </c>
      <c r="H3871" s="2" t="s">
        <v>459</v>
      </c>
      <c r="I3871" s="2" t="n">
        <f aca="false">IF(F3871="Present",9,IF(F3871="Half Day",4,0))</f>
        <v>9</v>
      </c>
      <c r="J3871" s="2"/>
      <c r="K3871" s="2"/>
    </row>
    <row r="3872" customFormat="false" ht="15" hidden="false" customHeight="false" outlineLevel="0" collapsed="false">
      <c r="A3872" s="2" t="s">
        <v>297</v>
      </c>
      <c r="B3872" s="2" t="s">
        <v>298</v>
      </c>
      <c r="C3872" s="2" t="s">
        <v>36</v>
      </c>
      <c r="D3872" s="3" t="n">
        <v>46261</v>
      </c>
      <c r="E3872" s="2" t="str">
        <f aca="false">TEXT(D3872,"dddd")</f>
        <v>Thursday</v>
      </c>
      <c r="F3872" s="2" t="s">
        <v>466</v>
      </c>
      <c r="G3872" s="2" t="s">
        <v>458</v>
      </c>
      <c r="H3872" s="2" t="s">
        <v>467</v>
      </c>
      <c r="I3872" s="2" t="n">
        <f aca="false">IF(F3872="Present",9,IF(F3872="Half Day",4,0))</f>
        <v>4</v>
      </c>
      <c r="J3872" s="2"/>
      <c r="K3872" s="2" t="s">
        <v>466</v>
      </c>
    </row>
    <row r="3873" customFormat="false" ht="15" hidden="false" customHeight="false" outlineLevel="0" collapsed="false">
      <c r="A3873" s="2" t="s">
        <v>297</v>
      </c>
      <c r="B3873" s="2" t="s">
        <v>298</v>
      </c>
      <c r="C3873" s="2" t="s">
        <v>36</v>
      </c>
      <c r="D3873" s="3" t="n">
        <v>46262</v>
      </c>
      <c r="E3873" s="2" t="str">
        <f aca="false">TEXT(D3873,"dddd")</f>
        <v>Friday</v>
      </c>
      <c r="F3873" s="2" t="s">
        <v>457</v>
      </c>
      <c r="G3873" s="2" t="s">
        <v>458</v>
      </c>
      <c r="H3873" s="2" t="s">
        <v>459</v>
      </c>
      <c r="I3873" s="2" t="n">
        <f aca="false">IF(F3873="Present",9,IF(F3873="Half Day",4,0))</f>
        <v>9</v>
      </c>
      <c r="J3873" s="2"/>
      <c r="K3873" s="2"/>
    </row>
    <row r="3874" customFormat="false" ht="15" hidden="false" customHeight="false" outlineLevel="0" collapsed="false">
      <c r="A3874" s="2" t="s">
        <v>297</v>
      </c>
      <c r="B3874" s="2" t="s">
        <v>298</v>
      </c>
      <c r="C3874" s="2" t="s">
        <v>36</v>
      </c>
      <c r="D3874" s="3" t="n">
        <v>46263</v>
      </c>
      <c r="E3874" s="2" t="str">
        <f aca="false">TEXT(D3874,"dddd")</f>
        <v>Saturday</v>
      </c>
      <c r="F3874" s="2" t="s">
        <v>457</v>
      </c>
      <c r="G3874" s="2" t="s">
        <v>458</v>
      </c>
      <c r="H3874" s="2" t="s">
        <v>459</v>
      </c>
      <c r="I3874" s="2" t="n">
        <f aca="false">IF(F3874="Present",9,IF(F3874="Half Day",4,0))</f>
        <v>9</v>
      </c>
      <c r="J3874" s="2"/>
      <c r="K3874" s="2"/>
    </row>
    <row r="3875" customFormat="false" ht="15" hidden="false" customHeight="false" outlineLevel="0" collapsed="false">
      <c r="A3875" s="2" t="s">
        <v>297</v>
      </c>
      <c r="B3875" s="2" t="s">
        <v>298</v>
      </c>
      <c r="C3875" s="2" t="s">
        <v>36</v>
      </c>
      <c r="D3875" s="3" t="n">
        <v>46264</v>
      </c>
      <c r="E3875" s="2" t="str">
        <f aca="false">TEXT(D3875,"dddd")</f>
        <v>Sunday</v>
      </c>
      <c r="F3875" s="2" t="s">
        <v>460</v>
      </c>
      <c r="G3875" s="2"/>
      <c r="H3875" s="2"/>
      <c r="I3875" s="2" t="n">
        <f aca="false">IF(F3875="Present",9,IF(F3875="Half Day",4,0))</f>
        <v>0</v>
      </c>
      <c r="J3875" s="2"/>
      <c r="K3875" s="2" t="s">
        <v>460</v>
      </c>
    </row>
    <row r="3876" customFormat="false" ht="15" hidden="false" customHeight="false" outlineLevel="0" collapsed="false">
      <c r="A3876" s="2" t="s">
        <v>297</v>
      </c>
      <c r="B3876" s="2" t="s">
        <v>298</v>
      </c>
      <c r="C3876" s="2" t="s">
        <v>36</v>
      </c>
      <c r="D3876" s="3" t="n">
        <v>46265</v>
      </c>
      <c r="E3876" s="2" t="str">
        <f aca="false">TEXT(D3876,"dddd")</f>
        <v>Monday</v>
      </c>
      <c r="F3876" s="2" t="s">
        <v>457</v>
      </c>
      <c r="G3876" s="2" t="s">
        <v>458</v>
      </c>
      <c r="H3876" s="2" t="s">
        <v>459</v>
      </c>
      <c r="I3876" s="2" t="n">
        <f aca="false">IF(F3876="Present",9,IF(F3876="Half Day",4,0))</f>
        <v>9</v>
      </c>
      <c r="J3876" s="2"/>
      <c r="K3876" s="2"/>
    </row>
    <row r="3877" customFormat="false" ht="15" hidden="false" customHeight="false" outlineLevel="0" collapsed="false">
      <c r="A3877" s="2" t="s">
        <v>299</v>
      </c>
      <c r="B3877" s="2" t="s">
        <v>300</v>
      </c>
      <c r="C3877" s="2" t="s">
        <v>41</v>
      </c>
      <c r="D3877" s="3" t="n">
        <v>46235</v>
      </c>
      <c r="E3877" s="2" t="str">
        <f aca="false">TEXT(D3877,"dddd")</f>
        <v>Saturday</v>
      </c>
      <c r="F3877" s="2" t="s">
        <v>457</v>
      </c>
      <c r="G3877" s="2" t="s">
        <v>458</v>
      </c>
      <c r="H3877" s="2" t="s">
        <v>459</v>
      </c>
      <c r="I3877" s="2" t="n">
        <f aca="false">IF(F3877="Present",9,IF(F3877="Half Day",4,0))</f>
        <v>9</v>
      </c>
      <c r="J3877" s="2"/>
      <c r="K3877" s="2"/>
    </row>
    <row r="3878" customFormat="false" ht="15" hidden="false" customHeight="false" outlineLevel="0" collapsed="false">
      <c r="A3878" s="2" t="s">
        <v>299</v>
      </c>
      <c r="B3878" s="2" t="s">
        <v>300</v>
      </c>
      <c r="C3878" s="2" t="s">
        <v>41</v>
      </c>
      <c r="D3878" s="3" t="n">
        <v>46236</v>
      </c>
      <c r="E3878" s="2" t="str">
        <f aca="false">TEXT(D3878,"dddd")</f>
        <v>Sunday</v>
      </c>
      <c r="F3878" s="2" t="s">
        <v>460</v>
      </c>
      <c r="G3878" s="2"/>
      <c r="H3878" s="2"/>
      <c r="I3878" s="2" t="n">
        <f aca="false">IF(F3878="Present",9,IF(F3878="Half Day",4,0))</f>
        <v>0</v>
      </c>
      <c r="J3878" s="2"/>
      <c r="K3878" s="2" t="s">
        <v>460</v>
      </c>
    </row>
    <row r="3879" customFormat="false" ht="15" hidden="false" customHeight="false" outlineLevel="0" collapsed="false">
      <c r="A3879" s="2" t="s">
        <v>299</v>
      </c>
      <c r="B3879" s="2" t="s">
        <v>300</v>
      </c>
      <c r="C3879" s="2" t="s">
        <v>41</v>
      </c>
      <c r="D3879" s="3" t="n">
        <v>46237</v>
      </c>
      <c r="E3879" s="2" t="str">
        <f aca="false">TEXT(D3879,"dddd")</f>
        <v>Monday</v>
      </c>
      <c r="F3879" s="2" t="s">
        <v>466</v>
      </c>
      <c r="G3879" s="2" t="s">
        <v>458</v>
      </c>
      <c r="H3879" s="2" t="s">
        <v>467</v>
      </c>
      <c r="I3879" s="2" t="n">
        <f aca="false">IF(F3879="Present",9,IF(F3879="Half Day",4,0))</f>
        <v>4</v>
      </c>
      <c r="J3879" s="2"/>
      <c r="K3879" s="2" t="s">
        <v>466</v>
      </c>
    </row>
    <row r="3880" customFormat="false" ht="15" hidden="false" customHeight="false" outlineLevel="0" collapsed="false">
      <c r="A3880" s="2" t="s">
        <v>299</v>
      </c>
      <c r="B3880" s="2" t="s">
        <v>300</v>
      </c>
      <c r="C3880" s="2" t="s">
        <v>41</v>
      </c>
      <c r="D3880" s="3" t="n">
        <v>46238</v>
      </c>
      <c r="E3880" s="2" t="str">
        <f aca="false">TEXT(D3880,"dddd")</f>
        <v>Tuesday</v>
      </c>
      <c r="F3880" s="2" t="s">
        <v>463</v>
      </c>
      <c r="G3880" s="2"/>
      <c r="H3880" s="2"/>
      <c r="I3880" s="2" t="n">
        <f aca="false">IF(F3880="Present",9,IF(F3880="Half Day",4,0))</f>
        <v>0</v>
      </c>
      <c r="J3880" s="2" t="s">
        <v>472</v>
      </c>
      <c r="K3880" s="2" t="s">
        <v>473</v>
      </c>
    </row>
    <row r="3881" customFormat="false" ht="15" hidden="false" customHeight="false" outlineLevel="0" collapsed="false">
      <c r="A3881" s="2" t="s">
        <v>299</v>
      </c>
      <c r="B3881" s="2" t="s">
        <v>300</v>
      </c>
      <c r="C3881" s="2" t="s">
        <v>41</v>
      </c>
      <c r="D3881" s="3" t="n">
        <v>46239</v>
      </c>
      <c r="E3881" s="2" t="str">
        <f aca="false">TEXT(D3881,"dddd")</f>
        <v>Wednesday</v>
      </c>
      <c r="F3881" s="2" t="s">
        <v>461</v>
      </c>
      <c r="G3881" s="2"/>
      <c r="H3881" s="2"/>
      <c r="I3881" s="2" t="n">
        <f aca="false">IF(F3881="Present",9,IF(F3881="Half Day",4,0))</f>
        <v>0</v>
      </c>
      <c r="J3881" s="2"/>
      <c r="K3881" s="2" t="s">
        <v>462</v>
      </c>
    </row>
    <row r="3882" customFormat="false" ht="15" hidden="false" customHeight="false" outlineLevel="0" collapsed="false">
      <c r="A3882" s="2" t="s">
        <v>299</v>
      </c>
      <c r="B3882" s="2" t="s">
        <v>300</v>
      </c>
      <c r="C3882" s="2" t="s">
        <v>41</v>
      </c>
      <c r="D3882" s="3" t="n">
        <v>46240</v>
      </c>
      <c r="E3882" s="2" t="str">
        <f aca="false">TEXT(D3882,"dddd")</f>
        <v>Thursday</v>
      </c>
      <c r="F3882" s="2" t="s">
        <v>457</v>
      </c>
      <c r="G3882" s="2" t="s">
        <v>458</v>
      </c>
      <c r="H3882" s="2" t="s">
        <v>459</v>
      </c>
      <c r="I3882" s="2" t="n">
        <f aca="false">IF(F3882="Present",9,IF(F3882="Half Day",4,0))</f>
        <v>9</v>
      </c>
      <c r="J3882" s="2"/>
      <c r="K3882" s="2"/>
    </row>
    <row r="3883" customFormat="false" ht="15" hidden="false" customHeight="false" outlineLevel="0" collapsed="false">
      <c r="A3883" s="2" t="s">
        <v>299</v>
      </c>
      <c r="B3883" s="2" t="s">
        <v>300</v>
      </c>
      <c r="C3883" s="2" t="s">
        <v>41</v>
      </c>
      <c r="D3883" s="3" t="n">
        <v>46241</v>
      </c>
      <c r="E3883" s="2" t="str">
        <f aca="false">TEXT(D3883,"dddd")</f>
        <v>Friday</v>
      </c>
      <c r="F3883" s="2" t="s">
        <v>457</v>
      </c>
      <c r="G3883" s="2" t="s">
        <v>458</v>
      </c>
      <c r="H3883" s="2" t="s">
        <v>459</v>
      </c>
      <c r="I3883" s="2" t="n">
        <f aca="false">IF(F3883="Present",9,IF(F3883="Half Day",4,0))</f>
        <v>9</v>
      </c>
      <c r="J3883" s="2"/>
      <c r="K3883" s="2"/>
    </row>
    <row r="3884" customFormat="false" ht="15" hidden="false" customHeight="false" outlineLevel="0" collapsed="false">
      <c r="A3884" s="2" t="s">
        <v>299</v>
      </c>
      <c r="B3884" s="2" t="s">
        <v>300</v>
      </c>
      <c r="C3884" s="2" t="s">
        <v>41</v>
      </c>
      <c r="D3884" s="3" t="n">
        <v>46242</v>
      </c>
      <c r="E3884" s="2" t="str">
        <f aca="false">TEXT(D3884,"dddd")</f>
        <v>Saturday</v>
      </c>
      <c r="F3884" s="2" t="s">
        <v>457</v>
      </c>
      <c r="G3884" s="2" t="s">
        <v>458</v>
      </c>
      <c r="H3884" s="2" t="s">
        <v>459</v>
      </c>
      <c r="I3884" s="2" t="n">
        <f aca="false">IF(F3884="Present",9,IF(F3884="Half Day",4,0))</f>
        <v>9</v>
      </c>
      <c r="J3884" s="2"/>
      <c r="K3884" s="2"/>
    </row>
    <row r="3885" customFormat="false" ht="15" hidden="false" customHeight="false" outlineLevel="0" collapsed="false">
      <c r="A3885" s="2" t="s">
        <v>299</v>
      </c>
      <c r="B3885" s="2" t="s">
        <v>300</v>
      </c>
      <c r="C3885" s="2" t="s">
        <v>41</v>
      </c>
      <c r="D3885" s="3" t="n">
        <v>46243</v>
      </c>
      <c r="E3885" s="2" t="str">
        <f aca="false">TEXT(D3885,"dddd")</f>
        <v>Sunday</v>
      </c>
      <c r="F3885" s="2" t="s">
        <v>460</v>
      </c>
      <c r="G3885" s="2"/>
      <c r="H3885" s="2"/>
      <c r="I3885" s="2" t="n">
        <f aca="false">IF(F3885="Present",9,IF(F3885="Half Day",4,0))</f>
        <v>0</v>
      </c>
      <c r="J3885" s="2"/>
      <c r="K3885" s="2" t="s">
        <v>460</v>
      </c>
    </row>
    <row r="3886" customFormat="false" ht="15" hidden="false" customHeight="false" outlineLevel="0" collapsed="false">
      <c r="A3886" s="2" t="s">
        <v>299</v>
      </c>
      <c r="B3886" s="2" t="s">
        <v>300</v>
      </c>
      <c r="C3886" s="2" t="s">
        <v>41</v>
      </c>
      <c r="D3886" s="3" t="n">
        <v>46244</v>
      </c>
      <c r="E3886" s="2" t="str">
        <f aca="false">TEXT(D3886,"dddd")</f>
        <v>Monday</v>
      </c>
      <c r="F3886" s="2" t="s">
        <v>466</v>
      </c>
      <c r="G3886" s="2" t="s">
        <v>458</v>
      </c>
      <c r="H3886" s="2" t="s">
        <v>467</v>
      </c>
      <c r="I3886" s="2" t="n">
        <f aca="false">IF(F3886="Present",9,IF(F3886="Half Day",4,0))</f>
        <v>4</v>
      </c>
      <c r="J3886" s="2"/>
      <c r="K3886" s="2" t="s">
        <v>466</v>
      </c>
    </row>
    <row r="3887" customFormat="false" ht="15" hidden="false" customHeight="false" outlineLevel="0" collapsed="false">
      <c r="A3887" s="2" t="s">
        <v>299</v>
      </c>
      <c r="B3887" s="2" t="s">
        <v>300</v>
      </c>
      <c r="C3887" s="2" t="s">
        <v>41</v>
      </c>
      <c r="D3887" s="3" t="n">
        <v>46245</v>
      </c>
      <c r="E3887" s="2" t="str">
        <f aca="false">TEXT(D3887,"dddd")</f>
        <v>Tuesday</v>
      </c>
      <c r="F3887" s="2" t="s">
        <v>461</v>
      </c>
      <c r="G3887" s="2"/>
      <c r="H3887" s="2"/>
      <c r="I3887" s="2" t="n">
        <f aca="false">IF(F3887="Present",9,IF(F3887="Half Day",4,0))</f>
        <v>0</v>
      </c>
      <c r="J3887" s="2"/>
      <c r="K3887" s="2" t="s">
        <v>462</v>
      </c>
    </row>
    <row r="3888" customFormat="false" ht="15" hidden="false" customHeight="false" outlineLevel="0" collapsed="false">
      <c r="A3888" s="2" t="s">
        <v>299</v>
      </c>
      <c r="B3888" s="2" t="s">
        <v>300</v>
      </c>
      <c r="C3888" s="2" t="s">
        <v>41</v>
      </c>
      <c r="D3888" s="3" t="n">
        <v>46246</v>
      </c>
      <c r="E3888" s="2" t="str">
        <f aca="false">TEXT(D3888,"dddd")</f>
        <v>Wednesday</v>
      </c>
      <c r="F3888" s="2" t="s">
        <v>461</v>
      </c>
      <c r="G3888" s="2"/>
      <c r="H3888" s="2"/>
      <c r="I3888" s="2" t="n">
        <f aca="false">IF(F3888="Present",9,IF(F3888="Half Day",4,0))</f>
        <v>0</v>
      </c>
      <c r="J3888" s="2"/>
      <c r="K3888" s="2" t="s">
        <v>462</v>
      </c>
    </row>
    <row r="3889" customFormat="false" ht="15" hidden="false" customHeight="false" outlineLevel="0" collapsed="false">
      <c r="A3889" s="2" t="s">
        <v>299</v>
      </c>
      <c r="B3889" s="2" t="s">
        <v>300</v>
      </c>
      <c r="C3889" s="2" t="s">
        <v>41</v>
      </c>
      <c r="D3889" s="3" t="n">
        <v>46247</v>
      </c>
      <c r="E3889" s="2" t="str">
        <f aca="false">TEXT(D3889,"dddd")</f>
        <v>Thursday</v>
      </c>
      <c r="F3889" s="2" t="s">
        <v>457</v>
      </c>
      <c r="G3889" s="2" t="s">
        <v>458</v>
      </c>
      <c r="H3889" s="2" t="s">
        <v>459</v>
      </c>
      <c r="I3889" s="2" t="n">
        <f aca="false">IF(F3889="Present",9,IF(F3889="Half Day",4,0))</f>
        <v>9</v>
      </c>
      <c r="J3889" s="2"/>
      <c r="K3889" s="2"/>
    </row>
    <row r="3890" customFormat="false" ht="15" hidden="false" customHeight="false" outlineLevel="0" collapsed="false">
      <c r="A3890" s="2" t="s">
        <v>299</v>
      </c>
      <c r="B3890" s="2" t="s">
        <v>300</v>
      </c>
      <c r="C3890" s="2" t="s">
        <v>41</v>
      </c>
      <c r="D3890" s="3" t="n">
        <v>46248</v>
      </c>
      <c r="E3890" s="2" t="str">
        <f aca="false">TEXT(D3890,"dddd")</f>
        <v>Friday</v>
      </c>
      <c r="F3890" s="2" t="s">
        <v>461</v>
      </c>
      <c r="G3890" s="2"/>
      <c r="H3890" s="2"/>
      <c r="I3890" s="2" t="n">
        <f aca="false">IF(F3890="Present",9,IF(F3890="Half Day",4,0))</f>
        <v>0</v>
      </c>
      <c r="J3890" s="2"/>
      <c r="K3890" s="2" t="s">
        <v>462</v>
      </c>
    </row>
    <row r="3891" customFormat="false" ht="15" hidden="false" customHeight="false" outlineLevel="0" collapsed="false">
      <c r="A3891" s="2" t="s">
        <v>299</v>
      </c>
      <c r="B3891" s="2" t="s">
        <v>300</v>
      </c>
      <c r="C3891" s="2" t="s">
        <v>41</v>
      </c>
      <c r="D3891" s="3" t="n">
        <v>46249</v>
      </c>
      <c r="E3891" s="2" t="str">
        <f aca="false">TEXT(D3891,"dddd")</f>
        <v>Saturday</v>
      </c>
      <c r="F3891" s="2" t="s">
        <v>457</v>
      </c>
      <c r="G3891" s="2" t="s">
        <v>458</v>
      </c>
      <c r="H3891" s="2" t="s">
        <v>459</v>
      </c>
      <c r="I3891" s="2" t="n">
        <f aca="false">IF(F3891="Present",9,IF(F3891="Half Day",4,0))</f>
        <v>9</v>
      </c>
      <c r="J3891" s="2"/>
      <c r="K3891" s="2"/>
    </row>
    <row r="3892" customFormat="false" ht="15" hidden="false" customHeight="false" outlineLevel="0" collapsed="false">
      <c r="A3892" s="2" t="s">
        <v>299</v>
      </c>
      <c r="B3892" s="2" t="s">
        <v>300</v>
      </c>
      <c r="C3892" s="2" t="s">
        <v>41</v>
      </c>
      <c r="D3892" s="3" t="n">
        <v>46250</v>
      </c>
      <c r="E3892" s="2" t="str">
        <f aca="false">TEXT(D3892,"dddd")</f>
        <v>Sunday</v>
      </c>
      <c r="F3892" s="2" t="s">
        <v>460</v>
      </c>
      <c r="G3892" s="2"/>
      <c r="H3892" s="2"/>
      <c r="I3892" s="2" t="n">
        <f aca="false">IF(F3892="Present",9,IF(F3892="Half Day",4,0))</f>
        <v>0</v>
      </c>
      <c r="J3892" s="2"/>
      <c r="K3892" s="2" t="s">
        <v>460</v>
      </c>
    </row>
    <row r="3893" customFormat="false" ht="15" hidden="false" customHeight="false" outlineLevel="0" collapsed="false">
      <c r="A3893" s="2" t="s">
        <v>299</v>
      </c>
      <c r="B3893" s="2" t="s">
        <v>300</v>
      </c>
      <c r="C3893" s="2" t="s">
        <v>41</v>
      </c>
      <c r="D3893" s="3" t="n">
        <v>46251</v>
      </c>
      <c r="E3893" s="2" t="str">
        <f aca="false">TEXT(D3893,"dddd")</f>
        <v>Monday</v>
      </c>
      <c r="F3893" s="2" t="s">
        <v>461</v>
      </c>
      <c r="G3893" s="2"/>
      <c r="H3893" s="2"/>
      <c r="I3893" s="2" t="n">
        <f aca="false">IF(F3893="Present",9,IF(F3893="Half Day",4,0))</f>
        <v>0</v>
      </c>
      <c r="J3893" s="2"/>
      <c r="K3893" s="2" t="s">
        <v>462</v>
      </c>
    </row>
    <row r="3894" customFormat="false" ht="15" hidden="false" customHeight="false" outlineLevel="0" collapsed="false">
      <c r="A3894" s="2" t="s">
        <v>299</v>
      </c>
      <c r="B3894" s="2" t="s">
        <v>300</v>
      </c>
      <c r="C3894" s="2" t="s">
        <v>41</v>
      </c>
      <c r="D3894" s="3" t="n">
        <v>46252</v>
      </c>
      <c r="E3894" s="2" t="str">
        <f aca="false">TEXT(D3894,"dddd")</f>
        <v>Tuesday</v>
      </c>
      <c r="F3894" s="2" t="s">
        <v>461</v>
      </c>
      <c r="G3894" s="2"/>
      <c r="H3894" s="2"/>
      <c r="I3894" s="2" t="n">
        <f aca="false">IF(F3894="Present",9,IF(F3894="Half Day",4,0))</f>
        <v>0</v>
      </c>
      <c r="J3894" s="2"/>
      <c r="K3894" s="2" t="s">
        <v>462</v>
      </c>
    </row>
    <row r="3895" customFormat="false" ht="15" hidden="false" customHeight="false" outlineLevel="0" collapsed="false">
      <c r="A3895" s="2" t="s">
        <v>299</v>
      </c>
      <c r="B3895" s="2" t="s">
        <v>300</v>
      </c>
      <c r="C3895" s="2" t="s">
        <v>41</v>
      </c>
      <c r="D3895" s="3" t="n">
        <v>46253</v>
      </c>
      <c r="E3895" s="2" t="str">
        <f aca="false">TEXT(D3895,"dddd")</f>
        <v>Wednesday</v>
      </c>
      <c r="F3895" s="2" t="s">
        <v>461</v>
      </c>
      <c r="G3895" s="2"/>
      <c r="H3895" s="2"/>
      <c r="I3895" s="2" t="n">
        <f aca="false">IF(F3895="Present",9,IF(F3895="Half Day",4,0))</f>
        <v>0</v>
      </c>
      <c r="J3895" s="2"/>
      <c r="K3895" s="2" t="s">
        <v>462</v>
      </c>
    </row>
    <row r="3896" customFormat="false" ht="15" hidden="false" customHeight="false" outlineLevel="0" collapsed="false">
      <c r="A3896" s="2" t="s">
        <v>299</v>
      </c>
      <c r="B3896" s="2" t="s">
        <v>300</v>
      </c>
      <c r="C3896" s="2" t="s">
        <v>41</v>
      </c>
      <c r="D3896" s="3" t="n">
        <v>46254</v>
      </c>
      <c r="E3896" s="2" t="str">
        <f aca="false">TEXT(D3896,"dddd")</f>
        <v>Thursday</v>
      </c>
      <c r="F3896" s="2" t="s">
        <v>457</v>
      </c>
      <c r="G3896" s="2" t="s">
        <v>458</v>
      </c>
      <c r="H3896" s="2" t="s">
        <v>459</v>
      </c>
      <c r="I3896" s="2" t="n">
        <f aca="false">IF(F3896="Present",9,IF(F3896="Half Day",4,0))</f>
        <v>9</v>
      </c>
      <c r="J3896" s="2"/>
      <c r="K3896" s="2"/>
    </row>
    <row r="3897" customFormat="false" ht="15" hidden="false" customHeight="false" outlineLevel="0" collapsed="false">
      <c r="A3897" s="2" t="s">
        <v>299</v>
      </c>
      <c r="B3897" s="2" t="s">
        <v>300</v>
      </c>
      <c r="C3897" s="2" t="s">
        <v>41</v>
      </c>
      <c r="D3897" s="3" t="n">
        <v>46255</v>
      </c>
      <c r="E3897" s="2" t="str">
        <f aca="false">TEXT(D3897,"dddd")</f>
        <v>Friday</v>
      </c>
      <c r="F3897" s="2" t="s">
        <v>461</v>
      </c>
      <c r="G3897" s="2"/>
      <c r="H3897" s="2"/>
      <c r="I3897" s="2" t="n">
        <f aca="false">IF(F3897="Present",9,IF(F3897="Half Day",4,0))</f>
        <v>0</v>
      </c>
      <c r="J3897" s="2"/>
      <c r="K3897" s="2" t="s">
        <v>462</v>
      </c>
    </row>
    <row r="3898" customFormat="false" ht="15" hidden="false" customHeight="false" outlineLevel="0" collapsed="false">
      <c r="A3898" s="2" t="s">
        <v>299</v>
      </c>
      <c r="B3898" s="2" t="s">
        <v>300</v>
      </c>
      <c r="C3898" s="2" t="s">
        <v>41</v>
      </c>
      <c r="D3898" s="3" t="n">
        <v>46256</v>
      </c>
      <c r="E3898" s="2" t="str">
        <f aca="false">TEXT(D3898,"dddd")</f>
        <v>Saturday</v>
      </c>
      <c r="F3898" s="2" t="s">
        <v>457</v>
      </c>
      <c r="G3898" s="2" t="s">
        <v>458</v>
      </c>
      <c r="H3898" s="2" t="s">
        <v>459</v>
      </c>
      <c r="I3898" s="2" t="n">
        <f aca="false">IF(F3898="Present",9,IF(F3898="Half Day",4,0))</f>
        <v>9</v>
      </c>
      <c r="J3898" s="2"/>
      <c r="K3898" s="2"/>
    </row>
    <row r="3899" customFormat="false" ht="15" hidden="false" customHeight="false" outlineLevel="0" collapsed="false">
      <c r="A3899" s="2" t="s">
        <v>299</v>
      </c>
      <c r="B3899" s="2" t="s">
        <v>300</v>
      </c>
      <c r="C3899" s="2" t="s">
        <v>41</v>
      </c>
      <c r="D3899" s="3" t="n">
        <v>46257</v>
      </c>
      <c r="E3899" s="2" t="str">
        <f aca="false">TEXT(D3899,"dddd")</f>
        <v>Sunday</v>
      </c>
      <c r="F3899" s="2" t="s">
        <v>460</v>
      </c>
      <c r="G3899" s="2"/>
      <c r="H3899" s="2"/>
      <c r="I3899" s="2" t="n">
        <f aca="false">IF(F3899="Present",9,IF(F3899="Half Day",4,0))</f>
        <v>0</v>
      </c>
      <c r="J3899" s="2"/>
      <c r="K3899" s="2" t="s">
        <v>460</v>
      </c>
    </row>
    <row r="3900" customFormat="false" ht="15" hidden="false" customHeight="false" outlineLevel="0" collapsed="false">
      <c r="A3900" s="2" t="s">
        <v>299</v>
      </c>
      <c r="B3900" s="2" t="s">
        <v>300</v>
      </c>
      <c r="C3900" s="2" t="s">
        <v>41</v>
      </c>
      <c r="D3900" s="3" t="n">
        <v>46258</v>
      </c>
      <c r="E3900" s="2" t="str">
        <f aca="false">TEXT(D3900,"dddd")</f>
        <v>Monday</v>
      </c>
      <c r="F3900" s="2" t="s">
        <v>457</v>
      </c>
      <c r="G3900" s="2" t="s">
        <v>458</v>
      </c>
      <c r="H3900" s="2" t="s">
        <v>459</v>
      </c>
      <c r="I3900" s="2" t="n">
        <f aca="false">IF(F3900="Present",9,IF(F3900="Half Day",4,0))</f>
        <v>9</v>
      </c>
      <c r="J3900" s="2"/>
      <c r="K3900" s="2"/>
    </row>
    <row r="3901" customFormat="false" ht="15" hidden="false" customHeight="false" outlineLevel="0" collapsed="false">
      <c r="A3901" s="2" t="s">
        <v>299</v>
      </c>
      <c r="B3901" s="2" t="s">
        <v>300</v>
      </c>
      <c r="C3901" s="2" t="s">
        <v>41</v>
      </c>
      <c r="D3901" s="3" t="n">
        <v>46259</v>
      </c>
      <c r="E3901" s="2" t="str">
        <f aca="false">TEXT(D3901,"dddd")</f>
        <v>Tuesday</v>
      </c>
      <c r="F3901" s="2" t="s">
        <v>457</v>
      </c>
      <c r="G3901" s="2" t="s">
        <v>458</v>
      </c>
      <c r="H3901" s="2" t="s">
        <v>459</v>
      </c>
      <c r="I3901" s="2" t="n">
        <f aca="false">IF(F3901="Present",9,IF(F3901="Half Day",4,0))</f>
        <v>9</v>
      </c>
      <c r="J3901" s="2"/>
      <c r="K3901" s="2"/>
    </row>
    <row r="3902" customFormat="false" ht="15" hidden="false" customHeight="false" outlineLevel="0" collapsed="false">
      <c r="A3902" s="2" t="s">
        <v>299</v>
      </c>
      <c r="B3902" s="2" t="s">
        <v>300</v>
      </c>
      <c r="C3902" s="2" t="s">
        <v>41</v>
      </c>
      <c r="D3902" s="3" t="n">
        <v>46260</v>
      </c>
      <c r="E3902" s="2" t="str">
        <f aca="false">TEXT(D3902,"dddd")</f>
        <v>Wednesday</v>
      </c>
      <c r="F3902" s="2" t="s">
        <v>457</v>
      </c>
      <c r="G3902" s="2" t="s">
        <v>458</v>
      </c>
      <c r="H3902" s="2" t="s">
        <v>459</v>
      </c>
      <c r="I3902" s="2" t="n">
        <f aca="false">IF(F3902="Present",9,IF(F3902="Half Day",4,0))</f>
        <v>9</v>
      </c>
      <c r="J3902" s="2"/>
      <c r="K3902" s="2"/>
    </row>
    <row r="3903" customFormat="false" ht="15" hidden="false" customHeight="false" outlineLevel="0" collapsed="false">
      <c r="A3903" s="2" t="s">
        <v>299</v>
      </c>
      <c r="B3903" s="2" t="s">
        <v>300</v>
      </c>
      <c r="C3903" s="2" t="s">
        <v>41</v>
      </c>
      <c r="D3903" s="3" t="n">
        <v>46261</v>
      </c>
      <c r="E3903" s="2" t="str">
        <f aca="false">TEXT(D3903,"dddd")</f>
        <v>Thursday</v>
      </c>
      <c r="F3903" s="2" t="s">
        <v>457</v>
      </c>
      <c r="G3903" s="2" t="s">
        <v>458</v>
      </c>
      <c r="H3903" s="2" t="s">
        <v>459</v>
      </c>
      <c r="I3903" s="2" t="n">
        <f aca="false">IF(F3903="Present",9,IF(F3903="Half Day",4,0))</f>
        <v>9</v>
      </c>
      <c r="J3903" s="2"/>
      <c r="K3903" s="2"/>
    </row>
    <row r="3904" customFormat="false" ht="15" hidden="false" customHeight="false" outlineLevel="0" collapsed="false">
      <c r="A3904" s="2" t="s">
        <v>299</v>
      </c>
      <c r="B3904" s="2" t="s">
        <v>300</v>
      </c>
      <c r="C3904" s="2" t="s">
        <v>41</v>
      </c>
      <c r="D3904" s="3" t="n">
        <v>46262</v>
      </c>
      <c r="E3904" s="2" t="str">
        <f aca="false">TEXT(D3904,"dddd")</f>
        <v>Friday</v>
      </c>
      <c r="F3904" s="2" t="s">
        <v>457</v>
      </c>
      <c r="G3904" s="2" t="s">
        <v>458</v>
      </c>
      <c r="H3904" s="2" t="s">
        <v>459</v>
      </c>
      <c r="I3904" s="2" t="n">
        <f aca="false">IF(F3904="Present",9,IF(F3904="Half Day",4,0))</f>
        <v>9</v>
      </c>
      <c r="J3904" s="2"/>
      <c r="K3904" s="2"/>
    </row>
    <row r="3905" customFormat="false" ht="15" hidden="false" customHeight="false" outlineLevel="0" collapsed="false">
      <c r="A3905" s="2" t="s">
        <v>299</v>
      </c>
      <c r="B3905" s="2" t="s">
        <v>300</v>
      </c>
      <c r="C3905" s="2" t="s">
        <v>41</v>
      </c>
      <c r="D3905" s="3" t="n">
        <v>46263</v>
      </c>
      <c r="E3905" s="2" t="str">
        <f aca="false">TEXT(D3905,"dddd")</f>
        <v>Saturday</v>
      </c>
      <c r="F3905" s="2" t="s">
        <v>463</v>
      </c>
      <c r="G3905" s="2"/>
      <c r="H3905" s="2"/>
      <c r="I3905" s="2" t="n">
        <f aca="false">IF(F3905="Present",9,IF(F3905="Half Day",4,0))</f>
        <v>0</v>
      </c>
      <c r="J3905" s="2" t="s">
        <v>472</v>
      </c>
      <c r="K3905" s="2" t="s">
        <v>473</v>
      </c>
    </row>
    <row r="3906" customFormat="false" ht="15" hidden="false" customHeight="false" outlineLevel="0" collapsed="false">
      <c r="A3906" s="2" t="s">
        <v>299</v>
      </c>
      <c r="B3906" s="2" t="s">
        <v>300</v>
      </c>
      <c r="C3906" s="2" t="s">
        <v>41</v>
      </c>
      <c r="D3906" s="3" t="n">
        <v>46264</v>
      </c>
      <c r="E3906" s="2" t="str">
        <f aca="false">TEXT(D3906,"dddd")</f>
        <v>Sunday</v>
      </c>
      <c r="F3906" s="2" t="s">
        <v>460</v>
      </c>
      <c r="G3906" s="2"/>
      <c r="H3906" s="2"/>
      <c r="I3906" s="2" t="n">
        <f aca="false">IF(F3906="Present",9,IF(F3906="Half Day",4,0))</f>
        <v>0</v>
      </c>
      <c r="J3906" s="2"/>
      <c r="K3906" s="2" t="s">
        <v>460</v>
      </c>
    </row>
    <row r="3907" customFormat="false" ht="15" hidden="false" customHeight="false" outlineLevel="0" collapsed="false">
      <c r="A3907" s="2" t="s">
        <v>299</v>
      </c>
      <c r="B3907" s="2" t="s">
        <v>300</v>
      </c>
      <c r="C3907" s="2" t="s">
        <v>41</v>
      </c>
      <c r="D3907" s="3" t="n">
        <v>46265</v>
      </c>
      <c r="E3907" s="2" t="str">
        <f aca="false">TEXT(D3907,"dddd")</f>
        <v>Monday</v>
      </c>
      <c r="F3907" s="2" t="s">
        <v>457</v>
      </c>
      <c r="G3907" s="2" t="s">
        <v>458</v>
      </c>
      <c r="H3907" s="2" t="s">
        <v>459</v>
      </c>
      <c r="I3907" s="2" t="n">
        <f aca="false">IF(F3907="Present",9,IF(F3907="Half Day",4,0))</f>
        <v>9</v>
      </c>
      <c r="J3907" s="2"/>
      <c r="K3907" s="2"/>
    </row>
    <row r="3908" customFormat="false" ht="15" hidden="false" customHeight="false" outlineLevel="0" collapsed="false">
      <c r="A3908" s="2" t="s">
        <v>301</v>
      </c>
      <c r="B3908" s="2" t="s">
        <v>302</v>
      </c>
      <c r="C3908" s="2" t="s">
        <v>45</v>
      </c>
      <c r="D3908" s="3" t="n">
        <v>46235</v>
      </c>
      <c r="E3908" s="2" t="str">
        <f aca="false">TEXT(D3908,"dddd")</f>
        <v>Saturday</v>
      </c>
      <c r="F3908" s="2" t="s">
        <v>457</v>
      </c>
      <c r="G3908" s="2" t="s">
        <v>458</v>
      </c>
      <c r="H3908" s="2" t="s">
        <v>459</v>
      </c>
      <c r="I3908" s="2" t="n">
        <f aca="false">IF(F3908="Present",9,IF(F3908="Half Day",4,0))</f>
        <v>9</v>
      </c>
      <c r="J3908" s="2"/>
      <c r="K3908" s="2"/>
    </row>
    <row r="3909" customFormat="false" ht="15" hidden="false" customHeight="false" outlineLevel="0" collapsed="false">
      <c r="A3909" s="2" t="s">
        <v>301</v>
      </c>
      <c r="B3909" s="2" t="s">
        <v>302</v>
      </c>
      <c r="C3909" s="2" t="s">
        <v>45</v>
      </c>
      <c r="D3909" s="3" t="n">
        <v>46236</v>
      </c>
      <c r="E3909" s="2" t="str">
        <f aca="false">TEXT(D3909,"dddd")</f>
        <v>Sunday</v>
      </c>
      <c r="F3909" s="2" t="s">
        <v>460</v>
      </c>
      <c r="G3909" s="2"/>
      <c r="H3909" s="2"/>
      <c r="I3909" s="2" t="n">
        <f aca="false">IF(F3909="Present",9,IF(F3909="Half Day",4,0))</f>
        <v>0</v>
      </c>
      <c r="J3909" s="2"/>
      <c r="K3909" s="2" t="s">
        <v>460</v>
      </c>
    </row>
    <row r="3910" customFormat="false" ht="15" hidden="false" customHeight="false" outlineLevel="0" collapsed="false">
      <c r="A3910" s="2" t="s">
        <v>301</v>
      </c>
      <c r="B3910" s="2" t="s">
        <v>302</v>
      </c>
      <c r="C3910" s="2" t="s">
        <v>45</v>
      </c>
      <c r="D3910" s="3" t="n">
        <v>46237</v>
      </c>
      <c r="E3910" s="2" t="str">
        <f aca="false">TEXT(D3910,"dddd")</f>
        <v>Monday</v>
      </c>
      <c r="F3910" s="2" t="s">
        <v>457</v>
      </c>
      <c r="G3910" s="2" t="s">
        <v>458</v>
      </c>
      <c r="H3910" s="2" t="s">
        <v>459</v>
      </c>
      <c r="I3910" s="2" t="n">
        <f aca="false">IF(F3910="Present",9,IF(F3910="Half Day",4,0))</f>
        <v>9</v>
      </c>
      <c r="J3910" s="2"/>
      <c r="K3910" s="2"/>
    </row>
    <row r="3911" customFormat="false" ht="15" hidden="false" customHeight="false" outlineLevel="0" collapsed="false">
      <c r="A3911" s="2" t="s">
        <v>301</v>
      </c>
      <c r="B3911" s="2" t="s">
        <v>302</v>
      </c>
      <c r="C3911" s="2" t="s">
        <v>45</v>
      </c>
      <c r="D3911" s="3" t="n">
        <v>46238</v>
      </c>
      <c r="E3911" s="2" t="str">
        <f aca="false">TEXT(D3911,"dddd")</f>
        <v>Tuesday</v>
      </c>
      <c r="F3911" s="2" t="s">
        <v>457</v>
      </c>
      <c r="G3911" s="2" t="s">
        <v>458</v>
      </c>
      <c r="H3911" s="2" t="s">
        <v>459</v>
      </c>
      <c r="I3911" s="2" t="n">
        <f aca="false">IF(F3911="Present",9,IF(F3911="Half Day",4,0))</f>
        <v>9</v>
      </c>
      <c r="J3911" s="2"/>
      <c r="K3911" s="2"/>
    </row>
    <row r="3912" customFormat="false" ht="15" hidden="false" customHeight="false" outlineLevel="0" collapsed="false">
      <c r="A3912" s="2" t="s">
        <v>301</v>
      </c>
      <c r="B3912" s="2" t="s">
        <v>302</v>
      </c>
      <c r="C3912" s="2" t="s">
        <v>45</v>
      </c>
      <c r="D3912" s="3" t="n">
        <v>46239</v>
      </c>
      <c r="E3912" s="2" t="str">
        <f aca="false">TEXT(D3912,"dddd")</f>
        <v>Wednesday</v>
      </c>
      <c r="F3912" s="2" t="s">
        <v>457</v>
      </c>
      <c r="G3912" s="2" t="s">
        <v>458</v>
      </c>
      <c r="H3912" s="2" t="s">
        <v>459</v>
      </c>
      <c r="I3912" s="2" t="n">
        <f aca="false">IF(F3912="Present",9,IF(F3912="Half Day",4,0))</f>
        <v>9</v>
      </c>
      <c r="J3912" s="2"/>
      <c r="K3912" s="2"/>
    </row>
    <row r="3913" customFormat="false" ht="15" hidden="false" customHeight="false" outlineLevel="0" collapsed="false">
      <c r="A3913" s="2" t="s">
        <v>301</v>
      </c>
      <c r="B3913" s="2" t="s">
        <v>302</v>
      </c>
      <c r="C3913" s="2" t="s">
        <v>45</v>
      </c>
      <c r="D3913" s="3" t="n">
        <v>46240</v>
      </c>
      <c r="E3913" s="2" t="str">
        <f aca="false">TEXT(D3913,"dddd")</f>
        <v>Thursday</v>
      </c>
      <c r="F3913" s="2" t="s">
        <v>457</v>
      </c>
      <c r="G3913" s="2" t="s">
        <v>458</v>
      </c>
      <c r="H3913" s="2" t="s">
        <v>459</v>
      </c>
      <c r="I3913" s="2" t="n">
        <f aca="false">IF(F3913="Present",9,IF(F3913="Half Day",4,0))</f>
        <v>9</v>
      </c>
      <c r="J3913" s="2"/>
      <c r="K3913" s="2"/>
    </row>
    <row r="3914" customFormat="false" ht="15" hidden="false" customHeight="false" outlineLevel="0" collapsed="false">
      <c r="A3914" s="2" t="s">
        <v>301</v>
      </c>
      <c r="B3914" s="2" t="s">
        <v>302</v>
      </c>
      <c r="C3914" s="2" t="s">
        <v>45</v>
      </c>
      <c r="D3914" s="3" t="n">
        <v>46241</v>
      </c>
      <c r="E3914" s="2" t="str">
        <f aca="false">TEXT(D3914,"dddd")</f>
        <v>Friday</v>
      </c>
      <c r="F3914" s="2" t="s">
        <v>457</v>
      </c>
      <c r="G3914" s="2" t="s">
        <v>458</v>
      </c>
      <c r="H3914" s="2" t="s">
        <v>459</v>
      </c>
      <c r="I3914" s="2" t="n">
        <f aca="false">IF(F3914="Present",9,IF(F3914="Half Day",4,0))</f>
        <v>9</v>
      </c>
      <c r="J3914" s="2"/>
      <c r="K3914" s="2"/>
    </row>
    <row r="3915" customFormat="false" ht="15" hidden="false" customHeight="false" outlineLevel="0" collapsed="false">
      <c r="A3915" s="2" t="s">
        <v>301</v>
      </c>
      <c r="B3915" s="2" t="s">
        <v>302</v>
      </c>
      <c r="C3915" s="2" t="s">
        <v>45</v>
      </c>
      <c r="D3915" s="3" t="n">
        <v>46242</v>
      </c>
      <c r="E3915" s="2" t="str">
        <f aca="false">TEXT(D3915,"dddd")</f>
        <v>Saturday</v>
      </c>
      <c r="F3915" s="2" t="s">
        <v>461</v>
      </c>
      <c r="G3915" s="2"/>
      <c r="H3915" s="2"/>
      <c r="I3915" s="2" t="n">
        <f aca="false">IF(F3915="Present",9,IF(F3915="Half Day",4,0))</f>
        <v>0</v>
      </c>
      <c r="J3915" s="2"/>
      <c r="K3915" s="2" t="s">
        <v>462</v>
      </c>
    </row>
    <row r="3916" customFormat="false" ht="15" hidden="false" customHeight="false" outlineLevel="0" collapsed="false">
      <c r="A3916" s="2" t="s">
        <v>301</v>
      </c>
      <c r="B3916" s="2" t="s">
        <v>302</v>
      </c>
      <c r="C3916" s="2" t="s">
        <v>45</v>
      </c>
      <c r="D3916" s="3" t="n">
        <v>46243</v>
      </c>
      <c r="E3916" s="2" t="str">
        <f aca="false">TEXT(D3916,"dddd")</f>
        <v>Sunday</v>
      </c>
      <c r="F3916" s="2" t="s">
        <v>460</v>
      </c>
      <c r="G3916" s="2"/>
      <c r="H3916" s="2"/>
      <c r="I3916" s="2" t="n">
        <f aca="false">IF(F3916="Present",9,IF(F3916="Half Day",4,0))</f>
        <v>0</v>
      </c>
      <c r="J3916" s="2"/>
      <c r="K3916" s="2" t="s">
        <v>460</v>
      </c>
    </row>
    <row r="3917" customFormat="false" ht="15" hidden="false" customHeight="false" outlineLevel="0" collapsed="false">
      <c r="A3917" s="2" t="s">
        <v>301</v>
      </c>
      <c r="B3917" s="2" t="s">
        <v>302</v>
      </c>
      <c r="C3917" s="2" t="s">
        <v>45</v>
      </c>
      <c r="D3917" s="3" t="n">
        <v>46244</v>
      </c>
      <c r="E3917" s="2" t="str">
        <f aca="false">TEXT(D3917,"dddd")</f>
        <v>Monday</v>
      </c>
      <c r="F3917" s="2" t="s">
        <v>457</v>
      </c>
      <c r="G3917" s="2" t="s">
        <v>458</v>
      </c>
      <c r="H3917" s="2" t="s">
        <v>459</v>
      </c>
      <c r="I3917" s="2" t="n">
        <f aca="false">IF(F3917="Present",9,IF(F3917="Half Day",4,0))</f>
        <v>9</v>
      </c>
      <c r="J3917" s="2"/>
      <c r="K3917" s="2"/>
    </row>
    <row r="3918" customFormat="false" ht="15" hidden="false" customHeight="false" outlineLevel="0" collapsed="false">
      <c r="A3918" s="2" t="s">
        <v>301</v>
      </c>
      <c r="B3918" s="2" t="s">
        <v>302</v>
      </c>
      <c r="C3918" s="2" t="s">
        <v>45</v>
      </c>
      <c r="D3918" s="3" t="n">
        <v>46245</v>
      </c>
      <c r="E3918" s="2" t="str">
        <f aca="false">TEXT(D3918,"dddd")</f>
        <v>Tuesday</v>
      </c>
      <c r="F3918" s="2" t="s">
        <v>461</v>
      </c>
      <c r="G3918" s="2"/>
      <c r="H3918" s="2"/>
      <c r="I3918" s="2" t="n">
        <f aca="false">IF(F3918="Present",9,IF(F3918="Half Day",4,0))</f>
        <v>0</v>
      </c>
      <c r="J3918" s="2"/>
      <c r="K3918" s="2" t="s">
        <v>462</v>
      </c>
    </row>
    <row r="3919" customFormat="false" ht="15" hidden="false" customHeight="false" outlineLevel="0" collapsed="false">
      <c r="A3919" s="2" t="s">
        <v>301</v>
      </c>
      <c r="B3919" s="2" t="s">
        <v>302</v>
      </c>
      <c r="C3919" s="2" t="s">
        <v>45</v>
      </c>
      <c r="D3919" s="3" t="n">
        <v>46246</v>
      </c>
      <c r="E3919" s="2" t="str">
        <f aca="false">TEXT(D3919,"dddd")</f>
        <v>Wednesday</v>
      </c>
      <c r="F3919" s="2" t="s">
        <v>457</v>
      </c>
      <c r="G3919" s="2" t="s">
        <v>458</v>
      </c>
      <c r="H3919" s="2" t="s">
        <v>459</v>
      </c>
      <c r="I3919" s="2" t="n">
        <f aca="false">IF(F3919="Present",9,IF(F3919="Half Day",4,0))</f>
        <v>9</v>
      </c>
      <c r="J3919" s="2"/>
      <c r="K3919" s="2"/>
    </row>
    <row r="3920" customFormat="false" ht="15" hidden="false" customHeight="false" outlineLevel="0" collapsed="false">
      <c r="A3920" s="2" t="s">
        <v>301</v>
      </c>
      <c r="B3920" s="2" t="s">
        <v>302</v>
      </c>
      <c r="C3920" s="2" t="s">
        <v>45</v>
      </c>
      <c r="D3920" s="3" t="n">
        <v>46247</v>
      </c>
      <c r="E3920" s="2" t="str">
        <f aca="false">TEXT(D3920,"dddd")</f>
        <v>Thursday</v>
      </c>
      <c r="F3920" s="2" t="s">
        <v>457</v>
      </c>
      <c r="G3920" s="2" t="s">
        <v>458</v>
      </c>
      <c r="H3920" s="2" t="s">
        <v>459</v>
      </c>
      <c r="I3920" s="2" t="n">
        <f aca="false">IF(F3920="Present",9,IF(F3920="Half Day",4,0))</f>
        <v>9</v>
      </c>
      <c r="J3920" s="2"/>
      <c r="K3920" s="2"/>
    </row>
    <row r="3921" customFormat="false" ht="15" hidden="false" customHeight="false" outlineLevel="0" collapsed="false">
      <c r="A3921" s="2" t="s">
        <v>301</v>
      </c>
      <c r="B3921" s="2" t="s">
        <v>302</v>
      </c>
      <c r="C3921" s="2" t="s">
        <v>45</v>
      </c>
      <c r="D3921" s="3" t="n">
        <v>46248</v>
      </c>
      <c r="E3921" s="2" t="str">
        <f aca="false">TEXT(D3921,"dddd")</f>
        <v>Friday</v>
      </c>
      <c r="F3921" s="2" t="s">
        <v>457</v>
      </c>
      <c r="G3921" s="2" t="s">
        <v>458</v>
      </c>
      <c r="H3921" s="2" t="s">
        <v>459</v>
      </c>
      <c r="I3921" s="2" t="n">
        <f aca="false">IF(F3921="Present",9,IF(F3921="Half Day",4,0))</f>
        <v>9</v>
      </c>
      <c r="J3921" s="2"/>
      <c r="K3921" s="2"/>
    </row>
    <row r="3922" customFormat="false" ht="15" hidden="false" customHeight="false" outlineLevel="0" collapsed="false">
      <c r="A3922" s="2" t="s">
        <v>301</v>
      </c>
      <c r="B3922" s="2" t="s">
        <v>302</v>
      </c>
      <c r="C3922" s="2" t="s">
        <v>45</v>
      </c>
      <c r="D3922" s="3" t="n">
        <v>46249</v>
      </c>
      <c r="E3922" s="2" t="str">
        <f aca="false">TEXT(D3922,"dddd")</f>
        <v>Saturday</v>
      </c>
      <c r="F3922" s="2" t="s">
        <v>457</v>
      </c>
      <c r="G3922" s="2" t="s">
        <v>458</v>
      </c>
      <c r="H3922" s="2" t="s">
        <v>459</v>
      </c>
      <c r="I3922" s="2" t="n">
        <f aca="false">IF(F3922="Present",9,IF(F3922="Half Day",4,0))</f>
        <v>9</v>
      </c>
      <c r="J3922" s="2"/>
      <c r="K3922" s="2"/>
    </row>
    <row r="3923" customFormat="false" ht="15" hidden="false" customHeight="false" outlineLevel="0" collapsed="false">
      <c r="A3923" s="2" t="s">
        <v>301</v>
      </c>
      <c r="B3923" s="2" t="s">
        <v>302</v>
      </c>
      <c r="C3923" s="2" t="s">
        <v>45</v>
      </c>
      <c r="D3923" s="3" t="n">
        <v>46250</v>
      </c>
      <c r="E3923" s="2" t="str">
        <f aca="false">TEXT(D3923,"dddd")</f>
        <v>Sunday</v>
      </c>
      <c r="F3923" s="2" t="s">
        <v>460</v>
      </c>
      <c r="G3923" s="2"/>
      <c r="H3923" s="2"/>
      <c r="I3923" s="2" t="n">
        <f aca="false">IF(F3923="Present",9,IF(F3923="Half Day",4,0))</f>
        <v>0</v>
      </c>
      <c r="J3923" s="2"/>
      <c r="K3923" s="2" t="s">
        <v>460</v>
      </c>
    </row>
    <row r="3924" customFormat="false" ht="15" hidden="false" customHeight="false" outlineLevel="0" collapsed="false">
      <c r="A3924" s="2" t="s">
        <v>301</v>
      </c>
      <c r="B3924" s="2" t="s">
        <v>302</v>
      </c>
      <c r="C3924" s="2" t="s">
        <v>45</v>
      </c>
      <c r="D3924" s="3" t="n">
        <v>46251</v>
      </c>
      <c r="E3924" s="2" t="str">
        <f aca="false">TEXT(D3924,"dddd")</f>
        <v>Monday</v>
      </c>
      <c r="F3924" s="2" t="s">
        <v>457</v>
      </c>
      <c r="G3924" s="2" t="s">
        <v>458</v>
      </c>
      <c r="H3924" s="2" t="s">
        <v>459</v>
      </c>
      <c r="I3924" s="2" t="n">
        <f aca="false">IF(F3924="Present",9,IF(F3924="Half Day",4,0))</f>
        <v>9</v>
      </c>
      <c r="J3924" s="2"/>
      <c r="K3924" s="2"/>
    </row>
    <row r="3925" customFormat="false" ht="15" hidden="false" customHeight="false" outlineLevel="0" collapsed="false">
      <c r="A3925" s="2" t="s">
        <v>301</v>
      </c>
      <c r="B3925" s="2" t="s">
        <v>302</v>
      </c>
      <c r="C3925" s="2" t="s">
        <v>45</v>
      </c>
      <c r="D3925" s="3" t="n">
        <v>46252</v>
      </c>
      <c r="E3925" s="2" t="str">
        <f aca="false">TEXT(D3925,"dddd")</f>
        <v>Tuesday</v>
      </c>
      <c r="F3925" s="2" t="s">
        <v>457</v>
      </c>
      <c r="G3925" s="2" t="s">
        <v>458</v>
      </c>
      <c r="H3925" s="2" t="s">
        <v>459</v>
      </c>
      <c r="I3925" s="2" t="n">
        <f aca="false">IF(F3925="Present",9,IF(F3925="Half Day",4,0))</f>
        <v>9</v>
      </c>
      <c r="J3925" s="2"/>
      <c r="K3925" s="2"/>
    </row>
    <row r="3926" customFormat="false" ht="15" hidden="false" customHeight="false" outlineLevel="0" collapsed="false">
      <c r="A3926" s="2" t="s">
        <v>301</v>
      </c>
      <c r="B3926" s="2" t="s">
        <v>302</v>
      </c>
      <c r="C3926" s="2" t="s">
        <v>45</v>
      </c>
      <c r="D3926" s="3" t="n">
        <v>46253</v>
      </c>
      <c r="E3926" s="2" t="str">
        <f aca="false">TEXT(D3926,"dddd")</f>
        <v>Wednesday</v>
      </c>
      <c r="F3926" s="2" t="s">
        <v>457</v>
      </c>
      <c r="G3926" s="2" t="s">
        <v>458</v>
      </c>
      <c r="H3926" s="2" t="s">
        <v>459</v>
      </c>
      <c r="I3926" s="2" t="n">
        <f aca="false">IF(F3926="Present",9,IF(F3926="Half Day",4,0))</f>
        <v>9</v>
      </c>
      <c r="J3926" s="2"/>
      <c r="K3926" s="2"/>
    </row>
    <row r="3927" customFormat="false" ht="15" hidden="false" customHeight="false" outlineLevel="0" collapsed="false">
      <c r="A3927" s="2" t="s">
        <v>301</v>
      </c>
      <c r="B3927" s="2" t="s">
        <v>302</v>
      </c>
      <c r="C3927" s="2" t="s">
        <v>45</v>
      </c>
      <c r="D3927" s="3" t="n">
        <v>46254</v>
      </c>
      <c r="E3927" s="2" t="str">
        <f aca="false">TEXT(D3927,"dddd")</f>
        <v>Thursday</v>
      </c>
      <c r="F3927" s="2" t="s">
        <v>457</v>
      </c>
      <c r="G3927" s="2" t="s">
        <v>458</v>
      </c>
      <c r="H3927" s="2" t="s">
        <v>459</v>
      </c>
      <c r="I3927" s="2" t="n">
        <f aca="false">IF(F3927="Present",9,IF(F3927="Half Day",4,0))</f>
        <v>9</v>
      </c>
      <c r="J3927" s="2"/>
      <c r="K3927" s="2"/>
    </row>
    <row r="3928" customFormat="false" ht="15" hidden="false" customHeight="false" outlineLevel="0" collapsed="false">
      <c r="A3928" s="2" t="s">
        <v>301</v>
      </c>
      <c r="B3928" s="2" t="s">
        <v>302</v>
      </c>
      <c r="C3928" s="2" t="s">
        <v>45</v>
      </c>
      <c r="D3928" s="3" t="n">
        <v>46255</v>
      </c>
      <c r="E3928" s="2" t="str">
        <f aca="false">TEXT(D3928,"dddd")</f>
        <v>Friday</v>
      </c>
      <c r="F3928" s="2" t="s">
        <v>457</v>
      </c>
      <c r="G3928" s="2" t="s">
        <v>458</v>
      </c>
      <c r="H3928" s="2" t="s">
        <v>459</v>
      </c>
      <c r="I3928" s="2" t="n">
        <f aca="false">IF(F3928="Present",9,IF(F3928="Half Day",4,0))</f>
        <v>9</v>
      </c>
      <c r="J3928" s="2"/>
      <c r="K3928" s="2"/>
    </row>
    <row r="3929" customFormat="false" ht="15" hidden="false" customHeight="false" outlineLevel="0" collapsed="false">
      <c r="A3929" s="2" t="s">
        <v>301</v>
      </c>
      <c r="B3929" s="2" t="s">
        <v>302</v>
      </c>
      <c r="C3929" s="2" t="s">
        <v>45</v>
      </c>
      <c r="D3929" s="3" t="n">
        <v>46256</v>
      </c>
      <c r="E3929" s="2" t="str">
        <f aca="false">TEXT(D3929,"dddd")</f>
        <v>Saturday</v>
      </c>
      <c r="F3929" s="2" t="s">
        <v>457</v>
      </c>
      <c r="G3929" s="2" t="s">
        <v>458</v>
      </c>
      <c r="H3929" s="2" t="s">
        <v>459</v>
      </c>
      <c r="I3929" s="2" t="n">
        <f aca="false">IF(F3929="Present",9,IF(F3929="Half Day",4,0))</f>
        <v>9</v>
      </c>
      <c r="J3929" s="2"/>
      <c r="K3929" s="2"/>
    </row>
    <row r="3930" customFormat="false" ht="15" hidden="false" customHeight="false" outlineLevel="0" collapsed="false">
      <c r="A3930" s="2" t="s">
        <v>301</v>
      </c>
      <c r="B3930" s="2" t="s">
        <v>302</v>
      </c>
      <c r="C3930" s="2" t="s">
        <v>45</v>
      </c>
      <c r="D3930" s="3" t="n">
        <v>46257</v>
      </c>
      <c r="E3930" s="2" t="str">
        <f aca="false">TEXT(D3930,"dddd")</f>
        <v>Sunday</v>
      </c>
      <c r="F3930" s="2" t="s">
        <v>460</v>
      </c>
      <c r="G3930" s="2"/>
      <c r="H3930" s="2"/>
      <c r="I3930" s="2" t="n">
        <f aca="false">IF(F3930="Present",9,IF(F3930="Half Day",4,0))</f>
        <v>0</v>
      </c>
      <c r="J3930" s="2"/>
      <c r="K3930" s="2" t="s">
        <v>460</v>
      </c>
    </row>
    <row r="3931" customFormat="false" ht="15" hidden="false" customHeight="false" outlineLevel="0" collapsed="false">
      <c r="A3931" s="2" t="s">
        <v>301</v>
      </c>
      <c r="B3931" s="2" t="s">
        <v>302</v>
      </c>
      <c r="C3931" s="2" t="s">
        <v>45</v>
      </c>
      <c r="D3931" s="3" t="n">
        <v>46258</v>
      </c>
      <c r="E3931" s="2" t="str">
        <f aca="false">TEXT(D3931,"dddd")</f>
        <v>Monday</v>
      </c>
      <c r="F3931" s="2" t="s">
        <v>457</v>
      </c>
      <c r="G3931" s="2" t="s">
        <v>458</v>
      </c>
      <c r="H3931" s="2" t="s">
        <v>459</v>
      </c>
      <c r="I3931" s="2" t="n">
        <f aca="false">IF(F3931="Present",9,IF(F3931="Half Day",4,0))</f>
        <v>9</v>
      </c>
      <c r="J3931" s="2"/>
      <c r="K3931" s="2"/>
    </row>
    <row r="3932" customFormat="false" ht="15" hidden="false" customHeight="false" outlineLevel="0" collapsed="false">
      <c r="A3932" s="2" t="s">
        <v>301</v>
      </c>
      <c r="B3932" s="2" t="s">
        <v>302</v>
      </c>
      <c r="C3932" s="2" t="s">
        <v>45</v>
      </c>
      <c r="D3932" s="3" t="n">
        <v>46259</v>
      </c>
      <c r="E3932" s="2" t="str">
        <f aca="false">TEXT(D3932,"dddd")</f>
        <v>Tuesday</v>
      </c>
      <c r="F3932" s="2" t="s">
        <v>457</v>
      </c>
      <c r="G3932" s="2" t="s">
        <v>458</v>
      </c>
      <c r="H3932" s="2" t="s">
        <v>459</v>
      </c>
      <c r="I3932" s="2" t="n">
        <f aca="false">IF(F3932="Present",9,IF(F3932="Half Day",4,0))</f>
        <v>9</v>
      </c>
      <c r="J3932" s="2"/>
      <c r="K3932" s="2"/>
    </row>
    <row r="3933" customFormat="false" ht="15" hidden="false" customHeight="false" outlineLevel="0" collapsed="false">
      <c r="A3933" s="2" t="s">
        <v>301</v>
      </c>
      <c r="B3933" s="2" t="s">
        <v>302</v>
      </c>
      <c r="C3933" s="2" t="s">
        <v>45</v>
      </c>
      <c r="D3933" s="3" t="n">
        <v>46260</v>
      </c>
      <c r="E3933" s="2" t="str">
        <f aca="false">TEXT(D3933,"dddd")</f>
        <v>Wednesday</v>
      </c>
      <c r="F3933" s="2" t="s">
        <v>457</v>
      </c>
      <c r="G3933" s="2" t="s">
        <v>458</v>
      </c>
      <c r="H3933" s="2" t="s">
        <v>459</v>
      </c>
      <c r="I3933" s="2" t="n">
        <f aca="false">IF(F3933="Present",9,IF(F3933="Half Day",4,0))</f>
        <v>9</v>
      </c>
      <c r="J3933" s="2"/>
      <c r="K3933" s="2"/>
    </row>
    <row r="3934" customFormat="false" ht="15" hidden="false" customHeight="false" outlineLevel="0" collapsed="false">
      <c r="A3934" s="2" t="s">
        <v>301</v>
      </c>
      <c r="B3934" s="2" t="s">
        <v>302</v>
      </c>
      <c r="C3934" s="2" t="s">
        <v>45</v>
      </c>
      <c r="D3934" s="3" t="n">
        <v>46261</v>
      </c>
      <c r="E3934" s="2" t="str">
        <f aca="false">TEXT(D3934,"dddd")</f>
        <v>Thursday</v>
      </c>
      <c r="F3934" s="2" t="s">
        <v>457</v>
      </c>
      <c r="G3934" s="2" t="s">
        <v>458</v>
      </c>
      <c r="H3934" s="2" t="s">
        <v>459</v>
      </c>
      <c r="I3934" s="2" t="n">
        <f aca="false">IF(F3934="Present",9,IF(F3934="Half Day",4,0))</f>
        <v>9</v>
      </c>
      <c r="J3934" s="2"/>
      <c r="K3934" s="2"/>
    </row>
    <row r="3935" customFormat="false" ht="15" hidden="false" customHeight="false" outlineLevel="0" collapsed="false">
      <c r="A3935" s="2" t="s">
        <v>301</v>
      </c>
      <c r="B3935" s="2" t="s">
        <v>302</v>
      </c>
      <c r="C3935" s="2" t="s">
        <v>45</v>
      </c>
      <c r="D3935" s="3" t="n">
        <v>46262</v>
      </c>
      <c r="E3935" s="2" t="str">
        <f aca="false">TEXT(D3935,"dddd")</f>
        <v>Friday</v>
      </c>
      <c r="F3935" s="2" t="s">
        <v>457</v>
      </c>
      <c r="G3935" s="2" t="s">
        <v>458</v>
      </c>
      <c r="H3935" s="2" t="s">
        <v>459</v>
      </c>
      <c r="I3935" s="2" t="n">
        <f aca="false">IF(F3935="Present",9,IF(F3935="Half Day",4,0))</f>
        <v>9</v>
      </c>
      <c r="J3935" s="2"/>
      <c r="K3935" s="2"/>
    </row>
    <row r="3936" customFormat="false" ht="15" hidden="false" customHeight="false" outlineLevel="0" collapsed="false">
      <c r="A3936" s="2" t="s">
        <v>301</v>
      </c>
      <c r="B3936" s="2" t="s">
        <v>302</v>
      </c>
      <c r="C3936" s="2" t="s">
        <v>45</v>
      </c>
      <c r="D3936" s="3" t="n">
        <v>46263</v>
      </c>
      <c r="E3936" s="2" t="str">
        <f aca="false">TEXT(D3936,"dddd")</f>
        <v>Saturday</v>
      </c>
      <c r="F3936" s="2" t="s">
        <v>457</v>
      </c>
      <c r="G3936" s="2" t="s">
        <v>458</v>
      </c>
      <c r="H3936" s="2" t="s">
        <v>459</v>
      </c>
      <c r="I3936" s="2" t="n">
        <f aca="false">IF(F3936="Present",9,IF(F3936="Half Day",4,0))</f>
        <v>9</v>
      </c>
      <c r="J3936" s="2"/>
      <c r="K3936" s="2"/>
    </row>
    <row r="3937" customFormat="false" ht="15" hidden="false" customHeight="false" outlineLevel="0" collapsed="false">
      <c r="A3937" s="2" t="s">
        <v>301</v>
      </c>
      <c r="B3937" s="2" t="s">
        <v>302</v>
      </c>
      <c r="C3937" s="2" t="s">
        <v>45</v>
      </c>
      <c r="D3937" s="3" t="n">
        <v>46264</v>
      </c>
      <c r="E3937" s="2" t="str">
        <f aca="false">TEXT(D3937,"dddd")</f>
        <v>Sunday</v>
      </c>
      <c r="F3937" s="2" t="s">
        <v>460</v>
      </c>
      <c r="G3937" s="2"/>
      <c r="H3937" s="2"/>
      <c r="I3937" s="2" t="n">
        <f aca="false">IF(F3937="Present",9,IF(F3937="Half Day",4,0))</f>
        <v>0</v>
      </c>
      <c r="J3937" s="2"/>
      <c r="K3937" s="2" t="s">
        <v>460</v>
      </c>
    </row>
    <row r="3938" customFormat="false" ht="15" hidden="false" customHeight="false" outlineLevel="0" collapsed="false">
      <c r="A3938" s="2" t="s">
        <v>301</v>
      </c>
      <c r="B3938" s="2" t="s">
        <v>302</v>
      </c>
      <c r="C3938" s="2" t="s">
        <v>45</v>
      </c>
      <c r="D3938" s="3" t="n">
        <v>46265</v>
      </c>
      <c r="E3938" s="2" t="str">
        <f aca="false">TEXT(D3938,"dddd")</f>
        <v>Monday</v>
      </c>
      <c r="F3938" s="2" t="s">
        <v>457</v>
      </c>
      <c r="G3938" s="2" t="s">
        <v>458</v>
      </c>
      <c r="H3938" s="2" t="s">
        <v>459</v>
      </c>
      <c r="I3938" s="2" t="n">
        <f aca="false">IF(F3938="Present",9,IF(F3938="Half Day",4,0))</f>
        <v>9</v>
      </c>
      <c r="J3938" s="2"/>
      <c r="K3938" s="2"/>
    </row>
    <row r="3939" customFormat="false" ht="15" hidden="false" customHeight="false" outlineLevel="0" collapsed="false">
      <c r="A3939" s="2" t="s">
        <v>303</v>
      </c>
      <c r="B3939" s="2" t="s">
        <v>304</v>
      </c>
      <c r="C3939" s="2" t="s">
        <v>49</v>
      </c>
      <c r="D3939" s="3" t="n">
        <v>46235</v>
      </c>
      <c r="E3939" s="2" t="str">
        <f aca="false">TEXT(D3939,"dddd")</f>
        <v>Saturday</v>
      </c>
      <c r="F3939" s="2" t="s">
        <v>461</v>
      </c>
      <c r="G3939" s="2"/>
      <c r="H3939" s="2"/>
      <c r="I3939" s="2" t="n">
        <f aca="false">IF(F3939="Present",9,IF(F3939="Half Day",4,0))</f>
        <v>0</v>
      </c>
      <c r="J3939" s="2"/>
      <c r="K3939" s="2" t="s">
        <v>462</v>
      </c>
    </row>
    <row r="3940" customFormat="false" ht="15" hidden="false" customHeight="false" outlineLevel="0" collapsed="false">
      <c r="A3940" s="2" t="s">
        <v>303</v>
      </c>
      <c r="B3940" s="2" t="s">
        <v>304</v>
      </c>
      <c r="C3940" s="2" t="s">
        <v>49</v>
      </c>
      <c r="D3940" s="3" t="n">
        <v>46236</v>
      </c>
      <c r="E3940" s="2" t="str">
        <f aca="false">TEXT(D3940,"dddd")</f>
        <v>Sunday</v>
      </c>
      <c r="F3940" s="2" t="s">
        <v>460</v>
      </c>
      <c r="G3940" s="2"/>
      <c r="H3940" s="2"/>
      <c r="I3940" s="2" t="n">
        <f aca="false">IF(F3940="Present",9,IF(F3940="Half Day",4,0))</f>
        <v>0</v>
      </c>
      <c r="J3940" s="2"/>
      <c r="K3940" s="2" t="s">
        <v>460</v>
      </c>
    </row>
    <row r="3941" customFormat="false" ht="15" hidden="false" customHeight="false" outlineLevel="0" collapsed="false">
      <c r="A3941" s="2" t="s">
        <v>303</v>
      </c>
      <c r="B3941" s="2" t="s">
        <v>304</v>
      </c>
      <c r="C3941" s="2" t="s">
        <v>49</v>
      </c>
      <c r="D3941" s="3" t="n">
        <v>46237</v>
      </c>
      <c r="E3941" s="2" t="str">
        <f aca="false">TEXT(D3941,"dddd")</f>
        <v>Monday</v>
      </c>
      <c r="F3941" s="2" t="s">
        <v>463</v>
      </c>
      <c r="G3941" s="2"/>
      <c r="H3941" s="2"/>
      <c r="I3941" s="2" t="n">
        <f aca="false">IF(F3941="Present",9,IF(F3941="Half Day",4,0))</f>
        <v>0</v>
      </c>
      <c r="J3941" s="2" t="s">
        <v>468</v>
      </c>
      <c r="K3941" s="2" t="s">
        <v>469</v>
      </c>
    </row>
    <row r="3942" customFormat="false" ht="15" hidden="false" customHeight="false" outlineLevel="0" collapsed="false">
      <c r="A3942" s="2" t="s">
        <v>303</v>
      </c>
      <c r="B3942" s="2" t="s">
        <v>304</v>
      </c>
      <c r="C3942" s="2" t="s">
        <v>49</v>
      </c>
      <c r="D3942" s="3" t="n">
        <v>46238</v>
      </c>
      <c r="E3942" s="2" t="str">
        <f aca="false">TEXT(D3942,"dddd")</f>
        <v>Tuesday</v>
      </c>
      <c r="F3942" s="2" t="s">
        <v>457</v>
      </c>
      <c r="G3942" s="2" t="s">
        <v>458</v>
      </c>
      <c r="H3942" s="2" t="s">
        <v>459</v>
      </c>
      <c r="I3942" s="2" t="n">
        <f aca="false">IF(F3942="Present",9,IF(F3942="Half Day",4,0))</f>
        <v>9</v>
      </c>
      <c r="J3942" s="2"/>
      <c r="K3942" s="2"/>
    </row>
    <row r="3943" customFormat="false" ht="15" hidden="false" customHeight="false" outlineLevel="0" collapsed="false">
      <c r="A3943" s="2" t="s">
        <v>303</v>
      </c>
      <c r="B3943" s="2" t="s">
        <v>304</v>
      </c>
      <c r="C3943" s="2" t="s">
        <v>49</v>
      </c>
      <c r="D3943" s="3" t="n">
        <v>46239</v>
      </c>
      <c r="E3943" s="2" t="str">
        <f aca="false">TEXT(D3943,"dddd")</f>
        <v>Wednesday</v>
      </c>
      <c r="F3943" s="2" t="s">
        <v>457</v>
      </c>
      <c r="G3943" s="2" t="s">
        <v>458</v>
      </c>
      <c r="H3943" s="2" t="s">
        <v>459</v>
      </c>
      <c r="I3943" s="2" t="n">
        <f aca="false">IF(F3943="Present",9,IF(F3943="Half Day",4,0))</f>
        <v>9</v>
      </c>
      <c r="J3943" s="2"/>
      <c r="K3943" s="2"/>
    </row>
    <row r="3944" customFormat="false" ht="15" hidden="false" customHeight="false" outlineLevel="0" collapsed="false">
      <c r="A3944" s="2" t="s">
        <v>303</v>
      </c>
      <c r="B3944" s="2" t="s">
        <v>304</v>
      </c>
      <c r="C3944" s="2" t="s">
        <v>49</v>
      </c>
      <c r="D3944" s="3" t="n">
        <v>46240</v>
      </c>
      <c r="E3944" s="2" t="str">
        <f aca="false">TEXT(D3944,"dddd")</f>
        <v>Thursday</v>
      </c>
      <c r="F3944" s="2" t="s">
        <v>457</v>
      </c>
      <c r="G3944" s="2" t="s">
        <v>458</v>
      </c>
      <c r="H3944" s="2" t="s">
        <v>459</v>
      </c>
      <c r="I3944" s="2" t="n">
        <f aca="false">IF(F3944="Present",9,IF(F3944="Half Day",4,0))</f>
        <v>9</v>
      </c>
      <c r="J3944" s="2"/>
      <c r="K3944" s="2"/>
    </row>
    <row r="3945" customFormat="false" ht="15" hidden="false" customHeight="false" outlineLevel="0" collapsed="false">
      <c r="A3945" s="2" t="s">
        <v>303</v>
      </c>
      <c r="B3945" s="2" t="s">
        <v>304</v>
      </c>
      <c r="C3945" s="2" t="s">
        <v>49</v>
      </c>
      <c r="D3945" s="3" t="n">
        <v>46241</v>
      </c>
      <c r="E3945" s="2" t="str">
        <f aca="false">TEXT(D3945,"dddd")</f>
        <v>Friday</v>
      </c>
      <c r="F3945" s="2" t="s">
        <v>457</v>
      </c>
      <c r="G3945" s="2" t="s">
        <v>458</v>
      </c>
      <c r="H3945" s="2" t="s">
        <v>459</v>
      </c>
      <c r="I3945" s="2" t="n">
        <f aca="false">IF(F3945="Present",9,IF(F3945="Half Day",4,0))</f>
        <v>9</v>
      </c>
      <c r="J3945" s="2"/>
      <c r="K3945" s="2"/>
    </row>
    <row r="3946" customFormat="false" ht="15" hidden="false" customHeight="false" outlineLevel="0" collapsed="false">
      <c r="A3946" s="2" t="s">
        <v>303</v>
      </c>
      <c r="B3946" s="2" t="s">
        <v>304</v>
      </c>
      <c r="C3946" s="2" t="s">
        <v>49</v>
      </c>
      <c r="D3946" s="3" t="n">
        <v>46242</v>
      </c>
      <c r="E3946" s="2" t="str">
        <f aca="false">TEXT(D3946,"dddd")</f>
        <v>Saturday</v>
      </c>
      <c r="F3946" s="2" t="s">
        <v>457</v>
      </c>
      <c r="G3946" s="2" t="s">
        <v>458</v>
      </c>
      <c r="H3946" s="2" t="s">
        <v>459</v>
      </c>
      <c r="I3946" s="2" t="n">
        <f aca="false">IF(F3946="Present",9,IF(F3946="Half Day",4,0))</f>
        <v>9</v>
      </c>
      <c r="J3946" s="2"/>
      <c r="K3946" s="2"/>
    </row>
    <row r="3947" customFormat="false" ht="15" hidden="false" customHeight="false" outlineLevel="0" collapsed="false">
      <c r="A3947" s="2" t="s">
        <v>303</v>
      </c>
      <c r="B3947" s="2" t="s">
        <v>304</v>
      </c>
      <c r="C3947" s="2" t="s">
        <v>49</v>
      </c>
      <c r="D3947" s="3" t="n">
        <v>46243</v>
      </c>
      <c r="E3947" s="2" t="str">
        <f aca="false">TEXT(D3947,"dddd")</f>
        <v>Sunday</v>
      </c>
      <c r="F3947" s="2" t="s">
        <v>460</v>
      </c>
      <c r="G3947" s="2"/>
      <c r="H3947" s="2"/>
      <c r="I3947" s="2" t="n">
        <f aca="false">IF(F3947="Present",9,IF(F3947="Half Day",4,0))</f>
        <v>0</v>
      </c>
      <c r="J3947" s="2"/>
      <c r="K3947" s="2" t="s">
        <v>460</v>
      </c>
    </row>
    <row r="3948" customFormat="false" ht="15" hidden="false" customHeight="false" outlineLevel="0" collapsed="false">
      <c r="A3948" s="2" t="s">
        <v>303</v>
      </c>
      <c r="B3948" s="2" t="s">
        <v>304</v>
      </c>
      <c r="C3948" s="2" t="s">
        <v>49</v>
      </c>
      <c r="D3948" s="3" t="n">
        <v>46244</v>
      </c>
      <c r="E3948" s="2" t="str">
        <f aca="false">TEXT(D3948,"dddd")</f>
        <v>Monday</v>
      </c>
      <c r="F3948" s="2" t="s">
        <v>457</v>
      </c>
      <c r="G3948" s="2" t="s">
        <v>458</v>
      </c>
      <c r="H3948" s="2" t="s">
        <v>459</v>
      </c>
      <c r="I3948" s="2" t="n">
        <f aca="false">IF(F3948="Present",9,IF(F3948="Half Day",4,0))</f>
        <v>9</v>
      </c>
      <c r="J3948" s="2"/>
      <c r="K3948" s="2"/>
    </row>
    <row r="3949" customFormat="false" ht="15" hidden="false" customHeight="false" outlineLevel="0" collapsed="false">
      <c r="A3949" s="2" t="s">
        <v>303</v>
      </c>
      <c r="B3949" s="2" t="s">
        <v>304</v>
      </c>
      <c r="C3949" s="2" t="s">
        <v>49</v>
      </c>
      <c r="D3949" s="3" t="n">
        <v>46245</v>
      </c>
      <c r="E3949" s="2" t="str">
        <f aca="false">TEXT(D3949,"dddd")</f>
        <v>Tuesday</v>
      </c>
      <c r="F3949" s="2" t="s">
        <v>461</v>
      </c>
      <c r="G3949" s="2"/>
      <c r="H3949" s="2"/>
      <c r="I3949" s="2" t="n">
        <f aca="false">IF(F3949="Present",9,IF(F3949="Half Day",4,0))</f>
        <v>0</v>
      </c>
      <c r="J3949" s="2"/>
      <c r="K3949" s="2" t="s">
        <v>462</v>
      </c>
    </row>
    <row r="3950" customFormat="false" ht="15" hidden="false" customHeight="false" outlineLevel="0" collapsed="false">
      <c r="A3950" s="2" t="s">
        <v>303</v>
      </c>
      <c r="B3950" s="2" t="s">
        <v>304</v>
      </c>
      <c r="C3950" s="2" t="s">
        <v>49</v>
      </c>
      <c r="D3950" s="3" t="n">
        <v>46246</v>
      </c>
      <c r="E3950" s="2" t="str">
        <f aca="false">TEXT(D3950,"dddd")</f>
        <v>Wednesday</v>
      </c>
      <c r="F3950" s="2" t="s">
        <v>457</v>
      </c>
      <c r="G3950" s="2" t="s">
        <v>458</v>
      </c>
      <c r="H3950" s="2" t="s">
        <v>459</v>
      </c>
      <c r="I3950" s="2" t="n">
        <f aca="false">IF(F3950="Present",9,IF(F3950="Half Day",4,0))</f>
        <v>9</v>
      </c>
      <c r="J3950" s="2"/>
      <c r="K3950" s="2"/>
    </row>
    <row r="3951" customFormat="false" ht="15" hidden="false" customHeight="false" outlineLevel="0" collapsed="false">
      <c r="A3951" s="2" t="s">
        <v>303</v>
      </c>
      <c r="B3951" s="2" t="s">
        <v>304</v>
      </c>
      <c r="C3951" s="2" t="s">
        <v>49</v>
      </c>
      <c r="D3951" s="3" t="n">
        <v>46247</v>
      </c>
      <c r="E3951" s="2" t="str">
        <f aca="false">TEXT(D3951,"dddd")</f>
        <v>Thursday</v>
      </c>
      <c r="F3951" s="2" t="s">
        <v>457</v>
      </c>
      <c r="G3951" s="2" t="s">
        <v>458</v>
      </c>
      <c r="H3951" s="2" t="s">
        <v>459</v>
      </c>
      <c r="I3951" s="2" t="n">
        <f aca="false">IF(F3951="Present",9,IF(F3951="Half Day",4,0))</f>
        <v>9</v>
      </c>
      <c r="J3951" s="2"/>
      <c r="K3951" s="2"/>
    </row>
    <row r="3952" customFormat="false" ht="15" hidden="false" customHeight="false" outlineLevel="0" collapsed="false">
      <c r="A3952" s="2" t="s">
        <v>303</v>
      </c>
      <c r="B3952" s="2" t="s">
        <v>304</v>
      </c>
      <c r="C3952" s="2" t="s">
        <v>49</v>
      </c>
      <c r="D3952" s="3" t="n">
        <v>46248</v>
      </c>
      <c r="E3952" s="2" t="str">
        <f aca="false">TEXT(D3952,"dddd")</f>
        <v>Friday</v>
      </c>
      <c r="F3952" s="2" t="s">
        <v>457</v>
      </c>
      <c r="G3952" s="2" t="s">
        <v>458</v>
      </c>
      <c r="H3952" s="2" t="s">
        <v>459</v>
      </c>
      <c r="I3952" s="2" t="n">
        <f aca="false">IF(F3952="Present",9,IF(F3952="Half Day",4,0))</f>
        <v>9</v>
      </c>
      <c r="J3952" s="2"/>
      <c r="K3952" s="2"/>
    </row>
    <row r="3953" customFormat="false" ht="15" hidden="false" customHeight="false" outlineLevel="0" collapsed="false">
      <c r="A3953" s="2" t="s">
        <v>303</v>
      </c>
      <c r="B3953" s="2" t="s">
        <v>304</v>
      </c>
      <c r="C3953" s="2" t="s">
        <v>49</v>
      </c>
      <c r="D3953" s="3" t="n">
        <v>46249</v>
      </c>
      <c r="E3953" s="2" t="str">
        <f aca="false">TEXT(D3953,"dddd")</f>
        <v>Saturday</v>
      </c>
      <c r="F3953" s="2" t="s">
        <v>457</v>
      </c>
      <c r="G3953" s="2" t="s">
        <v>458</v>
      </c>
      <c r="H3953" s="2" t="s">
        <v>459</v>
      </c>
      <c r="I3953" s="2" t="n">
        <f aca="false">IF(F3953="Present",9,IF(F3953="Half Day",4,0))</f>
        <v>9</v>
      </c>
      <c r="J3953" s="2"/>
      <c r="K3953" s="2"/>
    </row>
    <row r="3954" customFormat="false" ht="15" hidden="false" customHeight="false" outlineLevel="0" collapsed="false">
      <c r="A3954" s="2" t="s">
        <v>303</v>
      </c>
      <c r="B3954" s="2" t="s">
        <v>304</v>
      </c>
      <c r="C3954" s="2" t="s">
        <v>49</v>
      </c>
      <c r="D3954" s="3" t="n">
        <v>46250</v>
      </c>
      <c r="E3954" s="2" t="str">
        <f aca="false">TEXT(D3954,"dddd")</f>
        <v>Sunday</v>
      </c>
      <c r="F3954" s="2" t="s">
        <v>460</v>
      </c>
      <c r="G3954" s="2"/>
      <c r="H3954" s="2"/>
      <c r="I3954" s="2" t="n">
        <f aca="false">IF(F3954="Present",9,IF(F3954="Half Day",4,0))</f>
        <v>0</v>
      </c>
      <c r="J3954" s="2"/>
      <c r="K3954" s="2" t="s">
        <v>460</v>
      </c>
    </row>
    <row r="3955" customFormat="false" ht="15" hidden="false" customHeight="false" outlineLevel="0" collapsed="false">
      <c r="A3955" s="2" t="s">
        <v>303</v>
      </c>
      <c r="B3955" s="2" t="s">
        <v>304</v>
      </c>
      <c r="C3955" s="2" t="s">
        <v>49</v>
      </c>
      <c r="D3955" s="3" t="n">
        <v>46251</v>
      </c>
      <c r="E3955" s="2" t="str">
        <f aca="false">TEXT(D3955,"dddd")</f>
        <v>Monday</v>
      </c>
      <c r="F3955" s="2" t="s">
        <v>457</v>
      </c>
      <c r="G3955" s="2" t="s">
        <v>458</v>
      </c>
      <c r="H3955" s="2" t="s">
        <v>459</v>
      </c>
      <c r="I3955" s="2" t="n">
        <f aca="false">IF(F3955="Present",9,IF(F3955="Half Day",4,0))</f>
        <v>9</v>
      </c>
      <c r="J3955" s="2"/>
      <c r="K3955" s="2"/>
    </row>
    <row r="3956" customFormat="false" ht="15" hidden="false" customHeight="false" outlineLevel="0" collapsed="false">
      <c r="A3956" s="2" t="s">
        <v>303</v>
      </c>
      <c r="B3956" s="2" t="s">
        <v>304</v>
      </c>
      <c r="C3956" s="2" t="s">
        <v>49</v>
      </c>
      <c r="D3956" s="3" t="n">
        <v>46252</v>
      </c>
      <c r="E3956" s="2" t="str">
        <f aca="false">TEXT(D3956,"dddd")</f>
        <v>Tuesday</v>
      </c>
      <c r="F3956" s="2" t="s">
        <v>457</v>
      </c>
      <c r="G3956" s="2" t="s">
        <v>458</v>
      </c>
      <c r="H3956" s="2" t="s">
        <v>459</v>
      </c>
      <c r="I3956" s="2" t="n">
        <f aca="false">IF(F3956="Present",9,IF(F3956="Half Day",4,0))</f>
        <v>9</v>
      </c>
      <c r="J3956" s="2"/>
      <c r="K3956" s="2"/>
    </row>
    <row r="3957" customFormat="false" ht="15" hidden="false" customHeight="false" outlineLevel="0" collapsed="false">
      <c r="A3957" s="2" t="s">
        <v>303</v>
      </c>
      <c r="B3957" s="2" t="s">
        <v>304</v>
      </c>
      <c r="C3957" s="2" t="s">
        <v>49</v>
      </c>
      <c r="D3957" s="3" t="n">
        <v>46253</v>
      </c>
      <c r="E3957" s="2" t="str">
        <f aca="false">TEXT(D3957,"dddd")</f>
        <v>Wednesday</v>
      </c>
      <c r="F3957" s="2" t="s">
        <v>457</v>
      </c>
      <c r="G3957" s="2" t="s">
        <v>458</v>
      </c>
      <c r="H3957" s="2" t="s">
        <v>459</v>
      </c>
      <c r="I3957" s="2" t="n">
        <f aca="false">IF(F3957="Present",9,IF(F3957="Half Day",4,0))</f>
        <v>9</v>
      </c>
      <c r="J3957" s="2"/>
      <c r="K3957" s="2"/>
    </row>
    <row r="3958" customFormat="false" ht="15" hidden="false" customHeight="false" outlineLevel="0" collapsed="false">
      <c r="A3958" s="2" t="s">
        <v>303</v>
      </c>
      <c r="B3958" s="2" t="s">
        <v>304</v>
      </c>
      <c r="C3958" s="2" t="s">
        <v>49</v>
      </c>
      <c r="D3958" s="3" t="n">
        <v>46254</v>
      </c>
      <c r="E3958" s="2" t="str">
        <f aca="false">TEXT(D3958,"dddd")</f>
        <v>Thursday</v>
      </c>
      <c r="F3958" s="2" t="s">
        <v>457</v>
      </c>
      <c r="G3958" s="2" t="s">
        <v>458</v>
      </c>
      <c r="H3958" s="2" t="s">
        <v>459</v>
      </c>
      <c r="I3958" s="2" t="n">
        <f aca="false">IF(F3958="Present",9,IF(F3958="Half Day",4,0))</f>
        <v>9</v>
      </c>
      <c r="J3958" s="2"/>
      <c r="K3958" s="2"/>
    </row>
    <row r="3959" customFormat="false" ht="15" hidden="false" customHeight="false" outlineLevel="0" collapsed="false">
      <c r="A3959" s="2" t="s">
        <v>303</v>
      </c>
      <c r="B3959" s="2" t="s">
        <v>304</v>
      </c>
      <c r="C3959" s="2" t="s">
        <v>49</v>
      </c>
      <c r="D3959" s="3" t="n">
        <v>46255</v>
      </c>
      <c r="E3959" s="2" t="str">
        <f aca="false">TEXT(D3959,"dddd")</f>
        <v>Friday</v>
      </c>
      <c r="F3959" s="2" t="s">
        <v>461</v>
      </c>
      <c r="G3959" s="2"/>
      <c r="H3959" s="2"/>
      <c r="I3959" s="2" t="n">
        <f aca="false">IF(F3959="Present",9,IF(F3959="Half Day",4,0))</f>
        <v>0</v>
      </c>
      <c r="J3959" s="2"/>
      <c r="K3959" s="2" t="s">
        <v>462</v>
      </c>
    </row>
    <row r="3960" customFormat="false" ht="15" hidden="false" customHeight="false" outlineLevel="0" collapsed="false">
      <c r="A3960" s="2" t="s">
        <v>303</v>
      </c>
      <c r="B3960" s="2" t="s">
        <v>304</v>
      </c>
      <c r="C3960" s="2" t="s">
        <v>49</v>
      </c>
      <c r="D3960" s="3" t="n">
        <v>46256</v>
      </c>
      <c r="E3960" s="2" t="str">
        <f aca="false">TEXT(D3960,"dddd")</f>
        <v>Saturday</v>
      </c>
      <c r="F3960" s="2" t="s">
        <v>463</v>
      </c>
      <c r="G3960" s="2"/>
      <c r="H3960" s="2"/>
      <c r="I3960" s="2" t="n">
        <f aca="false">IF(F3960="Present",9,IF(F3960="Half Day",4,0))</f>
        <v>0</v>
      </c>
      <c r="J3960" s="2" t="s">
        <v>464</v>
      </c>
      <c r="K3960" s="2" t="s">
        <v>465</v>
      </c>
    </row>
    <row r="3961" customFormat="false" ht="15" hidden="false" customHeight="false" outlineLevel="0" collapsed="false">
      <c r="A3961" s="2" t="s">
        <v>303</v>
      </c>
      <c r="B3961" s="2" t="s">
        <v>304</v>
      </c>
      <c r="C3961" s="2" t="s">
        <v>49</v>
      </c>
      <c r="D3961" s="3" t="n">
        <v>46257</v>
      </c>
      <c r="E3961" s="2" t="str">
        <f aca="false">TEXT(D3961,"dddd")</f>
        <v>Sunday</v>
      </c>
      <c r="F3961" s="2" t="s">
        <v>460</v>
      </c>
      <c r="G3961" s="2"/>
      <c r="H3961" s="2"/>
      <c r="I3961" s="2" t="n">
        <f aca="false">IF(F3961="Present",9,IF(F3961="Half Day",4,0))</f>
        <v>0</v>
      </c>
      <c r="J3961" s="2"/>
      <c r="K3961" s="2" t="s">
        <v>460</v>
      </c>
    </row>
    <row r="3962" customFormat="false" ht="15" hidden="false" customHeight="false" outlineLevel="0" collapsed="false">
      <c r="A3962" s="2" t="s">
        <v>303</v>
      </c>
      <c r="B3962" s="2" t="s">
        <v>304</v>
      </c>
      <c r="C3962" s="2" t="s">
        <v>49</v>
      </c>
      <c r="D3962" s="3" t="n">
        <v>46258</v>
      </c>
      <c r="E3962" s="2" t="str">
        <f aca="false">TEXT(D3962,"dddd")</f>
        <v>Monday</v>
      </c>
      <c r="F3962" s="2" t="s">
        <v>457</v>
      </c>
      <c r="G3962" s="2" t="s">
        <v>458</v>
      </c>
      <c r="H3962" s="2" t="s">
        <v>459</v>
      </c>
      <c r="I3962" s="2" t="n">
        <f aca="false">IF(F3962="Present",9,IF(F3962="Half Day",4,0))</f>
        <v>9</v>
      </c>
      <c r="J3962" s="2"/>
      <c r="K3962" s="2"/>
    </row>
    <row r="3963" customFormat="false" ht="15" hidden="false" customHeight="false" outlineLevel="0" collapsed="false">
      <c r="A3963" s="2" t="s">
        <v>303</v>
      </c>
      <c r="B3963" s="2" t="s">
        <v>304</v>
      </c>
      <c r="C3963" s="2" t="s">
        <v>49</v>
      </c>
      <c r="D3963" s="3" t="n">
        <v>46259</v>
      </c>
      <c r="E3963" s="2" t="str">
        <f aca="false">TEXT(D3963,"dddd")</f>
        <v>Tuesday</v>
      </c>
      <c r="F3963" s="2" t="s">
        <v>457</v>
      </c>
      <c r="G3963" s="2" t="s">
        <v>458</v>
      </c>
      <c r="H3963" s="2" t="s">
        <v>459</v>
      </c>
      <c r="I3963" s="2" t="n">
        <f aca="false">IF(F3963="Present",9,IF(F3963="Half Day",4,0))</f>
        <v>9</v>
      </c>
      <c r="J3963" s="2"/>
      <c r="K3963" s="2"/>
    </row>
    <row r="3964" customFormat="false" ht="15" hidden="false" customHeight="false" outlineLevel="0" collapsed="false">
      <c r="A3964" s="2" t="s">
        <v>303</v>
      </c>
      <c r="B3964" s="2" t="s">
        <v>304</v>
      </c>
      <c r="C3964" s="2" t="s">
        <v>49</v>
      </c>
      <c r="D3964" s="3" t="n">
        <v>46260</v>
      </c>
      <c r="E3964" s="2" t="str">
        <f aca="false">TEXT(D3964,"dddd")</f>
        <v>Wednesday</v>
      </c>
      <c r="F3964" s="2" t="s">
        <v>457</v>
      </c>
      <c r="G3964" s="2" t="s">
        <v>458</v>
      </c>
      <c r="H3964" s="2" t="s">
        <v>459</v>
      </c>
      <c r="I3964" s="2" t="n">
        <f aca="false">IF(F3964="Present",9,IF(F3964="Half Day",4,0))</f>
        <v>9</v>
      </c>
      <c r="J3964" s="2"/>
      <c r="K3964" s="2"/>
    </row>
    <row r="3965" customFormat="false" ht="15" hidden="false" customHeight="false" outlineLevel="0" collapsed="false">
      <c r="A3965" s="2" t="s">
        <v>303</v>
      </c>
      <c r="B3965" s="2" t="s">
        <v>304</v>
      </c>
      <c r="C3965" s="2" t="s">
        <v>49</v>
      </c>
      <c r="D3965" s="3" t="n">
        <v>46261</v>
      </c>
      <c r="E3965" s="2" t="str">
        <f aca="false">TEXT(D3965,"dddd")</f>
        <v>Thursday</v>
      </c>
      <c r="F3965" s="2" t="s">
        <v>461</v>
      </c>
      <c r="G3965" s="2"/>
      <c r="H3965" s="2"/>
      <c r="I3965" s="2" t="n">
        <f aca="false">IF(F3965="Present",9,IF(F3965="Half Day",4,0))</f>
        <v>0</v>
      </c>
      <c r="J3965" s="2"/>
      <c r="K3965" s="2" t="s">
        <v>462</v>
      </c>
    </row>
    <row r="3966" customFormat="false" ht="15" hidden="false" customHeight="false" outlineLevel="0" collapsed="false">
      <c r="A3966" s="2" t="s">
        <v>303</v>
      </c>
      <c r="B3966" s="2" t="s">
        <v>304</v>
      </c>
      <c r="C3966" s="2" t="s">
        <v>49</v>
      </c>
      <c r="D3966" s="3" t="n">
        <v>46262</v>
      </c>
      <c r="E3966" s="2" t="str">
        <f aca="false">TEXT(D3966,"dddd")</f>
        <v>Friday</v>
      </c>
      <c r="F3966" s="2" t="s">
        <v>457</v>
      </c>
      <c r="G3966" s="2" t="s">
        <v>458</v>
      </c>
      <c r="H3966" s="2" t="s">
        <v>459</v>
      </c>
      <c r="I3966" s="2" t="n">
        <f aca="false">IF(F3966="Present",9,IF(F3966="Half Day",4,0))</f>
        <v>9</v>
      </c>
      <c r="J3966" s="2"/>
      <c r="K3966" s="2"/>
    </row>
    <row r="3967" customFormat="false" ht="15" hidden="false" customHeight="false" outlineLevel="0" collapsed="false">
      <c r="A3967" s="2" t="s">
        <v>303</v>
      </c>
      <c r="B3967" s="2" t="s">
        <v>304</v>
      </c>
      <c r="C3967" s="2" t="s">
        <v>49</v>
      </c>
      <c r="D3967" s="3" t="n">
        <v>46263</v>
      </c>
      <c r="E3967" s="2" t="str">
        <f aca="false">TEXT(D3967,"dddd")</f>
        <v>Saturday</v>
      </c>
      <c r="F3967" s="2" t="s">
        <v>457</v>
      </c>
      <c r="G3967" s="2" t="s">
        <v>458</v>
      </c>
      <c r="H3967" s="2" t="s">
        <v>459</v>
      </c>
      <c r="I3967" s="2" t="n">
        <f aca="false">IF(F3967="Present",9,IF(F3967="Half Day",4,0))</f>
        <v>9</v>
      </c>
      <c r="J3967" s="2"/>
      <c r="K3967" s="2"/>
    </row>
    <row r="3968" customFormat="false" ht="15" hidden="false" customHeight="false" outlineLevel="0" collapsed="false">
      <c r="A3968" s="2" t="s">
        <v>303</v>
      </c>
      <c r="B3968" s="2" t="s">
        <v>304</v>
      </c>
      <c r="C3968" s="2" t="s">
        <v>49</v>
      </c>
      <c r="D3968" s="3" t="n">
        <v>46264</v>
      </c>
      <c r="E3968" s="2" t="str">
        <f aca="false">TEXT(D3968,"dddd")</f>
        <v>Sunday</v>
      </c>
      <c r="F3968" s="2" t="s">
        <v>460</v>
      </c>
      <c r="G3968" s="2"/>
      <c r="H3968" s="2"/>
      <c r="I3968" s="2" t="n">
        <f aca="false">IF(F3968="Present",9,IF(F3968="Half Day",4,0))</f>
        <v>0</v>
      </c>
      <c r="J3968" s="2"/>
      <c r="K3968" s="2" t="s">
        <v>460</v>
      </c>
    </row>
    <row r="3969" customFormat="false" ht="15" hidden="false" customHeight="false" outlineLevel="0" collapsed="false">
      <c r="A3969" s="2" t="s">
        <v>303</v>
      </c>
      <c r="B3969" s="2" t="s">
        <v>304</v>
      </c>
      <c r="C3969" s="2" t="s">
        <v>49</v>
      </c>
      <c r="D3969" s="3" t="n">
        <v>46265</v>
      </c>
      <c r="E3969" s="2" t="str">
        <f aca="false">TEXT(D3969,"dddd")</f>
        <v>Monday</v>
      </c>
      <c r="F3969" s="2" t="s">
        <v>457</v>
      </c>
      <c r="G3969" s="2" t="s">
        <v>458</v>
      </c>
      <c r="H3969" s="2" t="s">
        <v>459</v>
      </c>
      <c r="I3969" s="2" t="n">
        <f aca="false">IF(F3969="Present",9,IF(F3969="Half Day",4,0))</f>
        <v>9</v>
      </c>
      <c r="J3969" s="2"/>
      <c r="K3969" s="2"/>
    </row>
    <row r="3970" customFormat="false" ht="15" hidden="false" customHeight="false" outlineLevel="0" collapsed="false">
      <c r="A3970" s="2" t="s">
        <v>305</v>
      </c>
      <c r="B3970" s="2" t="s">
        <v>306</v>
      </c>
      <c r="C3970" s="2" t="s">
        <v>53</v>
      </c>
      <c r="D3970" s="3" t="n">
        <v>46235</v>
      </c>
      <c r="E3970" s="2" t="str">
        <f aca="false">TEXT(D3970,"dddd")</f>
        <v>Saturday</v>
      </c>
      <c r="F3970" s="2" t="s">
        <v>457</v>
      </c>
      <c r="G3970" s="2" t="s">
        <v>458</v>
      </c>
      <c r="H3970" s="2" t="s">
        <v>459</v>
      </c>
      <c r="I3970" s="2" t="n">
        <f aca="false">IF(F3970="Present",9,IF(F3970="Half Day",4,0))</f>
        <v>9</v>
      </c>
      <c r="J3970" s="2"/>
      <c r="K3970" s="2"/>
    </row>
    <row r="3971" customFormat="false" ht="15" hidden="false" customHeight="false" outlineLevel="0" collapsed="false">
      <c r="A3971" s="2" t="s">
        <v>305</v>
      </c>
      <c r="B3971" s="2" t="s">
        <v>306</v>
      </c>
      <c r="C3971" s="2" t="s">
        <v>53</v>
      </c>
      <c r="D3971" s="3" t="n">
        <v>46236</v>
      </c>
      <c r="E3971" s="2" t="str">
        <f aca="false">TEXT(D3971,"dddd")</f>
        <v>Sunday</v>
      </c>
      <c r="F3971" s="2" t="s">
        <v>460</v>
      </c>
      <c r="G3971" s="2"/>
      <c r="H3971" s="2"/>
      <c r="I3971" s="2" t="n">
        <f aca="false">IF(F3971="Present",9,IF(F3971="Half Day",4,0))</f>
        <v>0</v>
      </c>
      <c r="J3971" s="2"/>
      <c r="K3971" s="2" t="s">
        <v>460</v>
      </c>
    </row>
    <row r="3972" customFormat="false" ht="15" hidden="false" customHeight="false" outlineLevel="0" collapsed="false">
      <c r="A3972" s="2" t="s">
        <v>305</v>
      </c>
      <c r="B3972" s="2" t="s">
        <v>306</v>
      </c>
      <c r="C3972" s="2" t="s">
        <v>53</v>
      </c>
      <c r="D3972" s="3" t="n">
        <v>46237</v>
      </c>
      <c r="E3972" s="2" t="str">
        <f aca="false">TEXT(D3972,"dddd")</f>
        <v>Monday</v>
      </c>
      <c r="F3972" s="2" t="s">
        <v>457</v>
      </c>
      <c r="G3972" s="2" t="s">
        <v>458</v>
      </c>
      <c r="H3972" s="2" t="s">
        <v>459</v>
      </c>
      <c r="I3972" s="2" t="n">
        <f aca="false">IF(F3972="Present",9,IF(F3972="Half Day",4,0))</f>
        <v>9</v>
      </c>
      <c r="J3972" s="2"/>
      <c r="K3972" s="2"/>
    </row>
    <row r="3973" customFormat="false" ht="15" hidden="false" customHeight="false" outlineLevel="0" collapsed="false">
      <c r="A3973" s="2" t="s">
        <v>305</v>
      </c>
      <c r="B3973" s="2" t="s">
        <v>306</v>
      </c>
      <c r="C3973" s="2" t="s">
        <v>53</v>
      </c>
      <c r="D3973" s="3" t="n">
        <v>46238</v>
      </c>
      <c r="E3973" s="2" t="str">
        <f aca="false">TEXT(D3973,"dddd")</f>
        <v>Tuesday</v>
      </c>
      <c r="F3973" s="2" t="s">
        <v>457</v>
      </c>
      <c r="G3973" s="2" t="s">
        <v>458</v>
      </c>
      <c r="H3973" s="2" t="s">
        <v>459</v>
      </c>
      <c r="I3973" s="2" t="n">
        <f aca="false">IF(F3973="Present",9,IF(F3973="Half Day",4,0))</f>
        <v>9</v>
      </c>
      <c r="J3973" s="2"/>
      <c r="K3973" s="2"/>
    </row>
    <row r="3974" customFormat="false" ht="15" hidden="false" customHeight="false" outlineLevel="0" collapsed="false">
      <c r="A3974" s="2" t="s">
        <v>305</v>
      </c>
      <c r="B3974" s="2" t="s">
        <v>306</v>
      </c>
      <c r="C3974" s="2" t="s">
        <v>53</v>
      </c>
      <c r="D3974" s="3" t="n">
        <v>46239</v>
      </c>
      <c r="E3974" s="2" t="str">
        <f aca="false">TEXT(D3974,"dddd")</f>
        <v>Wednesday</v>
      </c>
      <c r="F3974" s="2" t="s">
        <v>457</v>
      </c>
      <c r="G3974" s="2" t="s">
        <v>458</v>
      </c>
      <c r="H3974" s="2" t="s">
        <v>459</v>
      </c>
      <c r="I3974" s="2" t="n">
        <f aca="false">IF(F3974="Present",9,IF(F3974="Half Day",4,0))</f>
        <v>9</v>
      </c>
      <c r="J3974" s="2"/>
      <c r="K3974" s="2"/>
    </row>
    <row r="3975" customFormat="false" ht="15" hidden="false" customHeight="false" outlineLevel="0" collapsed="false">
      <c r="A3975" s="2" t="s">
        <v>305</v>
      </c>
      <c r="B3975" s="2" t="s">
        <v>306</v>
      </c>
      <c r="C3975" s="2" t="s">
        <v>53</v>
      </c>
      <c r="D3975" s="3" t="n">
        <v>46240</v>
      </c>
      <c r="E3975" s="2" t="str">
        <f aca="false">TEXT(D3975,"dddd")</f>
        <v>Thursday</v>
      </c>
      <c r="F3975" s="2" t="s">
        <v>457</v>
      </c>
      <c r="G3975" s="2" t="s">
        <v>458</v>
      </c>
      <c r="H3975" s="2" t="s">
        <v>459</v>
      </c>
      <c r="I3975" s="2" t="n">
        <f aca="false">IF(F3975="Present",9,IF(F3975="Half Day",4,0))</f>
        <v>9</v>
      </c>
      <c r="J3975" s="2"/>
      <c r="K3975" s="2"/>
    </row>
    <row r="3976" customFormat="false" ht="15" hidden="false" customHeight="false" outlineLevel="0" collapsed="false">
      <c r="A3976" s="2" t="s">
        <v>305</v>
      </c>
      <c r="B3976" s="2" t="s">
        <v>306</v>
      </c>
      <c r="C3976" s="2" t="s">
        <v>53</v>
      </c>
      <c r="D3976" s="3" t="n">
        <v>46241</v>
      </c>
      <c r="E3976" s="2" t="str">
        <f aca="false">TEXT(D3976,"dddd")</f>
        <v>Friday</v>
      </c>
      <c r="F3976" s="2" t="s">
        <v>457</v>
      </c>
      <c r="G3976" s="2" t="s">
        <v>458</v>
      </c>
      <c r="H3976" s="2" t="s">
        <v>459</v>
      </c>
      <c r="I3976" s="2" t="n">
        <f aca="false">IF(F3976="Present",9,IF(F3976="Half Day",4,0))</f>
        <v>9</v>
      </c>
      <c r="J3976" s="2"/>
      <c r="K3976" s="2"/>
    </row>
    <row r="3977" customFormat="false" ht="15" hidden="false" customHeight="false" outlineLevel="0" collapsed="false">
      <c r="A3977" s="2" t="s">
        <v>305</v>
      </c>
      <c r="B3977" s="2" t="s">
        <v>306</v>
      </c>
      <c r="C3977" s="2" t="s">
        <v>53</v>
      </c>
      <c r="D3977" s="3" t="n">
        <v>46242</v>
      </c>
      <c r="E3977" s="2" t="str">
        <f aca="false">TEXT(D3977,"dddd")</f>
        <v>Saturday</v>
      </c>
      <c r="F3977" s="2" t="s">
        <v>457</v>
      </c>
      <c r="G3977" s="2" t="s">
        <v>458</v>
      </c>
      <c r="H3977" s="2" t="s">
        <v>459</v>
      </c>
      <c r="I3977" s="2" t="n">
        <f aca="false">IF(F3977="Present",9,IF(F3977="Half Day",4,0))</f>
        <v>9</v>
      </c>
      <c r="J3977" s="2"/>
      <c r="K3977" s="2"/>
    </row>
    <row r="3978" customFormat="false" ht="15" hidden="false" customHeight="false" outlineLevel="0" collapsed="false">
      <c r="A3978" s="2" t="s">
        <v>305</v>
      </c>
      <c r="B3978" s="2" t="s">
        <v>306</v>
      </c>
      <c r="C3978" s="2" t="s">
        <v>53</v>
      </c>
      <c r="D3978" s="3" t="n">
        <v>46243</v>
      </c>
      <c r="E3978" s="2" t="str">
        <f aca="false">TEXT(D3978,"dddd")</f>
        <v>Sunday</v>
      </c>
      <c r="F3978" s="2" t="s">
        <v>460</v>
      </c>
      <c r="G3978" s="2"/>
      <c r="H3978" s="2"/>
      <c r="I3978" s="2" t="n">
        <f aca="false">IF(F3978="Present",9,IF(F3978="Half Day",4,0))</f>
        <v>0</v>
      </c>
      <c r="J3978" s="2"/>
      <c r="K3978" s="2" t="s">
        <v>460</v>
      </c>
    </row>
    <row r="3979" customFormat="false" ht="15" hidden="false" customHeight="false" outlineLevel="0" collapsed="false">
      <c r="A3979" s="2" t="s">
        <v>305</v>
      </c>
      <c r="B3979" s="2" t="s">
        <v>306</v>
      </c>
      <c r="C3979" s="2" t="s">
        <v>53</v>
      </c>
      <c r="D3979" s="3" t="n">
        <v>46244</v>
      </c>
      <c r="E3979" s="2" t="str">
        <f aca="false">TEXT(D3979,"dddd")</f>
        <v>Monday</v>
      </c>
      <c r="F3979" s="2" t="s">
        <v>457</v>
      </c>
      <c r="G3979" s="2" t="s">
        <v>458</v>
      </c>
      <c r="H3979" s="2" t="s">
        <v>459</v>
      </c>
      <c r="I3979" s="2" t="n">
        <f aca="false">IF(F3979="Present",9,IF(F3979="Half Day",4,0))</f>
        <v>9</v>
      </c>
      <c r="J3979" s="2"/>
      <c r="K3979" s="2"/>
    </row>
    <row r="3980" customFormat="false" ht="15" hidden="false" customHeight="false" outlineLevel="0" collapsed="false">
      <c r="A3980" s="2" t="s">
        <v>305</v>
      </c>
      <c r="B3980" s="2" t="s">
        <v>306</v>
      </c>
      <c r="C3980" s="2" t="s">
        <v>53</v>
      </c>
      <c r="D3980" s="3" t="n">
        <v>46245</v>
      </c>
      <c r="E3980" s="2" t="str">
        <f aca="false">TEXT(D3980,"dddd")</f>
        <v>Tuesday</v>
      </c>
      <c r="F3980" s="2" t="s">
        <v>457</v>
      </c>
      <c r="G3980" s="2" t="s">
        <v>458</v>
      </c>
      <c r="H3980" s="2" t="s">
        <v>459</v>
      </c>
      <c r="I3980" s="2" t="n">
        <f aca="false">IF(F3980="Present",9,IF(F3980="Half Day",4,0))</f>
        <v>9</v>
      </c>
      <c r="J3980" s="2"/>
      <c r="K3980" s="2"/>
    </row>
    <row r="3981" customFormat="false" ht="15" hidden="false" customHeight="false" outlineLevel="0" collapsed="false">
      <c r="A3981" s="2" t="s">
        <v>305</v>
      </c>
      <c r="B3981" s="2" t="s">
        <v>306</v>
      </c>
      <c r="C3981" s="2" t="s">
        <v>53</v>
      </c>
      <c r="D3981" s="3" t="n">
        <v>46246</v>
      </c>
      <c r="E3981" s="2" t="str">
        <f aca="false">TEXT(D3981,"dddd")</f>
        <v>Wednesday</v>
      </c>
      <c r="F3981" s="2" t="s">
        <v>457</v>
      </c>
      <c r="G3981" s="2" t="s">
        <v>458</v>
      </c>
      <c r="H3981" s="2" t="s">
        <v>459</v>
      </c>
      <c r="I3981" s="2" t="n">
        <f aca="false">IF(F3981="Present",9,IF(F3981="Half Day",4,0))</f>
        <v>9</v>
      </c>
      <c r="J3981" s="2"/>
      <c r="K3981" s="2"/>
    </row>
    <row r="3982" customFormat="false" ht="15" hidden="false" customHeight="false" outlineLevel="0" collapsed="false">
      <c r="A3982" s="2" t="s">
        <v>305</v>
      </c>
      <c r="B3982" s="2" t="s">
        <v>306</v>
      </c>
      <c r="C3982" s="2" t="s">
        <v>53</v>
      </c>
      <c r="D3982" s="3" t="n">
        <v>46247</v>
      </c>
      <c r="E3982" s="2" t="str">
        <f aca="false">TEXT(D3982,"dddd")</f>
        <v>Thursday</v>
      </c>
      <c r="F3982" s="2" t="s">
        <v>457</v>
      </c>
      <c r="G3982" s="2" t="s">
        <v>458</v>
      </c>
      <c r="H3982" s="2" t="s">
        <v>459</v>
      </c>
      <c r="I3982" s="2" t="n">
        <f aca="false">IF(F3982="Present",9,IF(F3982="Half Day",4,0))</f>
        <v>9</v>
      </c>
      <c r="J3982" s="2"/>
      <c r="K3982" s="2"/>
    </row>
    <row r="3983" customFormat="false" ht="15" hidden="false" customHeight="false" outlineLevel="0" collapsed="false">
      <c r="A3983" s="2" t="s">
        <v>305</v>
      </c>
      <c r="B3983" s="2" t="s">
        <v>306</v>
      </c>
      <c r="C3983" s="2" t="s">
        <v>53</v>
      </c>
      <c r="D3983" s="3" t="n">
        <v>46248</v>
      </c>
      <c r="E3983" s="2" t="str">
        <f aca="false">TEXT(D3983,"dddd")</f>
        <v>Friday</v>
      </c>
      <c r="F3983" s="2" t="s">
        <v>457</v>
      </c>
      <c r="G3983" s="2" t="s">
        <v>458</v>
      </c>
      <c r="H3983" s="2" t="s">
        <v>459</v>
      </c>
      <c r="I3983" s="2" t="n">
        <f aca="false">IF(F3983="Present",9,IF(F3983="Half Day",4,0))</f>
        <v>9</v>
      </c>
      <c r="J3983" s="2"/>
      <c r="K3983" s="2"/>
    </row>
    <row r="3984" customFormat="false" ht="15" hidden="false" customHeight="false" outlineLevel="0" collapsed="false">
      <c r="A3984" s="2" t="s">
        <v>305</v>
      </c>
      <c r="B3984" s="2" t="s">
        <v>306</v>
      </c>
      <c r="C3984" s="2" t="s">
        <v>53</v>
      </c>
      <c r="D3984" s="3" t="n">
        <v>46249</v>
      </c>
      <c r="E3984" s="2" t="str">
        <f aca="false">TEXT(D3984,"dddd")</f>
        <v>Saturday</v>
      </c>
      <c r="F3984" s="2" t="s">
        <v>461</v>
      </c>
      <c r="G3984" s="2"/>
      <c r="H3984" s="2"/>
      <c r="I3984" s="2" t="n">
        <f aca="false">IF(F3984="Present",9,IF(F3984="Half Day",4,0))</f>
        <v>0</v>
      </c>
      <c r="J3984" s="2"/>
      <c r="K3984" s="2" t="s">
        <v>462</v>
      </c>
    </row>
    <row r="3985" customFormat="false" ht="15" hidden="false" customHeight="false" outlineLevel="0" collapsed="false">
      <c r="A3985" s="2" t="s">
        <v>305</v>
      </c>
      <c r="B3985" s="2" t="s">
        <v>306</v>
      </c>
      <c r="C3985" s="2" t="s">
        <v>53</v>
      </c>
      <c r="D3985" s="3" t="n">
        <v>46250</v>
      </c>
      <c r="E3985" s="2" t="str">
        <f aca="false">TEXT(D3985,"dddd")</f>
        <v>Sunday</v>
      </c>
      <c r="F3985" s="2" t="s">
        <v>460</v>
      </c>
      <c r="G3985" s="2"/>
      <c r="H3985" s="2"/>
      <c r="I3985" s="2" t="n">
        <f aca="false">IF(F3985="Present",9,IF(F3985="Half Day",4,0))</f>
        <v>0</v>
      </c>
      <c r="J3985" s="2"/>
      <c r="K3985" s="2" t="s">
        <v>460</v>
      </c>
    </row>
    <row r="3986" customFormat="false" ht="15" hidden="false" customHeight="false" outlineLevel="0" collapsed="false">
      <c r="A3986" s="2" t="s">
        <v>305</v>
      </c>
      <c r="B3986" s="2" t="s">
        <v>306</v>
      </c>
      <c r="C3986" s="2" t="s">
        <v>53</v>
      </c>
      <c r="D3986" s="3" t="n">
        <v>46251</v>
      </c>
      <c r="E3986" s="2" t="str">
        <f aca="false">TEXT(D3986,"dddd")</f>
        <v>Monday</v>
      </c>
      <c r="F3986" s="2" t="s">
        <v>457</v>
      </c>
      <c r="G3986" s="2" t="s">
        <v>458</v>
      </c>
      <c r="H3986" s="2" t="s">
        <v>459</v>
      </c>
      <c r="I3986" s="2" t="n">
        <f aca="false">IF(F3986="Present",9,IF(F3986="Half Day",4,0))</f>
        <v>9</v>
      </c>
      <c r="J3986" s="2"/>
      <c r="K3986" s="2"/>
    </row>
    <row r="3987" customFormat="false" ht="15" hidden="false" customHeight="false" outlineLevel="0" collapsed="false">
      <c r="A3987" s="2" t="s">
        <v>305</v>
      </c>
      <c r="B3987" s="2" t="s">
        <v>306</v>
      </c>
      <c r="C3987" s="2" t="s">
        <v>53</v>
      </c>
      <c r="D3987" s="3" t="n">
        <v>46252</v>
      </c>
      <c r="E3987" s="2" t="str">
        <f aca="false">TEXT(D3987,"dddd")</f>
        <v>Tuesday</v>
      </c>
      <c r="F3987" s="2" t="s">
        <v>466</v>
      </c>
      <c r="G3987" s="2" t="s">
        <v>458</v>
      </c>
      <c r="H3987" s="2" t="s">
        <v>467</v>
      </c>
      <c r="I3987" s="2" t="n">
        <f aca="false">IF(F3987="Present",9,IF(F3987="Half Day",4,0))</f>
        <v>4</v>
      </c>
      <c r="J3987" s="2"/>
      <c r="K3987" s="2" t="s">
        <v>466</v>
      </c>
    </row>
    <row r="3988" customFormat="false" ht="15" hidden="false" customHeight="false" outlineLevel="0" collapsed="false">
      <c r="A3988" s="2" t="s">
        <v>305</v>
      </c>
      <c r="B3988" s="2" t="s">
        <v>306</v>
      </c>
      <c r="C3988" s="2" t="s">
        <v>53</v>
      </c>
      <c r="D3988" s="3" t="n">
        <v>46253</v>
      </c>
      <c r="E3988" s="2" t="str">
        <f aca="false">TEXT(D3988,"dddd")</f>
        <v>Wednesday</v>
      </c>
      <c r="F3988" s="2" t="s">
        <v>457</v>
      </c>
      <c r="G3988" s="2" t="s">
        <v>458</v>
      </c>
      <c r="H3988" s="2" t="s">
        <v>459</v>
      </c>
      <c r="I3988" s="2" t="n">
        <f aca="false">IF(F3988="Present",9,IF(F3988="Half Day",4,0))</f>
        <v>9</v>
      </c>
      <c r="J3988" s="2"/>
      <c r="K3988" s="2"/>
    </row>
    <row r="3989" customFormat="false" ht="15" hidden="false" customHeight="false" outlineLevel="0" collapsed="false">
      <c r="A3989" s="2" t="s">
        <v>305</v>
      </c>
      <c r="B3989" s="2" t="s">
        <v>306</v>
      </c>
      <c r="C3989" s="2" t="s">
        <v>53</v>
      </c>
      <c r="D3989" s="3" t="n">
        <v>46254</v>
      </c>
      <c r="E3989" s="2" t="str">
        <f aca="false">TEXT(D3989,"dddd")</f>
        <v>Thursday</v>
      </c>
      <c r="F3989" s="2" t="s">
        <v>457</v>
      </c>
      <c r="G3989" s="2" t="s">
        <v>458</v>
      </c>
      <c r="H3989" s="2" t="s">
        <v>459</v>
      </c>
      <c r="I3989" s="2" t="n">
        <f aca="false">IF(F3989="Present",9,IF(F3989="Half Day",4,0))</f>
        <v>9</v>
      </c>
      <c r="J3989" s="2"/>
      <c r="K3989" s="2"/>
    </row>
    <row r="3990" customFormat="false" ht="15" hidden="false" customHeight="false" outlineLevel="0" collapsed="false">
      <c r="A3990" s="2" t="s">
        <v>305</v>
      </c>
      <c r="B3990" s="2" t="s">
        <v>306</v>
      </c>
      <c r="C3990" s="2" t="s">
        <v>53</v>
      </c>
      <c r="D3990" s="3" t="n">
        <v>46255</v>
      </c>
      <c r="E3990" s="2" t="str">
        <f aca="false">TEXT(D3990,"dddd")</f>
        <v>Friday</v>
      </c>
      <c r="F3990" s="2" t="s">
        <v>457</v>
      </c>
      <c r="G3990" s="2" t="s">
        <v>458</v>
      </c>
      <c r="H3990" s="2" t="s">
        <v>459</v>
      </c>
      <c r="I3990" s="2" t="n">
        <f aca="false">IF(F3990="Present",9,IF(F3990="Half Day",4,0))</f>
        <v>9</v>
      </c>
      <c r="J3990" s="2"/>
      <c r="K3990" s="2"/>
    </row>
    <row r="3991" customFormat="false" ht="15" hidden="false" customHeight="false" outlineLevel="0" collapsed="false">
      <c r="A3991" s="2" t="s">
        <v>305</v>
      </c>
      <c r="B3991" s="2" t="s">
        <v>306</v>
      </c>
      <c r="C3991" s="2" t="s">
        <v>53</v>
      </c>
      <c r="D3991" s="3" t="n">
        <v>46256</v>
      </c>
      <c r="E3991" s="2" t="str">
        <f aca="false">TEXT(D3991,"dddd")</f>
        <v>Saturday</v>
      </c>
      <c r="F3991" s="2" t="s">
        <v>457</v>
      </c>
      <c r="G3991" s="2" t="s">
        <v>458</v>
      </c>
      <c r="H3991" s="2" t="s">
        <v>459</v>
      </c>
      <c r="I3991" s="2" t="n">
        <f aca="false">IF(F3991="Present",9,IF(F3991="Half Day",4,0))</f>
        <v>9</v>
      </c>
      <c r="J3991" s="2"/>
      <c r="K3991" s="2"/>
    </row>
    <row r="3992" customFormat="false" ht="15" hidden="false" customHeight="false" outlineLevel="0" collapsed="false">
      <c r="A3992" s="2" t="s">
        <v>305</v>
      </c>
      <c r="B3992" s="2" t="s">
        <v>306</v>
      </c>
      <c r="C3992" s="2" t="s">
        <v>53</v>
      </c>
      <c r="D3992" s="3" t="n">
        <v>46257</v>
      </c>
      <c r="E3992" s="2" t="str">
        <f aca="false">TEXT(D3992,"dddd")</f>
        <v>Sunday</v>
      </c>
      <c r="F3992" s="2" t="s">
        <v>460</v>
      </c>
      <c r="G3992" s="2"/>
      <c r="H3992" s="2"/>
      <c r="I3992" s="2" t="n">
        <f aca="false">IF(F3992="Present",9,IF(F3992="Half Day",4,0))</f>
        <v>0</v>
      </c>
      <c r="J3992" s="2"/>
      <c r="K3992" s="2" t="s">
        <v>460</v>
      </c>
    </row>
    <row r="3993" customFormat="false" ht="15" hidden="false" customHeight="false" outlineLevel="0" collapsed="false">
      <c r="A3993" s="2" t="s">
        <v>305</v>
      </c>
      <c r="B3993" s="2" t="s">
        <v>306</v>
      </c>
      <c r="C3993" s="2" t="s">
        <v>53</v>
      </c>
      <c r="D3993" s="3" t="n">
        <v>46258</v>
      </c>
      <c r="E3993" s="2" t="str">
        <f aca="false">TEXT(D3993,"dddd")</f>
        <v>Monday</v>
      </c>
      <c r="F3993" s="2" t="s">
        <v>457</v>
      </c>
      <c r="G3993" s="2" t="s">
        <v>458</v>
      </c>
      <c r="H3993" s="2" t="s">
        <v>459</v>
      </c>
      <c r="I3993" s="2" t="n">
        <f aca="false">IF(F3993="Present",9,IF(F3993="Half Day",4,0))</f>
        <v>9</v>
      </c>
      <c r="J3993" s="2"/>
      <c r="K3993" s="2"/>
    </row>
    <row r="3994" customFormat="false" ht="15" hidden="false" customHeight="false" outlineLevel="0" collapsed="false">
      <c r="A3994" s="2" t="s">
        <v>305</v>
      </c>
      <c r="B3994" s="2" t="s">
        <v>306</v>
      </c>
      <c r="C3994" s="2" t="s">
        <v>53</v>
      </c>
      <c r="D3994" s="3" t="n">
        <v>46259</v>
      </c>
      <c r="E3994" s="2" t="str">
        <f aca="false">TEXT(D3994,"dddd")</f>
        <v>Tuesday</v>
      </c>
      <c r="F3994" s="2" t="s">
        <v>457</v>
      </c>
      <c r="G3994" s="2" t="s">
        <v>458</v>
      </c>
      <c r="H3994" s="2" t="s">
        <v>459</v>
      </c>
      <c r="I3994" s="2" t="n">
        <f aca="false">IF(F3994="Present",9,IF(F3994="Half Day",4,0))</f>
        <v>9</v>
      </c>
      <c r="J3994" s="2"/>
      <c r="K3994" s="2"/>
    </row>
    <row r="3995" customFormat="false" ht="15" hidden="false" customHeight="false" outlineLevel="0" collapsed="false">
      <c r="A3995" s="2" t="s">
        <v>305</v>
      </c>
      <c r="B3995" s="2" t="s">
        <v>306</v>
      </c>
      <c r="C3995" s="2" t="s">
        <v>53</v>
      </c>
      <c r="D3995" s="3" t="n">
        <v>46260</v>
      </c>
      <c r="E3995" s="2" t="str">
        <f aca="false">TEXT(D3995,"dddd")</f>
        <v>Wednesday</v>
      </c>
      <c r="F3995" s="2" t="s">
        <v>457</v>
      </c>
      <c r="G3995" s="2" t="s">
        <v>458</v>
      </c>
      <c r="H3995" s="2" t="s">
        <v>459</v>
      </c>
      <c r="I3995" s="2" t="n">
        <f aca="false">IF(F3995="Present",9,IF(F3995="Half Day",4,0))</f>
        <v>9</v>
      </c>
      <c r="J3995" s="2"/>
      <c r="K3995" s="2"/>
    </row>
    <row r="3996" customFormat="false" ht="15" hidden="false" customHeight="false" outlineLevel="0" collapsed="false">
      <c r="A3996" s="2" t="s">
        <v>305</v>
      </c>
      <c r="B3996" s="2" t="s">
        <v>306</v>
      </c>
      <c r="C3996" s="2" t="s">
        <v>53</v>
      </c>
      <c r="D3996" s="3" t="n">
        <v>46261</v>
      </c>
      <c r="E3996" s="2" t="str">
        <f aca="false">TEXT(D3996,"dddd")</f>
        <v>Thursday</v>
      </c>
      <c r="F3996" s="2" t="s">
        <v>461</v>
      </c>
      <c r="G3996" s="2"/>
      <c r="H3996" s="2"/>
      <c r="I3996" s="2" t="n">
        <f aca="false">IF(F3996="Present",9,IF(F3996="Half Day",4,0))</f>
        <v>0</v>
      </c>
      <c r="J3996" s="2"/>
      <c r="K3996" s="2" t="s">
        <v>462</v>
      </c>
    </row>
    <row r="3997" customFormat="false" ht="15" hidden="false" customHeight="false" outlineLevel="0" collapsed="false">
      <c r="A3997" s="2" t="s">
        <v>305</v>
      </c>
      <c r="B3997" s="2" t="s">
        <v>306</v>
      </c>
      <c r="C3997" s="2" t="s">
        <v>53</v>
      </c>
      <c r="D3997" s="3" t="n">
        <v>46262</v>
      </c>
      <c r="E3997" s="2" t="str">
        <f aca="false">TEXT(D3997,"dddd")</f>
        <v>Friday</v>
      </c>
      <c r="F3997" s="2" t="s">
        <v>457</v>
      </c>
      <c r="G3997" s="2" t="s">
        <v>458</v>
      </c>
      <c r="H3997" s="2" t="s">
        <v>459</v>
      </c>
      <c r="I3997" s="2" t="n">
        <f aca="false">IF(F3997="Present",9,IF(F3997="Half Day",4,0))</f>
        <v>9</v>
      </c>
      <c r="J3997" s="2"/>
      <c r="K3997" s="2"/>
    </row>
    <row r="3998" customFormat="false" ht="15" hidden="false" customHeight="false" outlineLevel="0" collapsed="false">
      <c r="A3998" s="2" t="s">
        <v>305</v>
      </c>
      <c r="B3998" s="2" t="s">
        <v>306</v>
      </c>
      <c r="C3998" s="2" t="s">
        <v>53</v>
      </c>
      <c r="D3998" s="3" t="n">
        <v>46263</v>
      </c>
      <c r="E3998" s="2" t="str">
        <f aca="false">TEXT(D3998,"dddd")</f>
        <v>Saturday</v>
      </c>
      <c r="F3998" s="2" t="s">
        <v>461</v>
      </c>
      <c r="G3998" s="2"/>
      <c r="H3998" s="2"/>
      <c r="I3998" s="2" t="n">
        <f aca="false">IF(F3998="Present",9,IF(F3998="Half Day",4,0))</f>
        <v>0</v>
      </c>
      <c r="J3998" s="2"/>
      <c r="K3998" s="2" t="s">
        <v>462</v>
      </c>
    </row>
    <row r="3999" customFormat="false" ht="15" hidden="false" customHeight="false" outlineLevel="0" collapsed="false">
      <c r="A3999" s="2" t="s">
        <v>305</v>
      </c>
      <c r="B3999" s="2" t="s">
        <v>306</v>
      </c>
      <c r="C3999" s="2" t="s">
        <v>53</v>
      </c>
      <c r="D3999" s="3" t="n">
        <v>46264</v>
      </c>
      <c r="E3999" s="2" t="str">
        <f aca="false">TEXT(D3999,"dddd")</f>
        <v>Sunday</v>
      </c>
      <c r="F3999" s="2" t="s">
        <v>460</v>
      </c>
      <c r="G3999" s="2"/>
      <c r="H3999" s="2"/>
      <c r="I3999" s="2" t="n">
        <f aca="false">IF(F3999="Present",9,IF(F3999="Half Day",4,0))</f>
        <v>0</v>
      </c>
      <c r="J3999" s="2"/>
      <c r="K3999" s="2" t="s">
        <v>460</v>
      </c>
    </row>
    <row r="4000" customFormat="false" ht="15" hidden="false" customHeight="false" outlineLevel="0" collapsed="false">
      <c r="A4000" s="2" t="s">
        <v>305</v>
      </c>
      <c r="B4000" s="2" t="s">
        <v>306</v>
      </c>
      <c r="C4000" s="2" t="s">
        <v>53</v>
      </c>
      <c r="D4000" s="3" t="n">
        <v>46265</v>
      </c>
      <c r="E4000" s="2" t="str">
        <f aca="false">TEXT(D4000,"dddd")</f>
        <v>Monday</v>
      </c>
      <c r="F4000" s="2" t="s">
        <v>461</v>
      </c>
      <c r="G4000" s="2"/>
      <c r="H4000" s="2"/>
      <c r="I4000" s="2" t="n">
        <f aca="false">IF(F4000="Present",9,IF(F4000="Half Day",4,0))</f>
        <v>0</v>
      </c>
      <c r="J4000" s="2"/>
      <c r="K4000" s="2" t="s">
        <v>462</v>
      </c>
    </row>
    <row r="4001" customFormat="false" ht="15" hidden="false" customHeight="false" outlineLevel="0" collapsed="false">
      <c r="A4001" s="2" t="s">
        <v>307</v>
      </c>
      <c r="B4001" s="2" t="s">
        <v>308</v>
      </c>
      <c r="C4001" s="2" t="s">
        <v>57</v>
      </c>
      <c r="D4001" s="3" t="n">
        <v>46235</v>
      </c>
      <c r="E4001" s="2" t="str">
        <f aca="false">TEXT(D4001,"dddd")</f>
        <v>Saturday</v>
      </c>
      <c r="F4001" s="2" t="s">
        <v>461</v>
      </c>
      <c r="G4001" s="2"/>
      <c r="H4001" s="2"/>
      <c r="I4001" s="2" t="n">
        <f aca="false">IF(F4001="Present",9,IF(F4001="Half Day",4,0))</f>
        <v>0</v>
      </c>
      <c r="J4001" s="2"/>
      <c r="K4001" s="2" t="s">
        <v>462</v>
      </c>
    </row>
    <row r="4002" customFormat="false" ht="15" hidden="false" customHeight="false" outlineLevel="0" collapsed="false">
      <c r="A4002" s="2" t="s">
        <v>307</v>
      </c>
      <c r="B4002" s="2" t="s">
        <v>308</v>
      </c>
      <c r="C4002" s="2" t="s">
        <v>57</v>
      </c>
      <c r="D4002" s="3" t="n">
        <v>46236</v>
      </c>
      <c r="E4002" s="2" t="str">
        <f aca="false">TEXT(D4002,"dddd")</f>
        <v>Sunday</v>
      </c>
      <c r="F4002" s="2" t="s">
        <v>460</v>
      </c>
      <c r="G4002" s="2"/>
      <c r="H4002" s="2"/>
      <c r="I4002" s="2" t="n">
        <f aca="false">IF(F4002="Present",9,IF(F4002="Half Day",4,0))</f>
        <v>0</v>
      </c>
      <c r="J4002" s="2"/>
      <c r="K4002" s="2" t="s">
        <v>460</v>
      </c>
    </row>
    <row r="4003" customFormat="false" ht="15" hidden="false" customHeight="false" outlineLevel="0" collapsed="false">
      <c r="A4003" s="2" t="s">
        <v>307</v>
      </c>
      <c r="B4003" s="2" t="s">
        <v>308</v>
      </c>
      <c r="C4003" s="2" t="s">
        <v>57</v>
      </c>
      <c r="D4003" s="3" t="n">
        <v>46237</v>
      </c>
      <c r="E4003" s="2" t="str">
        <f aca="false">TEXT(D4003,"dddd")</f>
        <v>Monday</v>
      </c>
      <c r="F4003" s="2" t="s">
        <v>457</v>
      </c>
      <c r="G4003" s="2" t="s">
        <v>458</v>
      </c>
      <c r="H4003" s="2" t="s">
        <v>459</v>
      </c>
      <c r="I4003" s="2" t="n">
        <f aca="false">IF(F4003="Present",9,IF(F4003="Half Day",4,0))</f>
        <v>9</v>
      </c>
      <c r="J4003" s="2"/>
      <c r="K4003" s="2"/>
    </row>
    <row r="4004" customFormat="false" ht="15" hidden="false" customHeight="false" outlineLevel="0" collapsed="false">
      <c r="A4004" s="2" t="s">
        <v>307</v>
      </c>
      <c r="B4004" s="2" t="s">
        <v>308</v>
      </c>
      <c r="C4004" s="2" t="s">
        <v>57</v>
      </c>
      <c r="D4004" s="3" t="n">
        <v>46238</v>
      </c>
      <c r="E4004" s="2" t="str">
        <f aca="false">TEXT(D4004,"dddd")</f>
        <v>Tuesday</v>
      </c>
      <c r="F4004" s="2" t="s">
        <v>457</v>
      </c>
      <c r="G4004" s="2" t="s">
        <v>458</v>
      </c>
      <c r="H4004" s="2" t="s">
        <v>459</v>
      </c>
      <c r="I4004" s="2" t="n">
        <f aca="false">IF(F4004="Present",9,IF(F4004="Half Day",4,0))</f>
        <v>9</v>
      </c>
      <c r="J4004" s="2"/>
      <c r="K4004" s="2"/>
    </row>
    <row r="4005" customFormat="false" ht="15" hidden="false" customHeight="false" outlineLevel="0" collapsed="false">
      <c r="A4005" s="2" t="s">
        <v>307</v>
      </c>
      <c r="B4005" s="2" t="s">
        <v>308</v>
      </c>
      <c r="C4005" s="2" t="s">
        <v>57</v>
      </c>
      <c r="D4005" s="3" t="n">
        <v>46239</v>
      </c>
      <c r="E4005" s="2" t="str">
        <f aca="false">TEXT(D4005,"dddd")</f>
        <v>Wednesday</v>
      </c>
      <c r="F4005" s="2" t="s">
        <v>461</v>
      </c>
      <c r="G4005" s="2"/>
      <c r="H4005" s="2"/>
      <c r="I4005" s="2" t="n">
        <f aca="false">IF(F4005="Present",9,IF(F4005="Half Day",4,0))</f>
        <v>0</v>
      </c>
      <c r="J4005" s="2"/>
      <c r="K4005" s="2" t="s">
        <v>462</v>
      </c>
    </row>
    <row r="4006" customFormat="false" ht="15" hidden="false" customHeight="false" outlineLevel="0" collapsed="false">
      <c r="A4006" s="2" t="s">
        <v>307</v>
      </c>
      <c r="B4006" s="2" t="s">
        <v>308</v>
      </c>
      <c r="C4006" s="2" t="s">
        <v>57</v>
      </c>
      <c r="D4006" s="3" t="n">
        <v>46240</v>
      </c>
      <c r="E4006" s="2" t="str">
        <f aca="false">TEXT(D4006,"dddd")</f>
        <v>Thursday</v>
      </c>
      <c r="F4006" s="2" t="s">
        <v>457</v>
      </c>
      <c r="G4006" s="2" t="s">
        <v>458</v>
      </c>
      <c r="H4006" s="2" t="s">
        <v>459</v>
      </c>
      <c r="I4006" s="2" t="n">
        <f aca="false">IF(F4006="Present",9,IF(F4006="Half Day",4,0))</f>
        <v>9</v>
      </c>
      <c r="J4006" s="2"/>
      <c r="K4006" s="2"/>
    </row>
    <row r="4007" customFormat="false" ht="15" hidden="false" customHeight="false" outlineLevel="0" collapsed="false">
      <c r="A4007" s="2" t="s">
        <v>307</v>
      </c>
      <c r="B4007" s="2" t="s">
        <v>308</v>
      </c>
      <c r="C4007" s="2" t="s">
        <v>57</v>
      </c>
      <c r="D4007" s="3" t="n">
        <v>46241</v>
      </c>
      <c r="E4007" s="2" t="str">
        <f aca="false">TEXT(D4007,"dddd")</f>
        <v>Friday</v>
      </c>
      <c r="F4007" s="2" t="s">
        <v>457</v>
      </c>
      <c r="G4007" s="2" t="s">
        <v>458</v>
      </c>
      <c r="H4007" s="2" t="s">
        <v>459</v>
      </c>
      <c r="I4007" s="2" t="n">
        <f aca="false">IF(F4007="Present",9,IF(F4007="Half Day",4,0))</f>
        <v>9</v>
      </c>
      <c r="J4007" s="2"/>
      <c r="K4007" s="2"/>
    </row>
    <row r="4008" customFormat="false" ht="15" hidden="false" customHeight="false" outlineLevel="0" collapsed="false">
      <c r="A4008" s="2" t="s">
        <v>307</v>
      </c>
      <c r="B4008" s="2" t="s">
        <v>308</v>
      </c>
      <c r="C4008" s="2" t="s">
        <v>57</v>
      </c>
      <c r="D4008" s="3" t="n">
        <v>46242</v>
      </c>
      <c r="E4008" s="2" t="str">
        <f aca="false">TEXT(D4008,"dddd")</f>
        <v>Saturday</v>
      </c>
      <c r="F4008" s="2" t="s">
        <v>457</v>
      </c>
      <c r="G4008" s="2" t="s">
        <v>458</v>
      </c>
      <c r="H4008" s="2" t="s">
        <v>459</v>
      </c>
      <c r="I4008" s="2" t="n">
        <f aca="false">IF(F4008="Present",9,IF(F4008="Half Day",4,0))</f>
        <v>9</v>
      </c>
      <c r="J4008" s="2"/>
      <c r="K4008" s="2"/>
    </row>
    <row r="4009" customFormat="false" ht="15" hidden="false" customHeight="false" outlineLevel="0" collapsed="false">
      <c r="A4009" s="2" t="s">
        <v>307</v>
      </c>
      <c r="B4009" s="2" t="s">
        <v>308</v>
      </c>
      <c r="C4009" s="2" t="s">
        <v>57</v>
      </c>
      <c r="D4009" s="3" t="n">
        <v>46243</v>
      </c>
      <c r="E4009" s="2" t="str">
        <f aca="false">TEXT(D4009,"dddd")</f>
        <v>Sunday</v>
      </c>
      <c r="F4009" s="2" t="s">
        <v>460</v>
      </c>
      <c r="G4009" s="2"/>
      <c r="H4009" s="2"/>
      <c r="I4009" s="2" t="n">
        <f aca="false">IF(F4009="Present",9,IF(F4009="Half Day",4,0))</f>
        <v>0</v>
      </c>
      <c r="J4009" s="2"/>
      <c r="K4009" s="2" t="s">
        <v>460</v>
      </c>
    </row>
    <row r="4010" customFormat="false" ht="15" hidden="false" customHeight="false" outlineLevel="0" collapsed="false">
      <c r="A4010" s="2" t="s">
        <v>307</v>
      </c>
      <c r="B4010" s="2" t="s">
        <v>308</v>
      </c>
      <c r="C4010" s="2" t="s">
        <v>57</v>
      </c>
      <c r="D4010" s="3" t="n">
        <v>46244</v>
      </c>
      <c r="E4010" s="2" t="str">
        <f aca="false">TEXT(D4010,"dddd")</f>
        <v>Monday</v>
      </c>
      <c r="F4010" s="2" t="s">
        <v>463</v>
      </c>
      <c r="G4010" s="2"/>
      <c r="H4010" s="2"/>
      <c r="I4010" s="2" t="n">
        <f aca="false">IF(F4010="Present",9,IF(F4010="Half Day",4,0))</f>
        <v>0</v>
      </c>
      <c r="J4010" s="2" t="s">
        <v>470</v>
      </c>
      <c r="K4010" s="2" t="s">
        <v>471</v>
      </c>
    </row>
    <row r="4011" customFormat="false" ht="15" hidden="false" customHeight="false" outlineLevel="0" collapsed="false">
      <c r="A4011" s="2" t="s">
        <v>307</v>
      </c>
      <c r="B4011" s="2" t="s">
        <v>308</v>
      </c>
      <c r="C4011" s="2" t="s">
        <v>57</v>
      </c>
      <c r="D4011" s="3" t="n">
        <v>46245</v>
      </c>
      <c r="E4011" s="2" t="str">
        <f aca="false">TEXT(D4011,"dddd")</f>
        <v>Tuesday</v>
      </c>
      <c r="F4011" s="2" t="s">
        <v>457</v>
      </c>
      <c r="G4011" s="2" t="s">
        <v>458</v>
      </c>
      <c r="H4011" s="2" t="s">
        <v>459</v>
      </c>
      <c r="I4011" s="2" t="n">
        <f aca="false">IF(F4011="Present",9,IF(F4011="Half Day",4,0))</f>
        <v>9</v>
      </c>
      <c r="J4011" s="2"/>
      <c r="K4011" s="2"/>
    </row>
    <row r="4012" customFormat="false" ht="15" hidden="false" customHeight="false" outlineLevel="0" collapsed="false">
      <c r="A4012" s="2" t="s">
        <v>307</v>
      </c>
      <c r="B4012" s="2" t="s">
        <v>308</v>
      </c>
      <c r="C4012" s="2" t="s">
        <v>57</v>
      </c>
      <c r="D4012" s="3" t="n">
        <v>46246</v>
      </c>
      <c r="E4012" s="2" t="str">
        <f aca="false">TEXT(D4012,"dddd")</f>
        <v>Wednesday</v>
      </c>
      <c r="F4012" s="2" t="s">
        <v>457</v>
      </c>
      <c r="G4012" s="2" t="s">
        <v>458</v>
      </c>
      <c r="H4012" s="2" t="s">
        <v>459</v>
      </c>
      <c r="I4012" s="2" t="n">
        <f aca="false">IF(F4012="Present",9,IF(F4012="Half Day",4,0))</f>
        <v>9</v>
      </c>
      <c r="J4012" s="2"/>
      <c r="K4012" s="2"/>
    </row>
    <row r="4013" customFormat="false" ht="15" hidden="false" customHeight="false" outlineLevel="0" collapsed="false">
      <c r="A4013" s="2" t="s">
        <v>307</v>
      </c>
      <c r="B4013" s="2" t="s">
        <v>308</v>
      </c>
      <c r="C4013" s="2" t="s">
        <v>57</v>
      </c>
      <c r="D4013" s="3" t="n">
        <v>46247</v>
      </c>
      <c r="E4013" s="2" t="str">
        <f aca="false">TEXT(D4013,"dddd")</f>
        <v>Thursday</v>
      </c>
      <c r="F4013" s="2" t="s">
        <v>457</v>
      </c>
      <c r="G4013" s="2" t="s">
        <v>458</v>
      </c>
      <c r="H4013" s="2" t="s">
        <v>459</v>
      </c>
      <c r="I4013" s="2" t="n">
        <f aca="false">IF(F4013="Present",9,IF(F4013="Half Day",4,0))</f>
        <v>9</v>
      </c>
      <c r="J4013" s="2"/>
      <c r="K4013" s="2"/>
    </row>
    <row r="4014" customFormat="false" ht="15" hidden="false" customHeight="false" outlineLevel="0" collapsed="false">
      <c r="A4014" s="2" t="s">
        <v>307</v>
      </c>
      <c r="B4014" s="2" t="s">
        <v>308</v>
      </c>
      <c r="C4014" s="2" t="s">
        <v>57</v>
      </c>
      <c r="D4014" s="3" t="n">
        <v>46248</v>
      </c>
      <c r="E4014" s="2" t="str">
        <f aca="false">TEXT(D4014,"dddd")</f>
        <v>Friday</v>
      </c>
      <c r="F4014" s="2" t="s">
        <v>461</v>
      </c>
      <c r="G4014" s="2"/>
      <c r="H4014" s="2"/>
      <c r="I4014" s="2" t="n">
        <f aca="false">IF(F4014="Present",9,IF(F4014="Half Day",4,0))</f>
        <v>0</v>
      </c>
      <c r="J4014" s="2"/>
      <c r="K4014" s="2" t="s">
        <v>462</v>
      </c>
    </row>
    <row r="4015" customFormat="false" ht="15" hidden="false" customHeight="false" outlineLevel="0" collapsed="false">
      <c r="A4015" s="2" t="s">
        <v>307</v>
      </c>
      <c r="B4015" s="2" t="s">
        <v>308</v>
      </c>
      <c r="C4015" s="2" t="s">
        <v>57</v>
      </c>
      <c r="D4015" s="3" t="n">
        <v>46249</v>
      </c>
      <c r="E4015" s="2" t="str">
        <f aca="false">TEXT(D4015,"dddd")</f>
        <v>Saturday</v>
      </c>
      <c r="F4015" s="2" t="s">
        <v>457</v>
      </c>
      <c r="G4015" s="2" t="s">
        <v>458</v>
      </c>
      <c r="H4015" s="2" t="s">
        <v>459</v>
      </c>
      <c r="I4015" s="2" t="n">
        <f aca="false">IF(F4015="Present",9,IF(F4015="Half Day",4,0))</f>
        <v>9</v>
      </c>
      <c r="J4015" s="2"/>
      <c r="K4015" s="2"/>
    </row>
    <row r="4016" customFormat="false" ht="15" hidden="false" customHeight="false" outlineLevel="0" collapsed="false">
      <c r="A4016" s="2" t="s">
        <v>307</v>
      </c>
      <c r="B4016" s="2" t="s">
        <v>308</v>
      </c>
      <c r="C4016" s="2" t="s">
        <v>57</v>
      </c>
      <c r="D4016" s="3" t="n">
        <v>46250</v>
      </c>
      <c r="E4016" s="2" t="str">
        <f aca="false">TEXT(D4016,"dddd")</f>
        <v>Sunday</v>
      </c>
      <c r="F4016" s="2" t="s">
        <v>460</v>
      </c>
      <c r="G4016" s="2"/>
      <c r="H4016" s="2"/>
      <c r="I4016" s="2" t="n">
        <f aca="false">IF(F4016="Present",9,IF(F4016="Half Day",4,0))</f>
        <v>0</v>
      </c>
      <c r="J4016" s="2"/>
      <c r="K4016" s="2" t="s">
        <v>460</v>
      </c>
    </row>
    <row r="4017" customFormat="false" ht="15" hidden="false" customHeight="false" outlineLevel="0" collapsed="false">
      <c r="A4017" s="2" t="s">
        <v>307</v>
      </c>
      <c r="B4017" s="2" t="s">
        <v>308</v>
      </c>
      <c r="C4017" s="2" t="s">
        <v>57</v>
      </c>
      <c r="D4017" s="3" t="n">
        <v>46251</v>
      </c>
      <c r="E4017" s="2" t="str">
        <f aca="false">TEXT(D4017,"dddd")</f>
        <v>Monday</v>
      </c>
      <c r="F4017" s="2" t="s">
        <v>457</v>
      </c>
      <c r="G4017" s="2" t="s">
        <v>458</v>
      </c>
      <c r="H4017" s="2" t="s">
        <v>459</v>
      </c>
      <c r="I4017" s="2" t="n">
        <f aca="false">IF(F4017="Present",9,IF(F4017="Half Day",4,0))</f>
        <v>9</v>
      </c>
      <c r="J4017" s="2"/>
      <c r="K4017" s="2"/>
    </row>
    <row r="4018" customFormat="false" ht="15" hidden="false" customHeight="false" outlineLevel="0" collapsed="false">
      <c r="A4018" s="2" t="s">
        <v>307</v>
      </c>
      <c r="B4018" s="2" t="s">
        <v>308</v>
      </c>
      <c r="C4018" s="2" t="s">
        <v>57</v>
      </c>
      <c r="D4018" s="3" t="n">
        <v>46252</v>
      </c>
      <c r="E4018" s="2" t="str">
        <f aca="false">TEXT(D4018,"dddd")</f>
        <v>Tuesday</v>
      </c>
      <c r="F4018" s="2" t="s">
        <v>457</v>
      </c>
      <c r="G4018" s="2" t="s">
        <v>458</v>
      </c>
      <c r="H4018" s="2" t="s">
        <v>459</v>
      </c>
      <c r="I4018" s="2" t="n">
        <f aca="false">IF(F4018="Present",9,IF(F4018="Half Day",4,0))</f>
        <v>9</v>
      </c>
      <c r="J4018" s="2"/>
      <c r="K4018" s="2"/>
    </row>
    <row r="4019" customFormat="false" ht="15" hidden="false" customHeight="false" outlineLevel="0" collapsed="false">
      <c r="A4019" s="2" t="s">
        <v>307</v>
      </c>
      <c r="B4019" s="2" t="s">
        <v>308</v>
      </c>
      <c r="C4019" s="2" t="s">
        <v>57</v>
      </c>
      <c r="D4019" s="3" t="n">
        <v>46253</v>
      </c>
      <c r="E4019" s="2" t="str">
        <f aca="false">TEXT(D4019,"dddd")</f>
        <v>Wednesday</v>
      </c>
      <c r="F4019" s="2" t="s">
        <v>457</v>
      </c>
      <c r="G4019" s="2" t="s">
        <v>458</v>
      </c>
      <c r="H4019" s="2" t="s">
        <v>459</v>
      </c>
      <c r="I4019" s="2" t="n">
        <f aca="false">IF(F4019="Present",9,IF(F4019="Half Day",4,0))</f>
        <v>9</v>
      </c>
      <c r="J4019" s="2"/>
      <c r="K4019" s="2"/>
    </row>
    <row r="4020" customFormat="false" ht="15" hidden="false" customHeight="false" outlineLevel="0" collapsed="false">
      <c r="A4020" s="2" t="s">
        <v>307</v>
      </c>
      <c r="B4020" s="2" t="s">
        <v>308</v>
      </c>
      <c r="C4020" s="2" t="s">
        <v>57</v>
      </c>
      <c r="D4020" s="3" t="n">
        <v>46254</v>
      </c>
      <c r="E4020" s="2" t="str">
        <f aca="false">TEXT(D4020,"dddd")</f>
        <v>Thursday</v>
      </c>
      <c r="F4020" s="2" t="s">
        <v>457</v>
      </c>
      <c r="G4020" s="2" t="s">
        <v>458</v>
      </c>
      <c r="H4020" s="2" t="s">
        <v>459</v>
      </c>
      <c r="I4020" s="2" t="n">
        <f aca="false">IF(F4020="Present",9,IF(F4020="Half Day",4,0))</f>
        <v>9</v>
      </c>
      <c r="J4020" s="2"/>
      <c r="K4020" s="2"/>
    </row>
    <row r="4021" customFormat="false" ht="15" hidden="false" customHeight="false" outlineLevel="0" collapsed="false">
      <c r="A4021" s="2" t="s">
        <v>307</v>
      </c>
      <c r="B4021" s="2" t="s">
        <v>308</v>
      </c>
      <c r="C4021" s="2" t="s">
        <v>57</v>
      </c>
      <c r="D4021" s="3" t="n">
        <v>46255</v>
      </c>
      <c r="E4021" s="2" t="str">
        <f aca="false">TEXT(D4021,"dddd")</f>
        <v>Friday</v>
      </c>
      <c r="F4021" s="2" t="s">
        <v>457</v>
      </c>
      <c r="G4021" s="2" t="s">
        <v>458</v>
      </c>
      <c r="H4021" s="2" t="s">
        <v>459</v>
      </c>
      <c r="I4021" s="2" t="n">
        <f aca="false">IF(F4021="Present",9,IF(F4021="Half Day",4,0))</f>
        <v>9</v>
      </c>
      <c r="J4021" s="2"/>
      <c r="K4021" s="2"/>
    </row>
    <row r="4022" customFormat="false" ht="15" hidden="false" customHeight="false" outlineLevel="0" collapsed="false">
      <c r="A4022" s="2" t="s">
        <v>307</v>
      </c>
      <c r="B4022" s="2" t="s">
        <v>308</v>
      </c>
      <c r="C4022" s="2" t="s">
        <v>57</v>
      </c>
      <c r="D4022" s="3" t="n">
        <v>46256</v>
      </c>
      <c r="E4022" s="2" t="str">
        <f aca="false">TEXT(D4022,"dddd")</f>
        <v>Saturday</v>
      </c>
      <c r="F4022" s="2" t="s">
        <v>461</v>
      </c>
      <c r="G4022" s="2"/>
      <c r="H4022" s="2"/>
      <c r="I4022" s="2" t="n">
        <f aca="false">IF(F4022="Present",9,IF(F4022="Half Day",4,0))</f>
        <v>0</v>
      </c>
      <c r="J4022" s="2"/>
      <c r="K4022" s="2" t="s">
        <v>462</v>
      </c>
    </row>
    <row r="4023" customFormat="false" ht="15" hidden="false" customHeight="false" outlineLevel="0" collapsed="false">
      <c r="A4023" s="2" t="s">
        <v>307</v>
      </c>
      <c r="B4023" s="2" t="s">
        <v>308</v>
      </c>
      <c r="C4023" s="2" t="s">
        <v>57</v>
      </c>
      <c r="D4023" s="3" t="n">
        <v>46257</v>
      </c>
      <c r="E4023" s="2" t="str">
        <f aca="false">TEXT(D4023,"dddd")</f>
        <v>Sunday</v>
      </c>
      <c r="F4023" s="2" t="s">
        <v>460</v>
      </c>
      <c r="G4023" s="2"/>
      <c r="H4023" s="2"/>
      <c r="I4023" s="2" t="n">
        <f aca="false">IF(F4023="Present",9,IF(F4023="Half Day",4,0))</f>
        <v>0</v>
      </c>
      <c r="J4023" s="2"/>
      <c r="K4023" s="2" t="s">
        <v>460</v>
      </c>
    </row>
    <row r="4024" customFormat="false" ht="15" hidden="false" customHeight="false" outlineLevel="0" collapsed="false">
      <c r="A4024" s="2" t="s">
        <v>307</v>
      </c>
      <c r="B4024" s="2" t="s">
        <v>308</v>
      </c>
      <c r="C4024" s="2" t="s">
        <v>57</v>
      </c>
      <c r="D4024" s="3" t="n">
        <v>46258</v>
      </c>
      <c r="E4024" s="2" t="str">
        <f aca="false">TEXT(D4024,"dddd")</f>
        <v>Monday</v>
      </c>
      <c r="F4024" s="2" t="s">
        <v>457</v>
      </c>
      <c r="G4024" s="2" t="s">
        <v>458</v>
      </c>
      <c r="H4024" s="2" t="s">
        <v>459</v>
      </c>
      <c r="I4024" s="2" t="n">
        <f aca="false">IF(F4024="Present",9,IF(F4024="Half Day",4,0))</f>
        <v>9</v>
      </c>
      <c r="J4024" s="2"/>
      <c r="K4024" s="2"/>
    </row>
    <row r="4025" customFormat="false" ht="15" hidden="false" customHeight="false" outlineLevel="0" collapsed="false">
      <c r="A4025" s="2" t="s">
        <v>307</v>
      </c>
      <c r="B4025" s="2" t="s">
        <v>308</v>
      </c>
      <c r="C4025" s="2" t="s">
        <v>57</v>
      </c>
      <c r="D4025" s="3" t="n">
        <v>46259</v>
      </c>
      <c r="E4025" s="2" t="str">
        <f aca="false">TEXT(D4025,"dddd")</f>
        <v>Tuesday</v>
      </c>
      <c r="F4025" s="2" t="s">
        <v>457</v>
      </c>
      <c r="G4025" s="2" t="s">
        <v>458</v>
      </c>
      <c r="H4025" s="2" t="s">
        <v>459</v>
      </c>
      <c r="I4025" s="2" t="n">
        <f aca="false">IF(F4025="Present",9,IF(F4025="Half Day",4,0))</f>
        <v>9</v>
      </c>
      <c r="J4025" s="2"/>
      <c r="K4025" s="2"/>
    </row>
    <row r="4026" customFormat="false" ht="15" hidden="false" customHeight="false" outlineLevel="0" collapsed="false">
      <c r="A4026" s="2" t="s">
        <v>307</v>
      </c>
      <c r="B4026" s="2" t="s">
        <v>308</v>
      </c>
      <c r="C4026" s="2" t="s">
        <v>57</v>
      </c>
      <c r="D4026" s="3" t="n">
        <v>46260</v>
      </c>
      <c r="E4026" s="2" t="str">
        <f aca="false">TEXT(D4026,"dddd")</f>
        <v>Wednesday</v>
      </c>
      <c r="F4026" s="2" t="s">
        <v>457</v>
      </c>
      <c r="G4026" s="2" t="s">
        <v>458</v>
      </c>
      <c r="H4026" s="2" t="s">
        <v>459</v>
      </c>
      <c r="I4026" s="2" t="n">
        <f aca="false">IF(F4026="Present",9,IF(F4026="Half Day",4,0))</f>
        <v>9</v>
      </c>
      <c r="J4026" s="2"/>
      <c r="K4026" s="2"/>
    </row>
    <row r="4027" customFormat="false" ht="15" hidden="false" customHeight="false" outlineLevel="0" collapsed="false">
      <c r="A4027" s="2" t="s">
        <v>307</v>
      </c>
      <c r="B4027" s="2" t="s">
        <v>308</v>
      </c>
      <c r="C4027" s="2" t="s">
        <v>57</v>
      </c>
      <c r="D4027" s="3" t="n">
        <v>46261</v>
      </c>
      <c r="E4027" s="2" t="str">
        <f aca="false">TEXT(D4027,"dddd")</f>
        <v>Thursday</v>
      </c>
      <c r="F4027" s="2" t="s">
        <v>457</v>
      </c>
      <c r="G4027" s="2" t="s">
        <v>458</v>
      </c>
      <c r="H4027" s="2" t="s">
        <v>459</v>
      </c>
      <c r="I4027" s="2" t="n">
        <f aca="false">IF(F4027="Present",9,IF(F4027="Half Day",4,0))</f>
        <v>9</v>
      </c>
      <c r="J4027" s="2"/>
      <c r="K4027" s="2"/>
    </row>
    <row r="4028" customFormat="false" ht="15" hidden="false" customHeight="false" outlineLevel="0" collapsed="false">
      <c r="A4028" s="2" t="s">
        <v>307</v>
      </c>
      <c r="B4028" s="2" t="s">
        <v>308</v>
      </c>
      <c r="C4028" s="2" t="s">
        <v>57</v>
      </c>
      <c r="D4028" s="3" t="n">
        <v>46262</v>
      </c>
      <c r="E4028" s="2" t="str">
        <f aca="false">TEXT(D4028,"dddd")</f>
        <v>Friday</v>
      </c>
      <c r="F4028" s="2" t="s">
        <v>457</v>
      </c>
      <c r="G4028" s="2" t="s">
        <v>458</v>
      </c>
      <c r="H4028" s="2" t="s">
        <v>459</v>
      </c>
      <c r="I4028" s="2" t="n">
        <f aca="false">IF(F4028="Present",9,IF(F4028="Half Day",4,0))</f>
        <v>9</v>
      </c>
      <c r="J4028" s="2"/>
      <c r="K4028" s="2"/>
    </row>
    <row r="4029" customFormat="false" ht="15" hidden="false" customHeight="false" outlineLevel="0" collapsed="false">
      <c r="A4029" s="2" t="s">
        <v>307</v>
      </c>
      <c r="B4029" s="2" t="s">
        <v>308</v>
      </c>
      <c r="C4029" s="2" t="s">
        <v>57</v>
      </c>
      <c r="D4029" s="3" t="n">
        <v>46263</v>
      </c>
      <c r="E4029" s="2" t="str">
        <f aca="false">TEXT(D4029,"dddd")</f>
        <v>Saturday</v>
      </c>
      <c r="F4029" s="2" t="s">
        <v>457</v>
      </c>
      <c r="G4029" s="2" t="s">
        <v>458</v>
      </c>
      <c r="H4029" s="2" t="s">
        <v>459</v>
      </c>
      <c r="I4029" s="2" t="n">
        <f aca="false">IF(F4029="Present",9,IF(F4029="Half Day",4,0))</f>
        <v>9</v>
      </c>
      <c r="J4029" s="2"/>
      <c r="K4029" s="2"/>
    </row>
    <row r="4030" customFormat="false" ht="15" hidden="false" customHeight="false" outlineLevel="0" collapsed="false">
      <c r="A4030" s="2" t="s">
        <v>307</v>
      </c>
      <c r="B4030" s="2" t="s">
        <v>308</v>
      </c>
      <c r="C4030" s="2" t="s">
        <v>57</v>
      </c>
      <c r="D4030" s="3" t="n">
        <v>46264</v>
      </c>
      <c r="E4030" s="2" t="str">
        <f aca="false">TEXT(D4030,"dddd")</f>
        <v>Sunday</v>
      </c>
      <c r="F4030" s="2" t="s">
        <v>460</v>
      </c>
      <c r="G4030" s="2"/>
      <c r="H4030" s="2"/>
      <c r="I4030" s="2" t="n">
        <f aca="false">IF(F4030="Present",9,IF(F4030="Half Day",4,0))</f>
        <v>0</v>
      </c>
      <c r="J4030" s="2"/>
      <c r="K4030" s="2" t="s">
        <v>460</v>
      </c>
    </row>
    <row r="4031" customFormat="false" ht="15" hidden="false" customHeight="false" outlineLevel="0" collapsed="false">
      <c r="A4031" s="2" t="s">
        <v>307</v>
      </c>
      <c r="B4031" s="2" t="s">
        <v>308</v>
      </c>
      <c r="C4031" s="2" t="s">
        <v>57</v>
      </c>
      <c r="D4031" s="3" t="n">
        <v>46265</v>
      </c>
      <c r="E4031" s="2" t="str">
        <f aca="false">TEXT(D4031,"dddd")</f>
        <v>Monday</v>
      </c>
      <c r="F4031" s="2" t="s">
        <v>457</v>
      </c>
      <c r="G4031" s="2" t="s">
        <v>458</v>
      </c>
      <c r="H4031" s="2" t="s">
        <v>459</v>
      </c>
      <c r="I4031" s="2" t="n">
        <f aca="false">IF(F4031="Present",9,IF(F4031="Half Day",4,0))</f>
        <v>9</v>
      </c>
      <c r="J4031" s="2"/>
      <c r="K4031" s="2"/>
    </row>
    <row r="4032" customFormat="false" ht="15" hidden="false" customHeight="false" outlineLevel="0" collapsed="false">
      <c r="A4032" s="2" t="s">
        <v>309</v>
      </c>
      <c r="B4032" s="2" t="s">
        <v>310</v>
      </c>
      <c r="C4032" s="2" t="s">
        <v>17</v>
      </c>
      <c r="D4032" s="3" t="n">
        <v>46235</v>
      </c>
      <c r="E4032" s="2" t="str">
        <f aca="false">TEXT(D4032,"dddd")</f>
        <v>Saturday</v>
      </c>
      <c r="F4032" s="2" t="s">
        <v>457</v>
      </c>
      <c r="G4032" s="2" t="s">
        <v>458</v>
      </c>
      <c r="H4032" s="2" t="s">
        <v>459</v>
      </c>
      <c r="I4032" s="2" t="n">
        <f aca="false">IF(F4032="Present",9,IF(F4032="Half Day",4,0))</f>
        <v>9</v>
      </c>
      <c r="J4032" s="2"/>
      <c r="K4032" s="2"/>
    </row>
    <row r="4033" customFormat="false" ht="15" hidden="false" customHeight="false" outlineLevel="0" collapsed="false">
      <c r="A4033" s="2" t="s">
        <v>309</v>
      </c>
      <c r="B4033" s="2" t="s">
        <v>310</v>
      </c>
      <c r="C4033" s="2" t="s">
        <v>17</v>
      </c>
      <c r="D4033" s="3" t="n">
        <v>46236</v>
      </c>
      <c r="E4033" s="2" t="str">
        <f aca="false">TEXT(D4033,"dddd")</f>
        <v>Sunday</v>
      </c>
      <c r="F4033" s="2" t="s">
        <v>460</v>
      </c>
      <c r="G4033" s="2"/>
      <c r="H4033" s="2"/>
      <c r="I4033" s="2" t="n">
        <f aca="false">IF(F4033="Present",9,IF(F4033="Half Day",4,0))</f>
        <v>0</v>
      </c>
      <c r="J4033" s="2"/>
      <c r="K4033" s="2" t="s">
        <v>460</v>
      </c>
    </row>
    <row r="4034" customFormat="false" ht="15" hidden="false" customHeight="false" outlineLevel="0" collapsed="false">
      <c r="A4034" s="2" t="s">
        <v>309</v>
      </c>
      <c r="B4034" s="2" t="s">
        <v>310</v>
      </c>
      <c r="C4034" s="2" t="s">
        <v>17</v>
      </c>
      <c r="D4034" s="3" t="n">
        <v>46237</v>
      </c>
      <c r="E4034" s="2" t="str">
        <f aca="false">TEXT(D4034,"dddd")</f>
        <v>Monday</v>
      </c>
      <c r="F4034" s="2" t="s">
        <v>457</v>
      </c>
      <c r="G4034" s="2" t="s">
        <v>458</v>
      </c>
      <c r="H4034" s="2" t="s">
        <v>459</v>
      </c>
      <c r="I4034" s="2" t="n">
        <f aca="false">IF(F4034="Present",9,IF(F4034="Half Day",4,0))</f>
        <v>9</v>
      </c>
      <c r="J4034" s="2"/>
      <c r="K4034" s="2"/>
    </row>
    <row r="4035" customFormat="false" ht="15" hidden="false" customHeight="false" outlineLevel="0" collapsed="false">
      <c r="A4035" s="2" t="s">
        <v>309</v>
      </c>
      <c r="B4035" s="2" t="s">
        <v>310</v>
      </c>
      <c r="C4035" s="2" t="s">
        <v>17</v>
      </c>
      <c r="D4035" s="3" t="n">
        <v>46238</v>
      </c>
      <c r="E4035" s="2" t="str">
        <f aca="false">TEXT(D4035,"dddd")</f>
        <v>Tuesday</v>
      </c>
      <c r="F4035" s="2" t="s">
        <v>457</v>
      </c>
      <c r="G4035" s="2" t="s">
        <v>458</v>
      </c>
      <c r="H4035" s="2" t="s">
        <v>459</v>
      </c>
      <c r="I4035" s="2" t="n">
        <f aca="false">IF(F4035="Present",9,IF(F4035="Half Day",4,0))</f>
        <v>9</v>
      </c>
      <c r="J4035" s="2"/>
      <c r="K4035" s="2"/>
    </row>
    <row r="4036" customFormat="false" ht="15" hidden="false" customHeight="false" outlineLevel="0" collapsed="false">
      <c r="A4036" s="2" t="s">
        <v>309</v>
      </c>
      <c r="B4036" s="2" t="s">
        <v>310</v>
      </c>
      <c r="C4036" s="2" t="s">
        <v>17</v>
      </c>
      <c r="D4036" s="3" t="n">
        <v>46239</v>
      </c>
      <c r="E4036" s="2" t="str">
        <f aca="false">TEXT(D4036,"dddd")</f>
        <v>Wednesday</v>
      </c>
      <c r="F4036" s="2" t="s">
        <v>457</v>
      </c>
      <c r="G4036" s="2" t="s">
        <v>458</v>
      </c>
      <c r="H4036" s="2" t="s">
        <v>459</v>
      </c>
      <c r="I4036" s="2" t="n">
        <f aca="false">IF(F4036="Present",9,IF(F4036="Half Day",4,0))</f>
        <v>9</v>
      </c>
      <c r="J4036" s="2"/>
      <c r="K4036" s="2"/>
    </row>
    <row r="4037" customFormat="false" ht="15" hidden="false" customHeight="false" outlineLevel="0" collapsed="false">
      <c r="A4037" s="2" t="s">
        <v>309</v>
      </c>
      <c r="B4037" s="2" t="s">
        <v>310</v>
      </c>
      <c r="C4037" s="2" t="s">
        <v>17</v>
      </c>
      <c r="D4037" s="3" t="n">
        <v>46240</v>
      </c>
      <c r="E4037" s="2" t="str">
        <f aca="false">TEXT(D4037,"dddd")</f>
        <v>Thursday</v>
      </c>
      <c r="F4037" s="2" t="s">
        <v>457</v>
      </c>
      <c r="G4037" s="2" t="s">
        <v>458</v>
      </c>
      <c r="H4037" s="2" t="s">
        <v>459</v>
      </c>
      <c r="I4037" s="2" t="n">
        <f aca="false">IF(F4037="Present",9,IF(F4037="Half Day",4,0))</f>
        <v>9</v>
      </c>
      <c r="J4037" s="2"/>
      <c r="K4037" s="2"/>
    </row>
    <row r="4038" customFormat="false" ht="15" hidden="false" customHeight="false" outlineLevel="0" collapsed="false">
      <c r="A4038" s="2" t="s">
        <v>309</v>
      </c>
      <c r="B4038" s="2" t="s">
        <v>310</v>
      </c>
      <c r="C4038" s="2" t="s">
        <v>17</v>
      </c>
      <c r="D4038" s="3" t="n">
        <v>46241</v>
      </c>
      <c r="E4038" s="2" t="str">
        <f aca="false">TEXT(D4038,"dddd")</f>
        <v>Friday</v>
      </c>
      <c r="F4038" s="2" t="s">
        <v>457</v>
      </c>
      <c r="G4038" s="2" t="s">
        <v>458</v>
      </c>
      <c r="H4038" s="2" t="s">
        <v>459</v>
      </c>
      <c r="I4038" s="2" t="n">
        <f aca="false">IF(F4038="Present",9,IF(F4038="Half Day",4,0))</f>
        <v>9</v>
      </c>
      <c r="J4038" s="2"/>
      <c r="K4038" s="2"/>
    </row>
    <row r="4039" customFormat="false" ht="15" hidden="false" customHeight="false" outlineLevel="0" collapsed="false">
      <c r="A4039" s="2" t="s">
        <v>309</v>
      </c>
      <c r="B4039" s="2" t="s">
        <v>310</v>
      </c>
      <c r="C4039" s="2" t="s">
        <v>17</v>
      </c>
      <c r="D4039" s="3" t="n">
        <v>46242</v>
      </c>
      <c r="E4039" s="2" t="str">
        <f aca="false">TEXT(D4039,"dddd")</f>
        <v>Saturday</v>
      </c>
      <c r="F4039" s="2" t="s">
        <v>457</v>
      </c>
      <c r="G4039" s="2" t="s">
        <v>458</v>
      </c>
      <c r="H4039" s="2" t="s">
        <v>459</v>
      </c>
      <c r="I4039" s="2" t="n">
        <f aca="false">IF(F4039="Present",9,IF(F4039="Half Day",4,0))</f>
        <v>9</v>
      </c>
      <c r="J4039" s="2"/>
      <c r="K4039" s="2"/>
    </row>
    <row r="4040" customFormat="false" ht="15" hidden="false" customHeight="false" outlineLevel="0" collapsed="false">
      <c r="A4040" s="2" t="s">
        <v>309</v>
      </c>
      <c r="B4040" s="2" t="s">
        <v>310</v>
      </c>
      <c r="C4040" s="2" t="s">
        <v>17</v>
      </c>
      <c r="D4040" s="3" t="n">
        <v>46243</v>
      </c>
      <c r="E4040" s="2" t="str">
        <f aca="false">TEXT(D4040,"dddd")</f>
        <v>Sunday</v>
      </c>
      <c r="F4040" s="2" t="s">
        <v>460</v>
      </c>
      <c r="G4040" s="2"/>
      <c r="H4040" s="2"/>
      <c r="I4040" s="2" t="n">
        <f aca="false">IF(F4040="Present",9,IF(F4040="Half Day",4,0))</f>
        <v>0</v>
      </c>
      <c r="J4040" s="2"/>
      <c r="K4040" s="2" t="s">
        <v>460</v>
      </c>
    </row>
    <row r="4041" customFormat="false" ht="15" hidden="false" customHeight="false" outlineLevel="0" collapsed="false">
      <c r="A4041" s="2" t="s">
        <v>309</v>
      </c>
      <c r="B4041" s="2" t="s">
        <v>310</v>
      </c>
      <c r="C4041" s="2" t="s">
        <v>17</v>
      </c>
      <c r="D4041" s="3" t="n">
        <v>46244</v>
      </c>
      <c r="E4041" s="2" t="str">
        <f aca="false">TEXT(D4041,"dddd")</f>
        <v>Monday</v>
      </c>
      <c r="F4041" s="2" t="s">
        <v>457</v>
      </c>
      <c r="G4041" s="2" t="s">
        <v>458</v>
      </c>
      <c r="H4041" s="2" t="s">
        <v>459</v>
      </c>
      <c r="I4041" s="2" t="n">
        <f aca="false">IF(F4041="Present",9,IF(F4041="Half Day",4,0))</f>
        <v>9</v>
      </c>
      <c r="J4041" s="2"/>
      <c r="K4041" s="2"/>
    </row>
    <row r="4042" customFormat="false" ht="15" hidden="false" customHeight="false" outlineLevel="0" collapsed="false">
      <c r="A4042" s="2" t="s">
        <v>309</v>
      </c>
      <c r="B4042" s="2" t="s">
        <v>310</v>
      </c>
      <c r="C4042" s="2" t="s">
        <v>17</v>
      </c>
      <c r="D4042" s="3" t="n">
        <v>46245</v>
      </c>
      <c r="E4042" s="2" t="str">
        <f aca="false">TEXT(D4042,"dddd")</f>
        <v>Tuesday</v>
      </c>
      <c r="F4042" s="2" t="s">
        <v>457</v>
      </c>
      <c r="G4042" s="2" t="s">
        <v>458</v>
      </c>
      <c r="H4042" s="2" t="s">
        <v>459</v>
      </c>
      <c r="I4042" s="2" t="n">
        <f aca="false">IF(F4042="Present",9,IF(F4042="Half Day",4,0))</f>
        <v>9</v>
      </c>
      <c r="J4042" s="2"/>
      <c r="K4042" s="2"/>
    </row>
    <row r="4043" customFormat="false" ht="15" hidden="false" customHeight="false" outlineLevel="0" collapsed="false">
      <c r="A4043" s="2" t="s">
        <v>309</v>
      </c>
      <c r="B4043" s="2" t="s">
        <v>310</v>
      </c>
      <c r="C4043" s="2" t="s">
        <v>17</v>
      </c>
      <c r="D4043" s="3" t="n">
        <v>46246</v>
      </c>
      <c r="E4043" s="2" t="str">
        <f aca="false">TEXT(D4043,"dddd")</f>
        <v>Wednesday</v>
      </c>
      <c r="F4043" s="2" t="s">
        <v>463</v>
      </c>
      <c r="G4043" s="2"/>
      <c r="H4043" s="2"/>
      <c r="I4043" s="2" t="n">
        <f aca="false">IF(F4043="Present",9,IF(F4043="Half Day",4,0))</f>
        <v>0</v>
      </c>
      <c r="J4043" s="2" t="s">
        <v>474</v>
      </c>
      <c r="K4043" s="2" t="s">
        <v>475</v>
      </c>
    </row>
    <row r="4044" customFormat="false" ht="15" hidden="false" customHeight="false" outlineLevel="0" collapsed="false">
      <c r="A4044" s="2" t="s">
        <v>309</v>
      </c>
      <c r="B4044" s="2" t="s">
        <v>310</v>
      </c>
      <c r="C4044" s="2" t="s">
        <v>17</v>
      </c>
      <c r="D4044" s="3" t="n">
        <v>46247</v>
      </c>
      <c r="E4044" s="2" t="str">
        <f aca="false">TEXT(D4044,"dddd")</f>
        <v>Thursday</v>
      </c>
      <c r="F4044" s="2" t="s">
        <v>466</v>
      </c>
      <c r="G4044" s="2" t="s">
        <v>458</v>
      </c>
      <c r="H4044" s="2" t="s">
        <v>467</v>
      </c>
      <c r="I4044" s="2" t="n">
        <f aca="false">IF(F4044="Present",9,IF(F4044="Half Day",4,0))</f>
        <v>4</v>
      </c>
      <c r="J4044" s="2"/>
      <c r="K4044" s="2" t="s">
        <v>466</v>
      </c>
    </row>
    <row r="4045" customFormat="false" ht="15" hidden="false" customHeight="false" outlineLevel="0" collapsed="false">
      <c r="A4045" s="2" t="s">
        <v>309</v>
      </c>
      <c r="B4045" s="2" t="s">
        <v>310</v>
      </c>
      <c r="C4045" s="2" t="s">
        <v>17</v>
      </c>
      <c r="D4045" s="3" t="n">
        <v>46248</v>
      </c>
      <c r="E4045" s="2" t="str">
        <f aca="false">TEXT(D4045,"dddd")</f>
        <v>Friday</v>
      </c>
      <c r="F4045" s="2" t="s">
        <v>457</v>
      </c>
      <c r="G4045" s="2" t="s">
        <v>458</v>
      </c>
      <c r="H4045" s="2" t="s">
        <v>459</v>
      </c>
      <c r="I4045" s="2" t="n">
        <f aca="false">IF(F4045="Present",9,IF(F4045="Half Day",4,0))</f>
        <v>9</v>
      </c>
      <c r="J4045" s="2"/>
      <c r="K4045" s="2"/>
    </row>
    <row r="4046" customFormat="false" ht="15" hidden="false" customHeight="false" outlineLevel="0" collapsed="false">
      <c r="A4046" s="2" t="s">
        <v>309</v>
      </c>
      <c r="B4046" s="2" t="s">
        <v>310</v>
      </c>
      <c r="C4046" s="2" t="s">
        <v>17</v>
      </c>
      <c r="D4046" s="3" t="n">
        <v>46249</v>
      </c>
      <c r="E4046" s="2" t="str">
        <f aca="false">TEXT(D4046,"dddd")</f>
        <v>Saturday</v>
      </c>
      <c r="F4046" s="2" t="s">
        <v>457</v>
      </c>
      <c r="G4046" s="2" t="s">
        <v>458</v>
      </c>
      <c r="H4046" s="2" t="s">
        <v>459</v>
      </c>
      <c r="I4046" s="2" t="n">
        <f aca="false">IF(F4046="Present",9,IF(F4046="Half Day",4,0))</f>
        <v>9</v>
      </c>
      <c r="J4046" s="2"/>
      <c r="K4046" s="2"/>
    </row>
    <row r="4047" customFormat="false" ht="15" hidden="false" customHeight="false" outlineLevel="0" collapsed="false">
      <c r="A4047" s="2" t="s">
        <v>309</v>
      </c>
      <c r="B4047" s="2" t="s">
        <v>310</v>
      </c>
      <c r="C4047" s="2" t="s">
        <v>17</v>
      </c>
      <c r="D4047" s="3" t="n">
        <v>46250</v>
      </c>
      <c r="E4047" s="2" t="str">
        <f aca="false">TEXT(D4047,"dddd")</f>
        <v>Sunday</v>
      </c>
      <c r="F4047" s="2" t="s">
        <v>460</v>
      </c>
      <c r="G4047" s="2"/>
      <c r="H4047" s="2"/>
      <c r="I4047" s="2" t="n">
        <f aca="false">IF(F4047="Present",9,IF(F4047="Half Day",4,0))</f>
        <v>0</v>
      </c>
      <c r="J4047" s="2"/>
      <c r="K4047" s="2" t="s">
        <v>460</v>
      </c>
    </row>
    <row r="4048" customFormat="false" ht="15" hidden="false" customHeight="false" outlineLevel="0" collapsed="false">
      <c r="A4048" s="2" t="s">
        <v>309</v>
      </c>
      <c r="B4048" s="2" t="s">
        <v>310</v>
      </c>
      <c r="C4048" s="2" t="s">
        <v>17</v>
      </c>
      <c r="D4048" s="3" t="n">
        <v>46251</v>
      </c>
      <c r="E4048" s="2" t="str">
        <f aca="false">TEXT(D4048,"dddd")</f>
        <v>Monday</v>
      </c>
      <c r="F4048" s="2" t="s">
        <v>457</v>
      </c>
      <c r="G4048" s="2" t="s">
        <v>458</v>
      </c>
      <c r="H4048" s="2" t="s">
        <v>459</v>
      </c>
      <c r="I4048" s="2" t="n">
        <f aca="false">IF(F4048="Present",9,IF(F4048="Half Day",4,0))</f>
        <v>9</v>
      </c>
      <c r="J4048" s="2"/>
      <c r="K4048" s="2"/>
    </row>
    <row r="4049" customFormat="false" ht="15" hidden="false" customHeight="false" outlineLevel="0" collapsed="false">
      <c r="A4049" s="2" t="s">
        <v>309</v>
      </c>
      <c r="B4049" s="2" t="s">
        <v>310</v>
      </c>
      <c r="C4049" s="2" t="s">
        <v>17</v>
      </c>
      <c r="D4049" s="3" t="n">
        <v>46252</v>
      </c>
      <c r="E4049" s="2" t="str">
        <f aca="false">TEXT(D4049,"dddd")</f>
        <v>Tuesday</v>
      </c>
      <c r="F4049" s="2" t="s">
        <v>457</v>
      </c>
      <c r="G4049" s="2" t="s">
        <v>458</v>
      </c>
      <c r="H4049" s="2" t="s">
        <v>459</v>
      </c>
      <c r="I4049" s="2" t="n">
        <f aca="false">IF(F4049="Present",9,IF(F4049="Half Day",4,0))</f>
        <v>9</v>
      </c>
      <c r="J4049" s="2"/>
      <c r="K4049" s="2"/>
    </row>
    <row r="4050" customFormat="false" ht="15" hidden="false" customHeight="false" outlineLevel="0" collapsed="false">
      <c r="A4050" s="2" t="s">
        <v>309</v>
      </c>
      <c r="B4050" s="2" t="s">
        <v>310</v>
      </c>
      <c r="C4050" s="2" t="s">
        <v>17</v>
      </c>
      <c r="D4050" s="3" t="n">
        <v>46253</v>
      </c>
      <c r="E4050" s="2" t="str">
        <f aca="false">TEXT(D4050,"dddd")</f>
        <v>Wednesday</v>
      </c>
      <c r="F4050" s="2" t="s">
        <v>457</v>
      </c>
      <c r="G4050" s="2" t="s">
        <v>458</v>
      </c>
      <c r="H4050" s="2" t="s">
        <v>459</v>
      </c>
      <c r="I4050" s="2" t="n">
        <f aca="false">IF(F4050="Present",9,IF(F4050="Half Day",4,0))</f>
        <v>9</v>
      </c>
      <c r="J4050" s="2"/>
      <c r="K4050" s="2"/>
    </row>
    <row r="4051" customFormat="false" ht="15" hidden="false" customHeight="false" outlineLevel="0" collapsed="false">
      <c r="A4051" s="2" t="s">
        <v>309</v>
      </c>
      <c r="B4051" s="2" t="s">
        <v>310</v>
      </c>
      <c r="C4051" s="2" t="s">
        <v>17</v>
      </c>
      <c r="D4051" s="3" t="n">
        <v>46254</v>
      </c>
      <c r="E4051" s="2" t="str">
        <f aca="false">TEXT(D4051,"dddd")</f>
        <v>Thursday</v>
      </c>
      <c r="F4051" s="2" t="s">
        <v>457</v>
      </c>
      <c r="G4051" s="2" t="s">
        <v>458</v>
      </c>
      <c r="H4051" s="2" t="s">
        <v>459</v>
      </c>
      <c r="I4051" s="2" t="n">
        <f aca="false">IF(F4051="Present",9,IF(F4051="Half Day",4,0))</f>
        <v>9</v>
      </c>
      <c r="J4051" s="2"/>
      <c r="K4051" s="2"/>
    </row>
    <row r="4052" customFormat="false" ht="15" hidden="false" customHeight="false" outlineLevel="0" collapsed="false">
      <c r="A4052" s="2" t="s">
        <v>309</v>
      </c>
      <c r="B4052" s="2" t="s">
        <v>310</v>
      </c>
      <c r="C4052" s="2" t="s">
        <v>17</v>
      </c>
      <c r="D4052" s="3" t="n">
        <v>46255</v>
      </c>
      <c r="E4052" s="2" t="str">
        <f aca="false">TEXT(D4052,"dddd")</f>
        <v>Friday</v>
      </c>
      <c r="F4052" s="2" t="s">
        <v>457</v>
      </c>
      <c r="G4052" s="2" t="s">
        <v>458</v>
      </c>
      <c r="H4052" s="2" t="s">
        <v>459</v>
      </c>
      <c r="I4052" s="2" t="n">
        <f aca="false">IF(F4052="Present",9,IF(F4052="Half Day",4,0))</f>
        <v>9</v>
      </c>
      <c r="J4052" s="2"/>
      <c r="K4052" s="2"/>
    </row>
    <row r="4053" customFormat="false" ht="15" hidden="false" customHeight="false" outlineLevel="0" collapsed="false">
      <c r="A4053" s="2" t="s">
        <v>309</v>
      </c>
      <c r="B4053" s="2" t="s">
        <v>310</v>
      </c>
      <c r="C4053" s="2" t="s">
        <v>17</v>
      </c>
      <c r="D4053" s="3" t="n">
        <v>46256</v>
      </c>
      <c r="E4053" s="2" t="str">
        <f aca="false">TEXT(D4053,"dddd")</f>
        <v>Saturday</v>
      </c>
      <c r="F4053" s="2" t="s">
        <v>457</v>
      </c>
      <c r="G4053" s="2" t="s">
        <v>458</v>
      </c>
      <c r="H4053" s="2" t="s">
        <v>459</v>
      </c>
      <c r="I4053" s="2" t="n">
        <f aca="false">IF(F4053="Present",9,IF(F4053="Half Day",4,0))</f>
        <v>9</v>
      </c>
      <c r="J4053" s="2"/>
      <c r="K4053" s="2"/>
    </row>
    <row r="4054" customFormat="false" ht="15" hidden="false" customHeight="false" outlineLevel="0" collapsed="false">
      <c r="A4054" s="2" t="s">
        <v>309</v>
      </c>
      <c r="B4054" s="2" t="s">
        <v>310</v>
      </c>
      <c r="C4054" s="2" t="s">
        <v>17</v>
      </c>
      <c r="D4054" s="3" t="n">
        <v>46257</v>
      </c>
      <c r="E4054" s="2" t="str">
        <f aca="false">TEXT(D4054,"dddd")</f>
        <v>Sunday</v>
      </c>
      <c r="F4054" s="2" t="s">
        <v>460</v>
      </c>
      <c r="G4054" s="2"/>
      <c r="H4054" s="2"/>
      <c r="I4054" s="2" t="n">
        <f aca="false">IF(F4054="Present",9,IF(F4054="Half Day",4,0))</f>
        <v>0</v>
      </c>
      <c r="J4054" s="2"/>
      <c r="K4054" s="2" t="s">
        <v>460</v>
      </c>
    </row>
    <row r="4055" customFormat="false" ht="15" hidden="false" customHeight="false" outlineLevel="0" collapsed="false">
      <c r="A4055" s="2" t="s">
        <v>309</v>
      </c>
      <c r="B4055" s="2" t="s">
        <v>310</v>
      </c>
      <c r="C4055" s="2" t="s">
        <v>17</v>
      </c>
      <c r="D4055" s="3" t="n">
        <v>46258</v>
      </c>
      <c r="E4055" s="2" t="str">
        <f aca="false">TEXT(D4055,"dddd")</f>
        <v>Monday</v>
      </c>
      <c r="F4055" s="2" t="s">
        <v>457</v>
      </c>
      <c r="G4055" s="2" t="s">
        <v>458</v>
      </c>
      <c r="H4055" s="2" t="s">
        <v>459</v>
      </c>
      <c r="I4055" s="2" t="n">
        <f aca="false">IF(F4055="Present",9,IF(F4055="Half Day",4,0))</f>
        <v>9</v>
      </c>
      <c r="J4055" s="2"/>
      <c r="K4055" s="2"/>
    </row>
    <row r="4056" customFormat="false" ht="15" hidden="false" customHeight="false" outlineLevel="0" collapsed="false">
      <c r="A4056" s="2" t="s">
        <v>309</v>
      </c>
      <c r="B4056" s="2" t="s">
        <v>310</v>
      </c>
      <c r="C4056" s="2" t="s">
        <v>17</v>
      </c>
      <c r="D4056" s="3" t="n">
        <v>46259</v>
      </c>
      <c r="E4056" s="2" t="str">
        <f aca="false">TEXT(D4056,"dddd")</f>
        <v>Tuesday</v>
      </c>
      <c r="F4056" s="2" t="s">
        <v>457</v>
      </c>
      <c r="G4056" s="2" t="s">
        <v>458</v>
      </c>
      <c r="H4056" s="2" t="s">
        <v>459</v>
      </c>
      <c r="I4056" s="2" t="n">
        <f aca="false">IF(F4056="Present",9,IF(F4056="Half Day",4,0))</f>
        <v>9</v>
      </c>
      <c r="J4056" s="2"/>
      <c r="K4056" s="2"/>
    </row>
    <row r="4057" customFormat="false" ht="15" hidden="false" customHeight="false" outlineLevel="0" collapsed="false">
      <c r="A4057" s="2" t="s">
        <v>309</v>
      </c>
      <c r="B4057" s="2" t="s">
        <v>310</v>
      </c>
      <c r="C4057" s="2" t="s">
        <v>17</v>
      </c>
      <c r="D4057" s="3" t="n">
        <v>46260</v>
      </c>
      <c r="E4057" s="2" t="str">
        <f aca="false">TEXT(D4057,"dddd")</f>
        <v>Wednesday</v>
      </c>
      <c r="F4057" s="2" t="s">
        <v>461</v>
      </c>
      <c r="G4057" s="2"/>
      <c r="H4057" s="2"/>
      <c r="I4057" s="2" t="n">
        <f aca="false">IF(F4057="Present",9,IF(F4057="Half Day",4,0))</f>
        <v>0</v>
      </c>
      <c r="J4057" s="2"/>
      <c r="K4057" s="2" t="s">
        <v>462</v>
      </c>
    </row>
    <row r="4058" customFormat="false" ht="15" hidden="false" customHeight="false" outlineLevel="0" collapsed="false">
      <c r="A4058" s="2" t="s">
        <v>309</v>
      </c>
      <c r="B4058" s="2" t="s">
        <v>310</v>
      </c>
      <c r="C4058" s="2" t="s">
        <v>17</v>
      </c>
      <c r="D4058" s="3" t="n">
        <v>46261</v>
      </c>
      <c r="E4058" s="2" t="str">
        <f aca="false">TEXT(D4058,"dddd")</f>
        <v>Thursday</v>
      </c>
      <c r="F4058" s="2" t="s">
        <v>457</v>
      </c>
      <c r="G4058" s="2" t="s">
        <v>458</v>
      </c>
      <c r="H4058" s="2" t="s">
        <v>459</v>
      </c>
      <c r="I4058" s="2" t="n">
        <f aca="false">IF(F4058="Present",9,IF(F4058="Half Day",4,0))</f>
        <v>9</v>
      </c>
      <c r="J4058" s="2"/>
      <c r="K4058" s="2"/>
    </row>
    <row r="4059" customFormat="false" ht="15" hidden="false" customHeight="false" outlineLevel="0" collapsed="false">
      <c r="A4059" s="2" t="s">
        <v>309</v>
      </c>
      <c r="B4059" s="2" t="s">
        <v>310</v>
      </c>
      <c r="C4059" s="2" t="s">
        <v>17</v>
      </c>
      <c r="D4059" s="3" t="n">
        <v>46262</v>
      </c>
      <c r="E4059" s="2" t="str">
        <f aca="false">TEXT(D4059,"dddd")</f>
        <v>Friday</v>
      </c>
      <c r="F4059" s="2" t="s">
        <v>466</v>
      </c>
      <c r="G4059" s="2" t="s">
        <v>458</v>
      </c>
      <c r="H4059" s="2" t="s">
        <v>467</v>
      </c>
      <c r="I4059" s="2" t="n">
        <f aca="false">IF(F4059="Present",9,IF(F4059="Half Day",4,0))</f>
        <v>4</v>
      </c>
      <c r="J4059" s="2"/>
      <c r="K4059" s="2" t="s">
        <v>466</v>
      </c>
    </row>
    <row r="4060" customFormat="false" ht="15" hidden="false" customHeight="false" outlineLevel="0" collapsed="false">
      <c r="A4060" s="2" t="s">
        <v>309</v>
      </c>
      <c r="B4060" s="2" t="s">
        <v>310</v>
      </c>
      <c r="C4060" s="2" t="s">
        <v>17</v>
      </c>
      <c r="D4060" s="3" t="n">
        <v>46263</v>
      </c>
      <c r="E4060" s="2" t="str">
        <f aca="false">TEXT(D4060,"dddd")</f>
        <v>Saturday</v>
      </c>
      <c r="F4060" s="2" t="s">
        <v>457</v>
      </c>
      <c r="G4060" s="2" t="s">
        <v>458</v>
      </c>
      <c r="H4060" s="2" t="s">
        <v>459</v>
      </c>
      <c r="I4060" s="2" t="n">
        <f aca="false">IF(F4060="Present",9,IF(F4060="Half Day",4,0))</f>
        <v>9</v>
      </c>
      <c r="J4060" s="2"/>
      <c r="K4060" s="2"/>
    </row>
    <row r="4061" customFormat="false" ht="15" hidden="false" customHeight="false" outlineLevel="0" collapsed="false">
      <c r="A4061" s="2" t="s">
        <v>309</v>
      </c>
      <c r="B4061" s="2" t="s">
        <v>310</v>
      </c>
      <c r="C4061" s="2" t="s">
        <v>17</v>
      </c>
      <c r="D4061" s="3" t="n">
        <v>46264</v>
      </c>
      <c r="E4061" s="2" t="str">
        <f aca="false">TEXT(D4061,"dddd")</f>
        <v>Sunday</v>
      </c>
      <c r="F4061" s="2" t="s">
        <v>460</v>
      </c>
      <c r="G4061" s="2"/>
      <c r="H4061" s="2"/>
      <c r="I4061" s="2" t="n">
        <f aca="false">IF(F4061="Present",9,IF(F4061="Half Day",4,0))</f>
        <v>0</v>
      </c>
      <c r="J4061" s="2"/>
      <c r="K4061" s="2" t="s">
        <v>460</v>
      </c>
    </row>
    <row r="4062" customFormat="false" ht="15" hidden="false" customHeight="false" outlineLevel="0" collapsed="false">
      <c r="A4062" s="2" t="s">
        <v>309</v>
      </c>
      <c r="B4062" s="2" t="s">
        <v>310</v>
      </c>
      <c r="C4062" s="2" t="s">
        <v>17</v>
      </c>
      <c r="D4062" s="3" t="n">
        <v>46265</v>
      </c>
      <c r="E4062" s="2" t="str">
        <f aca="false">TEXT(D4062,"dddd")</f>
        <v>Monday</v>
      </c>
      <c r="F4062" s="2" t="s">
        <v>457</v>
      </c>
      <c r="G4062" s="2" t="s">
        <v>458</v>
      </c>
      <c r="H4062" s="2" t="s">
        <v>459</v>
      </c>
      <c r="I4062" s="2" t="n">
        <f aca="false">IF(F4062="Present",9,IF(F4062="Half Day",4,0))</f>
        <v>9</v>
      </c>
      <c r="J4062" s="2"/>
      <c r="K4062" s="2"/>
    </row>
    <row r="4063" customFormat="false" ht="15" hidden="false" customHeight="false" outlineLevel="0" collapsed="false">
      <c r="A4063" s="2" t="s">
        <v>311</v>
      </c>
      <c r="B4063" s="2" t="s">
        <v>312</v>
      </c>
      <c r="C4063" s="2" t="s">
        <v>24</v>
      </c>
      <c r="D4063" s="3" t="n">
        <v>46235</v>
      </c>
      <c r="E4063" s="2" t="str">
        <f aca="false">TEXT(D4063,"dddd")</f>
        <v>Saturday</v>
      </c>
      <c r="F4063" s="2" t="s">
        <v>457</v>
      </c>
      <c r="G4063" s="2" t="s">
        <v>458</v>
      </c>
      <c r="H4063" s="2" t="s">
        <v>459</v>
      </c>
      <c r="I4063" s="2" t="n">
        <f aca="false">IF(F4063="Present",9,IF(F4063="Half Day",4,0))</f>
        <v>9</v>
      </c>
      <c r="J4063" s="2"/>
      <c r="K4063" s="2"/>
    </row>
    <row r="4064" customFormat="false" ht="15" hidden="false" customHeight="false" outlineLevel="0" collapsed="false">
      <c r="A4064" s="2" t="s">
        <v>311</v>
      </c>
      <c r="B4064" s="2" t="s">
        <v>312</v>
      </c>
      <c r="C4064" s="2" t="s">
        <v>24</v>
      </c>
      <c r="D4064" s="3" t="n">
        <v>46236</v>
      </c>
      <c r="E4064" s="2" t="str">
        <f aca="false">TEXT(D4064,"dddd")</f>
        <v>Sunday</v>
      </c>
      <c r="F4064" s="2" t="s">
        <v>460</v>
      </c>
      <c r="G4064" s="2"/>
      <c r="H4064" s="2"/>
      <c r="I4064" s="2" t="n">
        <f aca="false">IF(F4064="Present",9,IF(F4064="Half Day",4,0))</f>
        <v>0</v>
      </c>
      <c r="J4064" s="2"/>
      <c r="K4064" s="2" t="s">
        <v>460</v>
      </c>
    </row>
    <row r="4065" customFormat="false" ht="15" hidden="false" customHeight="false" outlineLevel="0" collapsed="false">
      <c r="A4065" s="2" t="s">
        <v>311</v>
      </c>
      <c r="B4065" s="2" t="s">
        <v>312</v>
      </c>
      <c r="C4065" s="2" t="s">
        <v>24</v>
      </c>
      <c r="D4065" s="3" t="n">
        <v>46237</v>
      </c>
      <c r="E4065" s="2" t="str">
        <f aca="false">TEXT(D4065,"dddd")</f>
        <v>Monday</v>
      </c>
      <c r="F4065" s="2" t="s">
        <v>461</v>
      </c>
      <c r="G4065" s="2"/>
      <c r="H4065" s="2"/>
      <c r="I4065" s="2" t="n">
        <f aca="false">IF(F4065="Present",9,IF(F4065="Half Day",4,0))</f>
        <v>0</v>
      </c>
      <c r="J4065" s="2"/>
      <c r="K4065" s="2" t="s">
        <v>462</v>
      </c>
    </row>
    <row r="4066" customFormat="false" ht="15" hidden="false" customHeight="false" outlineLevel="0" collapsed="false">
      <c r="A4066" s="2" t="s">
        <v>311</v>
      </c>
      <c r="B4066" s="2" t="s">
        <v>312</v>
      </c>
      <c r="C4066" s="2" t="s">
        <v>24</v>
      </c>
      <c r="D4066" s="3" t="n">
        <v>46238</v>
      </c>
      <c r="E4066" s="2" t="str">
        <f aca="false">TEXT(D4066,"dddd")</f>
        <v>Tuesday</v>
      </c>
      <c r="F4066" s="2" t="s">
        <v>461</v>
      </c>
      <c r="G4066" s="2"/>
      <c r="H4066" s="2"/>
      <c r="I4066" s="2" t="n">
        <f aca="false">IF(F4066="Present",9,IF(F4066="Half Day",4,0))</f>
        <v>0</v>
      </c>
      <c r="J4066" s="2"/>
      <c r="K4066" s="2" t="s">
        <v>462</v>
      </c>
    </row>
    <row r="4067" customFormat="false" ht="15" hidden="false" customHeight="false" outlineLevel="0" collapsed="false">
      <c r="A4067" s="2" t="s">
        <v>311</v>
      </c>
      <c r="B4067" s="2" t="s">
        <v>312</v>
      </c>
      <c r="C4067" s="2" t="s">
        <v>24</v>
      </c>
      <c r="D4067" s="3" t="n">
        <v>46239</v>
      </c>
      <c r="E4067" s="2" t="str">
        <f aca="false">TEXT(D4067,"dddd")</f>
        <v>Wednesday</v>
      </c>
      <c r="F4067" s="2" t="s">
        <v>457</v>
      </c>
      <c r="G4067" s="2" t="s">
        <v>458</v>
      </c>
      <c r="H4067" s="2" t="s">
        <v>459</v>
      </c>
      <c r="I4067" s="2" t="n">
        <f aca="false">IF(F4067="Present",9,IF(F4067="Half Day",4,0))</f>
        <v>9</v>
      </c>
      <c r="J4067" s="2"/>
      <c r="K4067" s="2"/>
    </row>
    <row r="4068" customFormat="false" ht="15" hidden="false" customHeight="false" outlineLevel="0" collapsed="false">
      <c r="A4068" s="2" t="s">
        <v>311</v>
      </c>
      <c r="B4068" s="2" t="s">
        <v>312</v>
      </c>
      <c r="C4068" s="2" t="s">
        <v>24</v>
      </c>
      <c r="D4068" s="3" t="n">
        <v>46240</v>
      </c>
      <c r="E4068" s="2" t="str">
        <f aca="false">TEXT(D4068,"dddd")</f>
        <v>Thursday</v>
      </c>
      <c r="F4068" s="2" t="s">
        <v>461</v>
      </c>
      <c r="G4068" s="2"/>
      <c r="H4068" s="2"/>
      <c r="I4068" s="2" t="n">
        <f aca="false">IF(F4068="Present",9,IF(F4068="Half Day",4,0))</f>
        <v>0</v>
      </c>
      <c r="J4068" s="2"/>
      <c r="K4068" s="2" t="s">
        <v>462</v>
      </c>
    </row>
    <row r="4069" customFormat="false" ht="15" hidden="false" customHeight="false" outlineLevel="0" collapsed="false">
      <c r="A4069" s="2" t="s">
        <v>311</v>
      </c>
      <c r="B4069" s="2" t="s">
        <v>312</v>
      </c>
      <c r="C4069" s="2" t="s">
        <v>24</v>
      </c>
      <c r="D4069" s="3" t="n">
        <v>46241</v>
      </c>
      <c r="E4069" s="2" t="str">
        <f aca="false">TEXT(D4069,"dddd")</f>
        <v>Friday</v>
      </c>
      <c r="F4069" s="2" t="s">
        <v>457</v>
      </c>
      <c r="G4069" s="2" t="s">
        <v>458</v>
      </c>
      <c r="H4069" s="2" t="s">
        <v>459</v>
      </c>
      <c r="I4069" s="2" t="n">
        <f aca="false">IF(F4069="Present",9,IF(F4069="Half Day",4,0))</f>
        <v>9</v>
      </c>
      <c r="J4069" s="2"/>
      <c r="K4069" s="2"/>
    </row>
    <row r="4070" customFormat="false" ht="15" hidden="false" customHeight="false" outlineLevel="0" collapsed="false">
      <c r="A4070" s="2" t="s">
        <v>311</v>
      </c>
      <c r="B4070" s="2" t="s">
        <v>312</v>
      </c>
      <c r="C4070" s="2" t="s">
        <v>24</v>
      </c>
      <c r="D4070" s="3" t="n">
        <v>46242</v>
      </c>
      <c r="E4070" s="2" t="str">
        <f aca="false">TEXT(D4070,"dddd")</f>
        <v>Saturday</v>
      </c>
      <c r="F4070" s="2" t="s">
        <v>457</v>
      </c>
      <c r="G4070" s="2" t="s">
        <v>458</v>
      </c>
      <c r="H4070" s="2" t="s">
        <v>459</v>
      </c>
      <c r="I4070" s="2" t="n">
        <f aca="false">IF(F4070="Present",9,IF(F4070="Half Day",4,0))</f>
        <v>9</v>
      </c>
      <c r="J4070" s="2"/>
      <c r="K4070" s="2"/>
    </row>
    <row r="4071" customFormat="false" ht="15" hidden="false" customHeight="false" outlineLevel="0" collapsed="false">
      <c r="A4071" s="2" t="s">
        <v>311</v>
      </c>
      <c r="B4071" s="2" t="s">
        <v>312</v>
      </c>
      <c r="C4071" s="2" t="s">
        <v>24</v>
      </c>
      <c r="D4071" s="3" t="n">
        <v>46243</v>
      </c>
      <c r="E4071" s="2" t="str">
        <f aca="false">TEXT(D4071,"dddd")</f>
        <v>Sunday</v>
      </c>
      <c r="F4071" s="2" t="s">
        <v>460</v>
      </c>
      <c r="G4071" s="2"/>
      <c r="H4071" s="2"/>
      <c r="I4071" s="2" t="n">
        <f aca="false">IF(F4071="Present",9,IF(F4071="Half Day",4,0))</f>
        <v>0</v>
      </c>
      <c r="J4071" s="2"/>
      <c r="K4071" s="2" t="s">
        <v>460</v>
      </c>
    </row>
    <row r="4072" customFormat="false" ht="15" hidden="false" customHeight="false" outlineLevel="0" collapsed="false">
      <c r="A4072" s="2" t="s">
        <v>311</v>
      </c>
      <c r="B4072" s="2" t="s">
        <v>312</v>
      </c>
      <c r="C4072" s="2" t="s">
        <v>24</v>
      </c>
      <c r="D4072" s="3" t="n">
        <v>46244</v>
      </c>
      <c r="E4072" s="2" t="str">
        <f aca="false">TEXT(D4072,"dddd")</f>
        <v>Monday</v>
      </c>
      <c r="F4072" s="2" t="s">
        <v>457</v>
      </c>
      <c r="G4072" s="2" t="s">
        <v>458</v>
      </c>
      <c r="H4072" s="2" t="s">
        <v>459</v>
      </c>
      <c r="I4072" s="2" t="n">
        <f aca="false">IF(F4072="Present",9,IF(F4072="Half Day",4,0))</f>
        <v>9</v>
      </c>
      <c r="J4072" s="2"/>
      <c r="K4072" s="2"/>
    </row>
    <row r="4073" customFormat="false" ht="15" hidden="false" customHeight="false" outlineLevel="0" collapsed="false">
      <c r="A4073" s="2" t="s">
        <v>311</v>
      </c>
      <c r="B4073" s="2" t="s">
        <v>312</v>
      </c>
      <c r="C4073" s="2" t="s">
        <v>24</v>
      </c>
      <c r="D4073" s="3" t="n">
        <v>46245</v>
      </c>
      <c r="E4073" s="2" t="str">
        <f aca="false">TEXT(D4073,"dddd")</f>
        <v>Tuesday</v>
      </c>
      <c r="F4073" s="2" t="s">
        <v>457</v>
      </c>
      <c r="G4073" s="2" t="s">
        <v>458</v>
      </c>
      <c r="H4073" s="2" t="s">
        <v>459</v>
      </c>
      <c r="I4073" s="2" t="n">
        <f aca="false">IF(F4073="Present",9,IF(F4073="Half Day",4,0))</f>
        <v>9</v>
      </c>
      <c r="J4073" s="2"/>
      <c r="K4073" s="2"/>
    </row>
    <row r="4074" customFormat="false" ht="15" hidden="false" customHeight="false" outlineLevel="0" collapsed="false">
      <c r="A4074" s="2" t="s">
        <v>311</v>
      </c>
      <c r="B4074" s="2" t="s">
        <v>312</v>
      </c>
      <c r="C4074" s="2" t="s">
        <v>24</v>
      </c>
      <c r="D4074" s="3" t="n">
        <v>46246</v>
      </c>
      <c r="E4074" s="2" t="str">
        <f aca="false">TEXT(D4074,"dddd")</f>
        <v>Wednesday</v>
      </c>
      <c r="F4074" s="2" t="s">
        <v>457</v>
      </c>
      <c r="G4074" s="2" t="s">
        <v>458</v>
      </c>
      <c r="H4074" s="2" t="s">
        <v>459</v>
      </c>
      <c r="I4074" s="2" t="n">
        <f aca="false">IF(F4074="Present",9,IF(F4074="Half Day",4,0))</f>
        <v>9</v>
      </c>
      <c r="J4074" s="2"/>
      <c r="K4074" s="2"/>
    </row>
    <row r="4075" customFormat="false" ht="15" hidden="false" customHeight="false" outlineLevel="0" collapsed="false">
      <c r="A4075" s="2" t="s">
        <v>311</v>
      </c>
      <c r="B4075" s="2" t="s">
        <v>312</v>
      </c>
      <c r="C4075" s="2" t="s">
        <v>24</v>
      </c>
      <c r="D4075" s="3" t="n">
        <v>46247</v>
      </c>
      <c r="E4075" s="2" t="str">
        <f aca="false">TEXT(D4075,"dddd")</f>
        <v>Thursday</v>
      </c>
      <c r="F4075" s="2" t="s">
        <v>461</v>
      </c>
      <c r="G4075" s="2"/>
      <c r="H4075" s="2"/>
      <c r="I4075" s="2" t="n">
        <f aca="false">IF(F4075="Present",9,IF(F4075="Half Day",4,0))</f>
        <v>0</v>
      </c>
      <c r="J4075" s="2"/>
      <c r="K4075" s="2" t="s">
        <v>462</v>
      </c>
    </row>
    <row r="4076" customFormat="false" ht="15" hidden="false" customHeight="false" outlineLevel="0" collapsed="false">
      <c r="A4076" s="2" t="s">
        <v>311</v>
      </c>
      <c r="B4076" s="2" t="s">
        <v>312</v>
      </c>
      <c r="C4076" s="2" t="s">
        <v>24</v>
      </c>
      <c r="D4076" s="3" t="n">
        <v>46248</v>
      </c>
      <c r="E4076" s="2" t="str">
        <f aca="false">TEXT(D4076,"dddd")</f>
        <v>Friday</v>
      </c>
      <c r="F4076" s="2" t="s">
        <v>457</v>
      </c>
      <c r="G4076" s="2" t="s">
        <v>458</v>
      </c>
      <c r="H4076" s="2" t="s">
        <v>459</v>
      </c>
      <c r="I4076" s="2" t="n">
        <f aca="false">IF(F4076="Present",9,IF(F4076="Half Day",4,0))</f>
        <v>9</v>
      </c>
      <c r="J4076" s="2"/>
      <c r="K4076" s="2"/>
    </row>
    <row r="4077" customFormat="false" ht="15" hidden="false" customHeight="false" outlineLevel="0" collapsed="false">
      <c r="A4077" s="2" t="s">
        <v>311</v>
      </c>
      <c r="B4077" s="2" t="s">
        <v>312</v>
      </c>
      <c r="C4077" s="2" t="s">
        <v>24</v>
      </c>
      <c r="D4077" s="3" t="n">
        <v>46249</v>
      </c>
      <c r="E4077" s="2" t="str">
        <f aca="false">TEXT(D4077,"dddd")</f>
        <v>Saturday</v>
      </c>
      <c r="F4077" s="2" t="s">
        <v>457</v>
      </c>
      <c r="G4077" s="2" t="s">
        <v>458</v>
      </c>
      <c r="H4077" s="2" t="s">
        <v>459</v>
      </c>
      <c r="I4077" s="2" t="n">
        <f aca="false">IF(F4077="Present",9,IF(F4077="Half Day",4,0))</f>
        <v>9</v>
      </c>
      <c r="J4077" s="2"/>
      <c r="K4077" s="2"/>
    </row>
    <row r="4078" customFormat="false" ht="15" hidden="false" customHeight="false" outlineLevel="0" collapsed="false">
      <c r="A4078" s="2" t="s">
        <v>311</v>
      </c>
      <c r="B4078" s="2" t="s">
        <v>312</v>
      </c>
      <c r="C4078" s="2" t="s">
        <v>24</v>
      </c>
      <c r="D4078" s="3" t="n">
        <v>46250</v>
      </c>
      <c r="E4078" s="2" t="str">
        <f aca="false">TEXT(D4078,"dddd")</f>
        <v>Sunday</v>
      </c>
      <c r="F4078" s="2" t="s">
        <v>460</v>
      </c>
      <c r="G4078" s="2"/>
      <c r="H4078" s="2"/>
      <c r="I4078" s="2" t="n">
        <f aca="false">IF(F4078="Present",9,IF(F4078="Half Day",4,0))</f>
        <v>0</v>
      </c>
      <c r="J4078" s="2"/>
      <c r="K4078" s="2" t="s">
        <v>460</v>
      </c>
    </row>
    <row r="4079" customFormat="false" ht="15" hidden="false" customHeight="false" outlineLevel="0" collapsed="false">
      <c r="A4079" s="2" t="s">
        <v>311</v>
      </c>
      <c r="B4079" s="2" t="s">
        <v>312</v>
      </c>
      <c r="C4079" s="2" t="s">
        <v>24</v>
      </c>
      <c r="D4079" s="3" t="n">
        <v>46251</v>
      </c>
      <c r="E4079" s="2" t="str">
        <f aca="false">TEXT(D4079,"dddd")</f>
        <v>Monday</v>
      </c>
      <c r="F4079" s="2" t="s">
        <v>457</v>
      </c>
      <c r="G4079" s="2" t="s">
        <v>458</v>
      </c>
      <c r="H4079" s="2" t="s">
        <v>459</v>
      </c>
      <c r="I4079" s="2" t="n">
        <f aca="false">IF(F4079="Present",9,IF(F4079="Half Day",4,0))</f>
        <v>9</v>
      </c>
      <c r="J4079" s="2"/>
      <c r="K4079" s="2"/>
    </row>
    <row r="4080" customFormat="false" ht="15" hidden="false" customHeight="false" outlineLevel="0" collapsed="false">
      <c r="A4080" s="2" t="s">
        <v>311</v>
      </c>
      <c r="B4080" s="2" t="s">
        <v>312</v>
      </c>
      <c r="C4080" s="2" t="s">
        <v>24</v>
      </c>
      <c r="D4080" s="3" t="n">
        <v>46252</v>
      </c>
      <c r="E4080" s="2" t="str">
        <f aca="false">TEXT(D4080,"dddd")</f>
        <v>Tuesday</v>
      </c>
      <c r="F4080" s="2" t="s">
        <v>457</v>
      </c>
      <c r="G4080" s="2" t="s">
        <v>458</v>
      </c>
      <c r="H4080" s="2" t="s">
        <v>459</v>
      </c>
      <c r="I4080" s="2" t="n">
        <f aca="false">IF(F4080="Present",9,IF(F4080="Half Day",4,0))</f>
        <v>9</v>
      </c>
      <c r="J4080" s="2"/>
      <c r="K4080" s="2"/>
    </row>
    <row r="4081" customFormat="false" ht="15" hidden="false" customHeight="false" outlineLevel="0" collapsed="false">
      <c r="A4081" s="2" t="s">
        <v>311</v>
      </c>
      <c r="B4081" s="2" t="s">
        <v>312</v>
      </c>
      <c r="C4081" s="2" t="s">
        <v>24</v>
      </c>
      <c r="D4081" s="3" t="n">
        <v>46253</v>
      </c>
      <c r="E4081" s="2" t="str">
        <f aca="false">TEXT(D4081,"dddd")</f>
        <v>Wednesday</v>
      </c>
      <c r="F4081" s="2" t="s">
        <v>457</v>
      </c>
      <c r="G4081" s="2" t="s">
        <v>458</v>
      </c>
      <c r="H4081" s="2" t="s">
        <v>459</v>
      </c>
      <c r="I4081" s="2" t="n">
        <f aca="false">IF(F4081="Present",9,IF(F4081="Half Day",4,0))</f>
        <v>9</v>
      </c>
      <c r="J4081" s="2"/>
      <c r="K4081" s="2"/>
    </row>
    <row r="4082" customFormat="false" ht="15" hidden="false" customHeight="false" outlineLevel="0" collapsed="false">
      <c r="A4082" s="2" t="s">
        <v>311</v>
      </c>
      <c r="B4082" s="2" t="s">
        <v>312</v>
      </c>
      <c r="C4082" s="2" t="s">
        <v>24</v>
      </c>
      <c r="D4082" s="3" t="n">
        <v>46254</v>
      </c>
      <c r="E4082" s="2" t="str">
        <f aca="false">TEXT(D4082,"dddd")</f>
        <v>Thursday</v>
      </c>
      <c r="F4082" s="2" t="s">
        <v>457</v>
      </c>
      <c r="G4082" s="2" t="s">
        <v>458</v>
      </c>
      <c r="H4082" s="2" t="s">
        <v>459</v>
      </c>
      <c r="I4082" s="2" t="n">
        <f aca="false">IF(F4082="Present",9,IF(F4082="Half Day",4,0))</f>
        <v>9</v>
      </c>
      <c r="J4082" s="2"/>
      <c r="K4082" s="2"/>
    </row>
    <row r="4083" customFormat="false" ht="15" hidden="false" customHeight="false" outlineLevel="0" collapsed="false">
      <c r="A4083" s="2" t="s">
        <v>311</v>
      </c>
      <c r="B4083" s="2" t="s">
        <v>312</v>
      </c>
      <c r="C4083" s="2" t="s">
        <v>24</v>
      </c>
      <c r="D4083" s="3" t="n">
        <v>46255</v>
      </c>
      <c r="E4083" s="2" t="str">
        <f aca="false">TEXT(D4083,"dddd")</f>
        <v>Friday</v>
      </c>
      <c r="F4083" s="2" t="s">
        <v>457</v>
      </c>
      <c r="G4083" s="2" t="s">
        <v>458</v>
      </c>
      <c r="H4083" s="2" t="s">
        <v>459</v>
      </c>
      <c r="I4083" s="2" t="n">
        <f aca="false">IF(F4083="Present",9,IF(F4083="Half Day",4,0))</f>
        <v>9</v>
      </c>
      <c r="J4083" s="2"/>
      <c r="K4083" s="2"/>
    </row>
    <row r="4084" customFormat="false" ht="15" hidden="false" customHeight="false" outlineLevel="0" collapsed="false">
      <c r="A4084" s="2" t="s">
        <v>311</v>
      </c>
      <c r="B4084" s="2" t="s">
        <v>312</v>
      </c>
      <c r="C4084" s="2" t="s">
        <v>24</v>
      </c>
      <c r="D4084" s="3" t="n">
        <v>46256</v>
      </c>
      <c r="E4084" s="2" t="str">
        <f aca="false">TEXT(D4084,"dddd")</f>
        <v>Saturday</v>
      </c>
      <c r="F4084" s="2" t="s">
        <v>461</v>
      </c>
      <c r="G4084" s="2"/>
      <c r="H4084" s="2"/>
      <c r="I4084" s="2" t="n">
        <f aca="false">IF(F4084="Present",9,IF(F4084="Half Day",4,0))</f>
        <v>0</v>
      </c>
      <c r="J4084" s="2"/>
      <c r="K4084" s="2" t="s">
        <v>462</v>
      </c>
    </row>
    <row r="4085" customFormat="false" ht="15" hidden="false" customHeight="false" outlineLevel="0" collapsed="false">
      <c r="A4085" s="2" t="s">
        <v>311</v>
      </c>
      <c r="B4085" s="2" t="s">
        <v>312</v>
      </c>
      <c r="C4085" s="2" t="s">
        <v>24</v>
      </c>
      <c r="D4085" s="3" t="n">
        <v>46257</v>
      </c>
      <c r="E4085" s="2" t="str">
        <f aca="false">TEXT(D4085,"dddd")</f>
        <v>Sunday</v>
      </c>
      <c r="F4085" s="2" t="s">
        <v>460</v>
      </c>
      <c r="G4085" s="2"/>
      <c r="H4085" s="2"/>
      <c r="I4085" s="2" t="n">
        <f aca="false">IF(F4085="Present",9,IF(F4085="Half Day",4,0))</f>
        <v>0</v>
      </c>
      <c r="J4085" s="2"/>
      <c r="K4085" s="2" t="s">
        <v>460</v>
      </c>
    </row>
    <row r="4086" customFormat="false" ht="15" hidden="false" customHeight="false" outlineLevel="0" collapsed="false">
      <c r="A4086" s="2" t="s">
        <v>311</v>
      </c>
      <c r="B4086" s="2" t="s">
        <v>312</v>
      </c>
      <c r="C4086" s="2" t="s">
        <v>24</v>
      </c>
      <c r="D4086" s="3" t="n">
        <v>46258</v>
      </c>
      <c r="E4086" s="2" t="str">
        <f aca="false">TEXT(D4086,"dddd")</f>
        <v>Monday</v>
      </c>
      <c r="F4086" s="2" t="s">
        <v>457</v>
      </c>
      <c r="G4086" s="2" t="s">
        <v>458</v>
      </c>
      <c r="H4086" s="2" t="s">
        <v>459</v>
      </c>
      <c r="I4086" s="2" t="n">
        <f aca="false">IF(F4086="Present",9,IF(F4086="Half Day",4,0))</f>
        <v>9</v>
      </c>
      <c r="J4086" s="2"/>
      <c r="K4086" s="2"/>
    </row>
    <row r="4087" customFormat="false" ht="15" hidden="false" customHeight="false" outlineLevel="0" collapsed="false">
      <c r="A4087" s="2" t="s">
        <v>311</v>
      </c>
      <c r="B4087" s="2" t="s">
        <v>312</v>
      </c>
      <c r="C4087" s="2" t="s">
        <v>24</v>
      </c>
      <c r="D4087" s="3" t="n">
        <v>46259</v>
      </c>
      <c r="E4087" s="2" t="str">
        <f aca="false">TEXT(D4087,"dddd")</f>
        <v>Tuesday</v>
      </c>
      <c r="F4087" s="2" t="s">
        <v>461</v>
      </c>
      <c r="G4087" s="2"/>
      <c r="H4087" s="2"/>
      <c r="I4087" s="2" t="n">
        <f aca="false">IF(F4087="Present",9,IF(F4087="Half Day",4,0))</f>
        <v>0</v>
      </c>
      <c r="J4087" s="2"/>
      <c r="K4087" s="2" t="s">
        <v>462</v>
      </c>
    </row>
    <row r="4088" customFormat="false" ht="15" hidden="false" customHeight="false" outlineLevel="0" collapsed="false">
      <c r="A4088" s="2" t="s">
        <v>311</v>
      </c>
      <c r="B4088" s="2" t="s">
        <v>312</v>
      </c>
      <c r="C4088" s="2" t="s">
        <v>24</v>
      </c>
      <c r="D4088" s="3" t="n">
        <v>46260</v>
      </c>
      <c r="E4088" s="2" t="str">
        <f aca="false">TEXT(D4088,"dddd")</f>
        <v>Wednesday</v>
      </c>
      <c r="F4088" s="2" t="s">
        <v>457</v>
      </c>
      <c r="G4088" s="2" t="s">
        <v>458</v>
      </c>
      <c r="H4088" s="2" t="s">
        <v>459</v>
      </c>
      <c r="I4088" s="2" t="n">
        <f aca="false">IF(F4088="Present",9,IF(F4088="Half Day",4,0))</f>
        <v>9</v>
      </c>
      <c r="J4088" s="2"/>
      <c r="K4088" s="2"/>
    </row>
    <row r="4089" customFormat="false" ht="15" hidden="false" customHeight="false" outlineLevel="0" collapsed="false">
      <c r="A4089" s="2" t="s">
        <v>311</v>
      </c>
      <c r="B4089" s="2" t="s">
        <v>312</v>
      </c>
      <c r="C4089" s="2" t="s">
        <v>24</v>
      </c>
      <c r="D4089" s="3" t="n">
        <v>46261</v>
      </c>
      <c r="E4089" s="2" t="str">
        <f aca="false">TEXT(D4089,"dddd")</f>
        <v>Thursday</v>
      </c>
      <c r="F4089" s="2" t="s">
        <v>461</v>
      </c>
      <c r="G4089" s="2"/>
      <c r="H4089" s="2"/>
      <c r="I4089" s="2" t="n">
        <f aca="false">IF(F4089="Present",9,IF(F4089="Half Day",4,0))</f>
        <v>0</v>
      </c>
      <c r="J4089" s="2"/>
      <c r="K4089" s="2" t="s">
        <v>462</v>
      </c>
    </row>
    <row r="4090" customFormat="false" ht="15" hidden="false" customHeight="false" outlineLevel="0" collapsed="false">
      <c r="A4090" s="2" t="s">
        <v>311</v>
      </c>
      <c r="B4090" s="2" t="s">
        <v>312</v>
      </c>
      <c r="C4090" s="2" t="s">
        <v>24</v>
      </c>
      <c r="D4090" s="3" t="n">
        <v>46262</v>
      </c>
      <c r="E4090" s="2" t="str">
        <f aca="false">TEXT(D4090,"dddd")</f>
        <v>Friday</v>
      </c>
      <c r="F4090" s="2" t="s">
        <v>457</v>
      </c>
      <c r="G4090" s="2" t="s">
        <v>458</v>
      </c>
      <c r="H4090" s="2" t="s">
        <v>459</v>
      </c>
      <c r="I4090" s="2" t="n">
        <f aca="false">IF(F4090="Present",9,IF(F4090="Half Day",4,0))</f>
        <v>9</v>
      </c>
      <c r="J4090" s="2"/>
      <c r="K4090" s="2"/>
    </row>
    <row r="4091" customFormat="false" ht="15" hidden="false" customHeight="false" outlineLevel="0" collapsed="false">
      <c r="A4091" s="2" t="s">
        <v>311</v>
      </c>
      <c r="B4091" s="2" t="s">
        <v>312</v>
      </c>
      <c r="C4091" s="2" t="s">
        <v>24</v>
      </c>
      <c r="D4091" s="3" t="n">
        <v>46263</v>
      </c>
      <c r="E4091" s="2" t="str">
        <f aca="false">TEXT(D4091,"dddd")</f>
        <v>Saturday</v>
      </c>
      <c r="F4091" s="2" t="s">
        <v>461</v>
      </c>
      <c r="G4091" s="2"/>
      <c r="H4091" s="2"/>
      <c r="I4091" s="2" t="n">
        <f aca="false">IF(F4091="Present",9,IF(F4091="Half Day",4,0))</f>
        <v>0</v>
      </c>
      <c r="J4091" s="2"/>
      <c r="K4091" s="2" t="s">
        <v>462</v>
      </c>
    </row>
    <row r="4092" customFormat="false" ht="15" hidden="false" customHeight="false" outlineLevel="0" collapsed="false">
      <c r="A4092" s="2" t="s">
        <v>311</v>
      </c>
      <c r="B4092" s="2" t="s">
        <v>312</v>
      </c>
      <c r="C4092" s="2" t="s">
        <v>24</v>
      </c>
      <c r="D4092" s="3" t="n">
        <v>46264</v>
      </c>
      <c r="E4092" s="2" t="str">
        <f aca="false">TEXT(D4092,"dddd")</f>
        <v>Sunday</v>
      </c>
      <c r="F4092" s="2" t="s">
        <v>460</v>
      </c>
      <c r="G4092" s="2"/>
      <c r="H4092" s="2"/>
      <c r="I4092" s="2" t="n">
        <f aca="false">IF(F4092="Present",9,IF(F4092="Half Day",4,0))</f>
        <v>0</v>
      </c>
      <c r="J4092" s="2"/>
      <c r="K4092" s="2" t="s">
        <v>460</v>
      </c>
    </row>
    <row r="4093" customFormat="false" ht="15" hidden="false" customHeight="false" outlineLevel="0" collapsed="false">
      <c r="A4093" s="2" t="s">
        <v>311</v>
      </c>
      <c r="B4093" s="2" t="s">
        <v>312</v>
      </c>
      <c r="C4093" s="2" t="s">
        <v>24</v>
      </c>
      <c r="D4093" s="3" t="n">
        <v>46265</v>
      </c>
      <c r="E4093" s="2" t="str">
        <f aca="false">TEXT(D4093,"dddd")</f>
        <v>Monday</v>
      </c>
      <c r="F4093" s="2" t="s">
        <v>457</v>
      </c>
      <c r="G4093" s="2" t="s">
        <v>458</v>
      </c>
      <c r="H4093" s="2" t="s">
        <v>459</v>
      </c>
      <c r="I4093" s="2" t="n">
        <f aca="false">IF(F4093="Present",9,IF(F4093="Half Day",4,0))</f>
        <v>9</v>
      </c>
      <c r="J4093" s="2"/>
      <c r="K4093" s="2"/>
    </row>
    <row r="4094" customFormat="false" ht="15" hidden="false" customHeight="false" outlineLevel="0" collapsed="false">
      <c r="A4094" s="2" t="s">
        <v>313</v>
      </c>
      <c r="B4094" s="2" t="s">
        <v>314</v>
      </c>
      <c r="C4094" s="2" t="s">
        <v>28</v>
      </c>
      <c r="D4094" s="3" t="n">
        <v>46235</v>
      </c>
      <c r="E4094" s="2" t="str">
        <f aca="false">TEXT(D4094,"dddd")</f>
        <v>Saturday</v>
      </c>
      <c r="F4094" s="2" t="s">
        <v>457</v>
      </c>
      <c r="G4094" s="2" t="s">
        <v>458</v>
      </c>
      <c r="H4094" s="2" t="s">
        <v>459</v>
      </c>
      <c r="I4094" s="2" t="n">
        <f aca="false">IF(F4094="Present",9,IF(F4094="Half Day",4,0))</f>
        <v>9</v>
      </c>
      <c r="J4094" s="2"/>
      <c r="K4094" s="2"/>
    </row>
    <row r="4095" customFormat="false" ht="15" hidden="false" customHeight="false" outlineLevel="0" collapsed="false">
      <c r="A4095" s="2" t="s">
        <v>313</v>
      </c>
      <c r="B4095" s="2" t="s">
        <v>314</v>
      </c>
      <c r="C4095" s="2" t="s">
        <v>28</v>
      </c>
      <c r="D4095" s="3" t="n">
        <v>46236</v>
      </c>
      <c r="E4095" s="2" t="str">
        <f aca="false">TEXT(D4095,"dddd")</f>
        <v>Sunday</v>
      </c>
      <c r="F4095" s="2" t="s">
        <v>460</v>
      </c>
      <c r="G4095" s="2"/>
      <c r="H4095" s="2"/>
      <c r="I4095" s="2" t="n">
        <f aca="false">IF(F4095="Present",9,IF(F4095="Half Day",4,0))</f>
        <v>0</v>
      </c>
      <c r="J4095" s="2"/>
      <c r="K4095" s="2" t="s">
        <v>460</v>
      </c>
    </row>
    <row r="4096" customFormat="false" ht="15" hidden="false" customHeight="false" outlineLevel="0" collapsed="false">
      <c r="A4096" s="2" t="s">
        <v>313</v>
      </c>
      <c r="B4096" s="2" t="s">
        <v>314</v>
      </c>
      <c r="C4096" s="2" t="s">
        <v>28</v>
      </c>
      <c r="D4096" s="3" t="n">
        <v>46237</v>
      </c>
      <c r="E4096" s="2" t="str">
        <f aca="false">TEXT(D4096,"dddd")</f>
        <v>Monday</v>
      </c>
      <c r="F4096" s="2" t="s">
        <v>457</v>
      </c>
      <c r="G4096" s="2" t="s">
        <v>458</v>
      </c>
      <c r="H4096" s="2" t="s">
        <v>459</v>
      </c>
      <c r="I4096" s="2" t="n">
        <f aca="false">IF(F4096="Present",9,IF(F4096="Half Day",4,0))</f>
        <v>9</v>
      </c>
      <c r="J4096" s="2"/>
      <c r="K4096" s="2"/>
    </row>
    <row r="4097" customFormat="false" ht="15" hidden="false" customHeight="false" outlineLevel="0" collapsed="false">
      <c r="A4097" s="2" t="s">
        <v>313</v>
      </c>
      <c r="B4097" s="2" t="s">
        <v>314</v>
      </c>
      <c r="C4097" s="2" t="s">
        <v>28</v>
      </c>
      <c r="D4097" s="3" t="n">
        <v>46238</v>
      </c>
      <c r="E4097" s="2" t="str">
        <f aca="false">TEXT(D4097,"dddd")</f>
        <v>Tuesday</v>
      </c>
      <c r="F4097" s="2" t="s">
        <v>457</v>
      </c>
      <c r="G4097" s="2" t="s">
        <v>458</v>
      </c>
      <c r="H4097" s="2" t="s">
        <v>459</v>
      </c>
      <c r="I4097" s="2" t="n">
        <f aca="false">IF(F4097="Present",9,IF(F4097="Half Day",4,0))</f>
        <v>9</v>
      </c>
      <c r="J4097" s="2"/>
      <c r="K4097" s="2"/>
    </row>
    <row r="4098" customFormat="false" ht="15" hidden="false" customHeight="false" outlineLevel="0" collapsed="false">
      <c r="A4098" s="2" t="s">
        <v>313</v>
      </c>
      <c r="B4098" s="2" t="s">
        <v>314</v>
      </c>
      <c r="C4098" s="2" t="s">
        <v>28</v>
      </c>
      <c r="D4098" s="3" t="n">
        <v>46239</v>
      </c>
      <c r="E4098" s="2" t="str">
        <f aca="false">TEXT(D4098,"dddd")</f>
        <v>Wednesday</v>
      </c>
      <c r="F4098" s="2" t="s">
        <v>461</v>
      </c>
      <c r="G4098" s="2"/>
      <c r="H4098" s="2"/>
      <c r="I4098" s="2" t="n">
        <f aca="false">IF(F4098="Present",9,IF(F4098="Half Day",4,0))</f>
        <v>0</v>
      </c>
      <c r="J4098" s="2"/>
      <c r="K4098" s="2" t="s">
        <v>462</v>
      </c>
    </row>
    <row r="4099" customFormat="false" ht="15" hidden="false" customHeight="false" outlineLevel="0" collapsed="false">
      <c r="A4099" s="2" t="s">
        <v>313</v>
      </c>
      <c r="B4099" s="2" t="s">
        <v>314</v>
      </c>
      <c r="C4099" s="2" t="s">
        <v>28</v>
      </c>
      <c r="D4099" s="3" t="n">
        <v>46240</v>
      </c>
      <c r="E4099" s="2" t="str">
        <f aca="false">TEXT(D4099,"dddd")</f>
        <v>Thursday</v>
      </c>
      <c r="F4099" s="2" t="s">
        <v>457</v>
      </c>
      <c r="G4099" s="2" t="s">
        <v>458</v>
      </c>
      <c r="H4099" s="2" t="s">
        <v>459</v>
      </c>
      <c r="I4099" s="2" t="n">
        <f aca="false">IF(F4099="Present",9,IF(F4099="Half Day",4,0))</f>
        <v>9</v>
      </c>
      <c r="J4099" s="2"/>
      <c r="K4099" s="2"/>
    </row>
    <row r="4100" customFormat="false" ht="15" hidden="false" customHeight="false" outlineLevel="0" collapsed="false">
      <c r="A4100" s="2" t="s">
        <v>313</v>
      </c>
      <c r="B4100" s="2" t="s">
        <v>314</v>
      </c>
      <c r="C4100" s="2" t="s">
        <v>28</v>
      </c>
      <c r="D4100" s="3" t="n">
        <v>46241</v>
      </c>
      <c r="E4100" s="2" t="str">
        <f aca="false">TEXT(D4100,"dddd")</f>
        <v>Friday</v>
      </c>
      <c r="F4100" s="2" t="s">
        <v>457</v>
      </c>
      <c r="G4100" s="2" t="s">
        <v>458</v>
      </c>
      <c r="H4100" s="2" t="s">
        <v>459</v>
      </c>
      <c r="I4100" s="2" t="n">
        <f aca="false">IF(F4100="Present",9,IF(F4100="Half Day",4,0))</f>
        <v>9</v>
      </c>
      <c r="J4100" s="2"/>
      <c r="K4100" s="2"/>
    </row>
    <row r="4101" customFormat="false" ht="15" hidden="false" customHeight="false" outlineLevel="0" collapsed="false">
      <c r="A4101" s="2" t="s">
        <v>313</v>
      </c>
      <c r="B4101" s="2" t="s">
        <v>314</v>
      </c>
      <c r="C4101" s="2" t="s">
        <v>28</v>
      </c>
      <c r="D4101" s="3" t="n">
        <v>46242</v>
      </c>
      <c r="E4101" s="2" t="str">
        <f aca="false">TEXT(D4101,"dddd")</f>
        <v>Saturday</v>
      </c>
      <c r="F4101" s="2" t="s">
        <v>463</v>
      </c>
      <c r="G4101" s="2"/>
      <c r="H4101" s="2"/>
      <c r="I4101" s="2" t="n">
        <f aca="false">IF(F4101="Present",9,IF(F4101="Half Day",4,0))</f>
        <v>0</v>
      </c>
      <c r="J4101" s="2" t="s">
        <v>464</v>
      </c>
      <c r="K4101" s="2" t="s">
        <v>465</v>
      </c>
    </row>
    <row r="4102" customFormat="false" ht="15" hidden="false" customHeight="false" outlineLevel="0" collapsed="false">
      <c r="A4102" s="2" t="s">
        <v>313</v>
      </c>
      <c r="B4102" s="2" t="s">
        <v>314</v>
      </c>
      <c r="C4102" s="2" t="s">
        <v>28</v>
      </c>
      <c r="D4102" s="3" t="n">
        <v>46243</v>
      </c>
      <c r="E4102" s="2" t="str">
        <f aca="false">TEXT(D4102,"dddd")</f>
        <v>Sunday</v>
      </c>
      <c r="F4102" s="2" t="s">
        <v>460</v>
      </c>
      <c r="G4102" s="2"/>
      <c r="H4102" s="2"/>
      <c r="I4102" s="2" t="n">
        <f aca="false">IF(F4102="Present",9,IF(F4102="Half Day",4,0))</f>
        <v>0</v>
      </c>
      <c r="J4102" s="2"/>
      <c r="K4102" s="2" t="s">
        <v>460</v>
      </c>
    </row>
    <row r="4103" customFormat="false" ht="15" hidden="false" customHeight="false" outlineLevel="0" collapsed="false">
      <c r="A4103" s="2" t="s">
        <v>313</v>
      </c>
      <c r="B4103" s="2" t="s">
        <v>314</v>
      </c>
      <c r="C4103" s="2" t="s">
        <v>28</v>
      </c>
      <c r="D4103" s="3" t="n">
        <v>46244</v>
      </c>
      <c r="E4103" s="2" t="str">
        <f aca="false">TEXT(D4103,"dddd")</f>
        <v>Monday</v>
      </c>
      <c r="F4103" s="2" t="s">
        <v>457</v>
      </c>
      <c r="G4103" s="2" t="s">
        <v>458</v>
      </c>
      <c r="H4103" s="2" t="s">
        <v>459</v>
      </c>
      <c r="I4103" s="2" t="n">
        <f aca="false">IF(F4103="Present",9,IF(F4103="Half Day",4,0))</f>
        <v>9</v>
      </c>
      <c r="J4103" s="2"/>
      <c r="K4103" s="2"/>
    </row>
    <row r="4104" customFormat="false" ht="15" hidden="false" customHeight="false" outlineLevel="0" collapsed="false">
      <c r="A4104" s="2" t="s">
        <v>313</v>
      </c>
      <c r="B4104" s="2" t="s">
        <v>314</v>
      </c>
      <c r="C4104" s="2" t="s">
        <v>28</v>
      </c>
      <c r="D4104" s="3" t="n">
        <v>46245</v>
      </c>
      <c r="E4104" s="2" t="str">
        <f aca="false">TEXT(D4104,"dddd")</f>
        <v>Tuesday</v>
      </c>
      <c r="F4104" s="2" t="s">
        <v>457</v>
      </c>
      <c r="G4104" s="2" t="s">
        <v>458</v>
      </c>
      <c r="H4104" s="2" t="s">
        <v>459</v>
      </c>
      <c r="I4104" s="2" t="n">
        <f aca="false">IF(F4104="Present",9,IF(F4104="Half Day",4,0))</f>
        <v>9</v>
      </c>
      <c r="J4104" s="2"/>
      <c r="K4104" s="2"/>
    </row>
    <row r="4105" customFormat="false" ht="15" hidden="false" customHeight="false" outlineLevel="0" collapsed="false">
      <c r="A4105" s="2" t="s">
        <v>313</v>
      </c>
      <c r="B4105" s="2" t="s">
        <v>314</v>
      </c>
      <c r="C4105" s="2" t="s">
        <v>28</v>
      </c>
      <c r="D4105" s="3" t="n">
        <v>46246</v>
      </c>
      <c r="E4105" s="2" t="str">
        <f aca="false">TEXT(D4105,"dddd")</f>
        <v>Wednesday</v>
      </c>
      <c r="F4105" s="2" t="s">
        <v>457</v>
      </c>
      <c r="G4105" s="2" t="s">
        <v>458</v>
      </c>
      <c r="H4105" s="2" t="s">
        <v>459</v>
      </c>
      <c r="I4105" s="2" t="n">
        <f aca="false">IF(F4105="Present",9,IF(F4105="Half Day",4,0))</f>
        <v>9</v>
      </c>
      <c r="J4105" s="2"/>
      <c r="K4105" s="2"/>
    </row>
    <row r="4106" customFormat="false" ht="15" hidden="false" customHeight="false" outlineLevel="0" collapsed="false">
      <c r="A4106" s="2" t="s">
        <v>313</v>
      </c>
      <c r="B4106" s="2" t="s">
        <v>314</v>
      </c>
      <c r="C4106" s="2" t="s">
        <v>28</v>
      </c>
      <c r="D4106" s="3" t="n">
        <v>46247</v>
      </c>
      <c r="E4106" s="2" t="str">
        <f aca="false">TEXT(D4106,"dddd")</f>
        <v>Thursday</v>
      </c>
      <c r="F4106" s="2" t="s">
        <v>457</v>
      </c>
      <c r="G4106" s="2" t="s">
        <v>458</v>
      </c>
      <c r="H4106" s="2" t="s">
        <v>459</v>
      </c>
      <c r="I4106" s="2" t="n">
        <f aca="false">IF(F4106="Present",9,IF(F4106="Half Day",4,0))</f>
        <v>9</v>
      </c>
      <c r="J4106" s="2"/>
      <c r="K4106" s="2"/>
    </row>
    <row r="4107" customFormat="false" ht="15" hidden="false" customHeight="false" outlineLevel="0" collapsed="false">
      <c r="A4107" s="2" t="s">
        <v>313</v>
      </c>
      <c r="B4107" s="2" t="s">
        <v>314</v>
      </c>
      <c r="C4107" s="2" t="s">
        <v>28</v>
      </c>
      <c r="D4107" s="3" t="n">
        <v>46248</v>
      </c>
      <c r="E4107" s="2" t="str">
        <f aca="false">TEXT(D4107,"dddd")</f>
        <v>Friday</v>
      </c>
      <c r="F4107" s="2" t="s">
        <v>457</v>
      </c>
      <c r="G4107" s="2" t="s">
        <v>458</v>
      </c>
      <c r="H4107" s="2" t="s">
        <v>459</v>
      </c>
      <c r="I4107" s="2" t="n">
        <f aca="false">IF(F4107="Present",9,IF(F4107="Half Day",4,0))</f>
        <v>9</v>
      </c>
      <c r="J4107" s="2"/>
      <c r="K4107" s="2"/>
    </row>
    <row r="4108" customFormat="false" ht="15" hidden="false" customHeight="false" outlineLevel="0" collapsed="false">
      <c r="A4108" s="2" t="s">
        <v>313</v>
      </c>
      <c r="B4108" s="2" t="s">
        <v>314</v>
      </c>
      <c r="C4108" s="2" t="s">
        <v>28</v>
      </c>
      <c r="D4108" s="3" t="n">
        <v>46249</v>
      </c>
      <c r="E4108" s="2" t="str">
        <f aca="false">TEXT(D4108,"dddd")</f>
        <v>Saturday</v>
      </c>
      <c r="F4108" s="2" t="s">
        <v>457</v>
      </c>
      <c r="G4108" s="2" t="s">
        <v>458</v>
      </c>
      <c r="H4108" s="2" t="s">
        <v>459</v>
      </c>
      <c r="I4108" s="2" t="n">
        <f aca="false">IF(F4108="Present",9,IF(F4108="Half Day",4,0))</f>
        <v>9</v>
      </c>
      <c r="J4108" s="2"/>
      <c r="K4108" s="2"/>
    </row>
    <row r="4109" customFormat="false" ht="15" hidden="false" customHeight="false" outlineLevel="0" collapsed="false">
      <c r="A4109" s="2" t="s">
        <v>313</v>
      </c>
      <c r="B4109" s="2" t="s">
        <v>314</v>
      </c>
      <c r="C4109" s="2" t="s">
        <v>28</v>
      </c>
      <c r="D4109" s="3" t="n">
        <v>46250</v>
      </c>
      <c r="E4109" s="2" t="str">
        <f aca="false">TEXT(D4109,"dddd")</f>
        <v>Sunday</v>
      </c>
      <c r="F4109" s="2" t="s">
        <v>460</v>
      </c>
      <c r="G4109" s="2"/>
      <c r="H4109" s="2"/>
      <c r="I4109" s="2" t="n">
        <f aca="false">IF(F4109="Present",9,IF(F4109="Half Day",4,0))</f>
        <v>0</v>
      </c>
      <c r="J4109" s="2"/>
      <c r="K4109" s="2" t="s">
        <v>460</v>
      </c>
    </row>
    <row r="4110" customFormat="false" ht="15" hidden="false" customHeight="false" outlineLevel="0" collapsed="false">
      <c r="A4110" s="2" t="s">
        <v>313</v>
      </c>
      <c r="B4110" s="2" t="s">
        <v>314</v>
      </c>
      <c r="C4110" s="2" t="s">
        <v>28</v>
      </c>
      <c r="D4110" s="3" t="n">
        <v>46251</v>
      </c>
      <c r="E4110" s="2" t="str">
        <f aca="false">TEXT(D4110,"dddd")</f>
        <v>Monday</v>
      </c>
      <c r="F4110" s="2" t="s">
        <v>457</v>
      </c>
      <c r="G4110" s="2" t="s">
        <v>458</v>
      </c>
      <c r="H4110" s="2" t="s">
        <v>459</v>
      </c>
      <c r="I4110" s="2" t="n">
        <f aca="false">IF(F4110="Present",9,IF(F4110="Half Day",4,0))</f>
        <v>9</v>
      </c>
      <c r="J4110" s="2"/>
      <c r="K4110" s="2"/>
    </row>
    <row r="4111" customFormat="false" ht="15" hidden="false" customHeight="false" outlineLevel="0" collapsed="false">
      <c r="A4111" s="2" t="s">
        <v>313</v>
      </c>
      <c r="B4111" s="2" t="s">
        <v>314</v>
      </c>
      <c r="C4111" s="2" t="s">
        <v>28</v>
      </c>
      <c r="D4111" s="3" t="n">
        <v>46252</v>
      </c>
      <c r="E4111" s="2" t="str">
        <f aca="false">TEXT(D4111,"dddd")</f>
        <v>Tuesday</v>
      </c>
      <c r="F4111" s="2" t="s">
        <v>457</v>
      </c>
      <c r="G4111" s="2" t="s">
        <v>458</v>
      </c>
      <c r="H4111" s="2" t="s">
        <v>459</v>
      </c>
      <c r="I4111" s="2" t="n">
        <f aca="false">IF(F4111="Present",9,IF(F4111="Half Day",4,0))</f>
        <v>9</v>
      </c>
      <c r="J4111" s="2"/>
      <c r="K4111" s="2"/>
    </row>
    <row r="4112" customFormat="false" ht="15" hidden="false" customHeight="false" outlineLevel="0" collapsed="false">
      <c r="A4112" s="2" t="s">
        <v>313</v>
      </c>
      <c r="B4112" s="2" t="s">
        <v>314</v>
      </c>
      <c r="C4112" s="2" t="s">
        <v>28</v>
      </c>
      <c r="D4112" s="3" t="n">
        <v>46253</v>
      </c>
      <c r="E4112" s="2" t="str">
        <f aca="false">TEXT(D4112,"dddd")</f>
        <v>Wednesday</v>
      </c>
      <c r="F4112" s="2" t="s">
        <v>457</v>
      </c>
      <c r="G4112" s="2" t="s">
        <v>458</v>
      </c>
      <c r="H4112" s="2" t="s">
        <v>459</v>
      </c>
      <c r="I4112" s="2" t="n">
        <f aca="false">IF(F4112="Present",9,IF(F4112="Half Day",4,0))</f>
        <v>9</v>
      </c>
      <c r="J4112" s="2"/>
      <c r="K4112" s="2"/>
    </row>
    <row r="4113" customFormat="false" ht="15" hidden="false" customHeight="false" outlineLevel="0" collapsed="false">
      <c r="A4113" s="2" t="s">
        <v>313</v>
      </c>
      <c r="B4113" s="2" t="s">
        <v>314</v>
      </c>
      <c r="C4113" s="2" t="s">
        <v>28</v>
      </c>
      <c r="D4113" s="3" t="n">
        <v>46254</v>
      </c>
      <c r="E4113" s="2" t="str">
        <f aca="false">TEXT(D4113,"dddd")</f>
        <v>Thursday</v>
      </c>
      <c r="F4113" s="2" t="s">
        <v>461</v>
      </c>
      <c r="G4113" s="2"/>
      <c r="H4113" s="2"/>
      <c r="I4113" s="2" t="n">
        <f aca="false">IF(F4113="Present",9,IF(F4113="Half Day",4,0))</f>
        <v>0</v>
      </c>
      <c r="J4113" s="2"/>
      <c r="K4113" s="2" t="s">
        <v>462</v>
      </c>
    </row>
    <row r="4114" customFormat="false" ht="15" hidden="false" customHeight="false" outlineLevel="0" collapsed="false">
      <c r="A4114" s="2" t="s">
        <v>313</v>
      </c>
      <c r="B4114" s="2" t="s">
        <v>314</v>
      </c>
      <c r="C4114" s="2" t="s">
        <v>28</v>
      </c>
      <c r="D4114" s="3" t="n">
        <v>46255</v>
      </c>
      <c r="E4114" s="2" t="str">
        <f aca="false">TEXT(D4114,"dddd")</f>
        <v>Friday</v>
      </c>
      <c r="F4114" s="2" t="s">
        <v>457</v>
      </c>
      <c r="G4114" s="2" t="s">
        <v>458</v>
      </c>
      <c r="H4114" s="2" t="s">
        <v>459</v>
      </c>
      <c r="I4114" s="2" t="n">
        <f aca="false">IF(F4114="Present",9,IF(F4114="Half Day",4,0))</f>
        <v>9</v>
      </c>
      <c r="J4114" s="2"/>
      <c r="K4114" s="2"/>
    </row>
    <row r="4115" customFormat="false" ht="15" hidden="false" customHeight="false" outlineLevel="0" collapsed="false">
      <c r="A4115" s="2" t="s">
        <v>313</v>
      </c>
      <c r="B4115" s="2" t="s">
        <v>314</v>
      </c>
      <c r="C4115" s="2" t="s">
        <v>28</v>
      </c>
      <c r="D4115" s="3" t="n">
        <v>46256</v>
      </c>
      <c r="E4115" s="2" t="str">
        <f aca="false">TEXT(D4115,"dddd")</f>
        <v>Saturday</v>
      </c>
      <c r="F4115" s="2" t="s">
        <v>457</v>
      </c>
      <c r="G4115" s="2" t="s">
        <v>458</v>
      </c>
      <c r="H4115" s="2" t="s">
        <v>459</v>
      </c>
      <c r="I4115" s="2" t="n">
        <f aca="false">IF(F4115="Present",9,IF(F4115="Half Day",4,0))</f>
        <v>9</v>
      </c>
      <c r="J4115" s="2"/>
      <c r="K4115" s="2"/>
    </row>
    <row r="4116" customFormat="false" ht="15" hidden="false" customHeight="false" outlineLevel="0" collapsed="false">
      <c r="A4116" s="2" t="s">
        <v>313</v>
      </c>
      <c r="B4116" s="2" t="s">
        <v>314</v>
      </c>
      <c r="C4116" s="2" t="s">
        <v>28</v>
      </c>
      <c r="D4116" s="3" t="n">
        <v>46257</v>
      </c>
      <c r="E4116" s="2" t="str">
        <f aca="false">TEXT(D4116,"dddd")</f>
        <v>Sunday</v>
      </c>
      <c r="F4116" s="2" t="s">
        <v>460</v>
      </c>
      <c r="G4116" s="2"/>
      <c r="H4116" s="2"/>
      <c r="I4116" s="2" t="n">
        <f aca="false">IF(F4116="Present",9,IF(F4116="Half Day",4,0))</f>
        <v>0</v>
      </c>
      <c r="J4116" s="2"/>
      <c r="K4116" s="2" t="s">
        <v>460</v>
      </c>
    </row>
    <row r="4117" customFormat="false" ht="15" hidden="false" customHeight="false" outlineLevel="0" collapsed="false">
      <c r="A4117" s="2" t="s">
        <v>313</v>
      </c>
      <c r="B4117" s="2" t="s">
        <v>314</v>
      </c>
      <c r="C4117" s="2" t="s">
        <v>28</v>
      </c>
      <c r="D4117" s="3" t="n">
        <v>46258</v>
      </c>
      <c r="E4117" s="2" t="str">
        <f aca="false">TEXT(D4117,"dddd")</f>
        <v>Monday</v>
      </c>
      <c r="F4117" s="2" t="s">
        <v>457</v>
      </c>
      <c r="G4117" s="2" t="s">
        <v>458</v>
      </c>
      <c r="H4117" s="2" t="s">
        <v>459</v>
      </c>
      <c r="I4117" s="2" t="n">
        <f aca="false">IF(F4117="Present",9,IF(F4117="Half Day",4,0))</f>
        <v>9</v>
      </c>
      <c r="J4117" s="2"/>
      <c r="K4117" s="2"/>
    </row>
    <row r="4118" customFormat="false" ht="15" hidden="false" customHeight="false" outlineLevel="0" collapsed="false">
      <c r="A4118" s="2" t="s">
        <v>313</v>
      </c>
      <c r="B4118" s="2" t="s">
        <v>314</v>
      </c>
      <c r="C4118" s="2" t="s">
        <v>28</v>
      </c>
      <c r="D4118" s="3" t="n">
        <v>46259</v>
      </c>
      <c r="E4118" s="2" t="str">
        <f aca="false">TEXT(D4118,"dddd")</f>
        <v>Tuesday</v>
      </c>
      <c r="F4118" s="2" t="s">
        <v>457</v>
      </c>
      <c r="G4118" s="2" t="s">
        <v>458</v>
      </c>
      <c r="H4118" s="2" t="s">
        <v>459</v>
      </c>
      <c r="I4118" s="2" t="n">
        <f aca="false">IF(F4118="Present",9,IF(F4118="Half Day",4,0))</f>
        <v>9</v>
      </c>
      <c r="J4118" s="2"/>
      <c r="K4118" s="2"/>
    </row>
    <row r="4119" customFormat="false" ht="15" hidden="false" customHeight="false" outlineLevel="0" collapsed="false">
      <c r="A4119" s="2" t="s">
        <v>313</v>
      </c>
      <c r="B4119" s="2" t="s">
        <v>314</v>
      </c>
      <c r="C4119" s="2" t="s">
        <v>28</v>
      </c>
      <c r="D4119" s="3" t="n">
        <v>46260</v>
      </c>
      <c r="E4119" s="2" t="str">
        <f aca="false">TEXT(D4119,"dddd")</f>
        <v>Wednesday</v>
      </c>
      <c r="F4119" s="2" t="s">
        <v>457</v>
      </c>
      <c r="G4119" s="2" t="s">
        <v>458</v>
      </c>
      <c r="H4119" s="2" t="s">
        <v>459</v>
      </c>
      <c r="I4119" s="2" t="n">
        <f aca="false">IF(F4119="Present",9,IF(F4119="Half Day",4,0))</f>
        <v>9</v>
      </c>
      <c r="J4119" s="2"/>
      <c r="K4119" s="2"/>
    </row>
    <row r="4120" customFormat="false" ht="15" hidden="false" customHeight="false" outlineLevel="0" collapsed="false">
      <c r="A4120" s="2" t="s">
        <v>313</v>
      </c>
      <c r="B4120" s="2" t="s">
        <v>314</v>
      </c>
      <c r="C4120" s="2" t="s">
        <v>28</v>
      </c>
      <c r="D4120" s="3" t="n">
        <v>46261</v>
      </c>
      <c r="E4120" s="2" t="str">
        <f aca="false">TEXT(D4120,"dddd")</f>
        <v>Thursday</v>
      </c>
      <c r="F4120" s="2" t="s">
        <v>457</v>
      </c>
      <c r="G4120" s="2" t="s">
        <v>458</v>
      </c>
      <c r="H4120" s="2" t="s">
        <v>459</v>
      </c>
      <c r="I4120" s="2" t="n">
        <f aca="false">IF(F4120="Present",9,IF(F4120="Half Day",4,0))</f>
        <v>9</v>
      </c>
      <c r="J4120" s="2"/>
      <c r="K4120" s="2"/>
    </row>
    <row r="4121" customFormat="false" ht="15" hidden="false" customHeight="false" outlineLevel="0" collapsed="false">
      <c r="A4121" s="2" t="s">
        <v>313</v>
      </c>
      <c r="B4121" s="2" t="s">
        <v>314</v>
      </c>
      <c r="C4121" s="2" t="s">
        <v>28</v>
      </c>
      <c r="D4121" s="3" t="n">
        <v>46262</v>
      </c>
      <c r="E4121" s="2" t="str">
        <f aca="false">TEXT(D4121,"dddd")</f>
        <v>Friday</v>
      </c>
      <c r="F4121" s="2" t="s">
        <v>457</v>
      </c>
      <c r="G4121" s="2" t="s">
        <v>458</v>
      </c>
      <c r="H4121" s="2" t="s">
        <v>459</v>
      </c>
      <c r="I4121" s="2" t="n">
        <f aca="false">IF(F4121="Present",9,IF(F4121="Half Day",4,0))</f>
        <v>9</v>
      </c>
      <c r="J4121" s="2"/>
      <c r="K4121" s="2"/>
    </row>
    <row r="4122" customFormat="false" ht="15" hidden="false" customHeight="false" outlineLevel="0" collapsed="false">
      <c r="A4122" s="2" t="s">
        <v>313</v>
      </c>
      <c r="B4122" s="2" t="s">
        <v>314</v>
      </c>
      <c r="C4122" s="2" t="s">
        <v>28</v>
      </c>
      <c r="D4122" s="3" t="n">
        <v>46263</v>
      </c>
      <c r="E4122" s="2" t="str">
        <f aca="false">TEXT(D4122,"dddd")</f>
        <v>Saturday</v>
      </c>
      <c r="F4122" s="2" t="s">
        <v>463</v>
      </c>
      <c r="G4122" s="2"/>
      <c r="H4122" s="2"/>
      <c r="I4122" s="2" t="n">
        <f aca="false">IF(F4122="Present",9,IF(F4122="Half Day",4,0))</f>
        <v>0</v>
      </c>
      <c r="J4122" s="2" t="s">
        <v>470</v>
      </c>
      <c r="K4122" s="2" t="s">
        <v>471</v>
      </c>
    </row>
    <row r="4123" customFormat="false" ht="15" hidden="false" customHeight="false" outlineLevel="0" collapsed="false">
      <c r="A4123" s="2" t="s">
        <v>313</v>
      </c>
      <c r="B4123" s="2" t="s">
        <v>314</v>
      </c>
      <c r="C4123" s="2" t="s">
        <v>28</v>
      </c>
      <c r="D4123" s="3" t="n">
        <v>46264</v>
      </c>
      <c r="E4123" s="2" t="str">
        <f aca="false">TEXT(D4123,"dddd")</f>
        <v>Sunday</v>
      </c>
      <c r="F4123" s="2" t="s">
        <v>460</v>
      </c>
      <c r="G4123" s="2"/>
      <c r="H4123" s="2"/>
      <c r="I4123" s="2" t="n">
        <f aca="false">IF(F4123="Present",9,IF(F4123="Half Day",4,0))</f>
        <v>0</v>
      </c>
      <c r="J4123" s="2"/>
      <c r="K4123" s="2" t="s">
        <v>460</v>
      </c>
    </row>
    <row r="4124" customFormat="false" ht="15" hidden="false" customHeight="false" outlineLevel="0" collapsed="false">
      <c r="A4124" s="2" t="s">
        <v>313</v>
      </c>
      <c r="B4124" s="2" t="s">
        <v>314</v>
      </c>
      <c r="C4124" s="2" t="s">
        <v>28</v>
      </c>
      <c r="D4124" s="3" t="n">
        <v>46265</v>
      </c>
      <c r="E4124" s="2" t="str">
        <f aca="false">TEXT(D4124,"dddd")</f>
        <v>Monday</v>
      </c>
      <c r="F4124" s="2" t="s">
        <v>457</v>
      </c>
      <c r="G4124" s="2" t="s">
        <v>458</v>
      </c>
      <c r="H4124" s="2" t="s">
        <v>459</v>
      </c>
      <c r="I4124" s="2" t="n">
        <f aca="false">IF(F4124="Present",9,IF(F4124="Half Day",4,0))</f>
        <v>9</v>
      </c>
      <c r="J4124" s="2"/>
      <c r="K4124" s="2"/>
    </row>
    <row r="4125" customFormat="false" ht="15" hidden="false" customHeight="false" outlineLevel="0" collapsed="false">
      <c r="A4125" s="2" t="s">
        <v>315</v>
      </c>
      <c r="B4125" s="2" t="s">
        <v>316</v>
      </c>
      <c r="C4125" s="2" t="s">
        <v>32</v>
      </c>
      <c r="D4125" s="3" t="n">
        <v>46235</v>
      </c>
      <c r="E4125" s="2" t="str">
        <f aca="false">TEXT(D4125,"dddd")</f>
        <v>Saturday</v>
      </c>
      <c r="F4125" s="2" t="s">
        <v>466</v>
      </c>
      <c r="G4125" s="2" t="s">
        <v>458</v>
      </c>
      <c r="H4125" s="2" t="s">
        <v>467</v>
      </c>
      <c r="I4125" s="2" t="n">
        <f aca="false">IF(F4125="Present",9,IF(F4125="Half Day",4,0))</f>
        <v>4</v>
      </c>
      <c r="J4125" s="2"/>
      <c r="K4125" s="2" t="s">
        <v>466</v>
      </c>
    </row>
    <row r="4126" customFormat="false" ht="15" hidden="false" customHeight="false" outlineLevel="0" collapsed="false">
      <c r="A4126" s="2" t="s">
        <v>315</v>
      </c>
      <c r="B4126" s="2" t="s">
        <v>316</v>
      </c>
      <c r="C4126" s="2" t="s">
        <v>32</v>
      </c>
      <c r="D4126" s="3" t="n">
        <v>46236</v>
      </c>
      <c r="E4126" s="2" t="str">
        <f aca="false">TEXT(D4126,"dddd")</f>
        <v>Sunday</v>
      </c>
      <c r="F4126" s="2" t="s">
        <v>460</v>
      </c>
      <c r="G4126" s="2"/>
      <c r="H4126" s="2"/>
      <c r="I4126" s="2" t="n">
        <f aca="false">IF(F4126="Present",9,IF(F4126="Half Day",4,0))</f>
        <v>0</v>
      </c>
      <c r="J4126" s="2"/>
      <c r="K4126" s="2" t="s">
        <v>460</v>
      </c>
    </row>
    <row r="4127" customFormat="false" ht="15" hidden="false" customHeight="false" outlineLevel="0" collapsed="false">
      <c r="A4127" s="2" t="s">
        <v>315</v>
      </c>
      <c r="B4127" s="2" t="s">
        <v>316</v>
      </c>
      <c r="C4127" s="2" t="s">
        <v>32</v>
      </c>
      <c r="D4127" s="3" t="n">
        <v>46237</v>
      </c>
      <c r="E4127" s="2" t="str">
        <f aca="false">TEXT(D4127,"dddd")</f>
        <v>Monday</v>
      </c>
      <c r="F4127" s="2" t="s">
        <v>461</v>
      </c>
      <c r="G4127" s="2"/>
      <c r="H4127" s="2"/>
      <c r="I4127" s="2" t="n">
        <f aca="false">IF(F4127="Present",9,IF(F4127="Half Day",4,0))</f>
        <v>0</v>
      </c>
      <c r="J4127" s="2"/>
      <c r="K4127" s="2" t="s">
        <v>462</v>
      </c>
    </row>
    <row r="4128" customFormat="false" ht="15" hidden="false" customHeight="false" outlineLevel="0" collapsed="false">
      <c r="A4128" s="2" t="s">
        <v>315</v>
      </c>
      <c r="B4128" s="2" t="s">
        <v>316</v>
      </c>
      <c r="C4128" s="2" t="s">
        <v>32</v>
      </c>
      <c r="D4128" s="3" t="n">
        <v>46238</v>
      </c>
      <c r="E4128" s="2" t="str">
        <f aca="false">TEXT(D4128,"dddd")</f>
        <v>Tuesday</v>
      </c>
      <c r="F4128" s="2" t="s">
        <v>463</v>
      </c>
      <c r="G4128" s="2"/>
      <c r="H4128" s="2"/>
      <c r="I4128" s="2" t="n">
        <f aca="false">IF(F4128="Present",9,IF(F4128="Half Day",4,0))</f>
        <v>0</v>
      </c>
      <c r="J4128" s="2" t="s">
        <v>470</v>
      </c>
      <c r="K4128" s="2" t="s">
        <v>471</v>
      </c>
    </row>
    <row r="4129" customFormat="false" ht="15" hidden="false" customHeight="false" outlineLevel="0" collapsed="false">
      <c r="A4129" s="2" t="s">
        <v>315</v>
      </c>
      <c r="B4129" s="2" t="s">
        <v>316</v>
      </c>
      <c r="C4129" s="2" t="s">
        <v>32</v>
      </c>
      <c r="D4129" s="3" t="n">
        <v>46239</v>
      </c>
      <c r="E4129" s="2" t="str">
        <f aca="false">TEXT(D4129,"dddd")</f>
        <v>Wednesday</v>
      </c>
      <c r="F4129" s="2" t="s">
        <v>457</v>
      </c>
      <c r="G4129" s="2" t="s">
        <v>458</v>
      </c>
      <c r="H4129" s="2" t="s">
        <v>459</v>
      </c>
      <c r="I4129" s="2" t="n">
        <f aca="false">IF(F4129="Present",9,IF(F4129="Half Day",4,0))</f>
        <v>9</v>
      </c>
      <c r="J4129" s="2"/>
      <c r="K4129" s="2"/>
    </row>
    <row r="4130" customFormat="false" ht="15" hidden="false" customHeight="false" outlineLevel="0" collapsed="false">
      <c r="A4130" s="2" t="s">
        <v>315</v>
      </c>
      <c r="B4130" s="2" t="s">
        <v>316</v>
      </c>
      <c r="C4130" s="2" t="s">
        <v>32</v>
      </c>
      <c r="D4130" s="3" t="n">
        <v>46240</v>
      </c>
      <c r="E4130" s="2" t="str">
        <f aca="false">TEXT(D4130,"dddd")</f>
        <v>Thursday</v>
      </c>
      <c r="F4130" s="2" t="s">
        <v>457</v>
      </c>
      <c r="G4130" s="2" t="s">
        <v>458</v>
      </c>
      <c r="H4130" s="2" t="s">
        <v>459</v>
      </c>
      <c r="I4130" s="2" t="n">
        <f aca="false">IF(F4130="Present",9,IF(F4130="Half Day",4,0))</f>
        <v>9</v>
      </c>
      <c r="J4130" s="2"/>
      <c r="K4130" s="2"/>
    </row>
    <row r="4131" customFormat="false" ht="15" hidden="false" customHeight="false" outlineLevel="0" collapsed="false">
      <c r="A4131" s="2" t="s">
        <v>315</v>
      </c>
      <c r="B4131" s="2" t="s">
        <v>316</v>
      </c>
      <c r="C4131" s="2" t="s">
        <v>32</v>
      </c>
      <c r="D4131" s="3" t="n">
        <v>46241</v>
      </c>
      <c r="E4131" s="2" t="str">
        <f aca="false">TEXT(D4131,"dddd")</f>
        <v>Friday</v>
      </c>
      <c r="F4131" s="2" t="s">
        <v>457</v>
      </c>
      <c r="G4131" s="2" t="s">
        <v>458</v>
      </c>
      <c r="H4131" s="2" t="s">
        <v>459</v>
      </c>
      <c r="I4131" s="2" t="n">
        <f aca="false">IF(F4131="Present",9,IF(F4131="Half Day",4,0))</f>
        <v>9</v>
      </c>
      <c r="J4131" s="2"/>
      <c r="K4131" s="2"/>
    </row>
    <row r="4132" customFormat="false" ht="15" hidden="false" customHeight="false" outlineLevel="0" collapsed="false">
      <c r="A4132" s="2" t="s">
        <v>315</v>
      </c>
      <c r="B4132" s="2" t="s">
        <v>316</v>
      </c>
      <c r="C4132" s="2" t="s">
        <v>32</v>
      </c>
      <c r="D4132" s="3" t="n">
        <v>46242</v>
      </c>
      <c r="E4132" s="2" t="str">
        <f aca="false">TEXT(D4132,"dddd")</f>
        <v>Saturday</v>
      </c>
      <c r="F4132" s="2" t="s">
        <v>457</v>
      </c>
      <c r="G4132" s="2" t="s">
        <v>458</v>
      </c>
      <c r="H4132" s="2" t="s">
        <v>459</v>
      </c>
      <c r="I4132" s="2" t="n">
        <f aca="false">IF(F4132="Present",9,IF(F4132="Half Day",4,0))</f>
        <v>9</v>
      </c>
      <c r="J4132" s="2"/>
      <c r="K4132" s="2"/>
    </row>
    <row r="4133" customFormat="false" ht="15" hidden="false" customHeight="false" outlineLevel="0" collapsed="false">
      <c r="A4133" s="2" t="s">
        <v>315</v>
      </c>
      <c r="B4133" s="2" t="s">
        <v>316</v>
      </c>
      <c r="C4133" s="2" t="s">
        <v>32</v>
      </c>
      <c r="D4133" s="3" t="n">
        <v>46243</v>
      </c>
      <c r="E4133" s="2" t="str">
        <f aca="false">TEXT(D4133,"dddd")</f>
        <v>Sunday</v>
      </c>
      <c r="F4133" s="2" t="s">
        <v>460</v>
      </c>
      <c r="G4133" s="2"/>
      <c r="H4133" s="2"/>
      <c r="I4133" s="2" t="n">
        <f aca="false">IF(F4133="Present",9,IF(F4133="Half Day",4,0))</f>
        <v>0</v>
      </c>
      <c r="J4133" s="2"/>
      <c r="K4133" s="2" t="s">
        <v>460</v>
      </c>
    </row>
    <row r="4134" customFormat="false" ht="15" hidden="false" customHeight="false" outlineLevel="0" collapsed="false">
      <c r="A4134" s="2" t="s">
        <v>315</v>
      </c>
      <c r="B4134" s="2" t="s">
        <v>316</v>
      </c>
      <c r="C4134" s="2" t="s">
        <v>32</v>
      </c>
      <c r="D4134" s="3" t="n">
        <v>46244</v>
      </c>
      <c r="E4134" s="2" t="str">
        <f aca="false">TEXT(D4134,"dddd")</f>
        <v>Monday</v>
      </c>
      <c r="F4134" s="2" t="s">
        <v>457</v>
      </c>
      <c r="G4134" s="2" t="s">
        <v>458</v>
      </c>
      <c r="H4134" s="2" t="s">
        <v>459</v>
      </c>
      <c r="I4134" s="2" t="n">
        <f aca="false">IF(F4134="Present",9,IF(F4134="Half Day",4,0))</f>
        <v>9</v>
      </c>
      <c r="J4134" s="2"/>
      <c r="K4134" s="2"/>
    </row>
    <row r="4135" customFormat="false" ht="15" hidden="false" customHeight="false" outlineLevel="0" collapsed="false">
      <c r="A4135" s="2" t="s">
        <v>315</v>
      </c>
      <c r="B4135" s="2" t="s">
        <v>316</v>
      </c>
      <c r="C4135" s="2" t="s">
        <v>32</v>
      </c>
      <c r="D4135" s="3" t="n">
        <v>46245</v>
      </c>
      <c r="E4135" s="2" t="str">
        <f aca="false">TEXT(D4135,"dddd")</f>
        <v>Tuesday</v>
      </c>
      <c r="F4135" s="2" t="s">
        <v>457</v>
      </c>
      <c r="G4135" s="2" t="s">
        <v>458</v>
      </c>
      <c r="H4135" s="2" t="s">
        <v>459</v>
      </c>
      <c r="I4135" s="2" t="n">
        <f aca="false">IF(F4135="Present",9,IF(F4135="Half Day",4,0))</f>
        <v>9</v>
      </c>
      <c r="J4135" s="2"/>
      <c r="K4135" s="2"/>
    </row>
    <row r="4136" customFormat="false" ht="15" hidden="false" customHeight="false" outlineLevel="0" collapsed="false">
      <c r="A4136" s="2" t="s">
        <v>315</v>
      </c>
      <c r="B4136" s="2" t="s">
        <v>316</v>
      </c>
      <c r="C4136" s="2" t="s">
        <v>32</v>
      </c>
      <c r="D4136" s="3" t="n">
        <v>46246</v>
      </c>
      <c r="E4136" s="2" t="str">
        <f aca="false">TEXT(D4136,"dddd")</f>
        <v>Wednesday</v>
      </c>
      <c r="F4136" s="2" t="s">
        <v>457</v>
      </c>
      <c r="G4136" s="2" t="s">
        <v>458</v>
      </c>
      <c r="H4136" s="2" t="s">
        <v>459</v>
      </c>
      <c r="I4136" s="2" t="n">
        <f aca="false">IF(F4136="Present",9,IF(F4136="Half Day",4,0))</f>
        <v>9</v>
      </c>
      <c r="J4136" s="2"/>
      <c r="K4136" s="2"/>
    </row>
    <row r="4137" customFormat="false" ht="15" hidden="false" customHeight="false" outlineLevel="0" collapsed="false">
      <c r="A4137" s="2" t="s">
        <v>315</v>
      </c>
      <c r="B4137" s="2" t="s">
        <v>316</v>
      </c>
      <c r="C4137" s="2" t="s">
        <v>32</v>
      </c>
      <c r="D4137" s="3" t="n">
        <v>46247</v>
      </c>
      <c r="E4137" s="2" t="str">
        <f aca="false">TEXT(D4137,"dddd")</f>
        <v>Thursday</v>
      </c>
      <c r="F4137" s="2" t="s">
        <v>457</v>
      </c>
      <c r="G4137" s="2" t="s">
        <v>458</v>
      </c>
      <c r="H4137" s="2" t="s">
        <v>459</v>
      </c>
      <c r="I4137" s="2" t="n">
        <f aca="false">IF(F4137="Present",9,IF(F4137="Half Day",4,0))</f>
        <v>9</v>
      </c>
      <c r="J4137" s="2"/>
      <c r="K4137" s="2"/>
    </row>
    <row r="4138" customFormat="false" ht="15" hidden="false" customHeight="false" outlineLevel="0" collapsed="false">
      <c r="A4138" s="2" t="s">
        <v>315</v>
      </c>
      <c r="B4138" s="2" t="s">
        <v>316</v>
      </c>
      <c r="C4138" s="2" t="s">
        <v>32</v>
      </c>
      <c r="D4138" s="3" t="n">
        <v>46248</v>
      </c>
      <c r="E4138" s="2" t="str">
        <f aca="false">TEXT(D4138,"dddd")</f>
        <v>Friday</v>
      </c>
      <c r="F4138" s="2" t="s">
        <v>457</v>
      </c>
      <c r="G4138" s="2" t="s">
        <v>458</v>
      </c>
      <c r="H4138" s="2" t="s">
        <v>459</v>
      </c>
      <c r="I4138" s="2" t="n">
        <f aca="false">IF(F4138="Present",9,IF(F4138="Half Day",4,0))</f>
        <v>9</v>
      </c>
      <c r="J4138" s="2"/>
      <c r="K4138" s="2"/>
    </row>
    <row r="4139" customFormat="false" ht="15" hidden="false" customHeight="false" outlineLevel="0" collapsed="false">
      <c r="A4139" s="2" t="s">
        <v>315</v>
      </c>
      <c r="B4139" s="2" t="s">
        <v>316</v>
      </c>
      <c r="C4139" s="2" t="s">
        <v>32</v>
      </c>
      <c r="D4139" s="3" t="n">
        <v>46249</v>
      </c>
      <c r="E4139" s="2" t="str">
        <f aca="false">TEXT(D4139,"dddd")</f>
        <v>Saturday</v>
      </c>
      <c r="F4139" s="2" t="s">
        <v>457</v>
      </c>
      <c r="G4139" s="2" t="s">
        <v>458</v>
      </c>
      <c r="H4139" s="2" t="s">
        <v>459</v>
      </c>
      <c r="I4139" s="2" t="n">
        <f aca="false">IF(F4139="Present",9,IF(F4139="Half Day",4,0))</f>
        <v>9</v>
      </c>
      <c r="J4139" s="2"/>
      <c r="K4139" s="2"/>
    </row>
    <row r="4140" customFormat="false" ht="15" hidden="false" customHeight="false" outlineLevel="0" collapsed="false">
      <c r="A4140" s="2" t="s">
        <v>315</v>
      </c>
      <c r="B4140" s="2" t="s">
        <v>316</v>
      </c>
      <c r="C4140" s="2" t="s">
        <v>32</v>
      </c>
      <c r="D4140" s="3" t="n">
        <v>46250</v>
      </c>
      <c r="E4140" s="2" t="str">
        <f aca="false">TEXT(D4140,"dddd")</f>
        <v>Sunday</v>
      </c>
      <c r="F4140" s="2" t="s">
        <v>460</v>
      </c>
      <c r="G4140" s="2"/>
      <c r="H4140" s="2"/>
      <c r="I4140" s="2" t="n">
        <f aca="false">IF(F4140="Present",9,IF(F4140="Half Day",4,0))</f>
        <v>0</v>
      </c>
      <c r="J4140" s="2"/>
      <c r="K4140" s="2" t="s">
        <v>460</v>
      </c>
    </row>
    <row r="4141" customFormat="false" ht="15" hidden="false" customHeight="false" outlineLevel="0" collapsed="false">
      <c r="A4141" s="2" t="s">
        <v>315</v>
      </c>
      <c r="B4141" s="2" t="s">
        <v>316</v>
      </c>
      <c r="C4141" s="2" t="s">
        <v>32</v>
      </c>
      <c r="D4141" s="3" t="n">
        <v>46251</v>
      </c>
      <c r="E4141" s="2" t="str">
        <f aca="false">TEXT(D4141,"dddd")</f>
        <v>Monday</v>
      </c>
      <c r="F4141" s="2" t="s">
        <v>457</v>
      </c>
      <c r="G4141" s="2" t="s">
        <v>458</v>
      </c>
      <c r="H4141" s="2" t="s">
        <v>459</v>
      </c>
      <c r="I4141" s="2" t="n">
        <f aca="false">IF(F4141="Present",9,IF(F4141="Half Day",4,0))</f>
        <v>9</v>
      </c>
      <c r="J4141" s="2"/>
      <c r="K4141" s="2"/>
    </row>
    <row r="4142" customFormat="false" ht="15" hidden="false" customHeight="false" outlineLevel="0" collapsed="false">
      <c r="A4142" s="2" t="s">
        <v>315</v>
      </c>
      <c r="B4142" s="2" t="s">
        <v>316</v>
      </c>
      <c r="C4142" s="2" t="s">
        <v>32</v>
      </c>
      <c r="D4142" s="3" t="n">
        <v>46252</v>
      </c>
      <c r="E4142" s="2" t="str">
        <f aca="false">TEXT(D4142,"dddd")</f>
        <v>Tuesday</v>
      </c>
      <c r="F4142" s="2" t="s">
        <v>457</v>
      </c>
      <c r="G4142" s="2" t="s">
        <v>458</v>
      </c>
      <c r="H4142" s="2" t="s">
        <v>459</v>
      </c>
      <c r="I4142" s="2" t="n">
        <f aca="false">IF(F4142="Present",9,IF(F4142="Half Day",4,0))</f>
        <v>9</v>
      </c>
      <c r="J4142" s="2"/>
      <c r="K4142" s="2"/>
    </row>
    <row r="4143" customFormat="false" ht="15" hidden="false" customHeight="false" outlineLevel="0" collapsed="false">
      <c r="A4143" s="2" t="s">
        <v>315</v>
      </c>
      <c r="B4143" s="2" t="s">
        <v>316</v>
      </c>
      <c r="C4143" s="2" t="s">
        <v>32</v>
      </c>
      <c r="D4143" s="3" t="n">
        <v>46253</v>
      </c>
      <c r="E4143" s="2" t="str">
        <f aca="false">TEXT(D4143,"dddd")</f>
        <v>Wednesday</v>
      </c>
      <c r="F4143" s="2" t="s">
        <v>457</v>
      </c>
      <c r="G4143" s="2" t="s">
        <v>458</v>
      </c>
      <c r="H4143" s="2" t="s">
        <v>459</v>
      </c>
      <c r="I4143" s="2" t="n">
        <f aca="false">IF(F4143="Present",9,IF(F4143="Half Day",4,0))</f>
        <v>9</v>
      </c>
      <c r="J4143" s="2"/>
      <c r="K4143" s="2"/>
    </row>
    <row r="4144" customFormat="false" ht="15" hidden="false" customHeight="false" outlineLevel="0" collapsed="false">
      <c r="A4144" s="2" t="s">
        <v>315</v>
      </c>
      <c r="B4144" s="2" t="s">
        <v>316</v>
      </c>
      <c r="C4144" s="2" t="s">
        <v>32</v>
      </c>
      <c r="D4144" s="3" t="n">
        <v>46254</v>
      </c>
      <c r="E4144" s="2" t="str">
        <f aca="false">TEXT(D4144,"dddd")</f>
        <v>Thursday</v>
      </c>
      <c r="F4144" s="2" t="s">
        <v>457</v>
      </c>
      <c r="G4144" s="2" t="s">
        <v>458</v>
      </c>
      <c r="H4144" s="2" t="s">
        <v>459</v>
      </c>
      <c r="I4144" s="2" t="n">
        <f aca="false">IF(F4144="Present",9,IF(F4144="Half Day",4,0))</f>
        <v>9</v>
      </c>
      <c r="J4144" s="2"/>
      <c r="K4144" s="2"/>
    </row>
    <row r="4145" customFormat="false" ht="15" hidden="false" customHeight="false" outlineLevel="0" collapsed="false">
      <c r="A4145" s="2" t="s">
        <v>315</v>
      </c>
      <c r="B4145" s="2" t="s">
        <v>316</v>
      </c>
      <c r="C4145" s="2" t="s">
        <v>32</v>
      </c>
      <c r="D4145" s="3" t="n">
        <v>46255</v>
      </c>
      <c r="E4145" s="2" t="str">
        <f aca="false">TEXT(D4145,"dddd")</f>
        <v>Friday</v>
      </c>
      <c r="F4145" s="2" t="s">
        <v>457</v>
      </c>
      <c r="G4145" s="2" t="s">
        <v>458</v>
      </c>
      <c r="H4145" s="2" t="s">
        <v>459</v>
      </c>
      <c r="I4145" s="2" t="n">
        <f aca="false">IF(F4145="Present",9,IF(F4145="Half Day",4,0))</f>
        <v>9</v>
      </c>
      <c r="J4145" s="2"/>
      <c r="K4145" s="2"/>
    </row>
    <row r="4146" customFormat="false" ht="15" hidden="false" customHeight="false" outlineLevel="0" collapsed="false">
      <c r="A4146" s="2" t="s">
        <v>315</v>
      </c>
      <c r="B4146" s="2" t="s">
        <v>316</v>
      </c>
      <c r="C4146" s="2" t="s">
        <v>32</v>
      </c>
      <c r="D4146" s="3" t="n">
        <v>46256</v>
      </c>
      <c r="E4146" s="2" t="str">
        <f aca="false">TEXT(D4146,"dddd")</f>
        <v>Saturday</v>
      </c>
      <c r="F4146" s="2" t="s">
        <v>457</v>
      </c>
      <c r="G4146" s="2" t="s">
        <v>458</v>
      </c>
      <c r="H4146" s="2" t="s">
        <v>459</v>
      </c>
      <c r="I4146" s="2" t="n">
        <f aca="false">IF(F4146="Present",9,IF(F4146="Half Day",4,0))</f>
        <v>9</v>
      </c>
      <c r="J4146" s="2"/>
      <c r="K4146" s="2"/>
    </row>
    <row r="4147" customFormat="false" ht="15" hidden="false" customHeight="false" outlineLevel="0" collapsed="false">
      <c r="A4147" s="2" t="s">
        <v>315</v>
      </c>
      <c r="B4147" s="2" t="s">
        <v>316</v>
      </c>
      <c r="C4147" s="2" t="s">
        <v>32</v>
      </c>
      <c r="D4147" s="3" t="n">
        <v>46257</v>
      </c>
      <c r="E4147" s="2" t="str">
        <f aca="false">TEXT(D4147,"dddd")</f>
        <v>Sunday</v>
      </c>
      <c r="F4147" s="2" t="s">
        <v>460</v>
      </c>
      <c r="G4147" s="2"/>
      <c r="H4147" s="2"/>
      <c r="I4147" s="2" t="n">
        <f aca="false">IF(F4147="Present",9,IF(F4147="Half Day",4,0))</f>
        <v>0</v>
      </c>
      <c r="J4147" s="2"/>
      <c r="K4147" s="2" t="s">
        <v>460</v>
      </c>
    </row>
    <row r="4148" customFormat="false" ht="15" hidden="false" customHeight="false" outlineLevel="0" collapsed="false">
      <c r="A4148" s="2" t="s">
        <v>315</v>
      </c>
      <c r="B4148" s="2" t="s">
        <v>316</v>
      </c>
      <c r="C4148" s="2" t="s">
        <v>32</v>
      </c>
      <c r="D4148" s="3" t="n">
        <v>46258</v>
      </c>
      <c r="E4148" s="2" t="str">
        <f aca="false">TEXT(D4148,"dddd")</f>
        <v>Monday</v>
      </c>
      <c r="F4148" s="2" t="s">
        <v>457</v>
      </c>
      <c r="G4148" s="2" t="s">
        <v>458</v>
      </c>
      <c r="H4148" s="2" t="s">
        <v>459</v>
      </c>
      <c r="I4148" s="2" t="n">
        <f aca="false">IF(F4148="Present",9,IF(F4148="Half Day",4,0))</f>
        <v>9</v>
      </c>
      <c r="J4148" s="2"/>
      <c r="K4148" s="2"/>
    </row>
    <row r="4149" customFormat="false" ht="15" hidden="false" customHeight="false" outlineLevel="0" collapsed="false">
      <c r="A4149" s="2" t="s">
        <v>315</v>
      </c>
      <c r="B4149" s="2" t="s">
        <v>316</v>
      </c>
      <c r="C4149" s="2" t="s">
        <v>32</v>
      </c>
      <c r="D4149" s="3" t="n">
        <v>46259</v>
      </c>
      <c r="E4149" s="2" t="str">
        <f aca="false">TEXT(D4149,"dddd")</f>
        <v>Tuesday</v>
      </c>
      <c r="F4149" s="2" t="s">
        <v>457</v>
      </c>
      <c r="G4149" s="2" t="s">
        <v>458</v>
      </c>
      <c r="H4149" s="2" t="s">
        <v>459</v>
      </c>
      <c r="I4149" s="2" t="n">
        <f aca="false">IF(F4149="Present",9,IF(F4149="Half Day",4,0))</f>
        <v>9</v>
      </c>
      <c r="J4149" s="2"/>
      <c r="K4149" s="2"/>
    </row>
    <row r="4150" customFormat="false" ht="15" hidden="false" customHeight="false" outlineLevel="0" collapsed="false">
      <c r="A4150" s="2" t="s">
        <v>315</v>
      </c>
      <c r="B4150" s="2" t="s">
        <v>316</v>
      </c>
      <c r="C4150" s="2" t="s">
        <v>32</v>
      </c>
      <c r="D4150" s="3" t="n">
        <v>46260</v>
      </c>
      <c r="E4150" s="2" t="str">
        <f aca="false">TEXT(D4150,"dddd")</f>
        <v>Wednesday</v>
      </c>
      <c r="F4150" s="2" t="s">
        <v>457</v>
      </c>
      <c r="G4150" s="2" t="s">
        <v>458</v>
      </c>
      <c r="H4150" s="2" t="s">
        <v>459</v>
      </c>
      <c r="I4150" s="2" t="n">
        <f aca="false">IF(F4150="Present",9,IF(F4150="Half Day",4,0))</f>
        <v>9</v>
      </c>
      <c r="J4150" s="2"/>
      <c r="K4150" s="2"/>
    </row>
    <row r="4151" customFormat="false" ht="15" hidden="false" customHeight="false" outlineLevel="0" collapsed="false">
      <c r="A4151" s="2" t="s">
        <v>315</v>
      </c>
      <c r="B4151" s="2" t="s">
        <v>316</v>
      </c>
      <c r="C4151" s="2" t="s">
        <v>32</v>
      </c>
      <c r="D4151" s="3" t="n">
        <v>46261</v>
      </c>
      <c r="E4151" s="2" t="str">
        <f aca="false">TEXT(D4151,"dddd")</f>
        <v>Thursday</v>
      </c>
      <c r="F4151" s="2" t="s">
        <v>466</v>
      </c>
      <c r="G4151" s="2" t="s">
        <v>458</v>
      </c>
      <c r="H4151" s="2" t="s">
        <v>467</v>
      </c>
      <c r="I4151" s="2" t="n">
        <f aca="false">IF(F4151="Present",9,IF(F4151="Half Day",4,0))</f>
        <v>4</v>
      </c>
      <c r="J4151" s="2"/>
      <c r="K4151" s="2" t="s">
        <v>466</v>
      </c>
    </row>
    <row r="4152" customFormat="false" ht="15" hidden="false" customHeight="false" outlineLevel="0" collapsed="false">
      <c r="A4152" s="2" t="s">
        <v>315</v>
      </c>
      <c r="B4152" s="2" t="s">
        <v>316</v>
      </c>
      <c r="C4152" s="2" t="s">
        <v>32</v>
      </c>
      <c r="D4152" s="3" t="n">
        <v>46262</v>
      </c>
      <c r="E4152" s="2" t="str">
        <f aca="false">TEXT(D4152,"dddd")</f>
        <v>Friday</v>
      </c>
      <c r="F4152" s="2" t="s">
        <v>463</v>
      </c>
      <c r="G4152" s="2"/>
      <c r="H4152" s="2"/>
      <c r="I4152" s="2" t="n">
        <f aca="false">IF(F4152="Present",9,IF(F4152="Half Day",4,0))</f>
        <v>0</v>
      </c>
      <c r="J4152" s="2" t="s">
        <v>470</v>
      </c>
      <c r="K4152" s="2" t="s">
        <v>471</v>
      </c>
    </row>
    <row r="4153" customFormat="false" ht="15" hidden="false" customHeight="false" outlineLevel="0" collapsed="false">
      <c r="A4153" s="2" t="s">
        <v>315</v>
      </c>
      <c r="B4153" s="2" t="s">
        <v>316</v>
      </c>
      <c r="C4153" s="2" t="s">
        <v>32</v>
      </c>
      <c r="D4153" s="3" t="n">
        <v>46263</v>
      </c>
      <c r="E4153" s="2" t="str">
        <f aca="false">TEXT(D4153,"dddd")</f>
        <v>Saturday</v>
      </c>
      <c r="F4153" s="2" t="s">
        <v>457</v>
      </c>
      <c r="G4153" s="2" t="s">
        <v>458</v>
      </c>
      <c r="H4153" s="2" t="s">
        <v>459</v>
      </c>
      <c r="I4153" s="2" t="n">
        <f aca="false">IF(F4153="Present",9,IF(F4153="Half Day",4,0))</f>
        <v>9</v>
      </c>
      <c r="J4153" s="2"/>
      <c r="K4153" s="2"/>
    </row>
    <row r="4154" customFormat="false" ht="15" hidden="false" customHeight="false" outlineLevel="0" collapsed="false">
      <c r="A4154" s="2" t="s">
        <v>315</v>
      </c>
      <c r="B4154" s="2" t="s">
        <v>316</v>
      </c>
      <c r="C4154" s="2" t="s">
        <v>32</v>
      </c>
      <c r="D4154" s="3" t="n">
        <v>46264</v>
      </c>
      <c r="E4154" s="2" t="str">
        <f aca="false">TEXT(D4154,"dddd")</f>
        <v>Sunday</v>
      </c>
      <c r="F4154" s="2" t="s">
        <v>460</v>
      </c>
      <c r="G4154" s="2"/>
      <c r="H4154" s="2"/>
      <c r="I4154" s="2" t="n">
        <f aca="false">IF(F4154="Present",9,IF(F4154="Half Day",4,0))</f>
        <v>0</v>
      </c>
      <c r="J4154" s="2"/>
      <c r="K4154" s="2" t="s">
        <v>460</v>
      </c>
    </row>
    <row r="4155" customFormat="false" ht="15" hidden="false" customHeight="false" outlineLevel="0" collapsed="false">
      <c r="A4155" s="2" t="s">
        <v>315</v>
      </c>
      <c r="B4155" s="2" t="s">
        <v>316</v>
      </c>
      <c r="C4155" s="2" t="s">
        <v>32</v>
      </c>
      <c r="D4155" s="3" t="n">
        <v>46265</v>
      </c>
      <c r="E4155" s="2" t="str">
        <f aca="false">TEXT(D4155,"dddd")</f>
        <v>Monday</v>
      </c>
      <c r="F4155" s="2" t="s">
        <v>457</v>
      </c>
      <c r="G4155" s="2" t="s">
        <v>458</v>
      </c>
      <c r="H4155" s="2" t="s">
        <v>459</v>
      </c>
      <c r="I4155" s="2" t="n">
        <f aca="false">IF(F4155="Present",9,IF(F4155="Half Day",4,0))</f>
        <v>9</v>
      </c>
      <c r="J4155" s="2"/>
      <c r="K4155" s="2"/>
    </row>
    <row r="4156" customFormat="false" ht="15" hidden="false" customHeight="false" outlineLevel="0" collapsed="false">
      <c r="A4156" s="2" t="s">
        <v>317</v>
      </c>
      <c r="B4156" s="2" t="s">
        <v>318</v>
      </c>
      <c r="C4156" s="2" t="s">
        <v>36</v>
      </c>
      <c r="D4156" s="3" t="n">
        <v>46235</v>
      </c>
      <c r="E4156" s="2" t="str">
        <f aca="false">TEXT(D4156,"dddd")</f>
        <v>Saturday</v>
      </c>
      <c r="F4156" s="2" t="s">
        <v>461</v>
      </c>
      <c r="G4156" s="2"/>
      <c r="H4156" s="2"/>
      <c r="I4156" s="2" t="n">
        <f aca="false">IF(F4156="Present",9,IF(F4156="Half Day",4,0))</f>
        <v>0</v>
      </c>
      <c r="J4156" s="2"/>
      <c r="K4156" s="2" t="s">
        <v>462</v>
      </c>
    </row>
    <row r="4157" customFormat="false" ht="15" hidden="false" customHeight="false" outlineLevel="0" collapsed="false">
      <c r="A4157" s="2" t="s">
        <v>317</v>
      </c>
      <c r="B4157" s="2" t="s">
        <v>318</v>
      </c>
      <c r="C4157" s="2" t="s">
        <v>36</v>
      </c>
      <c r="D4157" s="3" t="n">
        <v>46236</v>
      </c>
      <c r="E4157" s="2" t="str">
        <f aca="false">TEXT(D4157,"dddd")</f>
        <v>Sunday</v>
      </c>
      <c r="F4157" s="2" t="s">
        <v>460</v>
      </c>
      <c r="G4157" s="2"/>
      <c r="H4157" s="2"/>
      <c r="I4157" s="2" t="n">
        <f aca="false">IF(F4157="Present",9,IF(F4157="Half Day",4,0))</f>
        <v>0</v>
      </c>
      <c r="J4157" s="2"/>
      <c r="K4157" s="2" t="s">
        <v>460</v>
      </c>
    </row>
    <row r="4158" customFormat="false" ht="15" hidden="false" customHeight="false" outlineLevel="0" collapsed="false">
      <c r="A4158" s="2" t="s">
        <v>317</v>
      </c>
      <c r="B4158" s="2" t="s">
        <v>318</v>
      </c>
      <c r="C4158" s="2" t="s">
        <v>36</v>
      </c>
      <c r="D4158" s="3" t="n">
        <v>46237</v>
      </c>
      <c r="E4158" s="2" t="str">
        <f aca="false">TEXT(D4158,"dddd")</f>
        <v>Monday</v>
      </c>
      <c r="F4158" s="2" t="s">
        <v>457</v>
      </c>
      <c r="G4158" s="2" t="s">
        <v>458</v>
      </c>
      <c r="H4158" s="2" t="s">
        <v>459</v>
      </c>
      <c r="I4158" s="2" t="n">
        <f aca="false">IF(F4158="Present",9,IF(F4158="Half Day",4,0))</f>
        <v>9</v>
      </c>
      <c r="J4158" s="2"/>
      <c r="K4158" s="2"/>
    </row>
    <row r="4159" customFormat="false" ht="15" hidden="false" customHeight="false" outlineLevel="0" collapsed="false">
      <c r="A4159" s="2" t="s">
        <v>317</v>
      </c>
      <c r="B4159" s="2" t="s">
        <v>318</v>
      </c>
      <c r="C4159" s="2" t="s">
        <v>36</v>
      </c>
      <c r="D4159" s="3" t="n">
        <v>46238</v>
      </c>
      <c r="E4159" s="2" t="str">
        <f aca="false">TEXT(D4159,"dddd")</f>
        <v>Tuesday</v>
      </c>
      <c r="F4159" s="2" t="s">
        <v>457</v>
      </c>
      <c r="G4159" s="2" t="s">
        <v>458</v>
      </c>
      <c r="H4159" s="2" t="s">
        <v>459</v>
      </c>
      <c r="I4159" s="2" t="n">
        <f aca="false">IF(F4159="Present",9,IF(F4159="Half Day",4,0))</f>
        <v>9</v>
      </c>
      <c r="J4159" s="2"/>
      <c r="K4159" s="2"/>
    </row>
    <row r="4160" customFormat="false" ht="15" hidden="false" customHeight="false" outlineLevel="0" collapsed="false">
      <c r="A4160" s="2" t="s">
        <v>317</v>
      </c>
      <c r="B4160" s="2" t="s">
        <v>318</v>
      </c>
      <c r="C4160" s="2" t="s">
        <v>36</v>
      </c>
      <c r="D4160" s="3" t="n">
        <v>46239</v>
      </c>
      <c r="E4160" s="2" t="str">
        <f aca="false">TEXT(D4160,"dddd")</f>
        <v>Wednesday</v>
      </c>
      <c r="F4160" s="2" t="s">
        <v>457</v>
      </c>
      <c r="G4160" s="2" t="s">
        <v>458</v>
      </c>
      <c r="H4160" s="2" t="s">
        <v>459</v>
      </c>
      <c r="I4160" s="2" t="n">
        <f aca="false">IF(F4160="Present",9,IF(F4160="Half Day",4,0))</f>
        <v>9</v>
      </c>
      <c r="J4160" s="2"/>
      <c r="K4160" s="2"/>
    </row>
    <row r="4161" customFormat="false" ht="15" hidden="false" customHeight="false" outlineLevel="0" collapsed="false">
      <c r="A4161" s="2" t="s">
        <v>317</v>
      </c>
      <c r="B4161" s="2" t="s">
        <v>318</v>
      </c>
      <c r="C4161" s="2" t="s">
        <v>36</v>
      </c>
      <c r="D4161" s="3" t="n">
        <v>46240</v>
      </c>
      <c r="E4161" s="2" t="str">
        <f aca="false">TEXT(D4161,"dddd")</f>
        <v>Thursday</v>
      </c>
      <c r="F4161" s="2" t="s">
        <v>461</v>
      </c>
      <c r="G4161" s="2"/>
      <c r="H4161" s="2"/>
      <c r="I4161" s="2" t="n">
        <f aca="false">IF(F4161="Present",9,IF(F4161="Half Day",4,0))</f>
        <v>0</v>
      </c>
      <c r="J4161" s="2"/>
      <c r="K4161" s="2" t="s">
        <v>462</v>
      </c>
    </row>
    <row r="4162" customFormat="false" ht="15" hidden="false" customHeight="false" outlineLevel="0" collapsed="false">
      <c r="A4162" s="2" t="s">
        <v>317</v>
      </c>
      <c r="B4162" s="2" t="s">
        <v>318</v>
      </c>
      <c r="C4162" s="2" t="s">
        <v>36</v>
      </c>
      <c r="D4162" s="3" t="n">
        <v>46241</v>
      </c>
      <c r="E4162" s="2" t="str">
        <f aca="false">TEXT(D4162,"dddd")</f>
        <v>Friday</v>
      </c>
      <c r="F4162" s="2" t="s">
        <v>461</v>
      </c>
      <c r="G4162" s="2"/>
      <c r="H4162" s="2"/>
      <c r="I4162" s="2" t="n">
        <f aca="false">IF(F4162="Present",9,IF(F4162="Half Day",4,0))</f>
        <v>0</v>
      </c>
      <c r="J4162" s="2"/>
      <c r="K4162" s="2" t="s">
        <v>462</v>
      </c>
    </row>
    <row r="4163" customFormat="false" ht="15" hidden="false" customHeight="false" outlineLevel="0" collapsed="false">
      <c r="A4163" s="2" t="s">
        <v>317</v>
      </c>
      <c r="B4163" s="2" t="s">
        <v>318</v>
      </c>
      <c r="C4163" s="2" t="s">
        <v>36</v>
      </c>
      <c r="D4163" s="3" t="n">
        <v>46242</v>
      </c>
      <c r="E4163" s="2" t="str">
        <f aca="false">TEXT(D4163,"dddd")</f>
        <v>Saturday</v>
      </c>
      <c r="F4163" s="2" t="s">
        <v>457</v>
      </c>
      <c r="G4163" s="2" t="s">
        <v>458</v>
      </c>
      <c r="H4163" s="2" t="s">
        <v>459</v>
      </c>
      <c r="I4163" s="2" t="n">
        <f aca="false">IF(F4163="Present",9,IF(F4163="Half Day",4,0))</f>
        <v>9</v>
      </c>
      <c r="J4163" s="2"/>
      <c r="K4163" s="2"/>
    </row>
    <row r="4164" customFormat="false" ht="15" hidden="false" customHeight="false" outlineLevel="0" collapsed="false">
      <c r="A4164" s="2" t="s">
        <v>317</v>
      </c>
      <c r="B4164" s="2" t="s">
        <v>318</v>
      </c>
      <c r="C4164" s="2" t="s">
        <v>36</v>
      </c>
      <c r="D4164" s="3" t="n">
        <v>46243</v>
      </c>
      <c r="E4164" s="2" t="str">
        <f aca="false">TEXT(D4164,"dddd")</f>
        <v>Sunday</v>
      </c>
      <c r="F4164" s="2" t="s">
        <v>460</v>
      </c>
      <c r="G4164" s="2"/>
      <c r="H4164" s="2"/>
      <c r="I4164" s="2" t="n">
        <f aca="false">IF(F4164="Present",9,IF(F4164="Half Day",4,0))</f>
        <v>0</v>
      </c>
      <c r="J4164" s="2"/>
      <c r="K4164" s="2" t="s">
        <v>460</v>
      </c>
    </row>
    <row r="4165" customFormat="false" ht="15" hidden="false" customHeight="false" outlineLevel="0" collapsed="false">
      <c r="A4165" s="2" t="s">
        <v>317</v>
      </c>
      <c r="B4165" s="2" t="s">
        <v>318</v>
      </c>
      <c r="C4165" s="2" t="s">
        <v>36</v>
      </c>
      <c r="D4165" s="3" t="n">
        <v>46244</v>
      </c>
      <c r="E4165" s="2" t="str">
        <f aca="false">TEXT(D4165,"dddd")</f>
        <v>Monday</v>
      </c>
      <c r="F4165" s="2" t="s">
        <v>457</v>
      </c>
      <c r="G4165" s="2" t="s">
        <v>458</v>
      </c>
      <c r="H4165" s="2" t="s">
        <v>459</v>
      </c>
      <c r="I4165" s="2" t="n">
        <f aca="false">IF(F4165="Present",9,IF(F4165="Half Day",4,0))</f>
        <v>9</v>
      </c>
      <c r="J4165" s="2"/>
      <c r="K4165" s="2"/>
    </row>
    <row r="4166" customFormat="false" ht="15" hidden="false" customHeight="false" outlineLevel="0" collapsed="false">
      <c r="A4166" s="2" t="s">
        <v>317</v>
      </c>
      <c r="B4166" s="2" t="s">
        <v>318</v>
      </c>
      <c r="C4166" s="2" t="s">
        <v>36</v>
      </c>
      <c r="D4166" s="3" t="n">
        <v>46245</v>
      </c>
      <c r="E4166" s="2" t="str">
        <f aca="false">TEXT(D4166,"dddd")</f>
        <v>Tuesday</v>
      </c>
      <c r="F4166" s="2" t="s">
        <v>461</v>
      </c>
      <c r="G4166" s="2"/>
      <c r="H4166" s="2"/>
      <c r="I4166" s="2" t="n">
        <f aca="false">IF(F4166="Present",9,IF(F4166="Half Day",4,0))</f>
        <v>0</v>
      </c>
      <c r="J4166" s="2"/>
      <c r="K4166" s="2" t="s">
        <v>462</v>
      </c>
    </row>
    <row r="4167" customFormat="false" ht="15" hidden="false" customHeight="false" outlineLevel="0" collapsed="false">
      <c r="A4167" s="2" t="s">
        <v>317</v>
      </c>
      <c r="B4167" s="2" t="s">
        <v>318</v>
      </c>
      <c r="C4167" s="2" t="s">
        <v>36</v>
      </c>
      <c r="D4167" s="3" t="n">
        <v>46246</v>
      </c>
      <c r="E4167" s="2" t="str">
        <f aca="false">TEXT(D4167,"dddd")</f>
        <v>Wednesday</v>
      </c>
      <c r="F4167" s="2" t="s">
        <v>457</v>
      </c>
      <c r="G4167" s="2" t="s">
        <v>458</v>
      </c>
      <c r="H4167" s="2" t="s">
        <v>459</v>
      </c>
      <c r="I4167" s="2" t="n">
        <f aca="false">IF(F4167="Present",9,IF(F4167="Half Day",4,0))</f>
        <v>9</v>
      </c>
      <c r="J4167" s="2"/>
      <c r="K4167" s="2"/>
    </row>
    <row r="4168" customFormat="false" ht="15" hidden="false" customHeight="false" outlineLevel="0" collapsed="false">
      <c r="A4168" s="2" t="s">
        <v>317</v>
      </c>
      <c r="B4168" s="2" t="s">
        <v>318</v>
      </c>
      <c r="C4168" s="2" t="s">
        <v>36</v>
      </c>
      <c r="D4168" s="3" t="n">
        <v>46247</v>
      </c>
      <c r="E4168" s="2" t="str">
        <f aca="false">TEXT(D4168,"dddd")</f>
        <v>Thursday</v>
      </c>
      <c r="F4168" s="2" t="s">
        <v>457</v>
      </c>
      <c r="G4168" s="2" t="s">
        <v>458</v>
      </c>
      <c r="H4168" s="2" t="s">
        <v>459</v>
      </c>
      <c r="I4168" s="2" t="n">
        <f aca="false">IF(F4168="Present",9,IF(F4168="Half Day",4,0))</f>
        <v>9</v>
      </c>
      <c r="J4168" s="2"/>
      <c r="K4168" s="2"/>
    </row>
    <row r="4169" customFormat="false" ht="15" hidden="false" customHeight="false" outlineLevel="0" collapsed="false">
      <c r="A4169" s="2" t="s">
        <v>317</v>
      </c>
      <c r="B4169" s="2" t="s">
        <v>318</v>
      </c>
      <c r="C4169" s="2" t="s">
        <v>36</v>
      </c>
      <c r="D4169" s="3" t="n">
        <v>46248</v>
      </c>
      <c r="E4169" s="2" t="str">
        <f aca="false">TEXT(D4169,"dddd")</f>
        <v>Friday</v>
      </c>
      <c r="F4169" s="2" t="s">
        <v>457</v>
      </c>
      <c r="G4169" s="2" t="s">
        <v>458</v>
      </c>
      <c r="H4169" s="2" t="s">
        <v>459</v>
      </c>
      <c r="I4169" s="2" t="n">
        <f aca="false">IF(F4169="Present",9,IF(F4169="Half Day",4,0))</f>
        <v>9</v>
      </c>
      <c r="J4169" s="2"/>
      <c r="K4169" s="2"/>
    </row>
    <row r="4170" customFormat="false" ht="15" hidden="false" customHeight="false" outlineLevel="0" collapsed="false">
      <c r="A4170" s="2" t="s">
        <v>317</v>
      </c>
      <c r="B4170" s="2" t="s">
        <v>318</v>
      </c>
      <c r="C4170" s="2" t="s">
        <v>36</v>
      </c>
      <c r="D4170" s="3" t="n">
        <v>46249</v>
      </c>
      <c r="E4170" s="2" t="str">
        <f aca="false">TEXT(D4170,"dddd")</f>
        <v>Saturday</v>
      </c>
      <c r="F4170" s="2" t="s">
        <v>461</v>
      </c>
      <c r="G4170" s="2"/>
      <c r="H4170" s="2"/>
      <c r="I4170" s="2" t="n">
        <f aca="false">IF(F4170="Present",9,IF(F4170="Half Day",4,0))</f>
        <v>0</v>
      </c>
      <c r="J4170" s="2"/>
      <c r="K4170" s="2" t="s">
        <v>462</v>
      </c>
    </row>
    <row r="4171" customFormat="false" ht="15" hidden="false" customHeight="false" outlineLevel="0" collapsed="false">
      <c r="A4171" s="2" t="s">
        <v>317</v>
      </c>
      <c r="B4171" s="2" t="s">
        <v>318</v>
      </c>
      <c r="C4171" s="2" t="s">
        <v>36</v>
      </c>
      <c r="D4171" s="3" t="n">
        <v>46250</v>
      </c>
      <c r="E4171" s="2" t="str">
        <f aca="false">TEXT(D4171,"dddd")</f>
        <v>Sunday</v>
      </c>
      <c r="F4171" s="2" t="s">
        <v>460</v>
      </c>
      <c r="G4171" s="2"/>
      <c r="H4171" s="2"/>
      <c r="I4171" s="2" t="n">
        <f aca="false">IF(F4171="Present",9,IF(F4171="Half Day",4,0))</f>
        <v>0</v>
      </c>
      <c r="J4171" s="2"/>
      <c r="K4171" s="2" t="s">
        <v>460</v>
      </c>
    </row>
    <row r="4172" customFormat="false" ht="15" hidden="false" customHeight="false" outlineLevel="0" collapsed="false">
      <c r="A4172" s="2" t="s">
        <v>317</v>
      </c>
      <c r="B4172" s="2" t="s">
        <v>318</v>
      </c>
      <c r="C4172" s="2" t="s">
        <v>36</v>
      </c>
      <c r="D4172" s="3" t="n">
        <v>46251</v>
      </c>
      <c r="E4172" s="2" t="str">
        <f aca="false">TEXT(D4172,"dddd")</f>
        <v>Monday</v>
      </c>
      <c r="F4172" s="2" t="s">
        <v>457</v>
      </c>
      <c r="G4172" s="2" t="s">
        <v>458</v>
      </c>
      <c r="H4172" s="2" t="s">
        <v>459</v>
      </c>
      <c r="I4172" s="2" t="n">
        <f aca="false">IF(F4172="Present",9,IF(F4172="Half Day",4,0))</f>
        <v>9</v>
      </c>
      <c r="J4172" s="2"/>
      <c r="K4172" s="2"/>
    </row>
    <row r="4173" customFormat="false" ht="15" hidden="false" customHeight="false" outlineLevel="0" collapsed="false">
      <c r="A4173" s="2" t="s">
        <v>317</v>
      </c>
      <c r="B4173" s="2" t="s">
        <v>318</v>
      </c>
      <c r="C4173" s="2" t="s">
        <v>36</v>
      </c>
      <c r="D4173" s="3" t="n">
        <v>46252</v>
      </c>
      <c r="E4173" s="2" t="str">
        <f aca="false">TEXT(D4173,"dddd")</f>
        <v>Tuesday</v>
      </c>
      <c r="F4173" s="2" t="s">
        <v>457</v>
      </c>
      <c r="G4173" s="2" t="s">
        <v>458</v>
      </c>
      <c r="H4173" s="2" t="s">
        <v>459</v>
      </c>
      <c r="I4173" s="2" t="n">
        <f aca="false">IF(F4173="Present",9,IF(F4173="Half Day",4,0))</f>
        <v>9</v>
      </c>
      <c r="J4173" s="2"/>
      <c r="K4173" s="2"/>
    </row>
    <row r="4174" customFormat="false" ht="15" hidden="false" customHeight="false" outlineLevel="0" collapsed="false">
      <c r="A4174" s="2" t="s">
        <v>317</v>
      </c>
      <c r="B4174" s="2" t="s">
        <v>318</v>
      </c>
      <c r="C4174" s="2" t="s">
        <v>36</v>
      </c>
      <c r="D4174" s="3" t="n">
        <v>46253</v>
      </c>
      <c r="E4174" s="2" t="str">
        <f aca="false">TEXT(D4174,"dddd")</f>
        <v>Wednesday</v>
      </c>
      <c r="F4174" s="2" t="s">
        <v>461</v>
      </c>
      <c r="G4174" s="2"/>
      <c r="H4174" s="2"/>
      <c r="I4174" s="2" t="n">
        <f aca="false">IF(F4174="Present",9,IF(F4174="Half Day",4,0))</f>
        <v>0</v>
      </c>
      <c r="J4174" s="2"/>
      <c r="K4174" s="2" t="s">
        <v>462</v>
      </c>
    </row>
    <row r="4175" customFormat="false" ht="15" hidden="false" customHeight="false" outlineLevel="0" collapsed="false">
      <c r="A4175" s="2" t="s">
        <v>317</v>
      </c>
      <c r="B4175" s="2" t="s">
        <v>318</v>
      </c>
      <c r="C4175" s="2" t="s">
        <v>36</v>
      </c>
      <c r="D4175" s="3" t="n">
        <v>46254</v>
      </c>
      <c r="E4175" s="2" t="str">
        <f aca="false">TEXT(D4175,"dddd")</f>
        <v>Thursday</v>
      </c>
      <c r="F4175" s="2" t="s">
        <v>457</v>
      </c>
      <c r="G4175" s="2" t="s">
        <v>458</v>
      </c>
      <c r="H4175" s="2" t="s">
        <v>459</v>
      </c>
      <c r="I4175" s="2" t="n">
        <f aca="false">IF(F4175="Present",9,IF(F4175="Half Day",4,0))</f>
        <v>9</v>
      </c>
      <c r="J4175" s="2"/>
      <c r="K4175" s="2"/>
    </row>
    <row r="4176" customFormat="false" ht="15" hidden="false" customHeight="false" outlineLevel="0" collapsed="false">
      <c r="A4176" s="2" t="s">
        <v>317</v>
      </c>
      <c r="B4176" s="2" t="s">
        <v>318</v>
      </c>
      <c r="C4176" s="2" t="s">
        <v>36</v>
      </c>
      <c r="D4176" s="3" t="n">
        <v>46255</v>
      </c>
      <c r="E4176" s="2" t="str">
        <f aca="false">TEXT(D4176,"dddd")</f>
        <v>Friday</v>
      </c>
      <c r="F4176" s="2" t="s">
        <v>457</v>
      </c>
      <c r="G4176" s="2" t="s">
        <v>458</v>
      </c>
      <c r="H4176" s="2" t="s">
        <v>459</v>
      </c>
      <c r="I4176" s="2" t="n">
        <f aca="false">IF(F4176="Present",9,IF(F4176="Half Day",4,0))</f>
        <v>9</v>
      </c>
      <c r="J4176" s="2"/>
      <c r="K4176" s="2"/>
    </row>
    <row r="4177" customFormat="false" ht="15" hidden="false" customHeight="false" outlineLevel="0" collapsed="false">
      <c r="A4177" s="2" t="s">
        <v>317</v>
      </c>
      <c r="B4177" s="2" t="s">
        <v>318</v>
      </c>
      <c r="C4177" s="2" t="s">
        <v>36</v>
      </c>
      <c r="D4177" s="3" t="n">
        <v>46256</v>
      </c>
      <c r="E4177" s="2" t="str">
        <f aca="false">TEXT(D4177,"dddd")</f>
        <v>Saturday</v>
      </c>
      <c r="F4177" s="2" t="s">
        <v>461</v>
      </c>
      <c r="G4177" s="2"/>
      <c r="H4177" s="2"/>
      <c r="I4177" s="2" t="n">
        <f aca="false">IF(F4177="Present",9,IF(F4177="Half Day",4,0))</f>
        <v>0</v>
      </c>
      <c r="J4177" s="2"/>
      <c r="K4177" s="2" t="s">
        <v>462</v>
      </c>
    </row>
    <row r="4178" customFormat="false" ht="15" hidden="false" customHeight="false" outlineLevel="0" collapsed="false">
      <c r="A4178" s="2" t="s">
        <v>317</v>
      </c>
      <c r="B4178" s="2" t="s">
        <v>318</v>
      </c>
      <c r="C4178" s="2" t="s">
        <v>36</v>
      </c>
      <c r="D4178" s="3" t="n">
        <v>46257</v>
      </c>
      <c r="E4178" s="2" t="str">
        <f aca="false">TEXT(D4178,"dddd")</f>
        <v>Sunday</v>
      </c>
      <c r="F4178" s="2" t="s">
        <v>460</v>
      </c>
      <c r="G4178" s="2"/>
      <c r="H4178" s="2"/>
      <c r="I4178" s="2" t="n">
        <f aca="false">IF(F4178="Present",9,IF(F4178="Half Day",4,0))</f>
        <v>0</v>
      </c>
      <c r="J4178" s="2"/>
      <c r="K4178" s="2" t="s">
        <v>460</v>
      </c>
    </row>
    <row r="4179" customFormat="false" ht="15" hidden="false" customHeight="false" outlineLevel="0" collapsed="false">
      <c r="A4179" s="2" t="s">
        <v>317</v>
      </c>
      <c r="B4179" s="2" t="s">
        <v>318</v>
      </c>
      <c r="C4179" s="2" t="s">
        <v>36</v>
      </c>
      <c r="D4179" s="3" t="n">
        <v>46258</v>
      </c>
      <c r="E4179" s="2" t="str">
        <f aca="false">TEXT(D4179,"dddd")</f>
        <v>Monday</v>
      </c>
      <c r="F4179" s="2" t="s">
        <v>463</v>
      </c>
      <c r="G4179" s="2"/>
      <c r="H4179" s="2"/>
      <c r="I4179" s="2" t="n">
        <f aca="false">IF(F4179="Present",9,IF(F4179="Half Day",4,0))</f>
        <v>0</v>
      </c>
      <c r="J4179" s="2" t="s">
        <v>464</v>
      </c>
      <c r="K4179" s="2" t="s">
        <v>465</v>
      </c>
    </row>
    <row r="4180" customFormat="false" ht="15" hidden="false" customHeight="false" outlineLevel="0" collapsed="false">
      <c r="A4180" s="2" t="s">
        <v>317</v>
      </c>
      <c r="B4180" s="2" t="s">
        <v>318</v>
      </c>
      <c r="C4180" s="2" t="s">
        <v>36</v>
      </c>
      <c r="D4180" s="3" t="n">
        <v>46259</v>
      </c>
      <c r="E4180" s="2" t="str">
        <f aca="false">TEXT(D4180,"dddd")</f>
        <v>Tuesday</v>
      </c>
      <c r="F4180" s="2" t="s">
        <v>457</v>
      </c>
      <c r="G4180" s="2" t="s">
        <v>458</v>
      </c>
      <c r="H4180" s="2" t="s">
        <v>459</v>
      </c>
      <c r="I4180" s="2" t="n">
        <f aca="false">IF(F4180="Present",9,IF(F4180="Half Day",4,0))</f>
        <v>9</v>
      </c>
      <c r="J4180" s="2"/>
      <c r="K4180" s="2"/>
    </row>
    <row r="4181" customFormat="false" ht="15" hidden="false" customHeight="false" outlineLevel="0" collapsed="false">
      <c r="A4181" s="2" t="s">
        <v>317</v>
      </c>
      <c r="B4181" s="2" t="s">
        <v>318</v>
      </c>
      <c r="C4181" s="2" t="s">
        <v>36</v>
      </c>
      <c r="D4181" s="3" t="n">
        <v>46260</v>
      </c>
      <c r="E4181" s="2" t="str">
        <f aca="false">TEXT(D4181,"dddd")</f>
        <v>Wednesday</v>
      </c>
      <c r="F4181" s="2" t="s">
        <v>461</v>
      </c>
      <c r="G4181" s="2"/>
      <c r="H4181" s="2"/>
      <c r="I4181" s="2" t="n">
        <f aca="false">IF(F4181="Present",9,IF(F4181="Half Day",4,0))</f>
        <v>0</v>
      </c>
      <c r="J4181" s="2"/>
      <c r="K4181" s="2" t="s">
        <v>462</v>
      </c>
    </row>
    <row r="4182" customFormat="false" ht="15" hidden="false" customHeight="false" outlineLevel="0" collapsed="false">
      <c r="A4182" s="2" t="s">
        <v>317</v>
      </c>
      <c r="B4182" s="2" t="s">
        <v>318</v>
      </c>
      <c r="C4182" s="2" t="s">
        <v>36</v>
      </c>
      <c r="D4182" s="3" t="n">
        <v>46261</v>
      </c>
      <c r="E4182" s="2" t="str">
        <f aca="false">TEXT(D4182,"dddd")</f>
        <v>Thursday</v>
      </c>
      <c r="F4182" s="2" t="s">
        <v>457</v>
      </c>
      <c r="G4182" s="2" t="s">
        <v>458</v>
      </c>
      <c r="H4182" s="2" t="s">
        <v>459</v>
      </c>
      <c r="I4182" s="2" t="n">
        <f aca="false">IF(F4182="Present",9,IF(F4182="Half Day",4,0))</f>
        <v>9</v>
      </c>
      <c r="J4182" s="2"/>
      <c r="K4182" s="2"/>
    </row>
    <row r="4183" customFormat="false" ht="15" hidden="false" customHeight="false" outlineLevel="0" collapsed="false">
      <c r="A4183" s="2" t="s">
        <v>317</v>
      </c>
      <c r="B4183" s="2" t="s">
        <v>318</v>
      </c>
      <c r="C4183" s="2" t="s">
        <v>36</v>
      </c>
      <c r="D4183" s="3" t="n">
        <v>46262</v>
      </c>
      <c r="E4183" s="2" t="str">
        <f aca="false">TEXT(D4183,"dddd")</f>
        <v>Friday</v>
      </c>
      <c r="F4183" s="2" t="s">
        <v>457</v>
      </c>
      <c r="G4183" s="2" t="s">
        <v>458</v>
      </c>
      <c r="H4183" s="2" t="s">
        <v>459</v>
      </c>
      <c r="I4183" s="2" t="n">
        <f aca="false">IF(F4183="Present",9,IF(F4183="Half Day",4,0))</f>
        <v>9</v>
      </c>
      <c r="J4183" s="2"/>
      <c r="K4183" s="2"/>
    </row>
    <row r="4184" customFormat="false" ht="15" hidden="false" customHeight="false" outlineLevel="0" collapsed="false">
      <c r="A4184" s="2" t="s">
        <v>317</v>
      </c>
      <c r="B4184" s="2" t="s">
        <v>318</v>
      </c>
      <c r="C4184" s="2" t="s">
        <v>36</v>
      </c>
      <c r="D4184" s="3" t="n">
        <v>46263</v>
      </c>
      <c r="E4184" s="2" t="str">
        <f aca="false">TEXT(D4184,"dddd")</f>
        <v>Saturday</v>
      </c>
      <c r="F4184" s="2" t="s">
        <v>461</v>
      </c>
      <c r="G4184" s="2"/>
      <c r="H4184" s="2"/>
      <c r="I4184" s="2" t="n">
        <f aca="false">IF(F4184="Present",9,IF(F4184="Half Day",4,0))</f>
        <v>0</v>
      </c>
      <c r="J4184" s="2"/>
      <c r="K4184" s="2" t="s">
        <v>462</v>
      </c>
    </row>
    <row r="4185" customFormat="false" ht="15" hidden="false" customHeight="false" outlineLevel="0" collapsed="false">
      <c r="A4185" s="2" t="s">
        <v>317</v>
      </c>
      <c r="B4185" s="2" t="s">
        <v>318</v>
      </c>
      <c r="C4185" s="2" t="s">
        <v>36</v>
      </c>
      <c r="D4185" s="3" t="n">
        <v>46264</v>
      </c>
      <c r="E4185" s="2" t="str">
        <f aca="false">TEXT(D4185,"dddd")</f>
        <v>Sunday</v>
      </c>
      <c r="F4185" s="2" t="s">
        <v>460</v>
      </c>
      <c r="G4185" s="2"/>
      <c r="H4185" s="2"/>
      <c r="I4185" s="2" t="n">
        <f aca="false">IF(F4185="Present",9,IF(F4185="Half Day",4,0))</f>
        <v>0</v>
      </c>
      <c r="J4185" s="2"/>
      <c r="K4185" s="2" t="s">
        <v>460</v>
      </c>
    </row>
    <row r="4186" customFormat="false" ht="15" hidden="false" customHeight="false" outlineLevel="0" collapsed="false">
      <c r="A4186" s="2" t="s">
        <v>317</v>
      </c>
      <c r="B4186" s="2" t="s">
        <v>318</v>
      </c>
      <c r="C4186" s="2" t="s">
        <v>36</v>
      </c>
      <c r="D4186" s="3" t="n">
        <v>46265</v>
      </c>
      <c r="E4186" s="2" t="str">
        <f aca="false">TEXT(D4186,"dddd")</f>
        <v>Monday</v>
      </c>
      <c r="F4186" s="2" t="s">
        <v>457</v>
      </c>
      <c r="G4186" s="2" t="s">
        <v>458</v>
      </c>
      <c r="H4186" s="2" t="s">
        <v>459</v>
      </c>
      <c r="I4186" s="2" t="n">
        <f aca="false">IF(F4186="Present",9,IF(F4186="Half Day",4,0))</f>
        <v>9</v>
      </c>
      <c r="J4186" s="2"/>
      <c r="K4186" s="2"/>
    </row>
    <row r="4187" customFormat="false" ht="15" hidden="false" customHeight="false" outlineLevel="0" collapsed="false">
      <c r="A4187" s="2" t="s">
        <v>319</v>
      </c>
      <c r="B4187" s="2" t="s">
        <v>320</v>
      </c>
      <c r="C4187" s="2" t="s">
        <v>41</v>
      </c>
      <c r="D4187" s="3" t="n">
        <v>46235</v>
      </c>
      <c r="E4187" s="2" t="str">
        <f aca="false">TEXT(D4187,"dddd")</f>
        <v>Saturday</v>
      </c>
      <c r="F4187" s="2" t="s">
        <v>457</v>
      </c>
      <c r="G4187" s="2" t="s">
        <v>458</v>
      </c>
      <c r="H4187" s="2" t="s">
        <v>459</v>
      </c>
      <c r="I4187" s="2" t="n">
        <f aca="false">IF(F4187="Present",9,IF(F4187="Half Day",4,0))</f>
        <v>9</v>
      </c>
      <c r="J4187" s="2"/>
      <c r="K4187" s="2"/>
    </row>
    <row r="4188" customFormat="false" ht="15" hidden="false" customHeight="false" outlineLevel="0" collapsed="false">
      <c r="A4188" s="2" t="s">
        <v>319</v>
      </c>
      <c r="B4188" s="2" t="s">
        <v>320</v>
      </c>
      <c r="C4188" s="2" t="s">
        <v>41</v>
      </c>
      <c r="D4188" s="3" t="n">
        <v>46236</v>
      </c>
      <c r="E4188" s="2" t="str">
        <f aca="false">TEXT(D4188,"dddd")</f>
        <v>Sunday</v>
      </c>
      <c r="F4188" s="2" t="s">
        <v>460</v>
      </c>
      <c r="G4188" s="2"/>
      <c r="H4188" s="2"/>
      <c r="I4188" s="2" t="n">
        <f aca="false">IF(F4188="Present",9,IF(F4188="Half Day",4,0))</f>
        <v>0</v>
      </c>
      <c r="J4188" s="2"/>
      <c r="K4188" s="2" t="s">
        <v>460</v>
      </c>
    </row>
    <row r="4189" customFormat="false" ht="15" hidden="false" customHeight="false" outlineLevel="0" collapsed="false">
      <c r="A4189" s="2" t="s">
        <v>319</v>
      </c>
      <c r="B4189" s="2" t="s">
        <v>320</v>
      </c>
      <c r="C4189" s="2" t="s">
        <v>41</v>
      </c>
      <c r="D4189" s="3" t="n">
        <v>46237</v>
      </c>
      <c r="E4189" s="2" t="str">
        <f aca="false">TEXT(D4189,"dddd")</f>
        <v>Monday</v>
      </c>
      <c r="F4189" s="2" t="s">
        <v>457</v>
      </c>
      <c r="G4189" s="2" t="s">
        <v>458</v>
      </c>
      <c r="H4189" s="2" t="s">
        <v>459</v>
      </c>
      <c r="I4189" s="2" t="n">
        <f aca="false">IF(F4189="Present",9,IF(F4189="Half Day",4,0))</f>
        <v>9</v>
      </c>
      <c r="J4189" s="2"/>
      <c r="K4189" s="2"/>
    </row>
    <row r="4190" customFormat="false" ht="15" hidden="false" customHeight="false" outlineLevel="0" collapsed="false">
      <c r="A4190" s="2" t="s">
        <v>319</v>
      </c>
      <c r="B4190" s="2" t="s">
        <v>320</v>
      </c>
      <c r="C4190" s="2" t="s">
        <v>41</v>
      </c>
      <c r="D4190" s="3" t="n">
        <v>46238</v>
      </c>
      <c r="E4190" s="2" t="str">
        <f aca="false">TEXT(D4190,"dddd")</f>
        <v>Tuesday</v>
      </c>
      <c r="F4190" s="2" t="s">
        <v>457</v>
      </c>
      <c r="G4190" s="2" t="s">
        <v>458</v>
      </c>
      <c r="H4190" s="2" t="s">
        <v>459</v>
      </c>
      <c r="I4190" s="2" t="n">
        <f aca="false">IF(F4190="Present",9,IF(F4190="Half Day",4,0))</f>
        <v>9</v>
      </c>
      <c r="J4190" s="2"/>
      <c r="K4190" s="2"/>
    </row>
    <row r="4191" customFormat="false" ht="15" hidden="false" customHeight="false" outlineLevel="0" collapsed="false">
      <c r="A4191" s="2" t="s">
        <v>319</v>
      </c>
      <c r="B4191" s="2" t="s">
        <v>320</v>
      </c>
      <c r="C4191" s="2" t="s">
        <v>41</v>
      </c>
      <c r="D4191" s="3" t="n">
        <v>46239</v>
      </c>
      <c r="E4191" s="2" t="str">
        <f aca="false">TEXT(D4191,"dddd")</f>
        <v>Wednesday</v>
      </c>
      <c r="F4191" s="2" t="s">
        <v>457</v>
      </c>
      <c r="G4191" s="2" t="s">
        <v>458</v>
      </c>
      <c r="H4191" s="2" t="s">
        <v>459</v>
      </c>
      <c r="I4191" s="2" t="n">
        <f aca="false">IF(F4191="Present",9,IF(F4191="Half Day",4,0))</f>
        <v>9</v>
      </c>
      <c r="J4191" s="2"/>
      <c r="K4191" s="2"/>
    </row>
    <row r="4192" customFormat="false" ht="15" hidden="false" customHeight="false" outlineLevel="0" collapsed="false">
      <c r="A4192" s="2" t="s">
        <v>319</v>
      </c>
      <c r="B4192" s="2" t="s">
        <v>320</v>
      </c>
      <c r="C4192" s="2" t="s">
        <v>41</v>
      </c>
      <c r="D4192" s="3" t="n">
        <v>46240</v>
      </c>
      <c r="E4192" s="2" t="str">
        <f aca="false">TEXT(D4192,"dddd")</f>
        <v>Thursday</v>
      </c>
      <c r="F4192" s="2" t="s">
        <v>457</v>
      </c>
      <c r="G4192" s="2" t="s">
        <v>458</v>
      </c>
      <c r="H4192" s="2" t="s">
        <v>459</v>
      </c>
      <c r="I4192" s="2" t="n">
        <f aca="false">IF(F4192="Present",9,IF(F4192="Half Day",4,0))</f>
        <v>9</v>
      </c>
      <c r="J4192" s="2"/>
      <c r="K4192" s="2"/>
    </row>
    <row r="4193" customFormat="false" ht="15" hidden="false" customHeight="false" outlineLevel="0" collapsed="false">
      <c r="A4193" s="2" t="s">
        <v>319</v>
      </c>
      <c r="B4193" s="2" t="s">
        <v>320</v>
      </c>
      <c r="C4193" s="2" t="s">
        <v>41</v>
      </c>
      <c r="D4193" s="3" t="n">
        <v>46241</v>
      </c>
      <c r="E4193" s="2" t="str">
        <f aca="false">TEXT(D4193,"dddd")</f>
        <v>Friday</v>
      </c>
      <c r="F4193" s="2" t="s">
        <v>457</v>
      </c>
      <c r="G4193" s="2" t="s">
        <v>458</v>
      </c>
      <c r="H4193" s="2" t="s">
        <v>459</v>
      </c>
      <c r="I4193" s="2" t="n">
        <f aca="false">IF(F4193="Present",9,IF(F4193="Half Day",4,0))</f>
        <v>9</v>
      </c>
      <c r="J4193" s="2"/>
      <c r="K4193" s="2"/>
    </row>
    <row r="4194" customFormat="false" ht="15" hidden="false" customHeight="false" outlineLevel="0" collapsed="false">
      <c r="A4194" s="2" t="s">
        <v>319</v>
      </c>
      <c r="B4194" s="2" t="s">
        <v>320</v>
      </c>
      <c r="C4194" s="2" t="s">
        <v>41</v>
      </c>
      <c r="D4194" s="3" t="n">
        <v>46242</v>
      </c>
      <c r="E4194" s="2" t="str">
        <f aca="false">TEXT(D4194,"dddd")</f>
        <v>Saturday</v>
      </c>
      <c r="F4194" s="2" t="s">
        <v>457</v>
      </c>
      <c r="G4194" s="2" t="s">
        <v>458</v>
      </c>
      <c r="H4194" s="2" t="s">
        <v>459</v>
      </c>
      <c r="I4194" s="2" t="n">
        <f aca="false">IF(F4194="Present",9,IF(F4194="Half Day",4,0))</f>
        <v>9</v>
      </c>
      <c r="J4194" s="2"/>
      <c r="K4194" s="2"/>
    </row>
    <row r="4195" customFormat="false" ht="15" hidden="false" customHeight="false" outlineLevel="0" collapsed="false">
      <c r="A4195" s="2" t="s">
        <v>319</v>
      </c>
      <c r="B4195" s="2" t="s">
        <v>320</v>
      </c>
      <c r="C4195" s="2" t="s">
        <v>41</v>
      </c>
      <c r="D4195" s="3" t="n">
        <v>46243</v>
      </c>
      <c r="E4195" s="2" t="str">
        <f aca="false">TEXT(D4195,"dddd")</f>
        <v>Sunday</v>
      </c>
      <c r="F4195" s="2" t="s">
        <v>460</v>
      </c>
      <c r="G4195" s="2"/>
      <c r="H4195" s="2"/>
      <c r="I4195" s="2" t="n">
        <f aca="false">IF(F4195="Present",9,IF(F4195="Half Day",4,0))</f>
        <v>0</v>
      </c>
      <c r="J4195" s="2"/>
      <c r="K4195" s="2" t="s">
        <v>460</v>
      </c>
    </row>
    <row r="4196" customFormat="false" ht="15" hidden="false" customHeight="false" outlineLevel="0" collapsed="false">
      <c r="A4196" s="2" t="s">
        <v>319</v>
      </c>
      <c r="B4196" s="2" t="s">
        <v>320</v>
      </c>
      <c r="C4196" s="2" t="s">
        <v>41</v>
      </c>
      <c r="D4196" s="3" t="n">
        <v>46244</v>
      </c>
      <c r="E4196" s="2" t="str">
        <f aca="false">TEXT(D4196,"dddd")</f>
        <v>Monday</v>
      </c>
      <c r="F4196" s="2" t="s">
        <v>457</v>
      </c>
      <c r="G4196" s="2" t="s">
        <v>458</v>
      </c>
      <c r="H4196" s="2" t="s">
        <v>459</v>
      </c>
      <c r="I4196" s="2" t="n">
        <f aca="false">IF(F4196="Present",9,IF(F4196="Half Day",4,0))</f>
        <v>9</v>
      </c>
      <c r="J4196" s="2"/>
      <c r="K4196" s="2"/>
    </row>
    <row r="4197" customFormat="false" ht="15" hidden="false" customHeight="false" outlineLevel="0" collapsed="false">
      <c r="A4197" s="2" t="s">
        <v>319</v>
      </c>
      <c r="B4197" s="2" t="s">
        <v>320</v>
      </c>
      <c r="C4197" s="2" t="s">
        <v>41</v>
      </c>
      <c r="D4197" s="3" t="n">
        <v>46245</v>
      </c>
      <c r="E4197" s="2" t="str">
        <f aca="false">TEXT(D4197,"dddd")</f>
        <v>Tuesday</v>
      </c>
      <c r="F4197" s="2" t="s">
        <v>457</v>
      </c>
      <c r="G4197" s="2" t="s">
        <v>458</v>
      </c>
      <c r="H4197" s="2" t="s">
        <v>459</v>
      </c>
      <c r="I4197" s="2" t="n">
        <f aca="false">IF(F4197="Present",9,IF(F4197="Half Day",4,0))</f>
        <v>9</v>
      </c>
      <c r="J4197" s="2"/>
      <c r="K4197" s="2"/>
    </row>
    <row r="4198" customFormat="false" ht="15" hidden="false" customHeight="false" outlineLevel="0" collapsed="false">
      <c r="A4198" s="2" t="s">
        <v>319</v>
      </c>
      <c r="B4198" s="2" t="s">
        <v>320</v>
      </c>
      <c r="C4198" s="2" t="s">
        <v>41</v>
      </c>
      <c r="D4198" s="3" t="n">
        <v>46246</v>
      </c>
      <c r="E4198" s="2" t="str">
        <f aca="false">TEXT(D4198,"dddd")</f>
        <v>Wednesday</v>
      </c>
      <c r="F4198" s="2" t="s">
        <v>457</v>
      </c>
      <c r="G4198" s="2" t="s">
        <v>458</v>
      </c>
      <c r="H4198" s="2" t="s">
        <v>459</v>
      </c>
      <c r="I4198" s="2" t="n">
        <f aca="false">IF(F4198="Present",9,IF(F4198="Half Day",4,0))</f>
        <v>9</v>
      </c>
      <c r="J4198" s="2"/>
      <c r="K4198" s="2"/>
    </row>
    <row r="4199" customFormat="false" ht="15" hidden="false" customHeight="false" outlineLevel="0" collapsed="false">
      <c r="A4199" s="2" t="s">
        <v>319</v>
      </c>
      <c r="B4199" s="2" t="s">
        <v>320</v>
      </c>
      <c r="C4199" s="2" t="s">
        <v>41</v>
      </c>
      <c r="D4199" s="3" t="n">
        <v>46247</v>
      </c>
      <c r="E4199" s="2" t="str">
        <f aca="false">TEXT(D4199,"dddd")</f>
        <v>Thursday</v>
      </c>
      <c r="F4199" s="2" t="s">
        <v>457</v>
      </c>
      <c r="G4199" s="2" t="s">
        <v>458</v>
      </c>
      <c r="H4199" s="2" t="s">
        <v>459</v>
      </c>
      <c r="I4199" s="2" t="n">
        <f aca="false">IF(F4199="Present",9,IF(F4199="Half Day",4,0))</f>
        <v>9</v>
      </c>
      <c r="J4199" s="2"/>
      <c r="K4199" s="2"/>
    </row>
    <row r="4200" customFormat="false" ht="15" hidden="false" customHeight="false" outlineLevel="0" collapsed="false">
      <c r="A4200" s="2" t="s">
        <v>319</v>
      </c>
      <c r="B4200" s="2" t="s">
        <v>320</v>
      </c>
      <c r="C4200" s="2" t="s">
        <v>41</v>
      </c>
      <c r="D4200" s="3" t="n">
        <v>46248</v>
      </c>
      <c r="E4200" s="2" t="str">
        <f aca="false">TEXT(D4200,"dddd")</f>
        <v>Friday</v>
      </c>
      <c r="F4200" s="2" t="s">
        <v>457</v>
      </c>
      <c r="G4200" s="2" t="s">
        <v>458</v>
      </c>
      <c r="H4200" s="2" t="s">
        <v>459</v>
      </c>
      <c r="I4200" s="2" t="n">
        <f aca="false">IF(F4200="Present",9,IF(F4200="Half Day",4,0))</f>
        <v>9</v>
      </c>
      <c r="J4200" s="2"/>
      <c r="K4200" s="2"/>
    </row>
    <row r="4201" customFormat="false" ht="15" hidden="false" customHeight="false" outlineLevel="0" collapsed="false">
      <c r="A4201" s="2" t="s">
        <v>319</v>
      </c>
      <c r="B4201" s="2" t="s">
        <v>320</v>
      </c>
      <c r="C4201" s="2" t="s">
        <v>41</v>
      </c>
      <c r="D4201" s="3" t="n">
        <v>46249</v>
      </c>
      <c r="E4201" s="2" t="str">
        <f aca="false">TEXT(D4201,"dddd")</f>
        <v>Saturday</v>
      </c>
      <c r="F4201" s="2" t="s">
        <v>457</v>
      </c>
      <c r="G4201" s="2" t="s">
        <v>458</v>
      </c>
      <c r="H4201" s="2" t="s">
        <v>459</v>
      </c>
      <c r="I4201" s="2" t="n">
        <f aca="false">IF(F4201="Present",9,IF(F4201="Half Day",4,0))</f>
        <v>9</v>
      </c>
      <c r="J4201" s="2"/>
      <c r="K4201" s="2"/>
    </row>
    <row r="4202" customFormat="false" ht="15" hidden="false" customHeight="false" outlineLevel="0" collapsed="false">
      <c r="A4202" s="2" t="s">
        <v>319</v>
      </c>
      <c r="B4202" s="2" t="s">
        <v>320</v>
      </c>
      <c r="C4202" s="2" t="s">
        <v>41</v>
      </c>
      <c r="D4202" s="3" t="n">
        <v>46250</v>
      </c>
      <c r="E4202" s="2" t="str">
        <f aca="false">TEXT(D4202,"dddd")</f>
        <v>Sunday</v>
      </c>
      <c r="F4202" s="2" t="s">
        <v>460</v>
      </c>
      <c r="G4202" s="2"/>
      <c r="H4202" s="2"/>
      <c r="I4202" s="2" t="n">
        <f aca="false">IF(F4202="Present",9,IF(F4202="Half Day",4,0))</f>
        <v>0</v>
      </c>
      <c r="J4202" s="2"/>
      <c r="K4202" s="2" t="s">
        <v>460</v>
      </c>
    </row>
    <row r="4203" customFormat="false" ht="15" hidden="false" customHeight="false" outlineLevel="0" collapsed="false">
      <c r="A4203" s="2" t="s">
        <v>319</v>
      </c>
      <c r="B4203" s="2" t="s">
        <v>320</v>
      </c>
      <c r="C4203" s="2" t="s">
        <v>41</v>
      </c>
      <c r="D4203" s="3" t="n">
        <v>46251</v>
      </c>
      <c r="E4203" s="2" t="str">
        <f aca="false">TEXT(D4203,"dddd")</f>
        <v>Monday</v>
      </c>
      <c r="F4203" s="2" t="s">
        <v>457</v>
      </c>
      <c r="G4203" s="2" t="s">
        <v>458</v>
      </c>
      <c r="H4203" s="2" t="s">
        <v>459</v>
      </c>
      <c r="I4203" s="2" t="n">
        <f aca="false">IF(F4203="Present",9,IF(F4203="Half Day",4,0))</f>
        <v>9</v>
      </c>
      <c r="J4203" s="2"/>
      <c r="K4203" s="2"/>
    </row>
    <row r="4204" customFormat="false" ht="15" hidden="false" customHeight="false" outlineLevel="0" collapsed="false">
      <c r="A4204" s="2" t="s">
        <v>319</v>
      </c>
      <c r="B4204" s="2" t="s">
        <v>320</v>
      </c>
      <c r="C4204" s="2" t="s">
        <v>41</v>
      </c>
      <c r="D4204" s="3" t="n">
        <v>46252</v>
      </c>
      <c r="E4204" s="2" t="str">
        <f aca="false">TEXT(D4204,"dddd")</f>
        <v>Tuesday</v>
      </c>
      <c r="F4204" s="2" t="s">
        <v>457</v>
      </c>
      <c r="G4204" s="2" t="s">
        <v>458</v>
      </c>
      <c r="H4204" s="2" t="s">
        <v>459</v>
      </c>
      <c r="I4204" s="2" t="n">
        <f aca="false">IF(F4204="Present",9,IF(F4204="Half Day",4,0))</f>
        <v>9</v>
      </c>
      <c r="J4204" s="2"/>
      <c r="K4204" s="2"/>
    </row>
    <row r="4205" customFormat="false" ht="15" hidden="false" customHeight="false" outlineLevel="0" collapsed="false">
      <c r="A4205" s="2" t="s">
        <v>319</v>
      </c>
      <c r="B4205" s="2" t="s">
        <v>320</v>
      </c>
      <c r="C4205" s="2" t="s">
        <v>41</v>
      </c>
      <c r="D4205" s="3" t="n">
        <v>46253</v>
      </c>
      <c r="E4205" s="2" t="str">
        <f aca="false">TEXT(D4205,"dddd")</f>
        <v>Wednesday</v>
      </c>
      <c r="F4205" s="2" t="s">
        <v>457</v>
      </c>
      <c r="G4205" s="2" t="s">
        <v>458</v>
      </c>
      <c r="H4205" s="2" t="s">
        <v>459</v>
      </c>
      <c r="I4205" s="2" t="n">
        <f aca="false">IF(F4205="Present",9,IF(F4205="Half Day",4,0))</f>
        <v>9</v>
      </c>
      <c r="J4205" s="2"/>
      <c r="K4205" s="2"/>
    </row>
    <row r="4206" customFormat="false" ht="15" hidden="false" customHeight="false" outlineLevel="0" collapsed="false">
      <c r="A4206" s="2" t="s">
        <v>319</v>
      </c>
      <c r="B4206" s="2" t="s">
        <v>320</v>
      </c>
      <c r="C4206" s="2" t="s">
        <v>41</v>
      </c>
      <c r="D4206" s="3" t="n">
        <v>46254</v>
      </c>
      <c r="E4206" s="2" t="str">
        <f aca="false">TEXT(D4206,"dddd")</f>
        <v>Thursday</v>
      </c>
      <c r="F4206" s="2" t="s">
        <v>457</v>
      </c>
      <c r="G4206" s="2" t="s">
        <v>458</v>
      </c>
      <c r="H4206" s="2" t="s">
        <v>459</v>
      </c>
      <c r="I4206" s="2" t="n">
        <f aca="false">IF(F4206="Present",9,IF(F4206="Half Day",4,0))</f>
        <v>9</v>
      </c>
      <c r="J4206" s="2"/>
      <c r="K4206" s="2"/>
    </row>
    <row r="4207" customFormat="false" ht="15" hidden="false" customHeight="false" outlineLevel="0" collapsed="false">
      <c r="A4207" s="2" t="s">
        <v>319</v>
      </c>
      <c r="B4207" s="2" t="s">
        <v>320</v>
      </c>
      <c r="C4207" s="2" t="s">
        <v>41</v>
      </c>
      <c r="D4207" s="3" t="n">
        <v>46255</v>
      </c>
      <c r="E4207" s="2" t="str">
        <f aca="false">TEXT(D4207,"dddd")</f>
        <v>Friday</v>
      </c>
      <c r="F4207" s="2" t="s">
        <v>457</v>
      </c>
      <c r="G4207" s="2" t="s">
        <v>458</v>
      </c>
      <c r="H4207" s="2" t="s">
        <v>459</v>
      </c>
      <c r="I4207" s="2" t="n">
        <f aca="false">IF(F4207="Present",9,IF(F4207="Half Day",4,0))</f>
        <v>9</v>
      </c>
      <c r="J4207" s="2"/>
      <c r="K4207" s="2"/>
    </row>
    <row r="4208" customFormat="false" ht="15" hidden="false" customHeight="false" outlineLevel="0" collapsed="false">
      <c r="A4208" s="2" t="s">
        <v>319</v>
      </c>
      <c r="B4208" s="2" t="s">
        <v>320</v>
      </c>
      <c r="C4208" s="2" t="s">
        <v>41</v>
      </c>
      <c r="D4208" s="3" t="n">
        <v>46256</v>
      </c>
      <c r="E4208" s="2" t="str">
        <f aca="false">TEXT(D4208,"dddd")</f>
        <v>Saturday</v>
      </c>
      <c r="F4208" s="2" t="s">
        <v>466</v>
      </c>
      <c r="G4208" s="2" t="s">
        <v>458</v>
      </c>
      <c r="H4208" s="2" t="s">
        <v>467</v>
      </c>
      <c r="I4208" s="2" t="n">
        <f aca="false">IF(F4208="Present",9,IF(F4208="Half Day",4,0))</f>
        <v>4</v>
      </c>
      <c r="J4208" s="2"/>
      <c r="K4208" s="2" t="s">
        <v>466</v>
      </c>
    </row>
    <row r="4209" customFormat="false" ht="15" hidden="false" customHeight="false" outlineLevel="0" collapsed="false">
      <c r="A4209" s="2" t="s">
        <v>319</v>
      </c>
      <c r="B4209" s="2" t="s">
        <v>320</v>
      </c>
      <c r="C4209" s="2" t="s">
        <v>41</v>
      </c>
      <c r="D4209" s="3" t="n">
        <v>46257</v>
      </c>
      <c r="E4209" s="2" t="str">
        <f aca="false">TEXT(D4209,"dddd")</f>
        <v>Sunday</v>
      </c>
      <c r="F4209" s="2" t="s">
        <v>460</v>
      </c>
      <c r="G4209" s="2"/>
      <c r="H4209" s="2"/>
      <c r="I4209" s="2" t="n">
        <f aca="false">IF(F4209="Present",9,IF(F4209="Half Day",4,0))</f>
        <v>0</v>
      </c>
      <c r="J4209" s="2"/>
      <c r="K4209" s="2" t="s">
        <v>460</v>
      </c>
    </row>
    <row r="4210" customFormat="false" ht="15" hidden="false" customHeight="false" outlineLevel="0" collapsed="false">
      <c r="A4210" s="2" t="s">
        <v>319</v>
      </c>
      <c r="B4210" s="2" t="s">
        <v>320</v>
      </c>
      <c r="C4210" s="2" t="s">
        <v>41</v>
      </c>
      <c r="D4210" s="3" t="n">
        <v>46258</v>
      </c>
      <c r="E4210" s="2" t="str">
        <f aca="false">TEXT(D4210,"dddd")</f>
        <v>Monday</v>
      </c>
      <c r="F4210" s="2" t="s">
        <v>457</v>
      </c>
      <c r="G4210" s="2" t="s">
        <v>458</v>
      </c>
      <c r="H4210" s="2" t="s">
        <v>459</v>
      </c>
      <c r="I4210" s="2" t="n">
        <f aca="false">IF(F4210="Present",9,IF(F4210="Half Day",4,0))</f>
        <v>9</v>
      </c>
      <c r="J4210" s="2"/>
      <c r="K4210" s="2"/>
    </row>
    <row r="4211" customFormat="false" ht="15" hidden="false" customHeight="false" outlineLevel="0" collapsed="false">
      <c r="A4211" s="2" t="s">
        <v>319</v>
      </c>
      <c r="B4211" s="2" t="s">
        <v>320</v>
      </c>
      <c r="C4211" s="2" t="s">
        <v>41</v>
      </c>
      <c r="D4211" s="3" t="n">
        <v>46259</v>
      </c>
      <c r="E4211" s="2" t="str">
        <f aca="false">TEXT(D4211,"dddd")</f>
        <v>Tuesday</v>
      </c>
      <c r="F4211" s="2" t="s">
        <v>457</v>
      </c>
      <c r="G4211" s="2" t="s">
        <v>458</v>
      </c>
      <c r="H4211" s="2" t="s">
        <v>459</v>
      </c>
      <c r="I4211" s="2" t="n">
        <f aca="false">IF(F4211="Present",9,IF(F4211="Half Day",4,0))</f>
        <v>9</v>
      </c>
      <c r="J4211" s="2"/>
      <c r="K4211" s="2"/>
    </row>
    <row r="4212" customFormat="false" ht="15" hidden="false" customHeight="false" outlineLevel="0" collapsed="false">
      <c r="A4212" s="2" t="s">
        <v>319</v>
      </c>
      <c r="B4212" s="2" t="s">
        <v>320</v>
      </c>
      <c r="C4212" s="2" t="s">
        <v>41</v>
      </c>
      <c r="D4212" s="3" t="n">
        <v>46260</v>
      </c>
      <c r="E4212" s="2" t="str">
        <f aca="false">TEXT(D4212,"dddd")</f>
        <v>Wednesday</v>
      </c>
      <c r="F4212" s="2" t="s">
        <v>457</v>
      </c>
      <c r="G4212" s="2" t="s">
        <v>458</v>
      </c>
      <c r="H4212" s="2" t="s">
        <v>459</v>
      </c>
      <c r="I4212" s="2" t="n">
        <f aca="false">IF(F4212="Present",9,IF(F4212="Half Day",4,0))</f>
        <v>9</v>
      </c>
      <c r="J4212" s="2"/>
      <c r="K4212" s="2"/>
    </row>
    <row r="4213" customFormat="false" ht="15" hidden="false" customHeight="false" outlineLevel="0" collapsed="false">
      <c r="A4213" s="2" t="s">
        <v>319</v>
      </c>
      <c r="B4213" s="2" t="s">
        <v>320</v>
      </c>
      <c r="C4213" s="2" t="s">
        <v>41</v>
      </c>
      <c r="D4213" s="3" t="n">
        <v>46261</v>
      </c>
      <c r="E4213" s="2" t="str">
        <f aca="false">TEXT(D4213,"dddd")</f>
        <v>Thursday</v>
      </c>
      <c r="F4213" s="2" t="s">
        <v>457</v>
      </c>
      <c r="G4213" s="2" t="s">
        <v>458</v>
      </c>
      <c r="H4213" s="2" t="s">
        <v>459</v>
      </c>
      <c r="I4213" s="2" t="n">
        <f aca="false">IF(F4213="Present",9,IF(F4213="Half Day",4,0))</f>
        <v>9</v>
      </c>
      <c r="J4213" s="2"/>
      <c r="K4213" s="2"/>
    </row>
    <row r="4214" customFormat="false" ht="15" hidden="false" customHeight="false" outlineLevel="0" collapsed="false">
      <c r="A4214" s="2" t="s">
        <v>319</v>
      </c>
      <c r="B4214" s="2" t="s">
        <v>320</v>
      </c>
      <c r="C4214" s="2" t="s">
        <v>41</v>
      </c>
      <c r="D4214" s="3" t="n">
        <v>46262</v>
      </c>
      <c r="E4214" s="2" t="str">
        <f aca="false">TEXT(D4214,"dddd")</f>
        <v>Friday</v>
      </c>
      <c r="F4214" s="2" t="s">
        <v>457</v>
      </c>
      <c r="G4214" s="2" t="s">
        <v>458</v>
      </c>
      <c r="H4214" s="2" t="s">
        <v>459</v>
      </c>
      <c r="I4214" s="2" t="n">
        <f aca="false">IF(F4214="Present",9,IF(F4214="Half Day",4,0))</f>
        <v>9</v>
      </c>
      <c r="J4214" s="2"/>
      <c r="K4214" s="2"/>
    </row>
    <row r="4215" customFormat="false" ht="15" hidden="false" customHeight="false" outlineLevel="0" collapsed="false">
      <c r="A4215" s="2" t="s">
        <v>319</v>
      </c>
      <c r="B4215" s="2" t="s">
        <v>320</v>
      </c>
      <c r="C4215" s="2" t="s">
        <v>41</v>
      </c>
      <c r="D4215" s="3" t="n">
        <v>46263</v>
      </c>
      <c r="E4215" s="2" t="str">
        <f aca="false">TEXT(D4215,"dddd")</f>
        <v>Saturday</v>
      </c>
      <c r="F4215" s="2" t="s">
        <v>457</v>
      </c>
      <c r="G4215" s="2" t="s">
        <v>458</v>
      </c>
      <c r="H4215" s="2" t="s">
        <v>459</v>
      </c>
      <c r="I4215" s="2" t="n">
        <f aca="false">IF(F4215="Present",9,IF(F4215="Half Day",4,0))</f>
        <v>9</v>
      </c>
      <c r="J4215" s="2"/>
      <c r="K4215" s="2"/>
    </row>
    <row r="4216" customFormat="false" ht="15" hidden="false" customHeight="false" outlineLevel="0" collapsed="false">
      <c r="A4216" s="2" t="s">
        <v>319</v>
      </c>
      <c r="B4216" s="2" t="s">
        <v>320</v>
      </c>
      <c r="C4216" s="2" t="s">
        <v>41</v>
      </c>
      <c r="D4216" s="3" t="n">
        <v>46264</v>
      </c>
      <c r="E4216" s="2" t="str">
        <f aca="false">TEXT(D4216,"dddd")</f>
        <v>Sunday</v>
      </c>
      <c r="F4216" s="2" t="s">
        <v>460</v>
      </c>
      <c r="G4216" s="2"/>
      <c r="H4216" s="2"/>
      <c r="I4216" s="2" t="n">
        <f aca="false">IF(F4216="Present",9,IF(F4216="Half Day",4,0))</f>
        <v>0</v>
      </c>
      <c r="J4216" s="2"/>
      <c r="K4216" s="2" t="s">
        <v>460</v>
      </c>
    </row>
    <row r="4217" customFormat="false" ht="15" hidden="false" customHeight="false" outlineLevel="0" collapsed="false">
      <c r="A4217" s="2" t="s">
        <v>319</v>
      </c>
      <c r="B4217" s="2" t="s">
        <v>320</v>
      </c>
      <c r="C4217" s="2" t="s">
        <v>41</v>
      </c>
      <c r="D4217" s="3" t="n">
        <v>46265</v>
      </c>
      <c r="E4217" s="2" t="str">
        <f aca="false">TEXT(D4217,"dddd")</f>
        <v>Monday</v>
      </c>
      <c r="F4217" s="2" t="s">
        <v>466</v>
      </c>
      <c r="G4217" s="2" t="s">
        <v>458</v>
      </c>
      <c r="H4217" s="2" t="s">
        <v>467</v>
      </c>
      <c r="I4217" s="2" t="n">
        <f aca="false">IF(F4217="Present",9,IF(F4217="Half Day",4,0))</f>
        <v>4</v>
      </c>
      <c r="J4217" s="2"/>
      <c r="K4217" s="2" t="s">
        <v>466</v>
      </c>
    </row>
    <row r="4218" customFormat="false" ht="15" hidden="false" customHeight="false" outlineLevel="0" collapsed="false">
      <c r="A4218" s="2" t="s">
        <v>321</v>
      </c>
      <c r="B4218" s="2" t="s">
        <v>322</v>
      </c>
      <c r="C4218" s="2" t="s">
        <v>45</v>
      </c>
      <c r="D4218" s="3" t="n">
        <v>46235</v>
      </c>
      <c r="E4218" s="2" t="str">
        <f aca="false">TEXT(D4218,"dddd")</f>
        <v>Saturday</v>
      </c>
      <c r="F4218" s="2" t="s">
        <v>457</v>
      </c>
      <c r="G4218" s="2" t="s">
        <v>458</v>
      </c>
      <c r="H4218" s="2" t="s">
        <v>459</v>
      </c>
      <c r="I4218" s="2" t="n">
        <f aca="false">IF(F4218="Present",9,IF(F4218="Half Day",4,0))</f>
        <v>9</v>
      </c>
      <c r="J4218" s="2"/>
      <c r="K4218" s="2"/>
    </row>
    <row r="4219" customFormat="false" ht="15" hidden="false" customHeight="false" outlineLevel="0" collapsed="false">
      <c r="A4219" s="2" t="s">
        <v>321</v>
      </c>
      <c r="B4219" s="2" t="s">
        <v>322</v>
      </c>
      <c r="C4219" s="2" t="s">
        <v>45</v>
      </c>
      <c r="D4219" s="3" t="n">
        <v>46236</v>
      </c>
      <c r="E4219" s="2" t="str">
        <f aca="false">TEXT(D4219,"dddd")</f>
        <v>Sunday</v>
      </c>
      <c r="F4219" s="2" t="s">
        <v>460</v>
      </c>
      <c r="G4219" s="2"/>
      <c r="H4219" s="2"/>
      <c r="I4219" s="2" t="n">
        <f aca="false">IF(F4219="Present",9,IF(F4219="Half Day",4,0))</f>
        <v>0</v>
      </c>
      <c r="J4219" s="2"/>
      <c r="K4219" s="2" t="s">
        <v>460</v>
      </c>
    </row>
    <row r="4220" customFormat="false" ht="15" hidden="false" customHeight="false" outlineLevel="0" collapsed="false">
      <c r="A4220" s="2" t="s">
        <v>321</v>
      </c>
      <c r="B4220" s="2" t="s">
        <v>322</v>
      </c>
      <c r="C4220" s="2" t="s">
        <v>45</v>
      </c>
      <c r="D4220" s="3" t="n">
        <v>46237</v>
      </c>
      <c r="E4220" s="2" t="str">
        <f aca="false">TEXT(D4220,"dddd")</f>
        <v>Monday</v>
      </c>
      <c r="F4220" s="2" t="s">
        <v>457</v>
      </c>
      <c r="G4220" s="2" t="s">
        <v>458</v>
      </c>
      <c r="H4220" s="2" t="s">
        <v>459</v>
      </c>
      <c r="I4220" s="2" t="n">
        <f aca="false">IF(F4220="Present",9,IF(F4220="Half Day",4,0))</f>
        <v>9</v>
      </c>
      <c r="J4220" s="2"/>
      <c r="K4220" s="2"/>
    </row>
    <row r="4221" customFormat="false" ht="15" hidden="false" customHeight="false" outlineLevel="0" collapsed="false">
      <c r="A4221" s="2" t="s">
        <v>321</v>
      </c>
      <c r="B4221" s="2" t="s">
        <v>322</v>
      </c>
      <c r="C4221" s="2" t="s">
        <v>45</v>
      </c>
      <c r="D4221" s="3" t="n">
        <v>46238</v>
      </c>
      <c r="E4221" s="2" t="str">
        <f aca="false">TEXT(D4221,"dddd")</f>
        <v>Tuesday</v>
      </c>
      <c r="F4221" s="2" t="s">
        <v>461</v>
      </c>
      <c r="G4221" s="2"/>
      <c r="H4221" s="2"/>
      <c r="I4221" s="2" t="n">
        <f aca="false">IF(F4221="Present",9,IF(F4221="Half Day",4,0))</f>
        <v>0</v>
      </c>
      <c r="J4221" s="2"/>
      <c r="K4221" s="2" t="s">
        <v>462</v>
      </c>
    </row>
    <row r="4222" customFormat="false" ht="15" hidden="false" customHeight="false" outlineLevel="0" collapsed="false">
      <c r="A4222" s="2" t="s">
        <v>321</v>
      </c>
      <c r="B4222" s="2" t="s">
        <v>322</v>
      </c>
      <c r="C4222" s="2" t="s">
        <v>45</v>
      </c>
      <c r="D4222" s="3" t="n">
        <v>46239</v>
      </c>
      <c r="E4222" s="2" t="str">
        <f aca="false">TEXT(D4222,"dddd")</f>
        <v>Wednesday</v>
      </c>
      <c r="F4222" s="2" t="s">
        <v>457</v>
      </c>
      <c r="G4222" s="2" t="s">
        <v>458</v>
      </c>
      <c r="H4222" s="2" t="s">
        <v>459</v>
      </c>
      <c r="I4222" s="2" t="n">
        <f aca="false">IF(F4222="Present",9,IF(F4222="Half Day",4,0))</f>
        <v>9</v>
      </c>
      <c r="J4222" s="2"/>
      <c r="K4222" s="2"/>
    </row>
    <row r="4223" customFormat="false" ht="15" hidden="false" customHeight="false" outlineLevel="0" collapsed="false">
      <c r="A4223" s="2" t="s">
        <v>321</v>
      </c>
      <c r="B4223" s="2" t="s">
        <v>322</v>
      </c>
      <c r="C4223" s="2" t="s">
        <v>45</v>
      </c>
      <c r="D4223" s="3" t="n">
        <v>46240</v>
      </c>
      <c r="E4223" s="2" t="str">
        <f aca="false">TEXT(D4223,"dddd")</f>
        <v>Thursday</v>
      </c>
      <c r="F4223" s="2" t="s">
        <v>461</v>
      </c>
      <c r="G4223" s="2"/>
      <c r="H4223" s="2"/>
      <c r="I4223" s="2" t="n">
        <f aca="false">IF(F4223="Present",9,IF(F4223="Half Day",4,0))</f>
        <v>0</v>
      </c>
      <c r="J4223" s="2"/>
      <c r="K4223" s="2" t="s">
        <v>462</v>
      </c>
    </row>
    <row r="4224" customFormat="false" ht="15" hidden="false" customHeight="false" outlineLevel="0" collapsed="false">
      <c r="A4224" s="2" t="s">
        <v>321</v>
      </c>
      <c r="B4224" s="2" t="s">
        <v>322</v>
      </c>
      <c r="C4224" s="2" t="s">
        <v>45</v>
      </c>
      <c r="D4224" s="3" t="n">
        <v>46241</v>
      </c>
      <c r="E4224" s="2" t="str">
        <f aca="false">TEXT(D4224,"dddd")</f>
        <v>Friday</v>
      </c>
      <c r="F4224" s="2" t="s">
        <v>461</v>
      </c>
      <c r="G4224" s="2"/>
      <c r="H4224" s="2"/>
      <c r="I4224" s="2" t="n">
        <f aca="false">IF(F4224="Present",9,IF(F4224="Half Day",4,0))</f>
        <v>0</v>
      </c>
      <c r="J4224" s="2"/>
      <c r="K4224" s="2" t="s">
        <v>462</v>
      </c>
    </row>
    <row r="4225" customFormat="false" ht="15" hidden="false" customHeight="false" outlineLevel="0" collapsed="false">
      <c r="A4225" s="2" t="s">
        <v>321</v>
      </c>
      <c r="B4225" s="2" t="s">
        <v>322</v>
      </c>
      <c r="C4225" s="2" t="s">
        <v>45</v>
      </c>
      <c r="D4225" s="3" t="n">
        <v>46242</v>
      </c>
      <c r="E4225" s="2" t="str">
        <f aca="false">TEXT(D4225,"dddd")</f>
        <v>Saturday</v>
      </c>
      <c r="F4225" s="2" t="s">
        <v>457</v>
      </c>
      <c r="G4225" s="2" t="s">
        <v>458</v>
      </c>
      <c r="H4225" s="2" t="s">
        <v>459</v>
      </c>
      <c r="I4225" s="2" t="n">
        <f aca="false">IF(F4225="Present",9,IF(F4225="Half Day",4,0))</f>
        <v>9</v>
      </c>
      <c r="J4225" s="2"/>
      <c r="K4225" s="2"/>
    </row>
    <row r="4226" customFormat="false" ht="15" hidden="false" customHeight="false" outlineLevel="0" collapsed="false">
      <c r="A4226" s="2" t="s">
        <v>321</v>
      </c>
      <c r="B4226" s="2" t="s">
        <v>322</v>
      </c>
      <c r="C4226" s="2" t="s">
        <v>45</v>
      </c>
      <c r="D4226" s="3" t="n">
        <v>46243</v>
      </c>
      <c r="E4226" s="2" t="str">
        <f aca="false">TEXT(D4226,"dddd")</f>
        <v>Sunday</v>
      </c>
      <c r="F4226" s="2" t="s">
        <v>460</v>
      </c>
      <c r="G4226" s="2"/>
      <c r="H4226" s="2"/>
      <c r="I4226" s="2" t="n">
        <f aca="false">IF(F4226="Present",9,IF(F4226="Half Day",4,0))</f>
        <v>0</v>
      </c>
      <c r="J4226" s="2"/>
      <c r="K4226" s="2" t="s">
        <v>460</v>
      </c>
    </row>
    <row r="4227" customFormat="false" ht="15" hidden="false" customHeight="false" outlineLevel="0" collapsed="false">
      <c r="A4227" s="2" t="s">
        <v>321</v>
      </c>
      <c r="B4227" s="2" t="s">
        <v>322</v>
      </c>
      <c r="C4227" s="2" t="s">
        <v>45</v>
      </c>
      <c r="D4227" s="3" t="n">
        <v>46244</v>
      </c>
      <c r="E4227" s="2" t="str">
        <f aca="false">TEXT(D4227,"dddd")</f>
        <v>Monday</v>
      </c>
      <c r="F4227" s="2" t="s">
        <v>457</v>
      </c>
      <c r="G4227" s="2" t="s">
        <v>458</v>
      </c>
      <c r="H4227" s="2" t="s">
        <v>459</v>
      </c>
      <c r="I4227" s="2" t="n">
        <f aca="false">IF(F4227="Present",9,IF(F4227="Half Day",4,0))</f>
        <v>9</v>
      </c>
      <c r="J4227" s="2"/>
      <c r="K4227" s="2"/>
    </row>
    <row r="4228" customFormat="false" ht="15" hidden="false" customHeight="false" outlineLevel="0" collapsed="false">
      <c r="A4228" s="2" t="s">
        <v>321</v>
      </c>
      <c r="B4228" s="2" t="s">
        <v>322</v>
      </c>
      <c r="C4228" s="2" t="s">
        <v>45</v>
      </c>
      <c r="D4228" s="3" t="n">
        <v>46245</v>
      </c>
      <c r="E4228" s="2" t="str">
        <f aca="false">TEXT(D4228,"dddd")</f>
        <v>Tuesday</v>
      </c>
      <c r="F4228" s="2" t="s">
        <v>457</v>
      </c>
      <c r="G4228" s="2" t="s">
        <v>458</v>
      </c>
      <c r="H4228" s="2" t="s">
        <v>459</v>
      </c>
      <c r="I4228" s="2" t="n">
        <f aca="false">IF(F4228="Present",9,IF(F4228="Half Day",4,0))</f>
        <v>9</v>
      </c>
      <c r="J4228" s="2"/>
      <c r="K4228" s="2"/>
    </row>
    <row r="4229" customFormat="false" ht="15" hidden="false" customHeight="false" outlineLevel="0" collapsed="false">
      <c r="A4229" s="2" t="s">
        <v>321</v>
      </c>
      <c r="B4229" s="2" t="s">
        <v>322</v>
      </c>
      <c r="C4229" s="2" t="s">
        <v>45</v>
      </c>
      <c r="D4229" s="3" t="n">
        <v>46246</v>
      </c>
      <c r="E4229" s="2" t="str">
        <f aca="false">TEXT(D4229,"dddd")</f>
        <v>Wednesday</v>
      </c>
      <c r="F4229" s="2" t="s">
        <v>457</v>
      </c>
      <c r="G4229" s="2" t="s">
        <v>458</v>
      </c>
      <c r="H4229" s="2" t="s">
        <v>459</v>
      </c>
      <c r="I4229" s="2" t="n">
        <f aca="false">IF(F4229="Present",9,IF(F4229="Half Day",4,0))</f>
        <v>9</v>
      </c>
      <c r="J4229" s="2"/>
      <c r="K4229" s="2"/>
    </row>
    <row r="4230" customFormat="false" ht="15" hidden="false" customHeight="false" outlineLevel="0" collapsed="false">
      <c r="A4230" s="2" t="s">
        <v>321</v>
      </c>
      <c r="B4230" s="2" t="s">
        <v>322</v>
      </c>
      <c r="C4230" s="2" t="s">
        <v>45</v>
      </c>
      <c r="D4230" s="3" t="n">
        <v>46247</v>
      </c>
      <c r="E4230" s="2" t="str">
        <f aca="false">TEXT(D4230,"dddd")</f>
        <v>Thursday</v>
      </c>
      <c r="F4230" s="2" t="s">
        <v>457</v>
      </c>
      <c r="G4230" s="2" t="s">
        <v>458</v>
      </c>
      <c r="H4230" s="2" t="s">
        <v>459</v>
      </c>
      <c r="I4230" s="2" t="n">
        <f aca="false">IF(F4230="Present",9,IF(F4230="Half Day",4,0))</f>
        <v>9</v>
      </c>
      <c r="J4230" s="2"/>
      <c r="K4230" s="2"/>
    </row>
    <row r="4231" customFormat="false" ht="15" hidden="false" customHeight="false" outlineLevel="0" collapsed="false">
      <c r="A4231" s="2" t="s">
        <v>321</v>
      </c>
      <c r="B4231" s="2" t="s">
        <v>322</v>
      </c>
      <c r="C4231" s="2" t="s">
        <v>45</v>
      </c>
      <c r="D4231" s="3" t="n">
        <v>46248</v>
      </c>
      <c r="E4231" s="2" t="str">
        <f aca="false">TEXT(D4231,"dddd")</f>
        <v>Friday</v>
      </c>
      <c r="F4231" s="2" t="s">
        <v>466</v>
      </c>
      <c r="G4231" s="2" t="s">
        <v>458</v>
      </c>
      <c r="H4231" s="2" t="s">
        <v>467</v>
      </c>
      <c r="I4231" s="2" t="n">
        <f aca="false">IF(F4231="Present",9,IF(F4231="Half Day",4,0))</f>
        <v>4</v>
      </c>
      <c r="J4231" s="2"/>
      <c r="K4231" s="2" t="s">
        <v>466</v>
      </c>
    </row>
    <row r="4232" customFormat="false" ht="15" hidden="false" customHeight="false" outlineLevel="0" collapsed="false">
      <c r="A4232" s="2" t="s">
        <v>321</v>
      </c>
      <c r="B4232" s="2" t="s">
        <v>322</v>
      </c>
      <c r="C4232" s="2" t="s">
        <v>45</v>
      </c>
      <c r="D4232" s="3" t="n">
        <v>46249</v>
      </c>
      <c r="E4232" s="2" t="str">
        <f aca="false">TEXT(D4232,"dddd")</f>
        <v>Saturday</v>
      </c>
      <c r="F4232" s="2" t="s">
        <v>461</v>
      </c>
      <c r="G4232" s="2"/>
      <c r="H4232" s="2"/>
      <c r="I4232" s="2" t="n">
        <f aca="false">IF(F4232="Present",9,IF(F4232="Half Day",4,0))</f>
        <v>0</v>
      </c>
      <c r="J4232" s="2"/>
      <c r="K4232" s="2" t="s">
        <v>462</v>
      </c>
    </row>
    <row r="4233" customFormat="false" ht="15" hidden="false" customHeight="false" outlineLevel="0" collapsed="false">
      <c r="A4233" s="2" t="s">
        <v>321</v>
      </c>
      <c r="B4233" s="2" t="s">
        <v>322</v>
      </c>
      <c r="C4233" s="2" t="s">
        <v>45</v>
      </c>
      <c r="D4233" s="3" t="n">
        <v>46250</v>
      </c>
      <c r="E4233" s="2" t="str">
        <f aca="false">TEXT(D4233,"dddd")</f>
        <v>Sunday</v>
      </c>
      <c r="F4233" s="2" t="s">
        <v>460</v>
      </c>
      <c r="G4233" s="2"/>
      <c r="H4233" s="2"/>
      <c r="I4233" s="2" t="n">
        <f aca="false">IF(F4233="Present",9,IF(F4233="Half Day",4,0))</f>
        <v>0</v>
      </c>
      <c r="J4233" s="2"/>
      <c r="K4233" s="2" t="s">
        <v>460</v>
      </c>
    </row>
    <row r="4234" customFormat="false" ht="15" hidden="false" customHeight="false" outlineLevel="0" collapsed="false">
      <c r="A4234" s="2" t="s">
        <v>321</v>
      </c>
      <c r="B4234" s="2" t="s">
        <v>322</v>
      </c>
      <c r="C4234" s="2" t="s">
        <v>45</v>
      </c>
      <c r="D4234" s="3" t="n">
        <v>46251</v>
      </c>
      <c r="E4234" s="2" t="str">
        <f aca="false">TEXT(D4234,"dddd")</f>
        <v>Monday</v>
      </c>
      <c r="F4234" s="2" t="s">
        <v>461</v>
      </c>
      <c r="G4234" s="2"/>
      <c r="H4234" s="2"/>
      <c r="I4234" s="2" t="n">
        <f aca="false">IF(F4234="Present",9,IF(F4234="Half Day",4,0))</f>
        <v>0</v>
      </c>
      <c r="J4234" s="2"/>
      <c r="K4234" s="2" t="s">
        <v>462</v>
      </c>
    </row>
    <row r="4235" customFormat="false" ht="15" hidden="false" customHeight="false" outlineLevel="0" collapsed="false">
      <c r="A4235" s="2" t="s">
        <v>321</v>
      </c>
      <c r="B4235" s="2" t="s">
        <v>322</v>
      </c>
      <c r="C4235" s="2" t="s">
        <v>45</v>
      </c>
      <c r="D4235" s="3" t="n">
        <v>46252</v>
      </c>
      <c r="E4235" s="2" t="str">
        <f aca="false">TEXT(D4235,"dddd")</f>
        <v>Tuesday</v>
      </c>
      <c r="F4235" s="2" t="s">
        <v>461</v>
      </c>
      <c r="G4235" s="2"/>
      <c r="H4235" s="2"/>
      <c r="I4235" s="2" t="n">
        <f aca="false">IF(F4235="Present",9,IF(F4235="Half Day",4,0))</f>
        <v>0</v>
      </c>
      <c r="J4235" s="2"/>
      <c r="K4235" s="2" t="s">
        <v>462</v>
      </c>
    </row>
    <row r="4236" customFormat="false" ht="15" hidden="false" customHeight="false" outlineLevel="0" collapsed="false">
      <c r="A4236" s="2" t="s">
        <v>321</v>
      </c>
      <c r="B4236" s="2" t="s">
        <v>322</v>
      </c>
      <c r="C4236" s="2" t="s">
        <v>45</v>
      </c>
      <c r="D4236" s="3" t="n">
        <v>46253</v>
      </c>
      <c r="E4236" s="2" t="str">
        <f aca="false">TEXT(D4236,"dddd")</f>
        <v>Wednesday</v>
      </c>
      <c r="F4236" s="2" t="s">
        <v>461</v>
      </c>
      <c r="G4236" s="2"/>
      <c r="H4236" s="2"/>
      <c r="I4236" s="2" t="n">
        <f aca="false">IF(F4236="Present",9,IF(F4236="Half Day",4,0))</f>
        <v>0</v>
      </c>
      <c r="J4236" s="2"/>
      <c r="K4236" s="2" t="s">
        <v>462</v>
      </c>
    </row>
    <row r="4237" customFormat="false" ht="15" hidden="false" customHeight="false" outlineLevel="0" collapsed="false">
      <c r="A4237" s="2" t="s">
        <v>321</v>
      </c>
      <c r="B4237" s="2" t="s">
        <v>322</v>
      </c>
      <c r="C4237" s="2" t="s">
        <v>45</v>
      </c>
      <c r="D4237" s="3" t="n">
        <v>46254</v>
      </c>
      <c r="E4237" s="2" t="str">
        <f aca="false">TEXT(D4237,"dddd")</f>
        <v>Thursday</v>
      </c>
      <c r="F4237" s="2" t="s">
        <v>457</v>
      </c>
      <c r="G4237" s="2" t="s">
        <v>458</v>
      </c>
      <c r="H4237" s="2" t="s">
        <v>459</v>
      </c>
      <c r="I4237" s="2" t="n">
        <f aca="false">IF(F4237="Present",9,IF(F4237="Half Day",4,0))</f>
        <v>9</v>
      </c>
      <c r="J4237" s="2"/>
      <c r="K4237" s="2"/>
    </row>
    <row r="4238" customFormat="false" ht="15" hidden="false" customHeight="false" outlineLevel="0" collapsed="false">
      <c r="A4238" s="2" t="s">
        <v>321</v>
      </c>
      <c r="B4238" s="2" t="s">
        <v>322</v>
      </c>
      <c r="C4238" s="2" t="s">
        <v>45</v>
      </c>
      <c r="D4238" s="3" t="n">
        <v>46255</v>
      </c>
      <c r="E4238" s="2" t="str">
        <f aca="false">TEXT(D4238,"dddd")</f>
        <v>Friday</v>
      </c>
      <c r="F4238" s="2" t="s">
        <v>457</v>
      </c>
      <c r="G4238" s="2" t="s">
        <v>458</v>
      </c>
      <c r="H4238" s="2" t="s">
        <v>459</v>
      </c>
      <c r="I4238" s="2" t="n">
        <f aca="false">IF(F4238="Present",9,IF(F4238="Half Day",4,0))</f>
        <v>9</v>
      </c>
      <c r="J4238" s="2"/>
      <c r="K4238" s="2"/>
    </row>
    <row r="4239" customFormat="false" ht="15" hidden="false" customHeight="false" outlineLevel="0" collapsed="false">
      <c r="A4239" s="2" t="s">
        <v>321</v>
      </c>
      <c r="B4239" s="2" t="s">
        <v>322</v>
      </c>
      <c r="C4239" s="2" t="s">
        <v>45</v>
      </c>
      <c r="D4239" s="3" t="n">
        <v>46256</v>
      </c>
      <c r="E4239" s="2" t="str">
        <f aca="false">TEXT(D4239,"dddd")</f>
        <v>Saturday</v>
      </c>
      <c r="F4239" s="2" t="s">
        <v>466</v>
      </c>
      <c r="G4239" s="2" t="s">
        <v>458</v>
      </c>
      <c r="H4239" s="2" t="s">
        <v>467</v>
      </c>
      <c r="I4239" s="2" t="n">
        <f aca="false">IF(F4239="Present",9,IF(F4239="Half Day",4,0))</f>
        <v>4</v>
      </c>
      <c r="J4239" s="2"/>
      <c r="K4239" s="2" t="s">
        <v>466</v>
      </c>
    </row>
    <row r="4240" customFormat="false" ht="15" hidden="false" customHeight="false" outlineLevel="0" collapsed="false">
      <c r="A4240" s="2" t="s">
        <v>321</v>
      </c>
      <c r="B4240" s="2" t="s">
        <v>322</v>
      </c>
      <c r="C4240" s="2" t="s">
        <v>45</v>
      </c>
      <c r="D4240" s="3" t="n">
        <v>46257</v>
      </c>
      <c r="E4240" s="2" t="str">
        <f aca="false">TEXT(D4240,"dddd")</f>
        <v>Sunday</v>
      </c>
      <c r="F4240" s="2" t="s">
        <v>460</v>
      </c>
      <c r="G4240" s="2"/>
      <c r="H4240" s="2"/>
      <c r="I4240" s="2" t="n">
        <f aca="false">IF(F4240="Present",9,IF(F4240="Half Day",4,0))</f>
        <v>0</v>
      </c>
      <c r="J4240" s="2"/>
      <c r="K4240" s="2" t="s">
        <v>460</v>
      </c>
    </row>
    <row r="4241" customFormat="false" ht="15" hidden="false" customHeight="false" outlineLevel="0" collapsed="false">
      <c r="A4241" s="2" t="s">
        <v>321</v>
      </c>
      <c r="B4241" s="2" t="s">
        <v>322</v>
      </c>
      <c r="C4241" s="2" t="s">
        <v>45</v>
      </c>
      <c r="D4241" s="3" t="n">
        <v>46258</v>
      </c>
      <c r="E4241" s="2" t="str">
        <f aca="false">TEXT(D4241,"dddd")</f>
        <v>Monday</v>
      </c>
      <c r="F4241" s="2" t="s">
        <v>457</v>
      </c>
      <c r="G4241" s="2" t="s">
        <v>458</v>
      </c>
      <c r="H4241" s="2" t="s">
        <v>459</v>
      </c>
      <c r="I4241" s="2" t="n">
        <f aca="false">IF(F4241="Present",9,IF(F4241="Half Day",4,0))</f>
        <v>9</v>
      </c>
      <c r="J4241" s="2"/>
      <c r="K4241" s="2"/>
    </row>
    <row r="4242" customFormat="false" ht="15" hidden="false" customHeight="false" outlineLevel="0" collapsed="false">
      <c r="A4242" s="2" t="s">
        <v>321</v>
      </c>
      <c r="B4242" s="2" t="s">
        <v>322</v>
      </c>
      <c r="C4242" s="2" t="s">
        <v>45</v>
      </c>
      <c r="D4242" s="3" t="n">
        <v>46259</v>
      </c>
      <c r="E4242" s="2" t="str">
        <f aca="false">TEXT(D4242,"dddd")</f>
        <v>Tuesday</v>
      </c>
      <c r="F4242" s="2" t="s">
        <v>457</v>
      </c>
      <c r="G4242" s="2" t="s">
        <v>458</v>
      </c>
      <c r="H4242" s="2" t="s">
        <v>459</v>
      </c>
      <c r="I4242" s="2" t="n">
        <f aca="false">IF(F4242="Present",9,IF(F4242="Half Day",4,0))</f>
        <v>9</v>
      </c>
      <c r="J4242" s="2"/>
      <c r="K4242" s="2"/>
    </row>
    <row r="4243" customFormat="false" ht="15" hidden="false" customHeight="false" outlineLevel="0" collapsed="false">
      <c r="A4243" s="2" t="s">
        <v>321</v>
      </c>
      <c r="B4243" s="2" t="s">
        <v>322</v>
      </c>
      <c r="C4243" s="2" t="s">
        <v>45</v>
      </c>
      <c r="D4243" s="3" t="n">
        <v>46260</v>
      </c>
      <c r="E4243" s="2" t="str">
        <f aca="false">TEXT(D4243,"dddd")</f>
        <v>Wednesday</v>
      </c>
      <c r="F4243" s="2" t="s">
        <v>457</v>
      </c>
      <c r="G4243" s="2" t="s">
        <v>458</v>
      </c>
      <c r="H4243" s="2" t="s">
        <v>459</v>
      </c>
      <c r="I4243" s="2" t="n">
        <f aca="false">IF(F4243="Present",9,IF(F4243="Half Day",4,0))</f>
        <v>9</v>
      </c>
      <c r="J4243" s="2"/>
      <c r="K4243" s="2"/>
    </row>
    <row r="4244" customFormat="false" ht="15" hidden="false" customHeight="false" outlineLevel="0" collapsed="false">
      <c r="A4244" s="2" t="s">
        <v>321</v>
      </c>
      <c r="B4244" s="2" t="s">
        <v>322</v>
      </c>
      <c r="C4244" s="2" t="s">
        <v>45</v>
      </c>
      <c r="D4244" s="3" t="n">
        <v>46261</v>
      </c>
      <c r="E4244" s="2" t="str">
        <f aca="false">TEXT(D4244,"dddd")</f>
        <v>Thursday</v>
      </c>
      <c r="F4244" s="2" t="s">
        <v>457</v>
      </c>
      <c r="G4244" s="2" t="s">
        <v>458</v>
      </c>
      <c r="H4244" s="2" t="s">
        <v>459</v>
      </c>
      <c r="I4244" s="2" t="n">
        <f aca="false">IF(F4244="Present",9,IF(F4244="Half Day",4,0))</f>
        <v>9</v>
      </c>
      <c r="J4244" s="2"/>
      <c r="K4244" s="2"/>
    </row>
    <row r="4245" customFormat="false" ht="15" hidden="false" customHeight="false" outlineLevel="0" collapsed="false">
      <c r="A4245" s="2" t="s">
        <v>321</v>
      </c>
      <c r="B4245" s="2" t="s">
        <v>322</v>
      </c>
      <c r="C4245" s="2" t="s">
        <v>45</v>
      </c>
      <c r="D4245" s="3" t="n">
        <v>46262</v>
      </c>
      <c r="E4245" s="2" t="str">
        <f aca="false">TEXT(D4245,"dddd")</f>
        <v>Friday</v>
      </c>
      <c r="F4245" s="2" t="s">
        <v>457</v>
      </c>
      <c r="G4245" s="2" t="s">
        <v>458</v>
      </c>
      <c r="H4245" s="2" t="s">
        <v>459</v>
      </c>
      <c r="I4245" s="2" t="n">
        <f aca="false">IF(F4245="Present",9,IF(F4245="Half Day",4,0))</f>
        <v>9</v>
      </c>
      <c r="J4245" s="2"/>
      <c r="K4245" s="2"/>
    </row>
    <row r="4246" customFormat="false" ht="15" hidden="false" customHeight="false" outlineLevel="0" collapsed="false">
      <c r="A4246" s="2" t="s">
        <v>321</v>
      </c>
      <c r="B4246" s="2" t="s">
        <v>322</v>
      </c>
      <c r="C4246" s="2" t="s">
        <v>45</v>
      </c>
      <c r="D4246" s="3" t="n">
        <v>46263</v>
      </c>
      <c r="E4246" s="2" t="str">
        <f aca="false">TEXT(D4246,"dddd")</f>
        <v>Saturday</v>
      </c>
      <c r="F4246" s="2" t="s">
        <v>457</v>
      </c>
      <c r="G4246" s="2" t="s">
        <v>458</v>
      </c>
      <c r="H4246" s="2" t="s">
        <v>459</v>
      </c>
      <c r="I4246" s="2" t="n">
        <f aca="false">IF(F4246="Present",9,IF(F4246="Half Day",4,0))</f>
        <v>9</v>
      </c>
      <c r="J4246" s="2"/>
      <c r="K4246" s="2"/>
    </row>
    <row r="4247" customFormat="false" ht="15" hidden="false" customHeight="false" outlineLevel="0" collapsed="false">
      <c r="A4247" s="2" t="s">
        <v>321</v>
      </c>
      <c r="B4247" s="2" t="s">
        <v>322</v>
      </c>
      <c r="C4247" s="2" t="s">
        <v>45</v>
      </c>
      <c r="D4247" s="3" t="n">
        <v>46264</v>
      </c>
      <c r="E4247" s="2" t="str">
        <f aca="false">TEXT(D4247,"dddd")</f>
        <v>Sunday</v>
      </c>
      <c r="F4247" s="2" t="s">
        <v>460</v>
      </c>
      <c r="G4247" s="2"/>
      <c r="H4247" s="2"/>
      <c r="I4247" s="2" t="n">
        <f aca="false">IF(F4247="Present",9,IF(F4247="Half Day",4,0))</f>
        <v>0</v>
      </c>
      <c r="J4247" s="2"/>
      <c r="K4247" s="2" t="s">
        <v>460</v>
      </c>
    </row>
    <row r="4248" customFormat="false" ht="15" hidden="false" customHeight="false" outlineLevel="0" collapsed="false">
      <c r="A4248" s="2" t="s">
        <v>321</v>
      </c>
      <c r="B4248" s="2" t="s">
        <v>322</v>
      </c>
      <c r="C4248" s="2" t="s">
        <v>45</v>
      </c>
      <c r="D4248" s="3" t="n">
        <v>46265</v>
      </c>
      <c r="E4248" s="2" t="str">
        <f aca="false">TEXT(D4248,"dddd")</f>
        <v>Monday</v>
      </c>
      <c r="F4248" s="2" t="s">
        <v>457</v>
      </c>
      <c r="G4248" s="2" t="s">
        <v>458</v>
      </c>
      <c r="H4248" s="2" t="s">
        <v>459</v>
      </c>
      <c r="I4248" s="2" t="n">
        <f aca="false">IF(F4248="Present",9,IF(F4248="Half Day",4,0))</f>
        <v>9</v>
      </c>
      <c r="J4248" s="2"/>
      <c r="K4248" s="2"/>
    </row>
    <row r="4249" customFormat="false" ht="15" hidden="false" customHeight="false" outlineLevel="0" collapsed="false">
      <c r="A4249" s="2" t="s">
        <v>323</v>
      </c>
      <c r="B4249" s="2" t="s">
        <v>324</v>
      </c>
      <c r="C4249" s="2" t="s">
        <v>49</v>
      </c>
      <c r="D4249" s="3" t="n">
        <v>46235</v>
      </c>
      <c r="E4249" s="2" t="str">
        <f aca="false">TEXT(D4249,"dddd")</f>
        <v>Saturday</v>
      </c>
      <c r="F4249" s="2" t="s">
        <v>457</v>
      </c>
      <c r="G4249" s="2" t="s">
        <v>458</v>
      </c>
      <c r="H4249" s="2" t="s">
        <v>459</v>
      </c>
      <c r="I4249" s="2" t="n">
        <f aca="false">IF(F4249="Present",9,IF(F4249="Half Day",4,0))</f>
        <v>9</v>
      </c>
      <c r="J4249" s="2"/>
      <c r="K4249" s="2"/>
    </row>
    <row r="4250" customFormat="false" ht="15" hidden="false" customHeight="false" outlineLevel="0" collapsed="false">
      <c r="A4250" s="2" t="s">
        <v>323</v>
      </c>
      <c r="B4250" s="2" t="s">
        <v>324</v>
      </c>
      <c r="C4250" s="2" t="s">
        <v>49</v>
      </c>
      <c r="D4250" s="3" t="n">
        <v>46236</v>
      </c>
      <c r="E4250" s="2" t="str">
        <f aca="false">TEXT(D4250,"dddd")</f>
        <v>Sunday</v>
      </c>
      <c r="F4250" s="2" t="s">
        <v>460</v>
      </c>
      <c r="G4250" s="2"/>
      <c r="H4250" s="2"/>
      <c r="I4250" s="2" t="n">
        <f aca="false">IF(F4250="Present",9,IF(F4250="Half Day",4,0))</f>
        <v>0</v>
      </c>
      <c r="J4250" s="2"/>
      <c r="K4250" s="2" t="s">
        <v>460</v>
      </c>
    </row>
    <row r="4251" customFormat="false" ht="15" hidden="false" customHeight="false" outlineLevel="0" collapsed="false">
      <c r="A4251" s="2" t="s">
        <v>323</v>
      </c>
      <c r="B4251" s="2" t="s">
        <v>324</v>
      </c>
      <c r="C4251" s="2" t="s">
        <v>49</v>
      </c>
      <c r="D4251" s="3" t="n">
        <v>46237</v>
      </c>
      <c r="E4251" s="2" t="str">
        <f aca="false">TEXT(D4251,"dddd")</f>
        <v>Monday</v>
      </c>
      <c r="F4251" s="2" t="s">
        <v>466</v>
      </c>
      <c r="G4251" s="2" t="s">
        <v>458</v>
      </c>
      <c r="H4251" s="2" t="s">
        <v>467</v>
      </c>
      <c r="I4251" s="2" t="n">
        <f aca="false">IF(F4251="Present",9,IF(F4251="Half Day",4,0))</f>
        <v>4</v>
      </c>
      <c r="J4251" s="2"/>
      <c r="K4251" s="2" t="s">
        <v>466</v>
      </c>
    </row>
    <row r="4252" customFormat="false" ht="15" hidden="false" customHeight="false" outlineLevel="0" collapsed="false">
      <c r="A4252" s="2" t="s">
        <v>323</v>
      </c>
      <c r="B4252" s="2" t="s">
        <v>324</v>
      </c>
      <c r="C4252" s="2" t="s">
        <v>49</v>
      </c>
      <c r="D4252" s="3" t="n">
        <v>46238</v>
      </c>
      <c r="E4252" s="2" t="str">
        <f aca="false">TEXT(D4252,"dddd")</f>
        <v>Tuesday</v>
      </c>
      <c r="F4252" s="2" t="s">
        <v>461</v>
      </c>
      <c r="G4252" s="2"/>
      <c r="H4252" s="2"/>
      <c r="I4252" s="2" t="n">
        <f aca="false">IF(F4252="Present",9,IF(F4252="Half Day",4,0))</f>
        <v>0</v>
      </c>
      <c r="J4252" s="2"/>
      <c r="K4252" s="2" t="s">
        <v>462</v>
      </c>
    </row>
    <row r="4253" customFormat="false" ht="15" hidden="false" customHeight="false" outlineLevel="0" collapsed="false">
      <c r="A4253" s="2" t="s">
        <v>323</v>
      </c>
      <c r="B4253" s="2" t="s">
        <v>324</v>
      </c>
      <c r="C4253" s="2" t="s">
        <v>49</v>
      </c>
      <c r="D4253" s="3" t="n">
        <v>46239</v>
      </c>
      <c r="E4253" s="2" t="str">
        <f aca="false">TEXT(D4253,"dddd")</f>
        <v>Wednesday</v>
      </c>
      <c r="F4253" s="2" t="s">
        <v>457</v>
      </c>
      <c r="G4253" s="2" t="s">
        <v>458</v>
      </c>
      <c r="H4253" s="2" t="s">
        <v>459</v>
      </c>
      <c r="I4253" s="2" t="n">
        <f aca="false">IF(F4253="Present",9,IF(F4253="Half Day",4,0))</f>
        <v>9</v>
      </c>
      <c r="J4253" s="2"/>
      <c r="K4253" s="2"/>
    </row>
    <row r="4254" customFormat="false" ht="15" hidden="false" customHeight="false" outlineLevel="0" collapsed="false">
      <c r="A4254" s="2" t="s">
        <v>323</v>
      </c>
      <c r="B4254" s="2" t="s">
        <v>324</v>
      </c>
      <c r="C4254" s="2" t="s">
        <v>49</v>
      </c>
      <c r="D4254" s="3" t="n">
        <v>46240</v>
      </c>
      <c r="E4254" s="2" t="str">
        <f aca="false">TEXT(D4254,"dddd")</f>
        <v>Thursday</v>
      </c>
      <c r="F4254" s="2" t="s">
        <v>457</v>
      </c>
      <c r="G4254" s="2" t="s">
        <v>458</v>
      </c>
      <c r="H4254" s="2" t="s">
        <v>459</v>
      </c>
      <c r="I4254" s="2" t="n">
        <f aca="false">IF(F4254="Present",9,IF(F4254="Half Day",4,0))</f>
        <v>9</v>
      </c>
      <c r="J4254" s="2"/>
      <c r="K4254" s="2"/>
    </row>
    <row r="4255" customFormat="false" ht="15" hidden="false" customHeight="false" outlineLevel="0" collapsed="false">
      <c r="A4255" s="2" t="s">
        <v>323</v>
      </c>
      <c r="B4255" s="2" t="s">
        <v>324</v>
      </c>
      <c r="C4255" s="2" t="s">
        <v>49</v>
      </c>
      <c r="D4255" s="3" t="n">
        <v>46241</v>
      </c>
      <c r="E4255" s="2" t="str">
        <f aca="false">TEXT(D4255,"dddd")</f>
        <v>Friday</v>
      </c>
      <c r="F4255" s="2" t="s">
        <v>461</v>
      </c>
      <c r="G4255" s="2"/>
      <c r="H4255" s="2"/>
      <c r="I4255" s="2" t="n">
        <f aca="false">IF(F4255="Present",9,IF(F4255="Half Day",4,0))</f>
        <v>0</v>
      </c>
      <c r="J4255" s="2"/>
      <c r="K4255" s="2" t="s">
        <v>462</v>
      </c>
    </row>
    <row r="4256" customFormat="false" ht="15" hidden="false" customHeight="false" outlineLevel="0" collapsed="false">
      <c r="A4256" s="2" t="s">
        <v>323</v>
      </c>
      <c r="B4256" s="2" t="s">
        <v>324</v>
      </c>
      <c r="C4256" s="2" t="s">
        <v>49</v>
      </c>
      <c r="D4256" s="3" t="n">
        <v>46242</v>
      </c>
      <c r="E4256" s="2" t="str">
        <f aca="false">TEXT(D4256,"dddd")</f>
        <v>Saturday</v>
      </c>
      <c r="F4256" s="2" t="s">
        <v>457</v>
      </c>
      <c r="G4256" s="2" t="s">
        <v>458</v>
      </c>
      <c r="H4256" s="2" t="s">
        <v>459</v>
      </c>
      <c r="I4256" s="2" t="n">
        <f aca="false">IF(F4256="Present",9,IF(F4256="Half Day",4,0))</f>
        <v>9</v>
      </c>
      <c r="J4256" s="2"/>
      <c r="K4256" s="2"/>
    </row>
    <row r="4257" customFormat="false" ht="15" hidden="false" customHeight="false" outlineLevel="0" collapsed="false">
      <c r="A4257" s="2" t="s">
        <v>323</v>
      </c>
      <c r="B4257" s="2" t="s">
        <v>324</v>
      </c>
      <c r="C4257" s="2" t="s">
        <v>49</v>
      </c>
      <c r="D4257" s="3" t="n">
        <v>46243</v>
      </c>
      <c r="E4257" s="2" t="str">
        <f aca="false">TEXT(D4257,"dddd")</f>
        <v>Sunday</v>
      </c>
      <c r="F4257" s="2" t="s">
        <v>460</v>
      </c>
      <c r="G4257" s="2"/>
      <c r="H4257" s="2"/>
      <c r="I4257" s="2" t="n">
        <f aca="false">IF(F4257="Present",9,IF(F4257="Half Day",4,0))</f>
        <v>0</v>
      </c>
      <c r="J4257" s="2"/>
      <c r="K4257" s="2" t="s">
        <v>460</v>
      </c>
    </row>
    <row r="4258" customFormat="false" ht="15" hidden="false" customHeight="false" outlineLevel="0" collapsed="false">
      <c r="A4258" s="2" t="s">
        <v>323</v>
      </c>
      <c r="B4258" s="2" t="s">
        <v>324</v>
      </c>
      <c r="C4258" s="2" t="s">
        <v>49</v>
      </c>
      <c r="D4258" s="3" t="n">
        <v>46244</v>
      </c>
      <c r="E4258" s="2" t="str">
        <f aca="false">TEXT(D4258,"dddd")</f>
        <v>Monday</v>
      </c>
      <c r="F4258" s="2" t="s">
        <v>457</v>
      </c>
      <c r="G4258" s="2" t="s">
        <v>458</v>
      </c>
      <c r="H4258" s="2" t="s">
        <v>459</v>
      </c>
      <c r="I4258" s="2" t="n">
        <f aca="false">IF(F4258="Present",9,IF(F4258="Half Day",4,0))</f>
        <v>9</v>
      </c>
      <c r="J4258" s="2"/>
      <c r="K4258" s="2"/>
    </row>
    <row r="4259" customFormat="false" ht="15" hidden="false" customHeight="false" outlineLevel="0" collapsed="false">
      <c r="A4259" s="2" t="s">
        <v>323</v>
      </c>
      <c r="B4259" s="2" t="s">
        <v>324</v>
      </c>
      <c r="C4259" s="2" t="s">
        <v>49</v>
      </c>
      <c r="D4259" s="3" t="n">
        <v>46245</v>
      </c>
      <c r="E4259" s="2" t="str">
        <f aca="false">TEXT(D4259,"dddd")</f>
        <v>Tuesday</v>
      </c>
      <c r="F4259" s="2" t="s">
        <v>457</v>
      </c>
      <c r="G4259" s="2" t="s">
        <v>458</v>
      </c>
      <c r="H4259" s="2" t="s">
        <v>459</v>
      </c>
      <c r="I4259" s="2" t="n">
        <f aca="false">IF(F4259="Present",9,IF(F4259="Half Day",4,0))</f>
        <v>9</v>
      </c>
      <c r="J4259" s="2"/>
      <c r="K4259" s="2"/>
    </row>
    <row r="4260" customFormat="false" ht="15" hidden="false" customHeight="false" outlineLevel="0" collapsed="false">
      <c r="A4260" s="2" t="s">
        <v>323</v>
      </c>
      <c r="B4260" s="2" t="s">
        <v>324</v>
      </c>
      <c r="C4260" s="2" t="s">
        <v>49</v>
      </c>
      <c r="D4260" s="3" t="n">
        <v>46246</v>
      </c>
      <c r="E4260" s="2" t="str">
        <f aca="false">TEXT(D4260,"dddd")</f>
        <v>Wednesday</v>
      </c>
      <c r="F4260" s="2" t="s">
        <v>457</v>
      </c>
      <c r="G4260" s="2" t="s">
        <v>458</v>
      </c>
      <c r="H4260" s="2" t="s">
        <v>459</v>
      </c>
      <c r="I4260" s="2" t="n">
        <f aca="false">IF(F4260="Present",9,IF(F4260="Half Day",4,0))</f>
        <v>9</v>
      </c>
      <c r="J4260" s="2"/>
      <c r="K4260" s="2"/>
    </row>
    <row r="4261" customFormat="false" ht="15" hidden="false" customHeight="false" outlineLevel="0" collapsed="false">
      <c r="A4261" s="2" t="s">
        <v>323</v>
      </c>
      <c r="B4261" s="2" t="s">
        <v>324</v>
      </c>
      <c r="C4261" s="2" t="s">
        <v>49</v>
      </c>
      <c r="D4261" s="3" t="n">
        <v>46247</v>
      </c>
      <c r="E4261" s="2" t="str">
        <f aca="false">TEXT(D4261,"dddd")</f>
        <v>Thursday</v>
      </c>
      <c r="F4261" s="2" t="s">
        <v>457</v>
      </c>
      <c r="G4261" s="2" t="s">
        <v>458</v>
      </c>
      <c r="H4261" s="2" t="s">
        <v>459</v>
      </c>
      <c r="I4261" s="2" t="n">
        <f aca="false">IF(F4261="Present",9,IF(F4261="Half Day",4,0))</f>
        <v>9</v>
      </c>
      <c r="J4261" s="2"/>
      <c r="K4261" s="2"/>
    </row>
    <row r="4262" customFormat="false" ht="15" hidden="false" customHeight="false" outlineLevel="0" collapsed="false">
      <c r="A4262" s="2" t="s">
        <v>323</v>
      </c>
      <c r="B4262" s="2" t="s">
        <v>324</v>
      </c>
      <c r="C4262" s="2" t="s">
        <v>49</v>
      </c>
      <c r="D4262" s="3" t="n">
        <v>46248</v>
      </c>
      <c r="E4262" s="2" t="str">
        <f aca="false">TEXT(D4262,"dddd")</f>
        <v>Friday</v>
      </c>
      <c r="F4262" s="2" t="s">
        <v>457</v>
      </c>
      <c r="G4262" s="2" t="s">
        <v>458</v>
      </c>
      <c r="H4262" s="2" t="s">
        <v>459</v>
      </c>
      <c r="I4262" s="2" t="n">
        <f aca="false">IF(F4262="Present",9,IF(F4262="Half Day",4,0))</f>
        <v>9</v>
      </c>
      <c r="J4262" s="2"/>
      <c r="K4262" s="2"/>
    </row>
    <row r="4263" customFormat="false" ht="15" hidden="false" customHeight="false" outlineLevel="0" collapsed="false">
      <c r="A4263" s="2" t="s">
        <v>323</v>
      </c>
      <c r="B4263" s="2" t="s">
        <v>324</v>
      </c>
      <c r="C4263" s="2" t="s">
        <v>49</v>
      </c>
      <c r="D4263" s="3" t="n">
        <v>46249</v>
      </c>
      <c r="E4263" s="2" t="str">
        <f aca="false">TEXT(D4263,"dddd")</f>
        <v>Saturday</v>
      </c>
      <c r="F4263" s="2" t="s">
        <v>463</v>
      </c>
      <c r="G4263" s="2"/>
      <c r="H4263" s="2"/>
      <c r="I4263" s="2" t="n">
        <f aca="false">IF(F4263="Present",9,IF(F4263="Half Day",4,0))</f>
        <v>0</v>
      </c>
      <c r="J4263" s="2" t="s">
        <v>470</v>
      </c>
      <c r="K4263" s="2" t="s">
        <v>471</v>
      </c>
    </row>
    <row r="4264" customFormat="false" ht="15" hidden="false" customHeight="false" outlineLevel="0" collapsed="false">
      <c r="A4264" s="2" t="s">
        <v>323</v>
      </c>
      <c r="B4264" s="2" t="s">
        <v>324</v>
      </c>
      <c r="C4264" s="2" t="s">
        <v>49</v>
      </c>
      <c r="D4264" s="3" t="n">
        <v>46250</v>
      </c>
      <c r="E4264" s="2" t="str">
        <f aca="false">TEXT(D4264,"dddd")</f>
        <v>Sunday</v>
      </c>
      <c r="F4264" s="2" t="s">
        <v>460</v>
      </c>
      <c r="G4264" s="2"/>
      <c r="H4264" s="2"/>
      <c r="I4264" s="2" t="n">
        <f aca="false">IF(F4264="Present",9,IF(F4264="Half Day",4,0))</f>
        <v>0</v>
      </c>
      <c r="J4264" s="2"/>
      <c r="K4264" s="2" t="s">
        <v>460</v>
      </c>
    </row>
    <row r="4265" customFormat="false" ht="15" hidden="false" customHeight="false" outlineLevel="0" collapsed="false">
      <c r="A4265" s="2" t="s">
        <v>323</v>
      </c>
      <c r="B4265" s="2" t="s">
        <v>324</v>
      </c>
      <c r="C4265" s="2" t="s">
        <v>49</v>
      </c>
      <c r="D4265" s="3" t="n">
        <v>46251</v>
      </c>
      <c r="E4265" s="2" t="str">
        <f aca="false">TEXT(D4265,"dddd")</f>
        <v>Monday</v>
      </c>
      <c r="F4265" s="2" t="s">
        <v>457</v>
      </c>
      <c r="G4265" s="2" t="s">
        <v>458</v>
      </c>
      <c r="H4265" s="2" t="s">
        <v>459</v>
      </c>
      <c r="I4265" s="2" t="n">
        <f aca="false">IF(F4265="Present",9,IF(F4265="Half Day",4,0))</f>
        <v>9</v>
      </c>
      <c r="J4265" s="2"/>
      <c r="K4265" s="2"/>
    </row>
    <row r="4266" customFormat="false" ht="15" hidden="false" customHeight="false" outlineLevel="0" collapsed="false">
      <c r="A4266" s="2" t="s">
        <v>323</v>
      </c>
      <c r="B4266" s="2" t="s">
        <v>324</v>
      </c>
      <c r="C4266" s="2" t="s">
        <v>49</v>
      </c>
      <c r="D4266" s="3" t="n">
        <v>46252</v>
      </c>
      <c r="E4266" s="2" t="str">
        <f aca="false">TEXT(D4266,"dddd")</f>
        <v>Tuesday</v>
      </c>
      <c r="F4266" s="2" t="s">
        <v>461</v>
      </c>
      <c r="G4266" s="2"/>
      <c r="H4266" s="2"/>
      <c r="I4266" s="2" t="n">
        <f aca="false">IF(F4266="Present",9,IF(F4266="Half Day",4,0))</f>
        <v>0</v>
      </c>
      <c r="J4266" s="2"/>
      <c r="K4266" s="2" t="s">
        <v>462</v>
      </c>
    </row>
    <row r="4267" customFormat="false" ht="15" hidden="false" customHeight="false" outlineLevel="0" collapsed="false">
      <c r="A4267" s="2" t="s">
        <v>323</v>
      </c>
      <c r="B4267" s="2" t="s">
        <v>324</v>
      </c>
      <c r="C4267" s="2" t="s">
        <v>49</v>
      </c>
      <c r="D4267" s="3" t="n">
        <v>46253</v>
      </c>
      <c r="E4267" s="2" t="str">
        <f aca="false">TEXT(D4267,"dddd")</f>
        <v>Wednesday</v>
      </c>
      <c r="F4267" s="2" t="s">
        <v>457</v>
      </c>
      <c r="G4267" s="2" t="s">
        <v>458</v>
      </c>
      <c r="H4267" s="2" t="s">
        <v>459</v>
      </c>
      <c r="I4267" s="2" t="n">
        <f aca="false">IF(F4267="Present",9,IF(F4267="Half Day",4,0))</f>
        <v>9</v>
      </c>
      <c r="J4267" s="2"/>
      <c r="K4267" s="2"/>
    </row>
    <row r="4268" customFormat="false" ht="15" hidden="false" customHeight="false" outlineLevel="0" collapsed="false">
      <c r="A4268" s="2" t="s">
        <v>323</v>
      </c>
      <c r="B4268" s="2" t="s">
        <v>324</v>
      </c>
      <c r="C4268" s="2" t="s">
        <v>49</v>
      </c>
      <c r="D4268" s="3" t="n">
        <v>46254</v>
      </c>
      <c r="E4268" s="2" t="str">
        <f aca="false">TEXT(D4268,"dddd")</f>
        <v>Thursday</v>
      </c>
      <c r="F4268" s="2" t="s">
        <v>457</v>
      </c>
      <c r="G4268" s="2" t="s">
        <v>458</v>
      </c>
      <c r="H4268" s="2" t="s">
        <v>459</v>
      </c>
      <c r="I4268" s="2" t="n">
        <f aca="false">IF(F4268="Present",9,IF(F4268="Half Day",4,0))</f>
        <v>9</v>
      </c>
      <c r="J4268" s="2"/>
      <c r="K4268" s="2"/>
    </row>
    <row r="4269" customFormat="false" ht="15" hidden="false" customHeight="false" outlineLevel="0" collapsed="false">
      <c r="A4269" s="2" t="s">
        <v>323</v>
      </c>
      <c r="B4269" s="2" t="s">
        <v>324</v>
      </c>
      <c r="C4269" s="2" t="s">
        <v>49</v>
      </c>
      <c r="D4269" s="3" t="n">
        <v>46255</v>
      </c>
      <c r="E4269" s="2" t="str">
        <f aca="false">TEXT(D4269,"dddd")</f>
        <v>Friday</v>
      </c>
      <c r="F4269" s="2" t="s">
        <v>457</v>
      </c>
      <c r="G4269" s="2" t="s">
        <v>458</v>
      </c>
      <c r="H4269" s="2" t="s">
        <v>459</v>
      </c>
      <c r="I4269" s="2" t="n">
        <f aca="false">IF(F4269="Present",9,IF(F4269="Half Day",4,0))</f>
        <v>9</v>
      </c>
      <c r="J4269" s="2"/>
      <c r="K4269" s="2"/>
    </row>
    <row r="4270" customFormat="false" ht="15" hidden="false" customHeight="false" outlineLevel="0" collapsed="false">
      <c r="A4270" s="2" t="s">
        <v>323</v>
      </c>
      <c r="B4270" s="2" t="s">
        <v>324</v>
      </c>
      <c r="C4270" s="2" t="s">
        <v>49</v>
      </c>
      <c r="D4270" s="3" t="n">
        <v>46256</v>
      </c>
      <c r="E4270" s="2" t="str">
        <f aca="false">TEXT(D4270,"dddd")</f>
        <v>Saturday</v>
      </c>
      <c r="F4270" s="2" t="s">
        <v>457</v>
      </c>
      <c r="G4270" s="2" t="s">
        <v>458</v>
      </c>
      <c r="H4270" s="2" t="s">
        <v>459</v>
      </c>
      <c r="I4270" s="2" t="n">
        <f aca="false">IF(F4270="Present",9,IF(F4270="Half Day",4,0))</f>
        <v>9</v>
      </c>
      <c r="J4270" s="2"/>
      <c r="K4270" s="2"/>
    </row>
    <row r="4271" customFormat="false" ht="15" hidden="false" customHeight="false" outlineLevel="0" collapsed="false">
      <c r="A4271" s="2" t="s">
        <v>323</v>
      </c>
      <c r="B4271" s="2" t="s">
        <v>324</v>
      </c>
      <c r="C4271" s="2" t="s">
        <v>49</v>
      </c>
      <c r="D4271" s="3" t="n">
        <v>46257</v>
      </c>
      <c r="E4271" s="2" t="str">
        <f aca="false">TEXT(D4271,"dddd")</f>
        <v>Sunday</v>
      </c>
      <c r="F4271" s="2" t="s">
        <v>460</v>
      </c>
      <c r="G4271" s="2"/>
      <c r="H4271" s="2"/>
      <c r="I4271" s="2" t="n">
        <f aca="false">IF(F4271="Present",9,IF(F4271="Half Day",4,0))</f>
        <v>0</v>
      </c>
      <c r="J4271" s="2"/>
      <c r="K4271" s="2" t="s">
        <v>460</v>
      </c>
    </row>
    <row r="4272" customFormat="false" ht="15" hidden="false" customHeight="false" outlineLevel="0" collapsed="false">
      <c r="A4272" s="2" t="s">
        <v>323</v>
      </c>
      <c r="B4272" s="2" t="s">
        <v>324</v>
      </c>
      <c r="C4272" s="2" t="s">
        <v>49</v>
      </c>
      <c r="D4272" s="3" t="n">
        <v>46258</v>
      </c>
      <c r="E4272" s="2" t="str">
        <f aca="false">TEXT(D4272,"dddd")</f>
        <v>Monday</v>
      </c>
      <c r="F4272" s="2" t="s">
        <v>457</v>
      </c>
      <c r="G4272" s="2" t="s">
        <v>458</v>
      </c>
      <c r="H4272" s="2" t="s">
        <v>459</v>
      </c>
      <c r="I4272" s="2" t="n">
        <f aca="false">IF(F4272="Present",9,IF(F4272="Half Day",4,0))</f>
        <v>9</v>
      </c>
      <c r="J4272" s="2"/>
      <c r="K4272" s="2"/>
    </row>
    <row r="4273" customFormat="false" ht="15" hidden="false" customHeight="false" outlineLevel="0" collapsed="false">
      <c r="A4273" s="2" t="s">
        <v>323</v>
      </c>
      <c r="B4273" s="2" t="s">
        <v>324</v>
      </c>
      <c r="C4273" s="2" t="s">
        <v>49</v>
      </c>
      <c r="D4273" s="3" t="n">
        <v>46259</v>
      </c>
      <c r="E4273" s="2" t="str">
        <f aca="false">TEXT(D4273,"dddd")</f>
        <v>Tuesday</v>
      </c>
      <c r="F4273" s="2" t="s">
        <v>457</v>
      </c>
      <c r="G4273" s="2" t="s">
        <v>458</v>
      </c>
      <c r="H4273" s="2" t="s">
        <v>459</v>
      </c>
      <c r="I4273" s="2" t="n">
        <f aca="false">IF(F4273="Present",9,IF(F4273="Half Day",4,0))</f>
        <v>9</v>
      </c>
      <c r="J4273" s="2"/>
      <c r="K4273" s="2"/>
    </row>
    <row r="4274" customFormat="false" ht="15" hidden="false" customHeight="false" outlineLevel="0" collapsed="false">
      <c r="A4274" s="2" t="s">
        <v>323</v>
      </c>
      <c r="B4274" s="2" t="s">
        <v>324</v>
      </c>
      <c r="C4274" s="2" t="s">
        <v>49</v>
      </c>
      <c r="D4274" s="3" t="n">
        <v>46260</v>
      </c>
      <c r="E4274" s="2" t="str">
        <f aca="false">TEXT(D4274,"dddd")</f>
        <v>Wednesday</v>
      </c>
      <c r="F4274" s="2" t="s">
        <v>457</v>
      </c>
      <c r="G4274" s="2" t="s">
        <v>458</v>
      </c>
      <c r="H4274" s="2" t="s">
        <v>459</v>
      </c>
      <c r="I4274" s="2" t="n">
        <f aca="false">IF(F4274="Present",9,IF(F4274="Half Day",4,0))</f>
        <v>9</v>
      </c>
      <c r="J4274" s="2"/>
      <c r="K4274" s="2"/>
    </row>
    <row r="4275" customFormat="false" ht="15" hidden="false" customHeight="false" outlineLevel="0" collapsed="false">
      <c r="A4275" s="2" t="s">
        <v>323</v>
      </c>
      <c r="B4275" s="2" t="s">
        <v>324</v>
      </c>
      <c r="C4275" s="2" t="s">
        <v>49</v>
      </c>
      <c r="D4275" s="3" t="n">
        <v>46261</v>
      </c>
      <c r="E4275" s="2" t="str">
        <f aca="false">TEXT(D4275,"dddd")</f>
        <v>Thursday</v>
      </c>
      <c r="F4275" s="2" t="s">
        <v>457</v>
      </c>
      <c r="G4275" s="2" t="s">
        <v>458</v>
      </c>
      <c r="H4275" s="2" t="s">
        <v>459</v>
      </c>
      <c r="I4275" s="2" t="n">
        <f aca="false">IF(F4275="Present",9,IF(F4275="Half Day",4,0))</f>
        <v>9</v>
      </c>
      <c r="J4275" s="2"/>
      <c r="K4275" s="2"/>
    </row>
    <row r="4276" customFormat="false" ht="15" hidden="false" customHeight="false" outlineLevel="0" collapsed="false">
      <c r="A4276" s="2" t="s">
        <v>323</v>
      </c>
      <c r="B4276" s="2" t="s">
        <v>324</v>
      </c>
      <c r="C4276" s="2" t="s">
        <v>49</v>
      </c>
      <c r="D4276" s="3" t="n">
        <v>46262</v>
      </c>
      <c r="E4276" s="2" t="str">
        <f aca="false">TEXT(D4276,"dddd")</f>
        <v>Friday</v>
      </c>
      <c r="F4276" s="2" t="s">
        <v>457</v>
      </c>
      <c r="G4276" s="2" t="s">
        <v>458</v>
      </c>
      <c r="H4276" s="2" t="s">
        <v>459</v>
      </c>
      <c r="I4276" s="2" t="n">
        <f aca="false">IF(F4276="Present",9,IF(F4276="Half Day",4,0))</f>
        <v>9</v>
      </c>
      <c r="J4276" s="2"/>
      <c r="K4276" s="2"/>
    </row>
    <row r="4277" customFormat="false" ht="15" hidden="false" customHeight="false" outlineLevel="0" collapsed="false">
      <c r="A4277" s="2" t="s">
        <v>323</v>
      </c>
      <c r="B4277" s="2" t="s">
        <v>324</v>
      </c>
      <c r="C4277" s="2" t="s">
        <v>49</v>
      </c>
      <c r="D4277" s="3" t="n">
        <v>46263</v>
      </c>
      <c r="E4277" s="2" t="str">
        <f aca="false">TEXT(D4277,"dddd")</f>
        <v>Saturday</v>
      </c>
      <c r="F4277" s="2" t="s">
        <v>457</v>
      </c>
      <c r="G4277" s="2" t="s">
        <v>458</v>
      </c>
      <c r="H4277" s="2" t="s">
        <v>459</v>
      </c>
      <c r="I4277" s="2" t="n">
        <f aca="false">IF(F4277="Present",9,IF(F4277="Half Day",4,0))</f>
        <v>9</v>
      </c>
      <c r="J4277" s="2"/>
      <c r="K4277" s="2"/>
    </row>
    <row r="4278" customFormat="false" ht="15" hidden="false" customHeight="false" outlineLevel="0" collapsed="false">
      <c r="A4278" s="2" t="s">
        <v>323</v>
      </c>
      <c r="B4278" s="2" t="s">
        <v>324</v>
      </c>
      <c r="C4278" s="2" t="s">
        <v>49</v>
      </c>
      <c r="D4278" s="3" t="n">
        <v>46264</v>
      </c>
      <c r="E4278" s="2" t="str">
        <f aca="false">TEXT(D4278,"dddd")</f>
        <v>Sunday</v>
      </c>
      <c r="F4278" s="2" t="s">
        <v>460</v>
      </c>
      <c r="G4278" s="2"/>
      <c r="H4278" s="2"/>
      <c r="I4278" s="2" t="n">
        <f aca="false">IF(F4278="Present",9,IF(F4278="Half Day",4,0))</f>
        <v>0</v>
      </c>
      <c r="J4278" s="2"/>
      <c r="K4278" s="2" t="s">
        <v>460</v>
      </c>
    </row>
    <row r="4279" customFormat="false" ht="15" hidden="false" customHeight="false" outlineLevel="0" collapsed="false">
      <c r="A4279" s="2" t="s">
        <v>323</v>
      </c>
      <c r="B4279" s="2" t="s">
        <v>324</v>
      </c>
      <c r="C4279" s="2" t="s">
        <v>49</v>
      </c>
      <c r="D4279" s="3" t="n">
        <v>46265</v>
      </c>
      <c r="E4279" s="2" t="str">
        <f aca="false">TEXT(D4279,"dddd")</f>
        <v>Monday</v>
      </c>
      <c r="F4279" s="2" t="s">
        <v>457</v>
      </c>
      <c r="G4279" s="2" t="s">
        <v>458</v>
      </c>
      <c r="H4279" s="2" t="s">
        <v>459</v>
      </c>
      <c r="I4279" s="2" t="n">
        <f aca="false">IF(F4279="Present",9,IF(F4279="Half Day",4,0))</f>
        <v>9</v>
      </c>
      <c r="J4279" s="2"/>
      <c r="K4279" s="2"/>
    </row>
    <row r="4280" customFormat="false" ht="15" hidden="false" customHeight="false" outlineLevel="0" collapsed="false">
      <c r="A4280" s="2" t="s">
        <v>325</v>
      </c>
      <c r="B4280" s="2" t="s">
        <v>326</v>
      </c>
      <c r="C4280" s="2" t="s">
        <v>53</v>
      </c>
      <c r="D4280" s="3" t="n">
        <v>46235</v>
      </c>
      <c r="E4280" s="2" t="str">
        <f aca="false">TEXT(D4280,"dddd")</f>
        <v>Saturday</v>
      </c>
      <c r="F4280" s="2" t="s">
        <v>457</v>
      </c>
      <c r="G4280" s="2" t="s">
        <v>458</v>
      </c>
      <c r="H4280" s="2" t="s">
        <v>459</v>
      </c>
      <c r="I4280" s="2" t="n">
        <f aca="false">IF(F4280="Present",9,IF(F4280="Half Day",4,0))</f>
        <v>9</v>
      </c>
      <c r="J4280" s="2"/>
      <c r="K4280" s="2"/>
    </row>
    <row r="4281" customFormat="false" ht="15" hidden="false" customHeight="false" outlineLevel="0" collapsed="false">
      <c r="A4281" s="2" t="s">
        <v>325</v>
      </c>
      <c r="B4281" s="2" t="s">
        <v>326</v>
      </c>
      <c r="C4281" s="2" t="s">
        <v>53</v>
      </c>
      <c r="D4281" s="3" t="n">
        <v>46236</v>
      </c>
      <c r="E4281" s="2" t="str">
        <f aca="false">TEXT(D4281,"dddd")</f>
        <v>Sunday</v>
      </c>
      <c r="F4281" s="2" t="s">
        <v>460</v>
      </c>
      <c r="G4281" s="2"/>
      <c r="H4281" s="2"/>
      <c r="I4281" s="2" t="n">
        <f aca="false">IF(F4281="Present",9,IF(F4281="Half Day",4,0))</f>
        <v>0</v>
      </c>
      <c r="J4281" s="2"/>
      <c r="K4281" s="2" t="s">
        <v>460</v>
      </c>
    </row>
    <row r="4282" customFormat="false" ht="15" hidden="false" customHeight="false" outlineLevel="0" collapsed="false">
      <c r="A4282" s="2" t="s">
        <v>325</v>
      </c>
      <c r="B4282" s="2" t="s">
        <v>326</v>
      </c>
      <c r="C4282" s="2" t="s">
        <v>53</v>
      </c>
      <c r="D4282" s="3" t="n">
        <v>46237</v>
      </c>
      <c r="E4282" s="2" t="str">
        <f aca="false">TEXT(D4282,"dddd")</f>
        <v>Monday</v>
      </c>
      <c r="F4282" s="2" t="s">
        <v>457</v>
      </c>
      <c r="G4282" s="2" t="s">
        <v>458</v>
      </c>
      <c r="H4282" s="2" t="s">
        <v>459</v>
      </c>
      <c r="I4282" s="2" t="n">
        <f aca="false">IF(F4282="Present",9,IF(F4282="Half Day",4,0))</f>
        <v>9</v>
      </c>
      <c r="J4282" s="2"/>
      <c r="K4282" s="2"/>
    </row>
    <row r="4283" customFormat="false" ht="15" hidden="false" customHeight="false" outlineLevel="0" collapsed="false">
      <c r="A4283" s="2" t="s">
        <v>325</v>
      </c>
      <c r="B4283" s="2" t="s">
        <v>326</v>
      </c>
      <c r="C4283" s="2" t="s">
        <v>53</v>
      </c>
      <c r="D4283" s="3" t="n">
        <v>46238</v>
      </c>
      <c r="E4283" s="2" t="str">
        <f aca="false">TEXT(D4283,"dddd")</f>
        <v>Tuesday</v>
      </c>
      <c r="F4283" s="2" t="s">
        <v>461</v>
      </c>
      <c r="G4283" s="2"/>
      <c r="H4283" s="2"/>
      <c r="I4283" s="2" t="n">
        <f aca="false">IF(F4283="Present",9,IF(F4283="Half Day",4,0))</f>
        <v>0</v>
      </c>
      <c r="J4283" s="2"/>
      <c r="K4283" s="2" t="s">
        <v>462</v>
      </c>
    </row>
    <row r="4284" customFormat="false" ht="15" hidden="false" customHeight="false" outlineLevel="0" collapsed="false">
      <c r="A4284" s="2" t="s">
        <v>325</v>
      </c>
      <c r="B4284" s="2" t="s">
        <v>326</v>
      </c>
      <c r="C4284" s="2" t="s">
        <v>53</v>
      </c>
      <c r="D4284" s="3" t="n">
        <v>46239</v>
      </c>
      <c r="E4284" s="2" t="str">
        <f aca="false">TEXT(D4284,"dddd")</f>
        <v>Wednesday</v>
      </c>
      <c r="F4284" s="2" t="s">
        <v>461</v>
      </c>
      <c r="G4284" s="2"/>
      <c r="H4284" s="2"/>
      <c r="I4284" s="2" t="n">
        <f aca="false">IF(F4284="Present",9,IF(F4284="Half Day",4,0))</f>
        <v>0</v>
      </c>
      <c r="J4284" s="2"/>
      <c r="K4284" s="2" t="s">
        <v>462</v>
      </c>
    </row>
    <row r="4285" customFormat="false" ht="15" hidden="false" customHeight="false" outlineLevel="0" collapsed="false">
      <c r="A4285" s="2" t="s">
        <v>325</v>
      </c>
      <c r="B4285" s="2" t="s">
        <v>326</v>
      </c>
      <c r="C4285" s="2" t="s">
        <v>53</v>
      </c>
      <c r="D4285" s="3" t="n">
        <v>46240</v>
      </c>
      <c r="E4285" s="2" t="str">
        <f aca="false">TEXT(D4285,"dddd")</f>
        <v>Thursday</v>
      </c>
      <c r="F4285" s="2" t="s">
        <v>457</v>
      </c>
      <c r="G4285" s="2" t="s">
        <v>458</v>
      </c>
      <c r="H4285" s="2" t="s">
        <v>459</v>
      </c>
      <c r="I4285" s="2" t="n">
        <f aca="false">IF(F4285="Present",9,IF(F4285="Half Day",4,0))</f>
        <v>9</v>
      </c>
      <c r="J4285" s="2"/>
      <c r="K4285" s="2"/>
    </row>
    <row r="4286" customFormat="false" ht="15" hidden="false" customHeight="false" outlineLevel="0" collapsed="false">
      <c r="A4286" s="2" t="s">
        <v>325</v>
      </c>
      <c r="B4286" s="2" t="s">
        <v>326</v>
      </c>
      <c r="C4286" s="2" t="s">
        <v>53</v>
      </c>
      <c r="D4286" s="3" t="n">
        <v>46241</v>
      </c>
      <c r="E4286" s="2" t="str">
        <f aca="false">TEXT(D4286,"dddd")</f>
        <v>Friday</v>
      </c>
      <c r="F4286" s="2" t="s">
        <v>457</v>
      </c>
      <c r="G4286" s="2" t="s">
        <v>458</v>
      </c>
      <c r="H4286" s="2" t="s">
        <v>459</v>
      </c>
      <c r="I4286" s="2" t="n">
        <f aca="false">IF(F4286="Present",9,IF(F4286="Half Day",4,0))</f>
        <v>9</v>
      </c>
      <c r="J4286" s="2"/>
      <c r="K4286" s="2"/>
    </row>
    <row r="4287" customFormat="false" ht="15" hidden="false" customHeight="false" outlineLevel="0" collapsed="false">
      <c r="A4287" s="2" t="s">
        <v>325</v>
      </c>
      <c r="B4287" s="2" t="s">
        <v>326</v>
      </c>
      <c r="C4287" s="2" t="s">
        <v>53</v>
      </c>
      <c r="D4287" s="3" t="n">
        <v>46242</v>
      </c>
      <c r="E4287" s="2" t="str">
        <f aca="false">TEXT(D4287,"dddd")</f>
        <v>Saturday</v>
      </c>
      <c r="F4287" s="2" t="s">
        <v>457</v>
      </c>
      <c r="G4287" s="2" t="s">
        <v>458</v>
      </c>
      <c r="H4287" s="2" t="s">
        <v>459</v>
      </c>
      <c r="I4287" s="2" t="n">
        <f aca="false">IF(F4287="Present",9,IF(F4287="Half Day",4,0))</f>
        <v>9</v>
      </c>
      <c r="J4287" s="2"/>
      <c r="K4287" s="2"/>
    </row>
    <row r="4288" customFormat="false" ht="15" hidden="false" customHeight="false" outlineLevel="0" collapsed="false">
      <c r="A4288" s="2" t="s">
        <v>325</v>
      </c>
      <c r="B4288" s="2" t="s">
        <v>326</v>
      </c>
      <c r="C4288" s="2" t="s">
        <v>53</v>
      </c>
      <c r="D4288" s="3" t="n">
        <v>46243</v>
      </c>
      <c r="E4288" s="2" t="str">
        <f aca="false">TEXT(D4288,"dddd")</f>
        <v>Sunday</v>
      </c>
      <c r="F4288" s="2" t="s">
        <v>460</v>
      </c>
      <c r="G4288" s="2"/>
      <c r="H4288" s="2"/>
      <c r="I4288" s="2" t="n">
        <f aca="false">IF(F4288="Present",9,IF(F4288="Half Day",4,0))</f>
        <v>0</v>
      </c>
      <c r="J4288" s="2"/>
      <c r="K4288" s="2" t="s">
        <v>460</v>
      </c>
    </row>
    <row r="4289" customFormat="false" ht="15" hidden="false" customHeight="false" outlineLevel="0" collapsed="false">
      <c r="A4289" s="2" t="s">
        <v>325</v>
      </c>
      <c r="B4289" s="2" t="s">
        <v>326</v>
      </c>
      <c r="C4289" s="2" t="s">
        <v>53</v>
      </c>
      <c r="D4289" s="3" t="n">
        <v>46244</v>
      </c>
      <c r="E4289" s="2" t="str">
        <f aca="false">TEXT(D4289,"dddd")</f>
        <v>Monday</v>
      </c>
      <c r="F4289" s="2" t="s">
        <v>457</v>
      </c>
      <c r="G4289" s="2" t="s">
        <v>458</v>
      </c>
      <c r="H4289" s="2" t="s">
        <v>459</v>
      </c>
      <c r="I4289" s="2" t="n">
        <f aca="false">IF(F4289="Present",9,IF(F4289="Half Day",4,0))</f>
        <v>9</v>
      </c>
      <c r="J4289" s="2"/>
      <c r="K4289" s="2"/>
    </row>
    <row r="4290" customFormat="false" ht="15" hidden="false" customHeight="false" outlineLevel="0" collapsed="false">
      <c r="A4290" s="2" t="s">
        <v>325</v>
      </c>
      <c r="B4290" s="2" t="s">
        <v>326</v>
      </c>
      <c r="C4290" s="2" t="s">
        <v>53</v>
      </c>
      <c r="D4290" s="3" t="n">
        <v>46245</v>
      </c>
      <c r="E4290" s="2" t="str">
        <f aca="false">TEXT(D4290,"dddd")</f>
        <v>Tuesday</v>
      </c>
      <c r="F4290" s="2" t="s">
        <v>457</v>
      </c>
      <c r="G4290" s="2" t="s">
        <v>458</v>
      </c>
      <c r="H4290" s="2" t="s">
        <v>459</v>
      </c>
      <c r="I4290" s="2" t="n">
        <f aca="false">IF(F4290="Present",9,IF(F4290="Half Day",4,0))</f>
        <v>9</v>
      </c>
      <c r="J4290" s="2"/>
      <c r="K4290" s="2"/>
    </row>
    <row r="4291" customFormat="false" ht="15" hidden="false" customHeight="false" outlineLevel="0" collapsed="false">
      <c r="A4291" s="2" t="s">
        <v>325</v>
      </c>
      <c r="B4291" s="2" t="s">
        <v>326</v>
      </c>
      <c r="C4291" s="2" t="s">
        <v>53</v>
      </c>
      <c r="D4291" s="3" t="n">
        <v>46246</v>
      </c>
      <c r="E4291" s="2" t="str">
        <f aca="false">TEXT(D4291,"dddd")</f>
        <v>Wednesday</v>
      </c>
      <c r="F4291" s="2" t="s">
        <v>457</v>
      </c>
      <c r="G4291" s="2" t="s">
        <v>458</v>
      </c>
      <c r="H4291" s="2" t="s">
        <v>459</v>
      </c>
      <c r="I4291" s="2" t="n">
        <f aca="false">IF(F4291="Present",9,IF(F4291="Half Day",4,0))</f>
        <v>9</v>
      </c>
      <c r="J4291" s="2"/>
      <c r="K4291" s="2"/>
    </row>
    <row r="4292" customFormat="false" ht="15" hidden="false" customHeight="false" outlineLevel="0" collapsed="false">
      <c r="A4292" s="2" t="s">
        <v>325</v>
      </c>
      <c r="B4292" s="2" t="s">
        <v>326</v>
      </c>
      <c r="C4292" s="2" t="s">
        <v>53</v>
      </c>
      <c r="D4292" s="3" t="n">
        <v>46247</v>
      </c>
      <c r="E4292" s="2" t="str">
        <f aca="false">TEXT(D4292,"dddd")</f>
        <v>Thursday</v>
      </c>
      <c r="F4292" s="2" t="s">
        <v>457</v>
      </c>
      <c r="G4292" s="2" t="s">
        <v>458</v>
      </c>
      <c r="H4292" s="2" t="s">
        <v>459</v>
      </c>
      <c r="I4292" s="2" t="n">
        <f aca="false">IF(F4292="Present",9,IF(F4292="Half Day",4,0))</f>
        <v>9</v>
      </c>
      <c r="J4292" s="2"/>
      <c r="K4292" s="2"/>
    </row>
    <row r="4293" customFormat="false" ht="15" hidden="false" customHeight="false" outlineLevel="0" collapsed="false">
      <c r="A4293" s="2" t="s">
        <v>325</v>
      </c>
      <c r="B4293" s="2" t="s">
        <v>326</v>
      </c>
      <c r="C4293" s="2" t="s">
        <v>53</v>
      </c>
      <c r="D4293" s="3" t="n">
        <v>46248</v>
      </c>
      <c r="E4293" s="2" t="str">
        <f aca="false">TEXT(D4293,"dddd")</f>
        <v>Friday</v>
      </c>
      <c r="F4293" s="2" t="s">
        <v>457</v>
      </c>
      <c r="G4293" s="2" t="s">
        <v>458</v>
      </c>
      <c r="H4293" s="2" t="s">
        <v>459</v>
      </c>
      <c r="I4293" s="2" t="n">
        <f aca="false">IF(F4293="Present",9,IF(F4293="Half Day",4,0))</f>
        <v>9</v>
      </c>
      <c r="J4293" s="2"/>
      <c r="K4293" s="2"/>
    </row>
    <row r="4294" customFormat="false" ht="15" hidden="false" customHeight="false" outlineLevel="0" collapsed="false">
      <c r="A4294" s="2" t="s">
        <v>325</v>
      </c>
      <c r="B4294" s="2" t="s">
        <v>326</v>
      </c>
      <c r="C4294" s="2" t="s">
        <v>53</v>
      </c>
      <c r="D4294" s="3" t="n">
        <v>46249</v>
      </c>
      <c r="E4294" s="2" t="str">
        <f aca="false">TEXT(D4294,"dddd")</f>
        <v>Saturday</v>
      </c>
      <c r="F4294" s="2" t="s">
        <v>466</v>
      </c>
      <c r="G4294" s="2" t="s">
        <v>458</v>
      </c>
      <c r="H4294" s="2" t="s">
        <v>467</v>
      </c>
      <c r="I4294" s="2" t="n">
        <f aca="false">IF(F4294="Present",9,IF(F4294="Half Day",4,0))</f>
        <v>4</v>
      </c>
      <c r="J4294" s="2"/>
      <c r="K4294" s="2" t="s">
        <v>466</v>
      </c>
    </row>
    <row r="4295" customFormat="false" ht="15" hidden="false" customHeight="false" outlineLevel="0" collapsed="false">
      <c r="A4295" s="2" t="s">
        <v>325</v>
      </c>
      <c r="B4295" s="2" t="s">
        <v>326</v>
      </c>
      <c r="C4295" s="2" t="s">
        <v>53</v>
      </c>
      <c r="D4295" s="3" t="n">
        <v>46250</v>
      </c>
      <c r="E4295" s="2" t="str">
        <f aca="false">TEXT(D4295,"dddd")</f>
        <v>Sunday</v>
      </c>
      <c r="F4295" s="2" t="s">
        <v>460</v>
      </c>
      <c r="G4295" s="2"/>
      <c r="H4295" s="2"/>
      <c r="I4295" s="2" t="n">
        <f aca="false">IF(F4295="Present",9,IF(F4295="Half Day",4,0))</f>
        <v>0</v>
      </c>
      <c r="J4295" s="2"/>
      <c r="K4295" s="2" t="s">
        <v>460</v>
      </c>
    </row>
    <row r="4296" customFormat="false" ht="15" hidden="false" customHeight="false" outlineLevel="0" collapsed="false">
      <c r="A4296" s="2" t="s">
        <v>325</v>
      </c>
      <c r="B4296" s="2" t="s">
        <v>326</v>
      </c>
      <c r="C4296" s="2" t="s">
        <v>53</v>
      </c>
      <c r="D4296" s="3" t="n">
        <v>46251</v>
      </c>
      <c r="E4296" s="2" t="str">
        <f aca="false">TEXT(D4296,"dddd")</f>
        <v>Monday</v>
      </c>
      <c r="F4296" s="2" t="s">
        <v>457</v>
      </c>
      <c r="G4296" s="2" t="s">
        <v>458</v>
      </c>
      <c r="H4296" s="2" t="s">
        <v>459</v>
      </c>
      <c r="I4296" s="2" t="n">
        <f aca="false">IF(F4296="Present",9,IF(F4296="Half Day",4,0))</f>
        <v>9</v>
      </c>
      <c r="J4296" s="2"/>
      <c r="K4296" s="2"/>
    </row>
    <row r="4297" customFormat="false" ht="15" hidden="false" customHeight="false" outlineLevel="0" collapsed="false">
      <c r="A4297" s="2" t="s">
        <v>325</v>
      </c>
      <c r="B4297" s="2" t="s">
        <v>326</v>
      </c>
      <c r="C4297" s="2" t="s">
        <v>53</v>
      </c>
      <c r="D4297" s="3" t="n">
        <v>46252</v>
      </c>
      <c r="E4297" s="2" t="str">
        <f aca="false">TEXT(D4297,"dddd")</f>
        <v>Tuesday</v>
      </c>
      <c r="F4297" s="2" t="s">
        <v>461</v>
      </c>
      <c r="G4297" s="2"/>
      <c r="H4297" s="2"/>
      <c r="I4297" s="2" t="n">
        <f aca="false">IF(F4297="Present",9,IF(F4297="Half Day",4,0))</f>
        <v>0</v>
      </c>
      <c r="J4297" s="2"/>
      <c r="K4297" s="2" t="s">
        <v>462</v>
      </c>
    </row>
    <row r="4298" customFormat="false" ht="15" hidden="false" customHeight="false" outlineLevel="0" collapsed="false">
      <c r="A4298" s="2" t="s">
        <v>325</v>
      </c>
      <c r="B4298" s="2" t="s">
        <v>326</v>
      </c>
      <c r="C4298" s="2" t="s">
        <v>53</v>
      </c>
      <c r="D4298" s="3" t="n">
        <v>46253</v>
      </c>
      <c r="E4298" s="2" t="str">
        <f aca="false">TEXT(D4298,"dddd")</f>
        <v>Wednesday</v>
      </c>
      <c r="F4298" s="2" t="s">
        <v>466</v>
      </c>
      <c r="G4298" s="2" t="s">
        <v>458</v>
      </c>
      <c r="H4298" s="2" t="s">
        <v>467</v>
      </c>
      <c r="I4298" s="2" t="n">
        <f aca="false">IF(F4298="Present",9,IF(F4298="Half Day",4,0))</f>
        <v>4</v>
      </c>
      <c r="J4298" s="2"/>
      <c r="K4298" s="2" t="s">
        <v>466</v>
      </c>
    </row>
    <row r="4299" customFormat="false" ht="15" hidden="false" customHeight="false" outlineLevel="0" collapsed="false">
      <c r="A4299" s="2" t="s">
        <v>325</v>
      </c>
      <c r="B4299" s="2" t="s">
        <v>326</v>
      </c>
      <c r="C4299" s="2" t="s">
        <v>53</v>
      </c>
      <c r="D4299" s="3" t="n">
        <v>46254</v>
      </c>
      <c r="E4299" s="2" t="str">
        <f aca="false">TEXT(D4299,"dddd")</f>
        <v>Thursday</v>
      </c>
      <c r="F4299" s="2" t="s">
        <v>461</v>
      </c>
      <c r="G4299" s="2"/>
      <c r="H4299" s="2"/>
      <c r="I4299" s="2" t="n">
        <f aca="false">IF(F4299="Present",9,IF(F4299="Half Day",4,0))</f>
        <v>0</v>
      </c>
      <c r="J4299" s="2"/>
      <c r="K4299" s="2" t="s">
        <v>462</v>
      </c>
    </row>
    <row r="4300" customFormat="false" ht="15" hidden="false" customHeight="false" outlineLevel="0" collapsed="false">
      <c r="A4300" s="2" t="s">
        <v>325</v>
      </c>
      <c r="B4300" s="2" t="s">
        <v>326</v>
      </c>
      <c r="C4300" s="2" t="s">
        <v>53</v>
      </c>
      <c r="D4300" s="3" t="n">
        <v>46255</v>
      </c>
      <c r="E4300" s="2" t="str">
        <f aca="false">TEXT(D4300,"dddd")</f>
        <v>Friday</v>
      </c>
      <c r="F4300" s="2" t="s">
        <v>457</v>
      </c>
      <c r="G4300" s="2" t="s">
        <v>458</v>
      </c>
      <c r="H4300" s="2" t="s">
        <v>459</v>
      </c>
      <c r="I4300" s="2" t="n">
        <f aca="false">IF(F4300="Present",9,IF(F4300="Half Day",4,0))</f>
        <v>9</v>
      </c>
      <c r="J4300" s="2"/>
      <c r="K4300" s="2"/>
    </row>
    <row r="4301" customFormat="false" ht="15" hidden="false" customHeight="false" outlineLevel="0" collapsed="false">
      <c r="A4301" s="2" t="s">
        <v>325</v>
      </c>
      <c r="B4301" s="2" t="s">
        <v>326</v>
      </c>
      <c r="C4301" s="2" t="s">
        <v>53</v>
      </c>
      <c r="D4301" s="3" t="n">
        <v>46256</v>
      </c>
      <c r="E4301" s="2" t="str">
        <f aca="false">TEXT(D4301,"dddd")</f>
        <v>Saturday</v>
      </c>
      <c r="F4301" s="2" t="s">
        <v>457</v>
      </c>
      <c r="G4301" s="2" t="s">
        <v>458</v>
      </c>
      <c r="H4301" s="2" t="s">
        <v>459</v>
      </c>
      <c r="I4301" s="2" t="n">
        <f aca="false">IF(F4301="Present",9,IF(F4301="Half Day",4,0))</f>
        <v>9</v>
      </c>
      <c r="J4301" s="2"/>
      <c r="K4301" s="2"/>
    </row>
    <row r="4302" customFormat="false" ht="15" hidden="false" customHeight="false" outlineLevel="0" collapsed="false">
      <c r="A4302" s="2" t="s">
        <v>325</v>
      </c>
      <c r="B4302" s="2" t="s">
        <v>326</v>
      </c>
      <c r="C4302" s="2" t="s">
        <v>53</v>
      </c>
      <c r="D4302" s="3" t="n">
        <v>46257</v>
      </c>
      <c r="E4302" s="2" t="str">
        <f aca="false">TEXT(D4302,"dddd")</f>
        <v>Sunday</v>
      </c>
      <c r="F4302" s="2" t="s">
        <v>460</v>
      </c>
      <c r="G4302" s="2"/>
      <c r="H4302" s="2"/>
      <c r="I4302" s="2" t="n">
        <f aca="false">IF(F4302="Present",9,IF(F4302="Half Day",4,0))</f>
        <v>0</v>
      </c>
      <c r="J4302" s="2"/>
      <c r="K4302" s="2" t="s">
        <v>460</v>
      </c>
    </row>
    <row r="4303" customFormat="false" ht="15" hidden="false" customHeight="false" outlineLevel="0" collapsed="false">
      <c r="A4303" s="2" t="s">
        <v>325</v>
      </c>
      <c r="B4303" s="2" t="s">
        <v>326</v>
      </c>
      <c r="C4303" s="2" t="s">
        <v>53</v>
      </c>
      <c r="D4303" s="3" t="n">
        <v>46258</v>
      </c>
      <c r="E4303" s="2" t="str">
        <f aca="false">TEXT(D4303,"dddd")</f>
        <v>Monday</v>
      </c>
      <c r="F4303" s="2" t="s">
        <v>457</v>
      </c>
      <c r="G4303" s="2" t="s">
        <v>458</v>
      </c>
      <c r="H4303" s="2" t="s">
        <v>459</v>
      </c>
      <c r="I4303" s="2" t="n">
        <f aca="false">IF(F4303="Present",9,IF(F4303="Half Day",4,0))</f>
        <v>9</v>
      </c>
      <c r="J4303" s="2"/>
      <c r="K4303" s="2"/>
    </row>
    <row r="4304" customFormat="false" ht="15" hidden="false" customHeight="false" outlineLevel="0" collapsed="false">
      <c r="A4304" s="2" t="s">
        <v>325</v>
      </c>
      <c r="B4304" s="2" t="s">
        <v>326</v>
      </c>
      <c r="C4304" s="2" t="s">
        <v>53</v>
      </c>
      <c r="D4304" s="3" t="n">
        <v>46259</v>
      </c>
      <c r="E4304" s="2" t="str">
        <f aca="false">TEXT(D4304,"dddd")</f>
        <v>Tuesday</v>
      </c>
      <c r="F4304" s="2" t="s">
        <v>457</v>
      </c>
      <c r="G4304" s="2" t="s">
        <v>458</v>
      </c>
      <c r="H4304" s="2" t="s">
        <v>459</v>
      </c>
      <c r="I4304" s="2" t="n">
        <f aca="false">IF(F4304="Present",9,IF(F4304="Half Day",4,0))</f>
        <v>9</v>
      </c>
      <c r="J4304" s="2"/>
      <c r="K4304" s="2"/>
    </row>
    <row r="4305" customFormat="false" ht="15" hidden="false" customHeight="false" outlineLevel="0" collapsed="false">
      <c r="A4305" s="2" t="s">
        <v>325</v>
      </c>
      <c r="B4305" s="2" t="s">
        <v>326</v>
      </c>
      <c r="C4305" s="2" t="s">
        <v>53</v>
      </c>
      <c r="D4305" s="3" t="n">
        <v>46260</v>
      </c>
      <c r="E4305" s="2" t="str">
        <f aca="false">TEXT(D4305,"dddd")</f>
        <v>Wednesday</v>
      </c>
      <c r="F4305" s="2" t="s">
        <v>461</v>
      </c>
      <c r="G4305" s="2"/>
      <c r="H4305" s="2"/>
      <c r="I4305" s="2" t="n">
        <f aca="false">IF(F4305="Present",9,IF(F4305="Half Day",4,0))</f>
        <v>0</v>
      </c>
      <c r="J4305" s="2"/>
      <c r="K4305" s="2" t="s">
        <v>462</v>
      </c>
    </row>
    <row r="4306" customFormat="false" ht="15" hidden="false" customHeight="false" outlineLevel="0" collapsed="false">
      <c r="A4306" s="2" t="s">
        <v>325</v>
      </c>
      <c r="B4306" s="2" t="s">
        <v>326</v>
      </c>
      <c r="C4306" s="2" t="s">
        <v>53</v>
      </c>
      <c r="D4306" s="3" t="n">
        <v>46261</v>
      </c>
      <c r="E4306" s="2" t="str">
        <f aca="false">TEXT(D4306,"dddd")</f>
        <v>Thursday</v>
      </c>
      <c r="F4306" s="2" t="s">
        <v>457</v>
      </c>
      <c r="G4306" s="2" t="s">
        <v>458</v>
      </c>
      <c r="H4306" s="2" t="s">
        <v>459</v>
      </c>
      <c r="I4306" s="2" t="n">
        <f aca="false">IF(F4306="Present",9,IF(F4306="Half Day",4,0))</f>
        <v>9</v>
      </c>
      <c r="J4306" s="2"/>
      <c r="K4306" s="2"/>
    </row>
    <row r="4307" customFormat="false" ht="15" hidden="false" customHeight="false" outlineLevel="0" collapsed="false">
      <c r="A4307" s="2" t="s">
        <v>325</v>
      </c>
      <c r="B4307" s="2" t="s">
        <v>326</v>
      </c>
      <c r="C4307" s="2" t="s">
        <v>53</v>
      </c>
      <c r="D4307" s="3" t="n">
        <v>46262</v>
      </c>
      <c r="E4307" s="2" t="str">
        <f aca="false">TEXT(D4307,"dddd")</f>
        <v>Friday</v>
      </c>
      <c r="F4307" s="2" t="s">
        <v>457</v>
      </c>
      <c r="G4307" s="2" t="s">
        <v>458</v>
      </c>
      <c r="H4307" s="2" t="s">
        <v>459</v>
      </c>
      <c r="I4307" s="2" t="n">
        <f aca="false">IF(F4307="Present",9,IF(F4307="Half Day",4,0))</f>
        <v>9</v>
      </c>
      <c r="J4307" s="2"/>
      <c r="K4307" s="2"/>
    </row>
    <row r="4308" customFormat="false" ht="15" hidden="false" customHeight="false" outlineLevel="0" collapsed="false">
      <c r="A4308" s="2" t="s">
        <v>325</v>
      </c>
      <c r="B4308" s="2" t="s">
        <v>326</v>
      </c>
      <c r="C4308" s="2" t="s">
        <v>53</v>
      </c>
      <c r="D4308" s="3" t="n">
        <v>46263</v>
      </c>
      <c r="E4308" s="2" t="str">
        <f aca="false">TEXT(D4308,"dddd")</f>
        <v>Saturday</v>
      </c>
      <c r="F4308" s="2" t="s">
        <v>457</v>
      </c>
      <c r="G4308" s="2" t="s">
        <v>458</v>
      </c>
      <c r="H4308" s="2" t="s">
        <v>459</v>
      </c>
      <c r="I4308" s="2" t="n">
        <f aca="false">IF(F4308="Present",9,IF(F4308="Half Day",4,0))</f>
        <v>9</v>
      </c>
      <c r="J4308" s="2"/>
      <c r="K4308" s="2"/>
    </row>
    <row r="4309" customFormat="false" ht="15" hidden="false" customHeight="false" outlineLevel="0" collapsed="false">
      <c r="A4309" s="2" t="s">
        <v>325</v>
      </c>
      <c r="B4309" s="2" t="s">
        <v>326</v>
      </c>
      <c r="C4309" s="2" t="s">
        <v>53</v>
      </c>
      <c r="D4309" s="3" t="n">
        <v>46264</v>
      </c>
      <c r="E4309" s="2" t="str">
        <f aca="false">TEXT(D4309,"dddd")</f>
        <v>Sunday</v>
      </c>
      <c r="F4309" s="2" t="s">
        <v>460</v>
      </c>
      <c r="G4309" s="2"/>
      <c r="H4309" s="2"/>
      <c r="I4309" s="2" t="n">
        <f aca="false">IF(F4309="Present",9,IF(F4309="Half Day",4,0))</f>
        <v>0</v>
      </c>
      <c r="J4309" s="2"/>
      <c r="K4309" s="2" t="s">
        <v>460</v>
      </c>
    </row>
    <row r="4310" customFormat="false" ht="15" hidden="false" customHeight="false" outlineLevel="0" collapsed="false">
      <c r="A4310" s="2" t="s">
        <v>325</v>
      </c>
      <c r="B4310" s="2" t="s">
        <v>326</v>
      </c>
      <c r="C4310" s="2" t="s">
        <v>53</v>
      </c>
      <c r="D4310" s="3" t="n">
        <v>46265</v>
      </c>
      <c r="E4310" s="2" t="str">
        <f aca="false">TEXT(D4310,"dddd")</f>
        <v>Monday</v>
      </c>
      <c r="F4310" s="2" t="s">
        <v>457</v>
      </c>
      <c r="G4310" s="2" t="s">
        <v>458</v>
      </c>
      <c r="H4310" s="2" t="s">
        <v>459</v>
      </c>
      <c r="I4310" s="2" t="n">
        <f aca="false">IF(F4310="Present",9,IF(F4310="Half Day",4,0))</f>
        <v>9</v>
      </c>
      <c r="J4310" s="2"/>
      <c r="K4310" s="2"/>
    </row>
    <row r="4311" customFormat="false" ht="15" hidden="false" customHeight="false" outlineLevel="0" collapsed="false">
      <c r="A4311" s="2" t="s">
        <v>327</v>
      </c>
      <c r="B4311" s="2" t="s">
        <v>328</v>
      </c>
      <c r="C4311" s="2" t="s">
        <v>57</v>
      </c>
      <c r="D4311" s="3" t="n">
        <v>46235</v>
      </c>
      <c r="E4311" s="2" t="str">
        <f aca="false">TEXT(D4311,"dddd")</f>
        <v>Saturday</v>
      </c>
      <c r="F4311" s="2" t="s">
        <v>457</v>
      </c>
      <c r="G4311" s="2" t="s">
        <v>458</v>
      </c>
      <c r="H4311" s="2" t="s">
        <v>459</v>
      </c>
      <c r="I4311" s="2" t="n">
        <f aca="false">IF(F4311="Present",9,IF(F4311="Half Day",4,0))</f>
        <v>9</v>
      </c>
      <c r="J4311" s="2"/>
      <c r="K4311" s="2"/>
    </row>
    <row r="4312" customFormat="false" ht="15" hidden="false" customHeight="false" outlineLevel="0" collapsed="false">
      <c r="A4312" s="2" t="s">
        <v>327</v>
      </c>
      <c r="B4312" s="2" t="s">
        <v>328</v>
      </c>
      <c r="C4312" s="2" t="s">
        <v>57</v>
      </c>
      <c r="D4312" s="3" t="n">
        <v>46236</v>
      </c>
      <c r="E4312" s="2" t="str">
        <f aca="false">TEXT(D4312,"dddd")</f>
        <v>Sunday</v>
      </c>
      <c r="F4312" s="2" t="s">
        <v>460</v>
      </c>
      <c r="G4312" s="2"/>
      <c r="H4312" s="2"/>
      <c r="I4312" s="2" t="n">
        <f aca="false">IF(F4312="Present",9,IF(F4312="Half Day",4,0))</f>
        <v>0</v>
      </c>
      <c r="J4312" s="2"/>
      <c r="K4312" s="2" t="s">
        <v>460</v>
      </c>
    </row>
    <row r="4313" customFormat="false" ht="15" hidden="false" customHeight="false" outlineLevel="0" collapsed="false">
      <c r="A4313" s="2" t="s">
        <v>327</v>
      </c>
      <c r="B4313" s="2" t="s">
        <v>328</v>
      </c>
      <c r="C4313" s="2" t="s">
        <v>57</v>
      </c>
      <c r="D4313" s="3" t="n">
        <v>46237</v>
      </c>
      <c r="E4313" s="2" t="str">
        <f aca="false">TEXT(D4313,"dddd")</f>
        <v>Monday</v>
      </c>
      <c r="F4313" s="2" t="s">
        <v>457</v>
      </c>
      <c r="G4313" s="2" t="s">
        <v>458</v>
      </c>
      <c r="H4313" s="2" t="s">
        <v>459</v>
      </c>
      <c r="I4313" s="2" t="n">
        <f aca="false">IF(F4313="Present",9,IF(F4313="Half Day",4,0))</f>
        <v>9</v>
      </c>
      <c r="J4313" s="2"/>
      <c r="K4313" s="2"/>
    </row>
    <row r="4314" customFormat="false" ht="15" hidden="false" customHeight="false" outlineLevel="0" collapsed="false">
      <c r="A4314" s="2" t="s">
        <v>327</v>
      </c>
      <c r="B4314" s="2" t="s">
        <v>328</v>
      </c>
      <c r="C4314" s="2" t="s">
        <v>57</v>
      </c>
      <c r="D4314" s="3" t="n">
        <v>46238</v>
      </c>
      <c r="E4314" s="2" t="str">
        <f aca="false">TEXT(D4314,"dddd")</f>
        <v>Tuesday</v>
      </c>
      <c r="F4314" s="2" t="s">
        <v>457</v>
      </c>
      <c r="G4314" s="2" t="s">
        <v>458</v>
      </c>
      <c r="H4314" s="2" t="s">
        <v>459</v>
      </c>
      <c r="I4314" s="2" t="n">
        <f aca="false">IF(F4314="Present",9,IF(F4314="Half Day",4,0))</f>
        <v>9</v>
      </c>
      <c r="J4314" s="2"/>
      <c r="K4314" s="2"/>
    </row>
    <row r="4315" customFormat="false" ht="15" hidden="false" customHeight="false" outlineLevel="0" collapsed="false">
      <c r="A4315" s="2" t="s">
        <v>327</v>
      </c>
      <c r="B4315" s="2" t="s">
        <v>328</v>
      </c>
      <c r="C4315" s="2" t="s">
        <v>57</v>
      </c>
      <c r="D4315" s="3" t="n">
        <v>46239</v>
      </c>
      <c r="E4315" s="2" t="str">
        <f aca="false">TEXT(D4315,"dddd")</f>
        <v>Wednesday</v>
      </c>
      <c r="F4315" s="2" t="s">
        <v>457</v>
      </c>
      <c r="G4315" s="2" t="s">
        <v>458</v>
      </c>
      <c r="H4315" s="2" t="s">
        <v>459</v>
      </c>
      <c r="I4315" s="2" t="n">
        <f aca="false">IF(F4315="Present",9,IF(F4315="Half Day",4,0))</f>
        <v>9</v>
      </c>
      <c r="J4315" s="2"/>
      <c r="K4315" s="2"/>
    </row>
    <row r="4316" customFormat="false" ht="15" hidden="false" customHeight="false" outlineLevel="0" collapsed="false">
      <c r="A4316" s="2" t="s">
        <v>327</v>
      </c>
      <c r="B4316" s="2" t="s">
        <v>328</v>
      </c>
      <c r="C4316" s="2" t="s">
        <v>57</v>
      </c>
      <c r="D4316" s="3" t="n">
        <v>46240</v>
      </c>
      <c r="E4316" s="2" t="str">
        <f aca="false">TEXT(D4316,"dddd")</f>
        <v>Thursday</v>
      </c>
      <c r="F4316" s="2" t="s">
        <v>457</v>
      </c>
      <c r="G4316" s="2" t="s">
        <v>458</v>
      </c>
      <c r="H4316" s="2" t="s">
        <v>459</v>
      </c>
      <c r="I4316" s="2" t="n">
        <f aca="false">IF(F4316="Present",9,IF(F4316="Half Day",4,0))</f>
        <v>9</v>
      </c>
      <c r="J4316" s="2"/>
      <c r="K4316" s="2"/>
    </row>
    <row r="4317" customFormat="false" ht="15" hidden="false" customHeight="false" outlineLevel="0" collapsed="false">
      <c r="A4317" s="2" t="s">
        <v>327</v>
      </c>
      <c r="B4317" s="2" t="s">
        <v>328</v>
      </c>
      <c r="C4317" s="2" t="s">
        <v>57</v>
      </c>
      <c r="D4317" s="3" t="n">
        <v>46241</v>
      </c>
      <c r="E4317" s="2" t="str">
        <f aca="false">TEXT(D4317,"dddd")</f>
        <v>Friday</v>
      </c>
      <c r="F4317" s="2" t="s">
        <v>457</v>
      </c>
      <c r="G4317" s="2" t="s">
        <v>458</v>
      </c>
      <c r="H4317" s="2" t="s">
        <v>459</v>
      </c>
      <c r="I4317" s="2" t="n">
        <f aca="false">IF(F4317="Present",9,IF(F4317="Half Day",4,0))</f>
        <v>9</v>
      </c>
      <c r="J4317" s="2"/>
      <c r="K4317" s="2"/>
    </row>
    <row r="4318" customFormat="false" ht="15" hidden="false" customHeight="false" outlineLevel="0" collapsed="false">
      <c r="A4318" s="2" t="s">
        <v>327</v>
      </c>
      <c r="B4318" s="2" t="s">
        <v>328</v>
      </c>
      <c r="C4318" s="2" t="s">
        <v>57</v>
      </c>
      <c r="D4318" s="3" t="n">
        <v>46242</v>
      </c>
      <c r="E4318" s="2" t="str">
        <f aca="false">TEXT(D4318,"dddd")</f>
        <v>Saturday</v>
      </c>
      <c r="F4318" s="2" t="s">
        <v>457</v>
      </c>
      <c r="G4318" s="2" t="s">
        <v>458</v>
      </c>
      <c r="H4318" s="2" t="s">
        <v>459</v>
      </c>
      <c r="I4318" s="2" t="n">
        <f aca="false">IF(F4318="Present",9,IF(F4318="Half Day",4,0))</f>
        <v>9</v>
      </c>
      <c r="J4318" s="2"/>
      <c r="K4318" s="2"/>
    </row>
    <row r="4319" customFormat="false" ht="15" hidden="false" customHeight="false" outlineLevel="0" collapsed="false">
      <c r="A4319" s="2" t="s">
        <v>327</v>
      </c>
      <c r="B4319" s="2" t="s">
        <v>328</v>
      </c>
      <c r="C4319" s="2" t="s">
        <v>57</v>
      </c>
      <c r="D4319" s="3" t="n">
        <v>46243</v>
      </c>
      <c r="E4319" s="2" t="str">
        <f aca="false">TEXT(D4319,"dddd")</f>
        <v>Sunday</v>
      </c>
      <c r="F4319" s="2" t="s">
        <v>460</v>
      </c>
      <c r="G4319" s="2"/>
      <c r="H4319" s="2"/>
      <c r="I4319" s="2" t="n">
        <f aca="false">IF(F4319="Present",9,IF(F4319="Half Day",4,0))</f>
        <v>0</v>
      </c>
      <c r="J4319" s="2"/>
      <c r="K4319" s="2" t="s">
        <v>460</v>
      </c>
    </row>
    <row r="4320" customFormat="false" ht="15" hidden="false" customHeight="false" outlineLevel="0" collapsed="false">
      <c r="A4320" s="2" t="s">
        <v>327</v>
      </c>
      <c r="B4320" s="2" t="s">
        <v>328</v>
      </c>
      <c r="C4320" s="2" t="s">
        <v>57</v>
      </c>
      <c r="D4320" s="3" t="n">
        <v>46244</v>
      </c>
      <c r="E4320" s="2" t="str">
        <f aca="false">TEXT(D4320,"dddd")</f>
        <v>Monday</v>
      </c>
      <c r="F4320" s="2" t="s">
        <v>461</v>
      </c>
      <c r="G4320" s="2"/>
      <c r="H4320" s="2"/>
      <c r="I4320" s="2" t="n">
        <f aca="false">IF(F4320="Present",9,IF(F4320="Half Day",4,0))</f>
        <v>0</v>
      </c>
      <c r="J4320" s="2"/>
      <c r="K4320" s="2" t="s">
        <v>462</v>
      </c>
    </row>
    <row r="4321" customFormat="false" ht="15" hidden="false" customHeight="false" outlineLevel="0" collapsed="false">
      <c r="A4321" s="2" t="s">
        <v>327</v>
      </c>
      <c r="B4321" s="2" t="s">
        <v>328</v>
      </c>
      <c r="C4321" s="2" t="s">
        <v>57</v>
      </c>
      <c r="D4321" s="3" t="n">
        <v>46245</v>
      </c>
      <c r="E4321" s="2" t="str">
        <f aca="false">TEXT(D4321,"dddd")</f>
        <v>Tuesday</v>
      </c>
      <c r="F4321" s="2" t="s">
        <v>457</v>
      </c>
      <c r="G4321" s="2" t="s">
        <v>458</v>
      </c>
      <c r="H4321" s="2" t="s">
        <v>459</v>
      </c>
      <c r="I4321" s="2" t="n">
        <f aca="false">IF(F4321="Present",9,IF(F4321="Half Day",4,0))</f>
        <v>9</v>
      </c>
      <c r="J4321" s="2"/>
      <c r="K4321" s="2"/>
    </row>
    <row r="4322" customFormat="false" ht="15" hidden="false" customHeight="false" outlineLevel="0" collapsed="false">
      <c r="A4322" s="2" t="s">
        <v>327</v>
      </c>
      <c r="B4322" s="2" t="s">
        <v>328</v>
      </c>
      <c r="C4322" s="2" t="s">
        <v>57</v>
      </c>
      <c r="D4322" s="3" t="n">
        <v>46246</v>
      </c>
      <c r="E4322" s="2" t="str">
        <f aca="false">TEXT(D4322,"dddd")</f>
        <v>Wednesday</v>
      </c>
      <c r="F4322" s="2" t="s">
        <v>463</v>
      </c>
      <c r="G4322" s="2"/>
      <c r="H4322" s="2"/>
      <c r="I4322" s="2" t="n">
        <f aca="false">IF(F4322="Present",9,IF(F4322="Half Day",4,0))</f>
        <v>0</v>
      </c>
      <c r="J4322" s="2" t="s">
        <v>474</v>
      </c>
      <c r="K4322" s="2" t="s">
        <v>475</v>
      </c>
    </row>
    <row r="4323" customFormat="false" ht="15" hidden="false" customHeight="false" outlineLevel="0" collapsed="false">
      <c r="A4323" s="2" t="s">
        <v>327</v>
      </c>
      <c r="B4323" s="2" t="s">
        <v>328</v>
      </c>
      <c r="C4323" s="2" t="s">
        <v>57</v>
      </c>
      <c r="D4323" s="3" t="n">
        <v>46247</v>
      </c>
      <c r="E4323" s="2" t="str">
        <f aca="false">TEXT(D4323,"dddd")</f>
        <v>Thursday</v>
      </c>
      <c r="F4323" s="2" t="s">
        <v>457</v>
      </c>
      <c r="G4323" s="2" t="s">
        <v>458</v>
      </c>
      <c r="H4323" s="2" t="s">
        <v>459</v>
      </c>
      <c r="I4323" s="2" t="n">
        <f aca="false">IF(F4323="Present",9,IF(F4323="Half Day",4,0))</f>
        <v>9</v>
      </c>
      <c r="J4323" s="2"/>
      <c r="K4323" s="2"/>
    </row>
    <row r="4324" customFormat="false" ht="15" hidden="false" customHeight="false" outlineLevel="0" collapsed="false">
      <c r="A4324" s="2" t="s">
        <v>327</v>
      </c>
      <c r="B4324" s="2" t="s">
        <v>328</v>
      </c>
      <c r="C4324" s="2" t="s">
        <v>57</v>
      </c>
      <c r="D4324" s="3" t="n">
        <v>46248</v>
      </c>
      <c r="E4324" s="2" t="str">
        <f aca="false">TEXT(D4324,"dddd")</f>
        <v>Friday</v>
      </c>
      <c r="F4324" s="2" t="s">
        <v>457</v>
      </c>
      <c r="G4324" s="2" t="s">
        <v>458</v>
      </c>
      <c r="H4324" s="2" t="s">
        <v>459</v>
      </c>
      <c r="I4324" s="2" t="n">
        <f aca="false">IF(F4324="Present",9,IF(F4324="Half Day",4,0))</f>
        <v>9</v>
      </c>
      <c r="J4324" s="2"/>
      <c r="K4324" s="2"/>
    </row>
    <row r="4325" customFormat="false" ht="15" hidden="false" customHeight="false" outlineLevel="0" collapsed="false">
      <c r="A4325" s="2" t="s">
        <v>327</v>
      </c>
      <c r="B4325" s="2" t="s">
        <v>328</v>
      </c>
      <c r="C4325" s="2" t="s">
        <v>57</v>
      </c>
      <c r="D4325" s="3" t="n">
        <v>46249</v>
      </c>
      <c r="E4325" s="2" t="str">
        <f aca="false">TEXT(D4325,"dddd")</f>
        <v>Saturday</v>
      </c>
      <c r="F4325" s="2" t="s">
        <v>457</v>
      </c>
      <c r="G4325" s="2" t="s">
        <v>458</v>
      </c>
      <c r="H4325" s="2" t="s">
        <v>459</v>
      </c>
      <c r="I4325" s="2" t="n">
        <f aca="false">IF(F4325="Present",9,IF(F4325="Half Day",4,0))</f>
        <v>9</v>
      </c>
      <c r="J4325" s="2"/>
      <c r="K4325" s="2"/>
    </row>
    <row r="4326" customFormat="false" ht="15" hidden="false" customHeight="false" outlineLevel="0" collapsed="false">
      <c r="A4326" s="2" t="s">
        <v>327</v>
      </c>
      <c r="B4326" s="2" t="s">
        <v>328</v>
      </c>
      <c r="C4326" s="2" t="s">
        <v>57</v>
      </c>
      <c r="D4326" s="3" t="n">
        <v>46250</v>
      </c>
      <c r="E4326" s="2" t="str">
        <f aca="false">TEXT(D4326,"dddd")</f>
        <v>Sunday</v>
      </c>
      <c r="F4326" s="2" t="s">
        <v>460</v>
      </c>
      <c r="G4326" s="2"/>
      <c r="H4326" s="2"/>
      <c r="I4326" s="2" t="n">
        <f aca="false">IF(F4326="Present",9,IF(F4326="Half Day",4,0))</f>
        <v>0</v>
      </c>
      <c r="J4326" s="2"/>
      <c r="K4326" s="2" t="s">
        <v>460</v>
      </c>
    </row>
    <row r="4327" customFormat="false" ht="15" hidden="false" customHeight="false" outlineLevel="0" collapsed="false">
      <c r="A4327" s="2" t="s">
        <v>327</v>
      </c>
      <c r="B4327" s="2" t="s">
        <v>328</v>
      </c>
      <c r="C4327" s="2" t="s">
        <v>57</v>
      </c>
      <c r="D4327" s="3" t="n">
        <v>46251</v>
      </c>
      <c r="E4327" s="2" t="str">
        <f aca="false">TEXT(D4327,"dddd")</f>
        <v>Monday</v>
      </c>
      <c r="F4327" s="2" t="s">
        <v>457</v>
      </c>
      <c r="G4327" s="2" t="s">
        <v>458</v>
      </c>
      <c r="H4327" s="2" t="s">
        <v>459</v>
      </c>
      <c r="I4327" s="2" t="n">
        <f aca="false">IF(F4327="Present",9,IF(F4327="Half Day",4,0))</f>
        <v>9</v>
      </c>
      <c r="J4327" s="2"/>
      <c r="K4327" s="2"/>
    </row>
    <row r="4328" customFormat="false" ht="15" hidden="false" customHeight="false" outlineLevel="0" collapsed="false">
      <c r="A4328" s="2" t="s">
        <v>327</v>
      </c>
      <c r="B4328" s="2" t="s">
        <v>328</v>
      </c>
      <c r="C4328" s="2" t="s">
        <v>57</v>
      </c>
      <c r="D4328" s="3" t="n">
        <v>46252</v>
      </c>
      <c r="E4328" s="2" t="str">
        <f aca="false">TEXT(D4328,"dddd")</f>
        <v>Tuesday</v>
      </c>
      <c r="F4328" s="2" t="s">
        <v>457</v>
      </c>
      <c r="G4328" s="2" t="s">
        <v>458</v>
      </c>
      <c r="H4328" s="2" t="s">
        <v>459</v>
      </c>
      <c r="I4328" s="2" t="n">
        <f aca="false">IF(F4328="Present",9,IF(F4328="Half Day",4,0))</f>
        <v>9</v>
      </c>
      <c r="J4328" s="2"/>
      <c r="K4328" s="2"/>
    </row>
    <row r="4329" customFormat="false" ht="15" hidden="false" customHeight="false" outlineLevel="0" collapsed="false">
      <c r="A4329" s="2" t="s">
        <v>327</v>
      </c>
      <c r="B4329" s="2" t="s">
        <v>328</v>
      </c>
      <c r="C4329" s="2" t="s">
        <v>57</v>
      </c>
      <c r="D4329" s="3" t="n">
        <v>46253</v>
      </c>
      <c r="E4329" s="2" t="str">
        <f aca="false">TEXT(D4329,"dddd")</f>
        <v>Wednesday</v>
      </c>
      <c r="F4329" s="2" t="s">
        <v>457</v>
      </c>
      <c r="G4329" s="2" t="s">
        <v>458</v>
      </c>
      <c r="H4329" s="2" t="s">
        <v>459</v>
      </c>
      <c r="I4329" s="2" t="n">
        <f aca="false">IF(F4329="Present",9,IF(F4329="Half Day",4,0))</f>
        <v>9</v>
      </c>
      <c r="J4329" s="2"/>
      <c r="K4329" s="2"/>
    </row>
    <row r="4330" customFormat="false" ht="15" hidden="false" customHeight="false" outlineLevel="0" collapsed="false">
      <c r="A4330" s="2" t="s">
        <v>327</v>
      </c>
      <c r="B4330" s="2" t="s">
        <v>328</v>
      </c>
      <c r="C4330" s="2" t="s">
        <v>57</v>
      </c>
      <c r="D4330" s="3" t="n">
        <v>46254</v>
      </c>
      <c r="E4330" s="2" t="str">
        <f aca="false">TEXT(D4330,"dddd")</f>
        <v>Thursday</v>
      </c>
      <c r="F4330" s="2" t="s">
        <v>457</v>
      </c>
      <c r="G4330" s="2" t="s">
        <v>458</v>
      </c>
      <c r="H4330" s="2" t="s">
        <v>459</v>
      </c>
      <c r="I4330" s="2" t="n">
        <f aca="false">IF(F4330="Present",9,IF(F4330="Half Day",4,0))</f>
        <v>9</v>
      </c>
      <c r="J4330" s="2"/>
      <c r="K4330" s="2"/>
    </row>
    <row r="4331" customFormat="false" ht="15" hidden="false" customHeight="false" outlineLevel="0" collapsed="false">
      <c r="A4331" s="2" t="s">
        <v>327</v>
      </c>
      <c r="B4331" s="2" t="s">
        <v>328</v>
      </c>
      <c r="C4331" s="2" t="s">
        <v>57</v>
      </c>
      <c r="D4331" s="3" t="n">
        <v>46255</v>
      </c>
      <c r="E4331" s="2" t="str">
        <f aca="false">TEXT(D4331,"dddd")</f>
        <v>Friday</v>
      </c>
      <c r="F4331" s="2" t="s">
        <v>457</v>
      </c>
      <c r="G4331" s="2" t="s">
        <v>458</v>
      </c>
      <c r="H4331" s="2" t="s">
        <v>459</v>
      </c>
      <c r="I4331" s="2" t="n">
        <f aca="false">IF(F4331="Present",9,IF(F4331="Half Day",4,0))</f>
        <v>9</v>
      </c>
      <c r="J4331" s="2"/>
      <c r="K4331" s="2"/>
    </row>
    <row r="4332" customFormat="false" ht="15" hidden="false" customHeight="false" outlineLevel="0" collapsed="false">
      <c r="A4332" s="2" t="s">
        <v>327</v>
      </c>
      <c r="B4332" s="2" t="s">
        <v>328</v>
      </c>
      <c r="C4332" s="2" t="s">
        <v>57</v>
      </c>
      <c r="D4332" s="3" t="n">
        <v>46256</v>
      </c>
      <c r="E4332" s="2" t="str">
        <f aca="false">TEXT(D4332,"dddd")</f>
        <v>Saturday</v>
      </c>
      <c r="F4332" s="2" t="s">
        <v>457</v>
      </c>
      <c r="G4332" s="2" t="s">
        <v>458</v>
      </c>
      <c r="H4332" s="2" t="s">
        <v>459</v>
      </c>
      <c r="I4332" s="2" t="n">
        <f aca="false">IF(F4332="Present",9,IF(F4332="Half Day",4,0))</f>
        <v>9</v>
      </c>
      <c r="J4332" s="2"/>
      <c r="K4332" s="2"/>
    </row>
    <row r="4333" customFormat="false" ht="15" hidden="false" customHeight="false" outlineLevel="0" collapsed="false">
      <c r="A4333" s="2" t="s">
        <v>327</v>
      </c>
      <c r="B4333" s="2" t="s">
        <v>328</v>
      </c>
      <c r="C4333" s="2" t="s">
        <v>57</v>
      </c>
      <c r="D4333" s="3" t="n">
        <v>46257</v>
      </c>
      <c r="E4333" s="2" t="str">
        <f aca="false">TEXT(D4333,"dddd")</f>
        <v>Sunday</v>
      </c>
      <c r="F4333" s="2" t="s">
        <v>460</v>
      </c>
      <c r="G4333" s="2"/>
      <c r="H4333" s="2"/>
      <c r="I4333" s="2" t="n">
        <f aca="false">IF(F4333="Present",9,IF(F4333="Half Day",4,0))</f>
        <v>0</v>
      </c>
      <c r="J4333" s="2"/>
      <c r="K4333" s="2" t="s">
        <v>460</v>
      </c>
    </row>
    <row r="4334" customFormat="false" ht="15" hidden="false" customHeight="false" outlineLevel="0" collapsed="false">
      <c r="A4334" s="2" t="s">
        <v>327</v>
      </c>
      <c r="B4334" s="2" t="s">
        <v>328</v>
      </c>
      <c r="C4334" s="2" t="s">
        <v>57</v>
      </c>
      <c r="D4334" s="3" t="n">
        <v>46258</v>
      </c>
      <c r="E4334" s="2" t="str">
        <f aca="false">TEXT(D4334,"dddd")</f>
        <v>Monday</v>
      </c>
      <c r="F4334" s="2" t="s">
        <v>457</v>
      </c>
      <c r="G4334" s="2" t="s">
        <v>458</v>
      </c>
      <c r="H4334" s="2" t="s">
        <v>459</v>
      </c>
      <c r="I4334" s="2" t="n">
        <f aca="false">IF(F4334="Present",9,IF(F4334="Half Day",4,0))</f>
        <v>9</v>
      </c>
      <c r="J4334" s="2"/>
      <c r="K4334" s="2"/>
    </row>
    <row r="4335" customFormat="false" ht="15" hidden="false" customHeight="false" outlineLevel="0" collapsed="false">
      <c r="A4335" s="2" t="s">
        <v>327</v>
      </c>
      <c r="B4335" s="2" t="s">
        <v>328</v>
      </c>
      <c r="C4335" s="2" t="s">
        <v>57</v>
      </c>
      <c r="D4335" s="3" t="n">
        <v>46259</v>
      </c>
      <c r="E4335" s="2" t="str">
        <f aca="false">TEXT(D4335,"dddd")</f>
        <v>Tuesday</v>
      </c>
      <c r="F4335" s="2" t="s">
        <v>457</v>
      </c>
      <c r="G4335" s="2" t="s">
        <v>458</v>
      </c>
      <c r="H4335" s="2" t="s">
        <v>459</v>
      </c>
      <c r="I4335" s="2" t="n">
        <f aca="false">IF(F4335="Present",9,IF(F4335="Half Day",4,0))</f>
        <v>9</v>
      </c>
      <c r="J4335" s="2"/>
      <c r="K4335" s="2"/>
    </row>
    <row r="4336" customFormat="false" ht="15" hidden="false" customHeight="false" outlineLevel="0" collapsed="false">
      <c r="A4336" s="2" t="s">
        <v>327</v>
      </c>
      <c r="B4336" s="2" t="s">
        <v>328</v>
      </c>
      <c r="C4336" s="2" t="s">
        <v>57</v>
      </c>
      <c r="D4336" s="3" t="n">
        <v>46260</v>
      </c>
      <c r="E4336" s="2" t="str">
        <f aca="false">TEXT(D4336,"dddd")</f>
        <v>Wednesday</v>
      </c>
      <c r="F4336" s="2" t="s">
        <v>457</v>
      </c>
      <c r="G4336" s="2" t="s">
        <v>458</v>
      </c>
      <c r="H4336" s="2" t="s">
        <v>459</v>
      </c>
      <c r="I4336" s="2" t="n">
        <f aca="false">IF(F4336="Present",9,IF(F4336="Half Day",4,0))</f>
        <v>9</v>
      </c>
      <c r="J4336" s="2"/>
      <c r="K4336" s="2"/>
    </row>
    <row r="4337" customFormat="false" ht="15" hidden="false" customHeight="false" outlineLevel="0" collapsed="false">
      <c r="A4337" s="2" t="s">
        <v>327</v>
      </c>
      <c r="B4337" s="2" t="s">
        <v>328</v>
      </c>
      <c r="C4337" s="2" t="s">
        <v>57</v>
      </c>
      <c r="D4337" s="3" t="n">
        <v>46261</v>
      </c>
      <c r="E4337" s="2" t="str">
        <f aca="false">TEXT(D4337,"dddd")</f>
        <v>Thursday</v>
      </c>
      <c r="F4337" s="2" t="s">
        <v>457</v>
      </c>
      <c r="G4337" s="2" t="s">
        <v>458</v>
      </c>
      <c r="H4337" s="2" t="s">
        <v>459</v>
      </c>
      <c r="I4337" s="2" t="n">
        <f aca="false">IF(F4337="Present",9,IF(F4337="Half Day",4,0))</f>
        <v>9</v>
      </c>
      <c r="J4337" s="2"/>
      <c r="K4337" s="2"/>
    </row>
    <row r="4338" customFormat="false" ht="15" hidden="false" customHeight="false" outlineLevel="0" collapsed="false">
      <c r="A4338" s="2" t="s">
        <v>327</v>
      </c>
      <c r="B4338" s="2" t="s">
        <v>328</v>
      </c>
      <c r="C4338" s="2" t="s">
        <v>57</v>
      </c>
      <c r="D4338" s="3" t="n">
        <v>46262</v>
      </c>
      <c r="E4338" s="2" t="str">
        <f aca="false">TEXT(D4338,"dddd")</f>
        <v>Friday</v>
      </c>
      <c r="F4338" s="2" t="s">
        <v>457</v>
      </c>
      <c r="G4338" s="2" t="s">
        <v>458</v>
      </c>
      <c r="H4338" s="2" t="s">
        <v>459</v>
      </c>
      <c r="I4338" s="2" t="n">
        <f aca="false">IF(F4338="Present",9,IF(F4338="Half Day",4,0))</f>
        <v>9</v>
      </c>
      <c r="J4338" s="2"/>
      <c r="K4338" s="2"/>
    </row>
    <row r="4339" customFormat="false" ht="15" hidden="false" customHeight="false" outlineLevel="0" collapsed="false">
      <c r="A4339" s="2" t="s">
        <v>327</v>
      </c>
      <c r="B4339" s="2" t="s">
        <v>328</v>
      </c>
      <c r="C4339" s="2" t="s">
        <v>57</v>
      </c>
      <c r="D4339" s="3" t="n">
        <v>46263</v>
      </c>
      <c r="E4339" s="2" t="str">
        <f aca="false">TEXT(D4339,"dddd")</f>
        <v>Saturday</v>
      </c>
      <c r="F4339" s="2" t="s">
        <v>457</v>
      </c>
      <c r="G4339" s="2" t="s">
        <v>458</v>
      </c>
      <c r="H4339" s="2" t="s">
        <v>459</v>
      </c>
      <c r="I4339" s="2" t="n">
        <f aca="false">IF(F4339="Present",9,IF(F4339="Half Day",4,0))</f>
        <v>9</v>
      </c>
      <c r="J4339" s="2"/>
      <c r="K4339" s="2"/>
    </row>
    <row r="4340" customFormat="false" ht="15" hidden="false" customHeight="false" outlineLevel="0" collapsed="false">
      <c r="A4340" s="2" t="s">
        <v>327</v>
      </c>
      <c r="B4340" s="2" t="s">
        <v>328</v>
      </c>
      <c r="C4340" s="2" t="s">
        <v>57</v>
      </c>
      <c r="D4340" s="3" t="n">
        <v>46264</v>
      </c>
      <c r="E4340" s="2" t="str">
        <f aca="false">TEXT(D4340,"dddd")</f>
        <v>Sunday</v>
      </c>
      <c r="F4340" s="2" t="s">
        <v>460</v>
      </c>
      <c r="G4340" s="2"/>
      <c r="H4340" s="2"/>
      <c r="I4340" s="2" t="n">
        <f aca="false">IF(F4340="Present",9,IF(F4340="Half Day",4,0))</f>
        <v>0</v>
      </c>
      <c r="J4340" s="2"/>
      <c r="K4340" s="2" t="s">
        <v>460</v>
      </c>
    </row>
    <row r="4341" customFormat="false" ht="15" hidden="false" customHeight="false" outlineLevel="0" collapsed="false">
      <c r="A4341" s="2" t="s">
        <v>327</v>
      </c>
      <c r="B4341" s="2" t="s">
        <v>328</v>
      </c>
      <c r="C4341" s="2" t="s">
        <v>57</v>
      </c>
      <c r="D4341" s="3" t="n">
        <v>46265</v>
      </c>
      <c r="E4341" s="2" t="str">
        <f aca="false">TEXT(D4341,"dddd")</f>
        <v>Monday</v>
      </c>
      <c r="F4341" s="2" t="s">
        <v>457</v>
      </c>
      <c r="G4341" s="2" t="s">
        <v>458</v>
      </c>
      <c r="H4341" s="2" t="s">
        <v>459</v>
      </c>
      <c r="I4341" s="2" t="n">
        <f aca="false">IF(F4341="Present",9,IF(F4341="Half Day",4,0))</f>
        <v>9</v>
      </c>
      <c r="J4341" s="2"/>
      <c r="K4341" s="2"/>
    </row>
    <row r="4342" customFormat="false" ht="15" hidden="false" customHeight="false" outlineLevel="0" collapsed="false">
      <c r="A4342" s="2" t="s">
        <v>329</v>
      </c>
      <c r="B4342" s="2" t="s">
        <v>330</v>
      </c>
      <c r="C4342" s="2" t="s">
        <v>17</v>
      </c>
      <c r="D4342" s="3" t="n">
        <v>46235</v>
      </c>
      <c r="E4342" s="2" t="str">
        <f aca="false">TEXT(D4342,"dddd")</f>
        <v>Saturday</v>
      </c>
      <c r="F4342" s="2" t="s">
        <v>457</v>
      </c>
      <c r="G4342" s="2" t="s">
        <v>458</v>
      </c>
      <c r="H4342" s="2" t="s">
        <v>459</v>
      </c>
      <c r="I4342" s="2" t="n">
        <f aca="false">IF(F4342="Present",9,IF(F4342="Half Day",4,0))</f>
        <v>9</v>
      </c>
      <c r="J4342" s="2"/>
      <c r="K4342" s="2"/>
    </row>
    <row r="4343" customFormat="false" ht="15" hidden="false" customHeight="false" outlineLevel="0" collapsed="false">
      <c r="A4343" s="2" t="s">
        <v>329</v>
      </c>
      <c r="B4343" s="2" t="s">
        <v>330</v>
      </c>
      <c r="C4343" s="2" t="s">
        <v>17</v>
      </c>
      <c r="D4343" s="3" t="n">
        <v>46236</v>
      </c>
      <c r="E4343" s="2" t="str">
        <f aca="false">TEXT(D4343,"dddd")</f>
        <v>Sunday</v>
      </c>
      <c r="F4343" s="2" t="s">
        <v>460</v>
      </c>
      <c r="G4343" s="2"/>
      <c r="H4343" s="2"/>
      <c r="I4343" s="2" t="n">
        <f aca="false">IF(F4343="Present",9,IF(F4343="Half Day",4,0))</f>
        <v>0</v>
      </c>
      <c r="J4343" s="2"/>
      <c r="K4343" s="2" t="s">
        <v>460</v>
      </c>
    </row>
    <row r="4344" customFormat="false" ht="15" hidden="false" customHeight="false" outlineLevel="0" collapsed="false">
      <c r="A4344" s="2" t="s">
        <v>329</v>
      </c>
      <c r="B4344" s="2" t="s">
        <v>330</v>
      </c>
      <c r="C4344" s="2" t="s">
        <v>17</v>
      </c>
      <c r="D4344" s="3" t="n">
        <v>46237</v>
      </c>
      <c r="E4344" s="2" t="str">
        <f aca="false">TEXT(D4344,"dddd")</f>
        <v>Monday</v>
      </c>
      <c r="F4344" s="2" t="s">
        <v>457</v>
      </c>
      <c r="G4344" s="2" t="s">
        <v>458</v>
      </c>
      <c r="H4344" s="2" t="s">
        <v>459</v>
      </c>
      <c r="I4344" s="2" t="n">
        <f aca="false">IF(F4344="Present",9,IF(F4344="Half Day",4,0))</f>
        <v>9</v>
      </c>
      <c r="J4344" s="2"/>
      <c r="K4344" s="2"/>
    </row>
    <row r="4345" customFormat="false" ht="15" hidden="false" customHeight="false" outlineLevel="0" collapsed="false">
      <c r="A4345" s="2" t="s">
        <v>329</v>
      </c>
      <c r="B4345" s="2" t="s">
        <v>330</v>
      </c>
      <c r="C4345" s="2" t="s">
        <v>17</v>
      </c>
      <c r="D4345" s="3" t="n">
        <v>46238</v>
      </c>
      <c r="E4345" s="2" t="str">
        <f aca="false">TEXT(D4345,"dddd")</f>
        <v>Tuesday</v>
      </c>
      <c r="F4345" s="2" t="s">
        <v>457</v>
      </c>
      <c r="G4345" s="2" t="s">
        <v>458</v>
      </c>
      <c r="H4345" s="2" t="s">
        <v>459</v>
      </c>
      <c r="I4345" s="2" t="n">
        <f aca="false">IF(F4345="Present",9,IF(F4345="Half Day",4,0))</f>
        <v>9</v>
      </c>
      <c r="J4345" s="2"/>
      <c r="K4345" s="2"/>
    </row>
    <row r="4346" customFormat="false" ht="15" hidden="false" customHeight="false" outlineLevel="0" collapsed="false">
      <c r="A4346" s="2" t="s">
        <v>329</v>
      </c>
      <c r="B4346" s="2" t="s">
        <v>330</v>
      </c>
      <c r="C4346" s="2" t="s">
        <v>17</v>
      </c>
      <c r="D4346" s="3" t="n">
        <v>46239</v>
      </c>
      <c r="E4346" s="2" t="str">
        <f aca="false">TEXT(D4346,"dddd")</f>
        <v>Wednesday</v>
      </c>
      <c r="F4346" s="2" t="s">
        <v>457</v>
      </c>
      <c r="G4346" s="2" t="s">
        <v>458</v>
      </c>
      <c r="H4346" s="2" t="s">
        <v>459</v>
      </c>
      <c r="I4346" s="2" t="n">
        <f aca="false">IF(F4346="Present",9,IF(F4346="Half Day",4,0))</f>
        <v>9</v>
      </c>
      <c r="J4346" s="2"/>
      <c r="K4346" s="2"/>
    </row>
    <row r="4347" customFormat="false" ht="15" hidden="false" customHeight="false" outlineLevel="0" collapsed="false">
      <c r="A4347" s="2" t="s">
        <v>329</v>
      </c>
      <c r="B4347" s="2" t="s">
        <v>330</v>
      </c>
      <c r="C4347" s="2" t="s">
        <v>17</v>
      </c>
      <c r="D4347" s="3" t="n">
        <v>46240</v>
      </c>
      <c r="E4347" s="2" t="str">
        <f aca="false">TEXT(D4347,"dddd")</f>
        <v>Thursday</v>
      </c>
      <c r="F4347" s="2" t="s">
        <v>457</v>
      </c>
      <c r="G4347" s="2" t="s">
        <v>458</v>
      </c>
      <c r="H4347" s="2" t="s">
        <v>459</v>
      </c>
      <c r="I4347" s="2" t="n">
        <f aca="false">IF(F4347="Present",9,IF(F4347="Half Day",4,0))</f>
        <v>9</v>
      </c>
      <c r="J4347" s="2"/>
      <c r="K4347" s="2"/>
    </row>
    <row r="4348" customFormat="false" ht="15" hidden="false" customHeight="false" outlineLevel="0" collapsed="false">
      <c r="A4348" s="2" t="s">
        <v>329</v>
      </c>
      <c r="B4348" s="2" t="s">
        <v>330</v>
      </c>
      <c r="C4348" s="2" t="s">
        <v>17</v>
      </c>
      <c r="D4348" s="3" t="n">
        <v>46241</v>
      </c>
      <c r="E4348" s="2" t="str">
        <f aca="false">TEXT(D4348,"dddd")</f>
        <v>Friday</v>
      </c>
      <c r="F4348" s="2" t="s">
        <v>457</v>
      </c>
      <c r="G4348" s="2" t="s">
        <v>458</v>
      </c>
      <c r="H4348" s="2" t="s">
        <v>459</v>
      </c>
      <c r="I4348" s="2" t="n">
        <f aca="false">IF(F4348="Present",9,IF(F4348="Half Day",4,0))</f>
        <v>9</v>
      </c>
      <c r="J4348" s="2"/>
      <c r="K4348" s="2"/>
    </row>
    <row r="4349" customFormat="false" ht="15" hidden="false" customHeight="false" outlineLevel="0" collapsed="false">
      <c r="A4349" s="2" t="s">
        <v>329</v>
      </c>
      <c r="B4349" s="2" t="s">
        <v>330</v>
      </c>
      <c r="C4349" s="2" t="s">
        <v>17</v>
      </c>
      <c r="D4349" s="3" t="n">
        <v>46242</v>
      </c>
      <c r="E4349" s="2" t="str">
        <f aca="false">TEXT(D4349,"dddd")</f>
        <v>Saturday</v>
      </c>
      <c r="F4349" s="2" t="s">
        <v>457</v>
      </c>
      <c r="G4349" s="2" t="s">
        <v>458</v>
      </c>
      <c r="H4349" s="2" t="s">
        <v>459</v>
      </c>
      <c r="I4349" s="2" t="n">
        <f aca="false">IF(F4349="Present",9,IF(F4349="Half Day",4,0))</f>
        <v>9</v>
      </c>
      <c r="J4349" s="2"/>
      <c r="K4349" s="2"/>
    </row>
    <row r="4350" customFormat="false" ht="15" hidden="false" customHeight="false" outlineLevel="0" collapsed="false">
      <c r="A4350" s="2" t="s">
        <v>329</v>
      </c>
      <c r="B4350" s="2" t="s">
        <v>330</v>
      </c>
      <c r="C4350" s="2" t="s">
        <v>17</v>
      </c>
      <c r="D4350" s="3" t="n">
        <v>46243</v>
      </c>
      <c r="E4350" s="2" t="str">
        <f aca="false">TEXT(D4350,"dddd")</f>
        <v>Sunday</v>
      </c>
      <c r="F4350" s="2" t="s">
        <v>460</v>
      </c>
      <c r="G4350" s="2"/>
      <c r="H4350" s="2"/>
      <c r="I4350" s="2" t="n">
        <f aca="false">IF(F4350="Present",9,IF(F4350="Half Day",4,0))</f>
        <v>0</v>
      </c>
      <c r="J4350" s="2"/>
      <c r="K4350" s="2" t="s">
        <v>460</v>
      </c>
    </row>
    <row r="4351" customFormat="false" ht="15" hidden="false" customHeight="false" outlineLevel="0" collapsed="false">
      <c r="A4351" s="2" t="s">
        <v>329</v>
      </c>
      <c r="B4351" s="2" t="s">
        <v>330</v>
      </c>
      <c r="C4351" s="2" t="s">
        <v>17</v>
      </c>
      <c r="D4351" s="3" t="n">
        <v>46244</v>
      </c>
      <c r="E4351" s="2" t="str">
        <f aca="false">TEXT(D4351,"dddd")</f>
        <v>Monday</v>
      </c>
      <c r="F4351" s="2" t="s">
        <v>457</v>
      </c>
      <c r="G4351" s="2" t="s">
        <v>458</v>
      </c>
      <c r="H4351" s="2" t="s">
        <v>459</v>
      </c>
      <c r="I4351" s="2" t="n">
        <f aca="false">IF(F4351="Present",9,IF(F4351="Half Day",4,0))</f>
        <v>9</v>
      </c>
      <c r="J4351" s="2"/>
      <c r="K4351" s="2"/>
    </row>
    <row r="4352" customFormat="false" ht="15" hidden="false" customHeight="false" outlineLevel="0" collapsed="false">
      <c r="A4352" s="2" t="s">
        <v>329</v>
      </c>
      <c r="B4352" s="2" t="s">
        <v>330</v>
      </c>
      <c r="C4352" s="2" t="s">
        <v>17</v>
      </c>
      <c r="D4352" s="3" t="n">
        <v>46245</v>
      </c>
      <c r="E4352" s="2" t="str">
        <f aca="false">TEXT(D4352,"dddd")</f>
        <v>Tuesday</v>
      </c>
      <c r="F4352" s="2" t="s">
        <v>457</v>
      </c>
      <c r="G4352" s="2" t="s">
        <v>458</v>
      </c>
      <c r="H4352" s="2" t="s">
        <v>459</v>
      </c>
      <c r="I4352" s="2" t="n">
        <f aca="false">IF(F4352="Present",9,IF(F4352="Half Day",4,0))</f>
        <v>9</v>
      </c>
      <c r="J4352" s="2"/>
      <c r="K4352" s="2"/>
    </row>
    <row r="4353" customFormat="false" ht="15" hidden="false" customHeight="false" outlineLevel="0" collapsed="false">
      <c r="A4353" s="2" t="s">
        <v>329</v>
      </c>
      <c r="B4353" s="2" t="s">
        <v>330</v>
      </c>
      <c r="C4353" s="2" t="s">
        <v>17</v>
      </c>
      <c r="D4353" s="3" t="n">
        <v>46246</v>
      </c>
      <c r="E4353" s="2" t="str">
        <f aca="false">TEXT(D4353,"dddd")</f>
        <v>Wednesday</v>
      </c>
      <c r="F4353" s="2" t="s">
        <v>457</v>
      </c>
      <c r="G4353" s="2" t="s">
        <v>458</v>
      </c>
      <c r="H4353" s="2" t="s">
        <v>459</v>
      </c>
      <c r="I4353" s="2" t="n">
        <f aca="false">IF(F4353="Present",9,IF(F4353="Half Day",4,0))</f>
        <v>9</v>
      </c>
      <c r="J4353" s="2"/>
      <c r="K4353" s="2"/>
    </row>
    <row r="4354" customFormat="false" ht="15" hidden="false" customHeight="false" outlineLevel="0" collapsed="false">
      <c r="A4354" s="2" t="s">
        <v>329</v>
      </c>
      <c r="B4354" s="2" t="s">
        <v>330</v>
      </c>
      <c r="C4354" s="2" t="s">
        <v>17</v>
      </c>
      <c r="D4354" s="3" t="n">
        <v>46247</v>
      </c>
      <c r="E4354" s="2" t="str">
        <f aca="false">TEXT(D4354,"dddd")</f>
        <v>Thursday</v>
      </c>
      <c r="F4354" s="2" t="s">
        <v>457</v>
      </c>
      <c r="G4354" s="2" t="s">
        <v>458</v>
      </c>
      <c r="H4354" s="2" t="s">
        <v>459</v>
      </c>
      <c r="I4354" s="2" t="n">
        <f aca="false">IF(F4354="Present",9,IF(F4354="Half Day",4,0))</f>
        <v>9</v>
      </c>
      <c r="J4354" s="2"/>
      <c r="K4354" s="2"/>
    </row>
    <row r="4355" customFormat="false" ht="15" hidden="false" customHeight="false" outlineLevel="0" collapsed="false">
      <c r="A4355" s="2" t="s">
        <v>329</v>
      </c>
      <c r="B4355" s="2" t="s">
        <v>330</v>
      </c>
      <c r="C4355" s="2" t="s">
        <v>17</v>
      </c>
      <c r="D4355" s="3" t="n">
        <v>46248</v>
      </c>
      <c r="E4355" s="2" t="str">
        <f aca="false">TEXT(D4355,"dddd")</f>
        <v>Friday</v>
      </c>
      <c r="F4355" s="2" t="s">
        <v>457</v>
      </c>
      <c r="G4355" s="2" t="s">
        <v>458</v>
      </c>
      <c r="H4355" s="2" t="s">
        <v>459</v>
      </c>
      <c r="I4355" s="2" t="n">
        <f aca="false">IF(F4355="Present",9,IF(F4355="Half Day",4,0))</f>
        <v>9</v>
      </c>
      <c r="J4355" s="2"/>
      <c r="K4355" s="2"/>
    </row>
    <row r="4356" customFormat="false" ht="15" hidden="false" customHeight="false" outlineLevel="0" collapsed="false">
      <c r="A4356" s="2" t="s">
        <v>329</v>
      </c>
      <c r="B4356" s="2" t="s">
        <v>330</v>
      </c>
      <c r="C4356" s="2" t="s">
        <v>17</v>
      </c>
      <c r="D4356" s="3" t="n">
        <v>46249</v>
      </c>
      <c r="E4356" s="2" t="str">
        <f aca="false">TEXT(D4356,"dddd")</f>
        <v>Saturday</v>
      </c>
      <c r="F4356" s="2" t="s">
        <v>457</v>
      </c>
      <c r="G4356" s="2" t="s">
        <v>458</v>
      </c>
      <c r="H4356" s="2" t="s">
        <v>459</v>
      </c>
      <c r="I4356" s="2" t="n">
        <f aca="false">IF(F4356="Present",9,IF(F4356="Half Day",4,0))</f>
        <v>9</v>
      </c>
      <c r="J4356" s="2"/>
      <c r="K4356" s="2"/>
    </row>
    <row r="4357" customFormat="false" ht="15" hidden="false" customHeight="false" outlineLevel="0" collapsed="false">
      <c r="A4357" s="2" t="s">
        <v>329</v>
      </c>
      <c r="B4357" s="2" t="s">
        <v>330</v>
      </c>
      <c r="C4357" s="2" t="s">
        <v>17</v>
      </c>
      <c r="D4357" s="3" t="n">
        <v>46250</v>
      </c>
      <c r="E4357" s="2" t="str">
        <f aca="false">TEXT(D4357,"dddd")</f>
        <v>Sunday</v>
      </c>
      <c r="F4357" s="2" t="s">
        <v>460</v>
      </c>
      <c r="G4357" s="2"/>
      <c r="H4357" s="2"/>
      <c r="I4357" s="2" t="n">
        <f aca="false">IF(F4357="Present",9,IF(F4357="Half Day",4,0))</f>
        <v>0</v>
      </c>
      <c r="J4357" s="2"/>
      <c r="K4357" s="2" t="s">
        <v>460</v>
      </c>
    </row>
    <row r="4358" customFormat="false" ht="15" hidden="false" customHeight="false" outlineLevel="0" collapsed="false">
      <c r="A4358" s="2" t="s">
        <v>329</v>
      </c>
      <c r="B4358" s="2" t="s">
        <v>330</v>
      </c>
      <c r="C4358" s="2" t="s">
        <v>17</v>
      </c>
      <c r="D4358" s="3" t="n">
        <v>46251</v>
      </c>
      <c r="E4358" s="2" t="str">
        <f aca="false">TEXT(D4358,"dddd")</f>
        <v>Monday</v>
      </c>
      <c r="F4358" s="2" t="s">
        <v>457</v>
      </c>
      <c r="G4358" s="2" t="s">
        <v>458</v>
      </c>
      <c r="H4358" s="2" t="s">
        <v>459</v>
      </c>
      <c r="I4358" s="2" t="n">
        <f aca="false">IF(F4358="Present",9,IF(F4358="Half Day",4,0))</f>
        <v>9</v>
      </c>
      <c r="J4358" s="2"/>
      <c r="K4358" s="2"/>
    </row>
    <row r="4359" customFormat="false" ht="15" hidden="false" customHeight="false" outlineLevel="0" collapsed="false">
      <c r="A4359" s="2" t="s">
        <v>329</v>
      </c>
      <c r="B4359" s="2" t="s">
        <v>330</v>
      </c>
      <c r="C4359" s="2" t="s">
        <v>17</v>
      </c>
      <c r="D4359" s="3" t="n">
        <v>46252</v>
      </c>
      <c r="E4359" s="2" t="str">
        <f aca="false">TEXT(D4359,"dddd")</f>
        <v>Tuesday</v>
      </c>
      <c r="F4359" s="2" t="s">
        <v>457</v>
      </c>
      <c r="G4359" s="2" t="s">
        <v>458</v>
      </c>
      <c r="H4359" s="2" t="s">
        <v>459</v>
      </c>
      <c r="I4359" s="2" t="n">
        <f aca="false">IF(F4359="Present",9,IF(F4359="Half Day",4,0))</f>
        <v>9</v>
      </c>
      <c r="J4359" s="2"/>
      <c r="K4359" s="2"/>
    </row>
    <row r="4360" customFormat="false" ht="15" hidden="false" customHeight="false" outlineLevel="0" collapsed="false">
      <c r="A4360" s="2" t="s">
        <v>329</v>
      </c>
      <c r="B4360" s="2" t="s">
        <v>330</v>
      </c>
      <c r="C4360" s="2" t="s">
        <v>17</v>
      </c>
      <c r="D4360" s="3" t="n">
        <v>46253</v>
      </c>
      <c r="E4360" s="2" t="str">
        <f aca="false">TEXT(D4360,"dddd")</f>
        <v>Wednesday</v>
      </c>
      <c r="F4360" s="2" t="s">
        <v>457</v>
      </c>
      <c r="G4360" s="2" t="s">
        <v>458</v>
      </c>
      <c r="H4360" s="2" t="s">
        <v>459</v>
      </c>
      <c r="I4360" s="2" t="n">
        <f aca="false">IF(F4360="Present",9,IF(F4360="Half Day",4,0))</f>
        <v>9</v>
      </c>
      <c r="J4360" s="2"/>
      <c r="K4360" s="2"/>
    </row>
    <row r="4361" customFormat="false" ht="15" hidden="false" customHeight="false" outlineLevel="0" collapsed="false">
      <c r="A4361" s="2" t="s">
        <v>329</v>
      </c>
      <c r="B4361" s="2" t="s">
        <v>330</v>
      </c>
      <c r="C4361" s="2" t="s">
        <v>17</v>
      </c>
      <c r="D4361" s="3" t="n">
        <v>46254</v>
      </c>
      <c r="E4361" s="2" t="str">
        <f aca="false">TEXT(D4361,"dddd")</f>
        <v>Thursday</v>
      </c>
      <c r="F4361" s="2" t="s">
        <v>457</v>
      </c>
      <c r="G4361" s="2" t="s">
        <v>458</v>
      </c>
      <c r="H4361" s="2" t="s">
        <v>459</v>
      </c>
      <c r="I4361" s="2" t="n">
        <f aca="false">IF(F4361="Present",9,IF(F4361="Half Day",4,0))</f>
        <v>9</v>
      </c>
      <c r="J4361" s="2"/>
      <c r="K4361" s="2"/>
    </row>
    <row r="4362" customFormat="false" ht="15" hidden="false" customHeight="false" outlineLevel="0" collapsed="false">
      <c r="A4362" s="2" t="s">
        <v>329</v>
      </c>
      <c r="B4362" s="2" t="s">
        <v>330</v>
      </c>
      <c r="C4362" s="2" t="s">
        <v>17</v>
      </c>
      <c r="D4362" s="3" t="n">
        <v>46255</v>
      </c>
      <c r="E4362" s="2" t="str">
        <f aca="false">TEXT(D4362,"dddd")</f>
        <v>Friday</v>
      </c>
      <c r="F4362" s="2" t="s">
        <v>457</v>
      </c>
      <c r="G4362" s="2" t="s">
        <v>458</v>
      </c>
      <c r="H4362" s="2" t="s">
        <v>459</v>
      </c>
      <c r="I4362" s="2" t="n">
        <f aca="false">IF(F4362="Present",9,IF(F4362="Half Day",4,0))</f>
        <v>9</v>
      </c>
      <c r="J4362" s="2"/>
      <c r="K4362" s="2"/>
    </row>
    <row r="4363" customFormat="false" ht="15" hidden="false" customHeight="false" outlineLevel="0" collapsed="false">
      <c r="A4363" s="2" t="s">
        <v>329</v>
      </c>
      <c r="B4363" s="2" t="s">
        <v>330</v>
      </c>
      <c r="C4363" s="2" t="s">
        <v>17</v>
      </c>
      <c r="D4363" s="3" t="n">
        <v>46256</v>
      </c>
      <c r="E4363" s="2" t="str">
        <f aca="false">TEXT(D4363,"dddd")</f>
        <v>Saturday</v>
      </c>
      <c r="F4363" s="2" t="s">
        <v>457</v>
      </c>
      <c r="G4363" s="2" t="s">
        <v>458</v>
      </c>
      <c r="H4363" s="2" t="s">
        <v>459</v>
      </c>
      <c r="I4363" s="2" t="n">
        <f aca="false">IF(F4363="Present",9,IF(F4363="Half Day",4,0))</f>
        <v>9</v>
      </c>
      <c r="J4363" s="2"/>
      <c r="K4363" s="2"/>
    </row>
    <row r="4364" customFormat="false" ht="15" hidden="false" customHeight="false" outlineLevel="0" collapsed="false">
      <c r="A4364" s="2" t="s">
        <v>329</v>
      </c>
      <c r="B4364" s="2" t="s">
        <v>330</v>
      </c>
      <c r="C4364" s="2" t="s">
        <v>17</v>
      </c>
      <c r="D4364" s="3" t="n">
        <v>46257</v>
      </c>
      <c r="E4364" s="2" t="str">
        <f aca="false">TEXT(D4364,"dddd")</f>
        <v>Sunday</v>
      </c>
      <c r="F4364" s="2" t="s">
        <v>460</v>
      </c>
      <c r="G4364" s="2"/>
      <c r="H4364" s="2"/>
      <c r="I4364" s="2" t="n">
        <f aca="false">IF(F4364="Present",9,IF(F4364="Half Day",4,0))</f>
        <v>0</v>
      </c>
      <c r="J4364" s="2"/>
      <c r="K4364" s="2" t="s">
        <v>460</v>
      </c>
    </row>
    <row r="4365" customFormat="false" ht="15" hidden="false" customHeight="false" outlineLevel="0" collapsed="false">
      <c r="A4365" s="2" t="s">
        <v>329</v>
      </c>
      <c r="B4365" s="2" t="s">
        <v>330</v>
      </c>
      <c r="C4365" s="2" t="s">
        <v>17</v>
      </c>
      <c r="D4365" s="3" t="n">
        <v>46258</v>
      </c>
      <c r="E4365" s="2" t="str">
        <f aca="false">TEXT(D4365,"dddd")</f>
        <v>Monday</v>
      </c>
      <c r="F4365" s="2" t="s">
        <v>457</v>
      </c>
      <c r="G4365" s="2" t="s">
        <v>458</v>
      </c>
      <c r="H4365" s="2" t="s">
        <v>459</v>
      </c>
      <c r="I4365" s="2" t="n">
        <f aca="false">IF(F4365="Present",9,IF(F4365="Half Day",4,0))</f>
        <v>9</v>
      </c>
      <c r="J4365" s="2"/>
      <c r="K4365" s="2"/>
    </row>
    <row r="4366" customFormat="false" ht="15" hidden="false" customHeight="false" outlineLevel="0" collapsed="false">
      <c r="A4366" s="2" t="s">
        <v>329</v>
      </c>
      <c r="B4366" s="2" t="s">
        <v>330</v>
      </c>
      <c r="C4366" s="2" t="s">
        <v>17</v>
      </c>
      <c r="D4366" s="3" t="n">
        <v>46259</v>
      </c>
      <c r="E4366" s="2" t="str">
        <f aca="false">TEXT(D4366,"dddd")</f>
        <v>Tuesday</v>
      </c>
      <c r="F4366" s="2" t="s">
        <v>457</v>
      </c>
      <c r="G4366" s="2" t="s">
        <v>458</v>
      </c>
      <c r="H4366" s="2" t="s">
        <v>459</v>
      </c>
      <c r="I4366" s="2" t="n">
        <f aca="false">IF(F4366="Present",9,IF(F4366="Half Day",4,0))</f>
        <v>9</v>
      </c>
      <c r="J4366" s="2"/>
      <c r="K4366" s="2"/>
    </row>
    <row r="4367" customFormat="false" ht="15" hidden="false" customHeight="false" outlineLevel="0" collapsed="false">
      <c r="A4367" s="2" t="s">
        <v>329</v>
      </c>
      <c r="B4367" s="2" t="s">
        <v>330</v>
      </c>
      <c r="C4367" s="2" t="s">
        <v>17</v>
      </c>
      <c r="D4367" s="3" t="n">
        <v>46260</v>
      </c>
      <c r="E4367" s="2" t="str">
        <f aca="false">TEXT(D4367,"dddd")</f>
        <v>Wednesday</v>
      </c>
      <c r="F4367" s="2" t="s">
        <v>457</v>
      </c>
      <c r="G4367" s="2" t="s">
        <v>458</v>
      </c>
      <c r="H4367" s="2" t="s">
        <v>459</v>
      </c>
      <c r="I4367" s="2" t="n">
        <f aca="false">IF(F4367="Present",9,IF(F4367="Half Day",4,0))</f>
        <v>9</v>
      </c>
      <c r="J4367" s="2"/>
      <c r="K4367" s="2"/>
    </row>
    <row r="4368" customFormat="false" ht="15" hidden="false" customHeight="false" outlineLevel="0" collapsed="false">
      <c r="A4368" s="2" t="s">
        <v>329</v>
      </c>
      <c r="B4368" s="2" t="s">
        <v>330</v>
      </c>
      <c r="C4368" s="2" t="s">
        <v>17</v>
      </c>
      <c r="D4368" s="3" t="n">
        <v>46261</v>
      </c>
      <c r="E4368" s="2" t="str">
        <f aca="false">TEXT(D4368,"dddd")</f>
        <v>Thursday</v>
      </c>
      <c r="F4368" s="2" t="s">
        <v>457</v>
      </c>
      <c r="G4368" s="2" t="s">
        <v>458</v>
      </c>
      <c r="H4368" s="2" t="s">
        <v>459</v>
      </c>
      <c r="I4368" s="2" t="n">
        <f aca="false">IF(F4368="Present",9,IF(F4368="Half Day",4,0))</f>
        <v>9</v>
      </c>
      <c r="J4368" s="2"/>
      <c r="K4368" s="2"/>
    </row>
    <row r="4369" customFormat="false" ht="15" hidden="false" customHeight="false" outlineLevel="0" collapsed="false">
      <c r="A4369" s="2" t="s">
        <v>329</v>
      </c>
      <c r="B4369" s="2" t="s">
        <v>330</v>
      </c>
      <c r="C4369" s="2" t="s">
        <v>17</v>
      </c>
      <c r="D4369" s="3" t="n">
        <v>46262</v>
      </c>
      <c r="E4369" s="2" t="str">
        <f aca="false">TEXT(D4369,"dddd")</f>
        <v>Friday</v>
      </c>
      <c r="F4369" s="2" t="s">
        <v>457</v>
      </c>
      <c r="G4369" s="2" t="s">
        <v>458</v>
      </c>
      <c r="H4369" s="2" t="s">
        <v>459</v>
      </c>
      <c r="I4369" s="2" t="n">
        <f aca="false">IF(F4369="Present",9,IF(F4369="Half Day",4,0))</f>
        <v>9</v>
      </c>
      <c r="J4369" s="2"/>
      <c r="K4369" s="2"/>
    </row>
    <row r="4370" customFormat="false" ht="15" hidden="false" customHeight="false" outlineLevel="0" collapsed="false">
      <c r="A4370" s="2" t="s">
        <v>329</v>
      </c>
      <c r="B4370" s="2" t="s">
        <v>330</v>
      </c>
      <c r="C4370" s="2" t="s">
        <v>17</v>
      </c>
      <c r="D4370" s="3" t="n">
        <v>46263</v>
      </c>
      <c r="E4370" s="2" t="str">
        <f aca="false">TEXT(D4370,"dddd")</f>
        <v>Saturday</v>
      </c>
      <c r="F4370" s="2" t="s">
        <v>457</v>
      </c>
      <c r="G4370" s="2" t="s">
        <v>458</v>
      </c>
      <c r="H4370" s="2" t="s">
        <v>459</v>
      </c>
      <c r="I4370" s="2" t="n">
        <f aca="false">IF(F4370="Present",9,IF(F4370="Half Day",4,0))</f>
        <v>9</v>
      </c>
      <c r="J4370" s="2"/>
      <c r="K4370" s="2"/>
    </row>
    <row r="4371" customFormat="false" ht="15" hidden="false" customHeight="false" outlineLevel="0" collapsed="false">
      <c r="A4371" s="2" t="s">
        <v>329</v>
      </c>
      <c r="B4371" s="2" t="s">
        <v>330</v>
      </c>
      <c r="C4371" s="2" t="s">
        <v>17</v>
      </c>
      <c r="D4371" s="3" t="n">
        <v>46264</v>
      </c>
      <c r="E4371" s="2" t="str">
        <f aca="false">TEXT(D4371,"dddd")</f>
        <v>Sunday</v>
      </c>
      <c r="F4371" s="2" t="s">
        <v>460</v>
      </c>
      <c r="G4371" s="2"/>
      <c r="H4371" s="2"/>
      <c r="I4371" s="2" t="n">
        <f aca="false">IF(F4371="Present",9,IF(F4371="Half Day",4,0))</f>
        <v>0</v>
      </c>
      <c r="J4371" s="2"/>
      <c r="K4371" s="2" t="s">
        <v>460</v>
      </c>
    </row>
    <row r="4372" customFormat="false" ht="15" hidden="false" customHeight="false" outlineLevel="0" collapsed="false">
      <c r="A4372" s="2" t="s">
        <v>329</v>
      </c>
      <c r="B4372" s="2" t="s">
        <v>330</v>
      </c>
      <c r="C4372" s="2" t="s">
        <v>17</v>
      </c>
      <c r="D4372" s="3" t="n">
        <v>46265</v>
      </c>
      <c r="E4372" s="2" t="str">
        <f aca="false">TEXT(D4372,"dddd")</f>
        <v>Monday</v>
      </c>
      <c r="F4372" s="2" t="s">
        <v>457</v>
      </c>
      <c r="G4372" s="2" t="s">
        <v>458</v>
      </c>
      <c r="H4372" s="2" t="s">
        <v>459</v>
      </c>
      <c r="I4372" s="2" t="n">
        <f aca="false">IF(F4372="Present",9,IF(F4372="Half Day",4,0))</f>
        <v>9</v>
      </c>
      <c r="J4372" s="2"/>
      <c r="K4372" s="2"/>
    </row>
    <row r="4373" customFormat="false" ht="15" hidden="false" customHeight="false" outlineLevel="0" collapsed="false">
      <c r="A4373" s="2" t="s">
        <v>331</v>
      </c>
      <c r="B4373" s="2" t="s">
        <v>332</v>
      </c>
      <c r="C4373" s="2" t="s">
        <v>24</v>
      </c>
      <c r="D4373" s="3" t="n">
        <v>46235</v>
      </c>
      <c r="E4373" s="2" t="str">
        <f aca="false">TEXT(D4373,"dddd")</f>
        <v>Saturday</v>
      </c>
      <c r="F4373" s="2" t="s">
        <v>463</v>
      </c>
      <c r="G4373" s="2"/>
      <c r="H4373" s="2"/>
      <c r="I4373" s="2" t="n">
        <f aca="false">IF(F4373="Present",9,IF(F4373="Half Day",4,0))</f>
        <v>0</v>
      </c>
      <c r="J4373" s="2" t="s">
        <v>474</v>
      </c>
      <c r="K4373" s="2" t="s">
        <v>475</v>
      </c>
    </row>
    <row r="4374" customFormat="false" ht="15" hidden="false" customHeight="false" outlineLevel="0" collapsed="false">
      <c r="A4374" s="2" t="s">
        <v>331</v>
      </c>
      <c r="B4374" s="2" t="s">
        <v>332</v>
      </c>
      <c r="C4374" s="2" t="s">
        <v>24</v>
      </c>
      <c r="D4374" s="3" t="n">
        <v>46236</v>
      </c>
      <c r="E4374" s="2" t="str">
        <f aca="false">TEXT(D4374,"dddd")</f>
        <v>Sunday</v>
      </c>
      <c r="F4374" s="2" t="s">
        <v>460</v>
      </c>
      <c r="G4374" s="2"/>
      <c r="H4374" s="2"/>
      <c r="I4374" s="2" t="n">
        <f aca="false">IF(F4374="Present",9,IF(F4374="Half Day",4,0))</f>
        <v>0</v>
      </c>
      <c r="J4374" s="2"/>
      <c r="K4374" s="2" t="s">
        <v>460</v>
      </c>
    </row>
    <row r="4375" customFormat="false" ht="15" hidden="false" customHeight="false" outlineLevel="0" collapsed="false">
      <c r="A4375" s="2" t="s">
        <v>331</v>
      </c>
      <c r="B4375" s="2" t="s">
        <v>332</v>
      </c>
      <c r="C4375" s="2" t="s">
        <v>24</v>
      </c>
      <c r="D4375" s="3" t="n">
        <v>46237</v>
      </c>
      <c r="E4375" s="2" t="str">
        <f aca="false">TEXT(D4375,"dddd")</f>
        <v>Monday</v>
      </c>
      <c r="F4375" s="2" t="s">
        <v>457</v>
      </c>
      <c r="G4375" s="2" t="s">
        <v>458</v>
      </c>
      <c r="H4375" s="2" t="s">
        <v>459</v>
      </c>
      <c r="I4375" s="2" t="n">
        <f aca="false">IF(F4375="Present",9,IF(F4375="Half Day",4,0))</f>
        <v>9</v>
      </c>
      <c r="J4375" s="2"/>
      <c r="K4375" s="2"/>
    </row>
    <row r="4376" customFormat="false" ht="15" hidden="false" customHeight="false" outlineLevel="0" collapsed="false">
      <c r="A4376" s="2" t="s">
        <v>331</v>
      </c>
      <c r="B4376" s="2" t="s">
        <v>332</v>
      </c>
      <c r="C4376" s="2" t="s">
        <v>24</v>
      </c>
      <c r="D4376" s="3" t="n">
        <v>46238</v>
      </c>
      <c r="E4376" s="2" t="str">
        <f aca="false">TEXT(D4376,"dddd")</f>
        <v>Tuesday</v>
      </c>
      <c r="F4376" s="2" t="s">
        <v>461</v>
      </c>
      <c r="G4376" s="2"/>
      <c r="H4376" s="2"/>
      <c r="I4376" s="2" t="n">
        <f aca="false">IF(F4376="Present",9,IF(F4376="Half Day",4,0))</f>
        <v>0</v>
      </c>
      <c r="J4376" s="2"/>
      <c r="K4376" s="2" t="s">
        <v>462</v>
      </c>
    </row>
    <row r="4377" customFormat="false" ht="15" hidden="false" customHeight="false" outlineLevel="0" collapsed="false">
      <c r="A4377" s="2" t="s">
        <v>331</v>
      </c>
      <c r="B4377" s="2" t="s">
        <v>332</v>
      </c>
      <c r="C4377" s="2" t="s">
        <v>24</v>
      </c>
      <c r="D4377" s="3" t="n">
        <v>46239</v>
      </c>
      <c r="E4377" s="2" t="str">
        <f aca="false">TEXT(D4377,"dddd")</f>
        <v>Wednesday</v>
      </c>
      <c r="F4377" s="2" t="s">
        <v>461</v>
      </c>
      <c r="G4377" s="2"/>
      <c r="H4377" s="2"/>
      <c r="I4377" s="2" t="n">
        <f aca="false">IF(F4377="Present",9,IF(F4377="Half Day",4,0))</f>
        <v>0</v>
      </c>
      <c r="J4377" s="2"/>
      <c r="K4377" s="2" t="s">
        <v>462</v>
      </c>
    </row>
    <row r="4378" customFormat="false" ht="15" hidden="false" customHeight="false" outlineLevel="0" collapsed="false">
      <c r="A4378" s="2" t="s">
        <v>331</v>
      </c>
      <c r="B4378" s="2" t="s">
        <v>332</v>
      </c>
      <c r="C4378" s="2" t="s">
        <v>24</v>
      </c>
      <c r="D4378" s="3" t="n">
        <v>46240</v>
      </c>
      <c r="E4378" s="2" t="str">
        <f aca="false">TEXT(D4378,"dddd")</f>
        <v>Thursday</v>
      </c>
      <c r="F4378" s="2" t="s">
        <v>461</v>
      </c>
      <c r="G4378" s="2"/>
      <c r="H4378" s="2"/>
      <c r="I4378" s="2" t="n">
        <f aca="false">IF(F4378="Present",9,IF(F4378="Half Day",4,0))</f>
        <v>0</v>
      </c>
      <c r="J4378" s="2"/>
      <c r="K4378" s="2" t="s">
        <v>462</v>
      </c>
    </row>
    <row r="4379" customFormat="false" ht="15" hidden="false" customHeight="false" outlineLevel="0" collapsed="false">
      <c r="A4379" s="2" t="s">
        <v>331</v>
      </c>
      <c r="B4379" s="2" t="s">
        <v>332</v>
      </c>
      <c r="C4379" s="2" t="s">
        <v>24</v>
      </c>
      <c r="D4379" s="3" t="n">
        <v>46241</v>
      </c>
      <c r="E4379" s="2" t="str">
        <f aca="false">TEXT(D4379,"dddd")</f>
        <v>Friday</v>
      </c>
      <c r="F4379" s="2" t="s">
        <v>457</v>
      </c>
      <c r="G4379" s="2" t="s">
        <v>458</v>
      </c>
      <c r="H4379" s="2" t="s">
        <v>459</v>
      </c>
      <c r="I4379" s="2" t="n">
        <f aca="false">IF(F4379="Present",9,IF(F4379="Half Day",4,0))</f>
        <v>9</v>
      </c>
      <c r="J4379" s="2"/>
      <c r="K4379" s="2"/>
    </row>
    <row r="4380" customFormat="false" ht="15" hidden="false" customHeight="false" outlineLevel="0" collapsed="false">
      <c r="A4380" s="2" t="s">
        <v>331</v>
      </c>
      <c r="B4380" s="2" t="s">
        <v>332</v>
      </c>
      <c r="C4380" s="2" t="s">
        <v>24</v>
      </c>
      <c r="D4380" s="3" t="n">
        <v>46242</v>
      </c>
      <c r="E4380" s="2" t="str">
        <f aca="false">TEXT(D4380,"dddd")</f>
        <v>Saturday</v>
      </c>
      <c r="F4380" s="2" t="s">
        <v>457</v>
      </c>
      <c r="G4380" s="2" t="s">
        <v>458</v>
      </c>
      <c r="H4380" s="2" t="s">
        <v>459</v>
      </c>
      <c r="I4380" s="2" t="n">
        <f aca="false">IF(F4380="Present",9,IF(F4380="Half Day",4,0))</f>
        <v>9</v>
      </c>
      <c r="J4380" s="2"/>
      <c r="K4380" s="2"/>
    </row>
    <row r="4381" customFormat="false" ht="15" hidden="false" customHeight="false" outlineLevel="0" collapsed="false">
      <c r="A4381" s="2" t="s">
        <v>331</v>
      </c>
      <c r="B4381" s="2" t="s">
        <v>332</v>
      </c>
      <c r="C4381" s="2" t="s">
        <v>24</v>
      </c>
      <c r="D4381" s="3" t="n">
        <v>46243</v>
      </c>
      <c r="E4381" s="2" t="str">
        <f aca="false">TEXT(D4381,"dddd")</f>
        <v>Sunday</v>
      </c>
      <c r="F4381" s="2" t="s">
        <v>460</v>
      </c>
      <c r="G4381" s="2"/>
      <c r="H4381" s="2"/>
      <c r="I4381" s="2" t="n">
        <f aca="false">IF(F4381="Present",9,IF(F4381="Half Day",4,0))</f>
        <v>0</v>
      </c>
      <c r="J4381" s="2"/>
      <c r="K4381" s="2" t="s">
        <v>460</v>
      </c>
    </row>
    <row r="4382" customFormat="false" ht="15" hidden="false" customHeight="false" outlineLevel="0" collapsed="false">
      <c r="A4382" s="2" t="s">
        <v>331</v>
      </c>
      <c r="B4382" s="2" t="s">
        <v>332</v>
      </c>
      <c r="C4382" s="2" t="s">
        <v>24</v>
      </c>
      <c r="D4382" s="3" t="n">
        <v>46244</v>
      </c>
      <c r="E4382" s="2" t="str">
        <f aca="false">TEXT(D4382,"dddd")</f>
        <v>Monday</v>
      </c>
      <c r="F4382" s="2" t="s">
        <v>457</v>
      </c>
      <c r="G4382" s="2" t="s">
        <v>458</v>
      </c>
      <c r="H4382" s="2" t="s">
        <v>459</v>
      </c>
      <c r="I4382" s="2" t="n">
        <f aca="false">IF(F4382="Present",9,IF(F4382="Half Day",4,0))</f>
        <v>9</v>
      </c>
      <c r="J4382" s="2"/>
      <c r="K4382" s="2"/>
    </row>
    <row r="4383" customFormat="false" ht="15" hidden="false" customHeight="false" outlineLevel="0" collapsed="false">
      <c r="A4383" s="2" t="s">
        <v>331</v>
      </c>
      <c r="B4383" s="2" t="s">
        <v>332</v>
      </c>
      <c r="C4383" s="2" t="s">
        <v>24</v>
      </c>
      <c r="D4383" s="3" t="n">
        <v>46245</v>
      </c>
      <c r="E4383" s="2" t="str">
        <f aca="false">TEXT(D4383,"dddd")</f>
        <v>Tuesday</v>
      </c>
      <c r="F4383" s="2" t="s">
        <v>457</v>
      </c>
      <c r="G4383" s="2" t="s">
        <v>458</v>
      </c>
      <c r="H4383" s="2" t="s">
        <v>459</v>
      </c>
      <c r="I4383" s="2" t="n">
        <f aca="false">IF(F4383="Present",9,IF(F4383="Half Day",4,0))</f>
        <v>9</v>
      </c>
      <c r="J4383" s="2"/>
      <c r="K4383" s="2"/>
    </row>
    <row r="4384" customFormat="false" ht="15" hidden="false" customHeight="false" outlineLevel="0" collapsed="false">
      <c r="A4384" s="2" t="s">
        <v>331</v>
      </c>
      <c r="B4384" s="2" t="s">
        <v>332</v>
      </c>
      <c r="C4384" s="2" t="s">
        <v>24</v>
      </c>
      <c r="D4384" s="3" t="n">
        <v>46246</v>
      </c>
      <c r="E4384" s="2" t="str">
        <f aca="false">TEXT(D4384,"dddd")</f>
        <v>Wednesday</v>
      </c>
      <c r="F4384" s="2" t="s">
        <v>461</v>
      </c>
      <c r="G4384" s="2"/>
      <c r="H4384" s="2"/>
      <c r="I4384" s="2" t="n">
        <f aca="false">IF(F4384="Present",9,IF(F4384="Half Day",4,0))</f>
        <v>0</v>
      </c>
      <c r="J4384" s="2"/>
      <c r="K4384" s="2" t="s">
        <v>462</v>
      </c>
    </row>
    <row r="4385" customFormat="false" ht="15" hidden="false" customHeight="false" outlineLevel="0" collapsed="false">
      <c r="A4385" s="2" t="s">
        <v>331</v>
      </c>
      <c r="B4385" s="2" t="s">
        <v>332</v>
      </c>
      <c r="C4385" s="2" t="s">
        <v>24</v>
      </c>
      <c r="D4385" s="3" t="n">
        <v>46247</v>
      </c>
      <c r="E4385" s="2" t="str">
        <f aca="false">TEXT(D4385,"dddd")</f>
        <v>Thursday</v>
      </c>
      <c r="F4385" s="2" t="s">
        <v>457</v>
      </c>
      <c r="G4385" s="2" t="s">
        <v>458</v>
      </c>
      <c r="H4385" s="2" t="s">
        <v>459</v>
      </c>
      <c r="I4385" s="2" t="n">
        <f aca="false">IF(F4385="Present",9,IF(F4385="Half Day",4,0))</f>
        <v>9</v>
      </c>
      <c r="J4385" s="2"/>
      <c r="K4385" s="2"/>
    </row>
    <row r="4386" customFormat="false" ht="15" hidden="false" customHeight="false" outlineLevel="0" collapsed="false">
      <c r="A4386" s="2" t="s">
        <v>331</v>
      </c>
      <c r="B4386" s="2" t="s">
        <v>332</v>
      </c>
      <c r="C4386" s="2" t="s">
        <v>24</v>
      </c>
      <c r="D4386" s="3" t="n">
        <v>46248</v>
      </c>
      <c r="E4386" s="2" t="str">
        <f aca="false">TEXT(D4386,"dddd")</f>
        <v>Friday</v>
      </c>
      <c r="F4386" s="2" t="s">
        <v>457</v>
      </c>
      <c r="G4386" s="2" t="s">
        <v>458</v>
      </c>
      <c r="H4386" s="2" t="s">
        <v>459</v>
      </c>
      <c r="I4386" s="2" t="n">
        <f aca="false">IF(F4386="Present",9,IF(F4386="Half Day",4,0))</f>
        <v>9</v>
      </c>
      <c r="J4386" s="2"/>
      <c r="K4386" s="2"/>
    </row>
    <row r="4387" customFormat="false" ht="15" hidden="false" customHeight="false" outlineLevel="0" collapsed="false">
      <c r="A4387" s="2" t="s">
        <v>331</v>
      </c>
      <c r="B4387" s="2" t="s">
        <v>332</v>
      </c>
      <c r="C4387" s="2" t="s">
        <v>24</v>
      </c>
      <c r="D4387" s="3" t="n">
        <v>46249</v>
      </c>
      <c r="E4387" s="2" t="str">
        <f aca="false">TEXT(D4387,"dddd")</f>
        <v>Saturday</v>
      </c>
      <c r="F4387" s="2" t="s">
        <v>457</v>
      </c>
      <c r="G4387" s="2" t="s">
        <v>458</v>
      </c>
      <c r="H4387" s="2" t="s">
        <v>459</v>
      </c>
      <c r="I4387" s="2" t="n">
        <f aca="false">IF(F4387="Present",9,IF(F4387="Half Day",4,0))</f>
        <v>9</v>
      </c>
      <c r="J4387" s="2"/>
      <c r="K4387" s="2"/>
    </row>
    <row r="4388" customFormat="false" ht="15" hidden="false" customHeight="false" outlineLevel="0" collapsed="false">
      <c r="A4388" s="2" t="s">
        <v>331</v>
      </c>
      <c r="B4388" s="2" t="s">
        <v>332</v>
      </c>
      <c r="C4388" s="2" t="s">
        <v>24</v>
      </c>
      <c r="D4388" s="3" t="n">
        <v>46250</v>
      </c>
      <c r="E4388" s="2" t="str">
        <f aca="false">TEXT(D4388,"dddd")</f>
        <v>Sunday</v>
      </c>
      <c r="F4388" s="2" t="s">
        <v>460</v>
      </c>
      <c r="G4388" s="2"/>
      <c r="H4388" s="2"/>
      <c r="I4388" s="2" t="n">
        <f aca="false">IF(F4388="Present",9,IF(F4388="Half Day",4,0))</f>
        <v>0</v>
      </c>
      <c r="J4388" s="2"/>
      <c r="K4388" s="2" t="s">
        <v>460</v>
      </c>
    </row>
    <row r="4389" customFormat="false" ht="15" hidden="false" customHeight="false" outlineLevel="0" collapsed="false">
      <c r="A4389" s="2" t="s">
        <v>331</v>
      </c>
      <c r="B4389" s="2" t="s">
        <v>332</v>
      </c>
      <c r="C4389" s="2" t="s">
        <v>24</v>
      </c>
      <c r="D4389" s="3" t="n">
        <v>46251</v>
      </c>
      <c r="E4389" s="2" t="str">
        <f aca="false">TEXT(D4389,"dddd")</f>
        <v>Monday</v>
      </c>
      <c r="F4389" s="2" t="s">
        <v>457</v>
      </c>
      <c r="G4389" s="2" t="s">
        <v>458</v>
      </c>
      <c r="H4389" s="2" t="s">
        <v>459</v>
      </c>
      <c r="I4389" s="2" t="n">
        <f aca="false">IF(F4389="Present",9,IF(F4389="Half Day",4,0))</f>
        <v>9</v>
      </c>
      <c r="J4389" s="2"/>
      <c r="K4389" s="2"/>
    </row>
    <row r="4390" customFormat="false" ht="15" hidden="false" customHeight="false" outlineLevel="0" collapsed="false">
      <c r="A4390" s="2" t="s">
        <v>331</v>
      </c>
      <c r="B4390" s="2" t="s">
        <v>332</v>
      </c>
      <c r="C4390" s="2" t="s">
        <v>24</v>
      </c>
      <c r="D4390" s="3" t="n">
        <v>46252</v>
      </c>
      <c r="E4390" s="2" t="str">
        <f aca="false">TEXT(D4390,"dddd")</f>
        <v>Tuesday</v>
      </c>
      <c r="F4390" s="2" t="s">
        <v>461</v>
      </c>
      <c r="G4390" s="2"/>
      <c r="H4390" s="2"/>
      <c r="I4390" s="2" t="n">
        <f aca="false">IF(F4390="Present",9,IF(F4390="Half Day",4,0))</f>
        <v>0</v>
      </c>
      <c r="J4390" s="2"/>
      <c r="K4390" s="2" t="s">
        <v>462</v>
      </c>
    </row>
    <row r="4391" customFormat="false" ht="15" hidden="false" customHeight="false" outlineLevel="0" collapsed="false">
      <c r="A4391" s="2" t="s">
        <v>331</v>
      </c>
      <c r="B4391" s="2" t="s">
        <v>332</v>
      </c>
      <c r="C4391" s="2" t="s">
        <v>24</v>
      </c>
      <c r="D4391" s="3" t="n">
        <v>46253</v>
      </c>
      <c r="E4391" s="2" t="str">
        <f aca="false">TEXT(D4391,"dddd")</f>
        <v>Wednesday</v>
      </c>
      <c r="F4391" s="2" t="s">
        <v>457</v>
      </c>
      <c r="G4391" s="2" t="s">
        <v>458</v>
      </c>
      <c r="H4391" s="2" t="s">
        <v>459</v>
      </c>
      <c r="I4391" s="2" t="n">
        <f aca="false">IF(F4391="Present",9,IF(F4391="Half Day",4,0))</f>
        <v>9</v>
      </c>
      <c r="J4391" s="2"/>
      <c r="K4391" s="2"/>
    </row>
    <row r="4392" customFormat="false" ht="15" hidden="false" customHeight="false" outlineLevel="0" collapsed="false">
      <c r="A4392" s="2" t="s">
        <v>331</v>
      </c>
      <c r="B4392" s="2" t="s">
        <v>332</v>
      </c>
      <c r="C4392" s="2" t="s">
        <v>24</v>
      </c>
      <c r="D4392" s="3" t="n">
        <v>46254</v>
      </c>
      <c r="E4392" s="2" t="str">
        <f aca="false">TEXT(D4392,"dddd")</f>
        <v>Thursday</v>
      </c>
      <c r="F4392" s="2" t="s">
        <v>457</v>
      </c>
      <c r="G4392" s="2" t="s">
        <v>458</v>
      </c>
      <c r="H4392" s="2" t="s">
        <v>459</v>
      </c>
      <c r="I4392" s="2" t="n">
        <f aca="false">IF(F4392="Present",9,IF(F4392="Half Day",4,0))</f>
        <v>9</v>
      </c>
      <c r="J4392" s="2"/>
      <c r="K4392" s="2"/>
    </row>
    <row r="4393" customFormat="false" ht="15" hidden="false" customHeight="false" outlineLevel="0" collapsed="false">
      <c r="A4393" s="2" t="s">
        <v>331</v>
      </c>
      <c r="B4393" s="2" t="s">
        <v>332</v>
      </c>
      <c r="C4393" s="2" t="s">
        <v>24</v>
      </c>
      <c r="D4393" s="3" t="n">
        <v>46255</v>
      </c>
      <c r="E4393" s="2" t="str">
        <f aca="false">TEXT(D4393,"dddd")</f>
        <v>Friday</v>
      </c>
      <c r="F4393" s="2" t="s">
        <v>457</v>
      </c>
      <c r="G4393" s="2" t="s">
        <v>458</v>
      </c>
      <c r="H4393" s="2" t="s">
        <v>459</v>
      </c>
      <c r="I4393" s="2" t="n">
        <f aca="false">IF(F4393="Present",9,IF(F4393="Half Day",4,0))</f>
        <v>9</v>
      </c>
      <c r="J4393" s="2"/>
      <c r="K4393" s="2"/>
    </row>
    <row r="4394" customFormat="false" ht="15" hidden="false" customHeight="false" outlineLevel="0" collapsed="false">
      <c r="A4394" s="2" t="s">
        <v>331</v>
      </c>
      <c r="B4394" s="2" t="s">
        <v>332</v>
      </c>
      <c r="C4394" s="2" t="s">
        <v>24</v>
      </c>
      <c r="D4394" s="3" t="n">
        <v>46256</v>
      </c>
      <c r="E4394" s="2" t="str">
        <f aca="false">TEXT(D4394,"dddd")</f>
        <v>Saturday</v>
      </c>
      <c r="F4394" s="2" t="s">
        <v>457</v>
      </c>
      <c r="G4394" s="2" t="s">
        <v>458</v>
      </c>
      <c r="H4394" s="2" t="s">
        <v>459</v>
      </c>
      <c r="I4394" s="2" t="n">
        <f aca="false">IF(F4394="Present",9,IF(F4394="Half Day",4,0))</f>
        <v>9</v>
      </c>
      <c r="J4394" s="2"/>
      <c r="K4394" s="2"/>
    </row>
    <row r="4395" customFormat="false" ht="15" hidden="false" customHeight="false" outlineLevel="0" collapsed="false">
      <c r="A4395" s="2" t="s">
        <v>331</v>
      </c>
      <c r="B4395" s="2" t="s">
        <v>332</v>
      </c>
      <c r="C4395" s="2" t="s">
        <v>24</v>
      </c>
      <c r="D4395" s="3" t="n">
        <v>46257</v>
      </c>
      <c r="E4395" s="2" t="str">
        <f aca="false">TEXT(D4395,"dddd")</f>
        <v>Sunday</v>
      </c>
      <c r="F4395" s="2" t="s">
        <v>460</v>
      </c>
      <c r="G4395" s="2"/>
      <c r="H4395" s="2"/>
      <c r="I4395" s="2" t="n">
        <f aca="false">IF(F4395="Present",9,IF(F4395="Half Day",4,0))</f>
        <v>0</v>
      </c>
      <c r="J4395" s="2"/>
      <c r="K4395" s="2" t="s">
        <v>460</v>
      </c>
    </row>
    <row r="4396" customFormat="false" ht="15" hidden="false" customHeight="false" outlineLevel="0" collapsed="false">
      <c r="A4396" s="2" t="s">
        <v>331</v>
      </c>
      <c r="B4396" s="2" t="s">
        <v>332</v>
      </c>
      <c r="C4396" s="2" t="s">
        <v>24</v>
      </c>
      <c r="D4396" s="3" t="n">
        <v>46258</v>
      </c>
      <c r="E4396" s="2" t="str">
        <f aca="false">TEXT(D4396,"dddd")</f>
        <v>Monday</v>
      </c>
      <c r="F4396" s="2" t="s">
        <v>461</v>
      </c>
      <c r="G4396" s="2"/>
      <c r="H4396" s="2"/>
      <c r="I4396" s="2" t="n">
        <f aca="false">IF(F4396="Present",9,IF(F4396="Half Day",4,0))</f>
        <v>0</v>
      </c>
      <c r="J4396" s="2"/>
      <c r="K4396" s="2" t="s">
        <v>462</v>
      </c>
    </row>
    <row r="4397" customFormat="false" ht="15" hidden="false" customHeight="false" outlineLevel="0" collapsed="false">
      <c r="A4397" s="2" t="s">
        <v>331</v>
      </c>
      <c r="B4397" s="2" t="s">
        <v>332</v>
      </c>
      <c r="C4397" s="2" t="s">
        <v>24</v>
      </c>
      <c r="D4397" s="3" t="n">
        <v>46259</v>
      </c>
      <c r="E4397" s="2" t="str">
        <f aca="false">TEXT(D4397,"dddd")</f>
        <v>Tuesday</v>
      </c>
      <c r="F4397" s="2" t="s">
        <v>457</v>
      </c>
      <c r="G4397" s="2" t="s">
        <v>458</v>
      </c>
      <c r="H4397" s="2" t="s">
        <v>459</v>
      </c>
      <c r="I4397" s="2" t="n">
        <f aca="false">IF(F4397="Present",9,IF(F4397="Half Day",4,0))</f>
        <v>9</v>
      </c>
      <c r="J4397" s="2"/>
      <c r="K4397" s="2"/>
    </row>
    <row r="4398" customFormat="false" ht="15" hidden="false" customHeight="false" outlineLevel="0" collapsed="false">
      <c r="A4398" s="2" t="s">
        <v>331</v>
      </c>
      <c r="B4398" s="2" t="s">
        <v>332</v>
      </c>
      <c r="C4398" s="2" t="s">
        <v>24</v>
      </c>
      <c r="D4398" s="3" t="n">
        <v>46260</v>
      </c>
      <c r="E4398" s="2" t="str">
        <f aca="false">TEXT(D4398,"dddd")</f>
        <v>Wednesday</v>
      </c>
      <c r="F4398" s="2" t="s">
        <v>457</v>
      </c>
      <c r="G4398" s="2" t="s">
        <v>458</v>
      </c>
      <c r="H4398" s="2" t="s">
        <v>459</v>
      </c>
      <c r="I4398" s="2" t="n">
        <f aca="false">IF(F4398="Present",9,IF(F4398="Half Day",4,0))</f>
        <v>9</v>
      </c>
      <c r="J4398" s="2"/>
      <c r="K4398" s="2"/>
    </row>
    <row r="4399" customFormat="false" ht="15" hidden="false" customHeight="false" outlineLevel="0" collapsed="false">
      <c r="A4399" s="2" t="s">
        <v>331</v>
      </c>
      <c r="B4399" s="2" t="s">
        <v>332</v>
      </c>
      <c r="C4399" s="2" t="s">
        <v>24</v>
      </c>
      <c r="D4399" s="3" t="n">
        <v>46261</v>
      </c>
      <c r="E4399" s="2" t="str">
        <f aca="false">TEXT(D4399,"dddd")</f>
        <v>Thursday</v>
      </c>
      <c r="F4399" s="2" t="s">
        <v>457</v>
      </c>
      <c r="G4399" s="2" t="s">
        <v>458</v>
      </c>
      <c r="H4399" s="2" t="s">
        <v>459</v>
      </c>
      <c r="I4399" s="2" t="n">
        <f aca="false">IF(F4399="Present",9,IF(F4399="Half Day",4,0))</f>
        <v>9</v>
      </c>
      <c r="J4399" s="2"/>
      <c r="K4399" s="2"/>
    </row>
    <row r="4400" customFormat="false" ht="15" hidden="false" customHeight="false" outlineLevel="0" collapsed="false">
      <c r="A4400" s="2" t="s">
        <v>331</v>
      </c>
      <c r="B4400" s="2" t="s">
        <v>332</v>
      </c>
      <c r="C4400" s="2" t="s">
        <v>24</v>
      </c>
      <c r="D4400" s="3" t="n">
        <v>46262</v>
      </c>
      <c r="E4400" s="2" t="str">
        <f aca="false">TEXT(D4400,"dddd")</f>
        <v>Friday</v>
      </c>
      <c r="F4400" s="2" t="s">
        <v>457</v>
      </c>
      <c r="G4400" s="2" t="s">
        <v>458</v>
      </c>
      <c r="H4400" s="2" t="s">
        <v>459</v>
      </c>
      <c r="I4400" s="2" t="n">
        <f aca="false">IF(F4400="Present",9,IF(F4400="Half Day",4,0))</f>
        <v>9</v>
      </c>
      <c r="J4400" s="2"/>
      <c r="K4400" s="2"/>
    </row>
    <row r="4401" customFormat="false" ht="15" hidden="false" customHeight="false" outlineLevel="0" collapsed="false">
      <c r="A4401" s="2" t="s">
        <v>331</v>
      </c>
      <c r="B4401" s="2" t="s">
        <v>332</v>
      </c>
      <c r="C4401" s="2" t="s">
        <v>24</v>
      </c>
      <c r="D4401" s="3" t="n">
        <v>46263</v>
      </c>
      <c r="E4401" s="2" t="str">
        <f aca="false">TEXT(D4401,"dddd")</f>
        <v>Saturday</v>
      </c>
      <c r="F4401" s="2" t="s">
        <v>461</v>
      </c>
      <c r="G4401" s="2"/>
      <c r="H4401" s="2"/>
      <c r="I4401" s="2" t="n">
        <f aca="false">IF(F4401="Present",9,IF(F4401="Half Day",4,0))</f>
        <v>0</v>
      </c>
      <c r="J4401" s="2"/>
      <c r="K4401" s="2" t="s">
        <v>462</v>
      </c>
    </row>
    <row r="4402" customFormat="false" ht="15" hidden="false" customHeight="false" outlineLevel="0" collapsed="false">
      <c r="A4402" s="2" t="s">
        <v>331</v>
      </c>
      <c r="B4402" s="2" t="s">
        <v>332</v>
      </c>
      <c r="C4402" s="2" t="s">
        <v>24</v>
      </c>
      <c r="D4402" s="3" t="n">
        <v>46264</v>
      </c>
      <c r="E4402" s="2" t="str">
        <f aca="false">TEXT(D4402,"dddd")</f>
        <v>Sunday</v>
      </c>
      <c r="F4402" s="2" t="s">
        <v>460</v>
      </c>
      <c r="G4402" s="2"/>
      <c r="H4402" s="2"/>
      <c r="I4402" s="2" t="n">
        <f aca="false">IF(F4402="Present",9,IF(F4402="Half Day",4,0))</f>
        <v>0</v>
      </c>
      <c r="J4402" s="2"/>
      <c r="K4402" s="2" t="s">
        <v>460</v>
      </c>
    </row>
    <row r="4403" customFormat="false" ht="15" hidden="false" customHeight="false" outlineLevel="0" collapsed="false">
      <c r="A4403" s="2" t="s">
        <v>331</v>
      </c>
      <c r="B4403" s="2" t="s">
        <v>332</v>
      </c>
      <c r="C4403" s="2" t="s">
        <v>24</v>
      </c>
      <c r="D4403" s="3" t="n">
        <v>46265</v>
      </c>
      <c r="E4403" s="2" t="str">
        <f aca="false">TEXT(D4403,"dddd")</f>
        <v>Monday</v>
      </c>
      <c r="F4403" s="2" t="s">
        <v>461</v>
      </c>
      <c r="G4403" s="2"/>
      <c r="H4403" s="2"/>
      <c r="I4403" s="2" t="n">
        <f aca="false">IF(F4403="Present",9,IF(F4403="Half Day",4,0))</f>
        <v>0</v>
      </c>
      <c r="J4403" s="2"/>
      <c r="K4403" s="2" t="s">
        <v>462</v>
      </c>
    </row>
    <row r="4404" customFormat="false" ht="15" hidden="false" customHeight="false" outlineLevel="0" collapsed="false">
      <c r="A4404" s="2" t="s">
        <v>333</v>
      </c>
      <c r="B4404" s="2" t="s">
        <v>334</v>
      </c>
      <c r="C4404" s="2" t="s">
        <v>28</v>
      </c>
      <c r="D4404" s="3" t="n">
        <v>46235</v>
      </c>
      <c r="E4404" s="2" t="str">
        <f aca="false">TEXT(D4404,"dddd")</f>
        <v>Saturday</v>
      </c>
      <c r="F4404" s="2" t="s">
        <v>457</v>
      </c>
      <c r="G4404" s="2" t="s">
        <v>458</v>
      </c>
      <c r="H4404" s="2" t="s">
        <v>459</v>
      </c>
      <c r="I4404" s="2" t="n">
        <f aca="false">IF(F4404="Present",9,IF(F4404="Half Day",4,0))</f>
        <v>9</v>
      </c>
      <c r="J4404" s="2"/>
      <c r="K4404" s="2"/>
    </row>
    <row r="4405" customFormat="false" ht="15" hidden="false" customHeight="false" outlineLevel="0" collapsed="false">
      <c r="A4405" s="2" t="s">
        <v>333</v>
      </c>
      <c r="B4405" s="2" t="s">
        <v>334</v>
      </c>
      <c r="C4405" s="2" t="s">
        <v>28</v>
      </c>
      <c r="D4405" s="3" t="n">
        <v>46236</v>
      </c>
      <c r="E4405" s="2" t="str">
        <f aca="false">TEXT(D4405,"dddd")</f>
        <v>Sunday</v>
      </c>
      <c r="F4405" s="2" t="s">
        <v>460</v>
      </c>
      <c r="G4405" s="2"/>
      <c r="H4405" s="2"/>
      <c r="I4405" s="2" t="n">
        <f aca="false">IF(F4405="Present",9,IF(F4405="Half Day",4,0))</f>
        <v>0</v>
      </c>
      <c r="J4405" s="2"/>
      <c r="K4405" s="2" t="s">
        <v>460</v>
      </c>
    </row>
    <row r="4406" customFormat="false" ht="15" hidden="false" customHeight="false" outlineLevel="0" collapsed="false">
      <c r="A4406" s="2" t="s">
        <v>333</v>
      </c>
      <c r="B4406" s="2" t="s">
        <v>334</v>
      </c>
      <c r="C4406" s="2" t="s">
        <v>28</v>
      </c>
      <c r="D4406" s="3" t="n">
        <v>46237</v>
      </c>
      <c r="E4406" s="2" t="str">
        <f aca="false">TEXT(D4406,"dddd")</f>
        <v>Monday</v>
      </c>
      <c r="F4406" s="2" t="s">
        <v>457</v>
      </c>
      <c r="G4406" s="2" t="s">
        <v>458</v>
      </c>
      <c r="H4406" s="2" t="s">
        <v>459</v>
      </c>
      <c r="I4406" s="2" t="n">
        <f aca="false">IF(F4406="Present",9,IF(F4406="Half Day",4,0))</f>
        <v>9</v>
      </c>
      <c r="J4406" s="2"/>
      <c r="K4406" s="2"/>
    </row>
    <row r="4407" customFormat="false" ht="15" hidden="false" customHeight="false" outlineLevel="0" collapsed="false">
      <c r="A4407" s="2" t="s">
        <v>333</v>
      </c>
      <c r="B4407" s="2" t="s">
        <v>334</v>
      </c>
      <c r="C4407" s="2" t="s">
        <v>28</v>
      </c>
      <c r="D4407" s="3" t="n">
        <v>46238</v>
      </c>
      <c r="E4407" s="2" t="str">
        <f aca="false">TEXT(D4407,"dddd")</f>
        <v>Tuesday</v>
      </c>
      <c r="F4407" s="2" t="s">
        <v>457</v>
      </c>
      <c r="G4407" s="2" t="s">
        <v>458</v>
      </c>
      <c r="H4407" s="2" t="s">
        <v>459</v>
      </c>
      <c r="I4407" s="2" t="n">
        <f aca="false">IF(F4407="Present",9,IF(F4407="Half Day",4,0))</f>
        <v>9</v>
      </c>
      <c r="J4407" s="2"/>
      <c r="K4407" s="2"/>
    </row>
    <row r="4408" customFormat="false" ht="15" hidden="false" customHeight="false" outlineLevel="0" collapsed="false">
      <c r="A4408" s="2" t="s">
        <v>333</v>
      </c>
      <c r="B4408" s="2" t="s">
        <v>334</v>
      </c>
      <c r="C4408" s="2" t="s">
        <v>28</v>
      </c>
      <c r="D4408" s="3" t="n">
        <v>46239</v>
      </c>
      <c r="E4408" s="2" t="str">
        <f aca="false">TEXT(D4408,"dddd")</f>
        <v>Wednesday</v>
      </c>
      <c r="F4408" s="2" t="s">
        <v>457</v>
      </c>
      <c r="G4408" s="2" t="s">
        <v>458</v>
      </c>
      <c r="H4408" s="2" t="s">
        <v>459</v>
      </c>
      <c r="I4408" s="2" t="n">
        <f aca="false">IF(F4408="Present",9,IF(F4408="Half Day",4,0))</f>
        <v>9</v>
      </c>
      <c r="J4408" s="2"/>
      <c r="K4408" s="2"/>
    </row>
    <row r="4409" customFormat="false" ht="15" hidden="false" customHeight="false" outlineLevel="0" collapsed="false">
      <c r="A4409" s="2" t="s">
        <v>333</v>
      </c>
      <c r="B4409" s="2" t="s">
        <v>334</v>
      </c>
      <c r="C4409" s="2" t="s">
        <v>28</v>
      </c>
      <c r="D4409" s="3" t="n">
        <v>46240</v>
      </c>
      <c r="E4409" s="2" t="str">
        <f aca="false">TEXT(D4409,"dddd")</f>
        <v>Thursday</v>
      </c>
      <c r="F4409" s="2" t="s">
        <v>457</v>
      </c>
      <c r="G4409" s="2" t="s">
        <v>458</v>
      </c>
      <c r="H4409" s="2" t="s">
        <v>459</v>
      </c>
      <c r="I4409" s="2" t="n">
        <f aca="false">IF(F4409="Present",9,IF(F4409="Half Day",4,0))</f>
        <v>9</v>
      </c>
      <c r="J4409" s="2"/>
      <c r="K4409" s="2"/>
    </row>
    <row r="4410" customFormat="false" ht="15" hidden="false" customHeight="false" outlineLevel="0" collapsed="false">
      <c r="A4410" s="2" t="s">
        <v>333</v>
      </c>
      <c r="B4410" s="2" t="s">
        <v>334</v>
      </c>
      <c r="C4410" s="2" t="s">
        <v>28</v>
      </c>
      <c r="D4410" s="3" t="n">
        <v>46241</v>
      </c>
      <c r="E4410" s="2" t="str">
        <f aca="false">TEXT(D4410,"dddd")</f>
        <v>Friday</v>
      </c>
      <c r="F4410" s="2" t="s">
        <v>457</v>
      </c>
      <c r="G4410" s="2" t="s">
        <v>458</v>
      </c>
      <c r="H4410" s="2" t="s">
        <v>459</v>
      </c>
      <c r="I4410" s="2" t="n">
        <f aca="false">IF(F4410="Present",9,IF(F4410="Half Day",4,0))</f>
        <v>9</v>
      </c>
      <c r="J4410" s="2"/>
      <c r="K4410" s="2"/>
    </row>
    <row r="4411" customFormat="false" ht="15" hidden="false" customHeight="false" outlineLevel="0" collapsed="false">
      <c r="A4411" s="2" t="s">
        <v>333</v>
      </c>
      <c r="B4411" s="2" t="s">
        <v>334</v>
      </c>
      <c r="C4411" s="2" t="s">
        <v>28</v>
      </c>
      <c r="D4411" s="3" t="n">
        <v>46242</v>
      </c>
      <c r="E4411" s="2" t="str">
        <f aca="false">TEXT(D4411,"dddd")</f>
        <v>Saturday</v>
      </c>
      <c r="F4411" s="2" t="s">
        <v>457</v>
      </c>
      <c r="G4411" s="2" t="s">
        <v>458</v>
      </c>
      <c r="H4411" s="2" t="s">
        <v>459</v>
      </c>
      <c r="I4411" s="2" t="n">
        <f aca="false">IF(F4411="Present",9,IF(F4411="Half Day",4,0))</f>
        <v>9</v>
      </c>
      <c r="J4411" s="2"/>
      <c r="K4411" s="2"/>
    </row>
    <row r="4412" customFormat="false" ht="15" hidden="false" customHeight="false" outlineLevel="0" collapsed="false">
      <c r="A4412" s="2" t="s">
        <v>333</v>
      </c>
      <c r="B4412" s="2" t="s">
        <v>334</v>
      </c>
      <c r="C4412" s="2" t="s">
        <v>28</v>
      </c>
      <c r="D4412" s="3" t="n">
        <v>46243</v>
      </c>
      <c r="E4412" s="2" t="str">
        <f aca="false">TEXT(D4412,"dddd")</f>
        <v>Sunday</v>
      </c>
      <c r="F4412" s="2" t="s">
        <v>460</v>
      </c>
      <c r="G4412" s="2"/>
      <c r="H4412" s="2"/>
      <c r="I4412" s="2" t="n">
        <f aca="false">IF(F4412="Present",9,IF(F4412="Half Day",4,0))</f>
        <v>0</v>
      </c>
      <c r="J4412" s="2"/>
      <c r="K4412" s="2" t="s">
        <v>460</v>
      </c>
    </row>
    <row r="4413" customFormat="false" ht="15" hidden="false" customHeight="false" outlineLevel="0" collapsed="false">
      <c r="A4413" s="2" t="s">
        <v>333</v>
      </c>
      <c r="B4413" s="2" t="s">
        <v>334</v>
      </c>
      <c r="C4413" s="2" t="s">
        <v>28</v>
      </c>
      <c r="D4413" s="3" t="n">
        <v>46244</v>
      </c>
      <c r="E4413" s="2" t="str">
        <f aca="false">TEXT(D4413,"dddd")</f>
        <v>Monday</v>
      </c>
      <c r="F4413" s="2" t="s">
        <v>457</v>
      </c>
      <c r="G4413" s="2" t="s">
        <v>458</v>
      </c>
      <c r="H4413" s="2" t="s">
        <v>459</v>
      </c>
      <c r="I4413" s="2" t="n">
        <f aca="false">IF(F4413="Present",9,IF(F4413="Half Day",4,0))</f>
        <v>9</v>
      </c>
      <c r="J4413" s="2"/>
      <c r="K4413" s="2"/>
    </row>
    <row r="4414" customFormat="false" ht="15" hidden="false" customHeight="false" outlineLevel="0" collapsed="false">
      <c r="A4414" s="2" t="s">
        <v>333</v>
      </c>
      <c r="B4414" s="2" t="s">
        <v>334</v>
      </c>
      <c r="C4414" s="2" t="s">
        <v>28</v>
      </c>
      <c r="D4414" s="3" t="n">
        <v>46245</v>
      </c>
      <c r="E4414" s="2" t="str">
        <f aca="false">TEXT(D4414,"dddd")</f>
        <v>Tuesday</v>
      </c>
      <c r="F4414" s="2" t="s">
        <v>457</v>
      </c>
      <c r="G4414" s="2" t="s">
        <v>458</v>
      </c>
      <c r="H4414" s="2" t="s">
        <v>459</v>
      </c>
      <c r="I4414" s="2" t="n">
        <f aca="false">IF(F4414="Present",9,IF(F4414="Half Day",4,0))</f>
        <v>9</v>
      </c>
      <c r="J4414" s="2"/>
      <c r="K4414" s="2"/>
    </row>
    <row r="4415" customFormat="false" ht="15" hidden="false" customHeight="false" outlineLevel="0" collapsed="false">
      <c r="A4415" s="2" t="s">
        <v>333</v>
      </c>
      <c r="B4415" s="2" t="s">
        <v>334</v>
      </c>
      <c r="C4415" s="2" t="s">
        <v>28</v>
      </c>
      <c r="D4415" s="3" t="n">
        <v>46246</v>
      </c>
      <c r="E4415" s="2" t="str">
        <f aca="false">TEXT(D4415,"dddd")</f>
        <v>Wednesday</v>
      </c>
      <c r="F4415" s="2" t="s">
        <v>457</v>
      </c>
      <c r="G4415" s="2" t="s">
        <v>458</v>
      </c>
      <c r="H4415" s="2" t="s">
        <v>459</v>
      </c>
      <c r="I4415" s="2" t="n">
        <f aca="false">IF(F4415="Present",9,IF(F4415="Half Day",4,0))</f>
        <v>9</v>
      </c>
      <c r="J4415" s="2"/>
      <c r="K4415" s="2"/>
    </row>
    <row r="4416" customFormat="false" ht="15" hidden="false" customHeight="false" outlineLevel="0" collapsed="false">
      <c r="A4416" s="2" t="s">
        <v>333</v>
      </c>
      <c r="B4416" s="2" t="s">
        <v>334</v>
      </c>
      <c r="C4416" s="2" t="s">
        <v>28</v>
      </c>
      <c r="D4416" s="3" t="n">
        <v>46247</v>
      </c>
      <c r="E4416" s="2" t="str">
        <f aca="false">TEXT(D4416,"dddd")</f>
        <v>Thursday</v>
      </c>
      <c r="F4416" s="2" t="s">
        <v>457</v>
      </c>
      <c r="G4416" s="2" t="s">
        <v>458</v>
      </c>
      <c r="H4416" s="2" t="s">
        <v>459</v>
      </c>
      <c r="I4416" s="2" t="n">
        <f aca="false">IF(F4416="Present",9,IF(F4416="Half Day",4,0))</f>
        <v>9</v>
      </c>
      <c r="J4416" s="2"/>
      <c r="K4416" s="2"/>
    </row>
    <row r="4417" customFormat="false" ht="15" hidden="false" customHeight="false" outlineLevel="0" collapsed="false">
      <c r="A4417" s="2" t="s">
        <v>333</v>
      </c>
      <c r="B4417" s="2" t="s">
        <v>334</v>
      </c>
      <c r="C4417" s="2" t="s">
        <v>28</v>
      </c>
      <c r="D4417" s="3" t="n">
        <v>46248</v>
      </c>
      <c r="E4417" s="2" t="str">
        <f aca="false">TEXT(D4417,"dddd")</f>
        <v>Friday</v>
      </c>
      <c r="F4417" s="2" t="s">
        <v>457</v>
      </c>
      <c r="G4417" s="2" t="s">
        <v>458</v>
      </c>
      <c r="H4417" s="2" t="s">
        <v>459</v>
      </c>
      <c r="I4417" s="2" t="n">
        <f aca="false">IF(F4417="Present",9,IF(F4417="Half Day",4,0))</f>
        <v>9</v>
      </c>
      <c r="J4417" s="2"/>
      <c r="K4417" s="2"/>
    </row>
    <row r="4418" customFormat="false" ht="15" hidden="false" customHeight="false" outlineLevel="0" collapsed="false">
      <c r="A4418" s="2" t="s">
        <v>333</v>
      </c>
      <c r="B4418" s="2" t="s">
        <v>334</v>
      </c>
      <c r="C4418" s="2" t="s">
        <v>28</v>
      </c>
      <c r="D4418" s="3" t="n">
        <v>46249</v>
      </c>
      <c r="E4418" s="2" t="str">
        <f aca="false">TEXT(D4418,"dddd")</f>
        <v>Saturday</v>
      </c>
      <c r="F4418" s="2" t="s">
        <v>457</v>
      </c>
      <c r="G4418" s="2" t="s">
        <v>458</v>
      </c>
      <c r="H4418" s="2" t="s">
        <v>459</v>
      </c>
      <c r="I4418" s="2" t="n">
        <f aca="false">IF(F4418="Present",9,IF(F4418="Half Day",4,0))</f>
        <v>9</v>
      </c>
      <c r="J4418" s="2"/>
      <c r="K4418" s="2"/>
    </row>
    <row r="4419" customFormat="false" ht="15" hidden="false" customHeight="false" outlineLevel="0" collapsed="false">
      <c r="A4419" s="2" t="s">
        <v>333</v>
      </c>
      <c r="B4419" s="2" t="s">
        <v>334</v>
      </c>
      <c r="C4419" s="2" t="s">
        <v>28</v>
      </c>
      <c r="D4419" s="3" t="n">
        <v>46250</v>
      </c>
      <c r="E4419" s="2" t="str">
        <f aca="false">TEXT(D4419,"dddd")</f>
        <v>Sunday</v>
      </c>
      <c r="F4419" s="2" t="s">
        <v>460</v>
      </c>
      <c r="G4419" s="2"/>
      <c r="H4419" s="2"/>
      <c r="I4419" s="2" t="n">
        <f aca="false">IF(F4419="Present",9,IF(F4419="Half Day",4,0))</f>
        <v>0</v>
      </c>
      <c r="J4419" s="2"/>
      <c r="K4419" s="2" t="s">
        <v>460</v>
      </c>
    </row>
    <row r="4420" customFormat="false" ht="15" hidden="false" customHeight="false" outlineLevel="0" collapsed="false">
      <c r="A4420" s="2" t="s">
        <v>333</v>
      </c>
      <c r="B4420" s="2" t="s">
        <v>334</v>
      </c>
      <c r="C4420" s="2" t="s">
        <v>28</v>
      </c>
      <c r="D4420" s="3" t="n">
        <v>46251</v>
      </c>
      <c r="E4420" s="2" t="str">
        <f aca="false">TEXT(D4420,"dddd")</f>
        <v>Monday</v>
      </c>
      <c r="F4420" s="2" t="s">
        <v>457</v>
      </c>
      <c r="G4420" s="2" t="s">
        <v>458</v>
      </c>
      <c r="H4420" s="2" t="s">
        <v>459</v>
      </c>
      <c r="I4420" s="2" t="n">
        <f aca="false">IF(F4420="Present",9,IF(F4420="Half Day",4,0))</f>
        <v>9</v>
      </c>
      <c r="J4420" s="2"/>
      <c r="K4420" s="2"/>
    </row>
    <row r="4421" customFormat="false" ht="15" hidden="false" customHeight="false" outlineLevel="0" collapsed="false">
      <c r="A4421" s="2" t="s">
        <v>333</v>
      </c>
      <c r="B4421" s="2" t="s">
        <v>334</v>
      </c>
      <c r="C4421" s="2" t="s">
        <v>28</v>
      </c>
      <c r="D4421" s="3" t="n">
        <v>46252</v>
      </c>
      <c r="E4421" s="2" t="str">
        <f aca="false">TEXT(D4421,"dddd")</f>
        <v>Tuesday</v>
      </c>
      <c r="F4421" s="2" t="s">
        <v>457</v>
      </c>
      <c r="G4421" s="2" t="s">
        <v>458</v>
      </c>
      <c r="H4421" s="2" t="s">
        <v>459</v>
      </c>
      <c r="I4421" s="2" t="n">
        <f aca="false">IF(F4421="Present",9,IF(F4421="Half Day",4,0))</f>
        <v>9</v>
      </c>
      <c r="J4421" s="2"/>
      <c r="K4421" s="2"/>
    </row>
    <row r="4422" customFormat="false" ht="15" hidden="false" customHeight="false" outlineLevel="0" collapsed="false">
      <c r="A4422" s="2" t="s">
        <v>333</v>
      </c>
      <c r="B4422" s="2" t="s">
        <v>334</v>
      </c>
      <c r="C4422" s="2" t="s">
        <v>28</v>
      </c>
      <c r="D4422" s="3" t="n">
        <v>46253</v>
      </c>
      <c r="E4422" s="2" t="str">
        <f aca="false">TEXT(D4422,"dddd")</f>
        <v>Wednesday</v>
      </c>
      <c r="F4422" s="2" t="s">
        <v>457</v>
      </c>
      <c r="G4422" s="2" t="s">
        <v>458</v>
      </c>
      <c r="H4422" s="2" t="s">
        <v>459</v>
      </c>
      <c r="I4422" s="2" t="n">
        <f aca="false">IF(F4422="Present",9,IF(F4422="Half Day",4,0))</f>
        <v>9</v>
      </c>
      <c r="J4422" s="2"/>
      <c r="K4422" s="2"/>
    </row>
    <row r="4423" customFormat="false" ht="15" hidden="false" customHeight="false" outlineLevel="0" collapsed="false">
      <c r="A4423" s="2" t="s">
        <v>333</v>
      </c>
      <c r="B4423" s="2" t="s">
        <v>334</v>
      </c>
      <c r="C4423" s="2" t="s">
        <v>28</v>
      </c>
      <c r="D4423" s="3" t="n">
        <v>46254</v>
      </c>
      <c r="E4423" s="2" t="str">
        <f aca="false">TEXT(D4423,"dddd")</f>
        <v>Thursday</v>
      </c>
      <c r="F4423" s="2" t="s">
        <v>457</v>
      </c>
      <c r="G4423" s="2" t="s">
        <v>458</v>
      </c>
      <c r="H4423" s="2" t="s">
        <v>459</v>
      </c>
      <c r="I4423" s="2" t="n">
        <f aca="false">IF(F4423="Present",9,IF(F4423="Half Day",4,0))</f>
        <v>9</v>
      </c>
      <c r="J4423" s="2"/>
      <c r="K4423" s="2"/>
    </row>
    <row r="4424" customFormat="false" ht="15" hidden="false" customHeight="false" outlineLevel="0" collapsed="false">
      <c r="A4424" s="2" t="s">
        <v>333</v>
      </c>
      <c r="B4424" s="2" t="s">
        <v>334</v>
      </c>
      <c r="C4424" s="2" t="s">
        <v>28</v>
      </c>
      <c r="D4424" s="3" t="n">
        <v>46255</v>
      </c>
      <c r="E4424" s="2" t="str">
        <f aca="false">TEXT(D4424,"dddd")</f>
        <v>Friday</v>
      </c>
      <c r="F4424" s="2" t="s">
        <v>457</v>
      </c>
      <c r="G4424" s="2" t="s">
        <v>458</v>
      </c>
      <c r="H4424" s="2" t="s">
        <v>459</v>
      </c>
      <c r="I4424" s="2" t="n">
        <f aca="false">IF(F4424="Present",9,IF(F4424="Half Day",4,0))</f>
        <v>9</v>
      </c>
      <c r="J4424" s="2"/>
      <c r="K4424" s="2"/>
    </row>
    <row r="4425" customFormat="false" ht="15" hidden="false" customHeight="false" outlineLevel="0" collapsed="false">
      <c r="A4425" s="2" t="s">
        <v>333</v>
      </c>
      <c r="B4425" s="2" t="s">
        <v>334</v>
      </c>
      <c r="C4425" s="2" t="s">
        <v>28</v>
      </c>
      <c r="D4425" s="3" t="n">
        <v>46256</v>
      </c>
      <c r="E4425" s="2" t="str">
        <f aca="false">TEXT(D4425,"dddd")</f>
        <v>Saturday</v>
      </c>
      <c r="F4425" s="2" t="s">
        <v>457</v>
      </c>
      <c r="G4425" s="2" t="s">
        <v>458</v>
      </c>
      <c r="H4425" s="2" t="s">
        <v>459</v>
      </c>
      <c r="I4425" s="2" t="n">
        <f aca="false">IF(F4425="Present",9,IF(F4425="Half Day",4,0))</f>
        <v>9</v>
      </c>
      <c r="J4425" s="2"/>
      <c r="K4425" s="2"/>
    </row>
    <row r="4426" customFormat="false" ht="15" hidden="false" customHeight="false" outlineLevel="0" collapsed="false">
      <c r="A4426" s="2" t="s">
        <v>333</v>
      </c>
      <c r="B4426" s="2" t="s">
        <v>334</v>
      </c>
      <c r="C4426" s="2" t="s">
        <v>28</v>
      </c>
      <c r="D4426" s="3" t="n">
        <v>46257</v>
      </c>
      <c r="E4426" s="2" t="str">
        <f aca="false">TEXT(D4426,"dddd")</f>
        <v>Sunday</v>
      </c>
      <c r="F4426" s="2" t="s">
        <v>460</v>
      </c>
      <c r="G4426" s="2"/>
      <c r="H4426" s="2"/>
      <c r="I4426" s="2" t="n">
        <f aca="false">IF(F4426="Present",9,IF(F4426="Half Day",4,0))</f>
        <v>0</v>
      </c>
      <c r="J4426" s="2"/>
      <c r="K4426" s="2" t="s">
        <v>460</v>
      </c>
    </row>
    <row r="4427" customFormat="false" ht="15" hidden="false" customHeight="false" outlineLevel="0" collapsed="false">
      <c r="A4427" s="2" t="s">
        <v>333</v>
      </c>
      <c r="B4427" s="2" t="s">
        <v>334</v>
      </c>
      <c r="C4427" s="2" t="s">
        <v>28</v>
      </c>
      <c r="D4427" s="3" t="n">
        <v>46258</v>
      </c>
      <c r="E4427" s="2" t="str">
        <f aca="false">TEXT(D4427,"dddd")</f>
        <v>Monday</v>
      </c>
      <c r="F4427" s="2" t="s">
        <v>457</v>
      </c>
      <c r="G4427" s="2" t="s">
        <v>458</v>
      </c>
      <c r="H4427" s="2" t="s">
        <v>459</v>
      </c>
      <c r="I4427" s="2" t="n">
        <f aca="false">IF(F4427="Present",9,IF(F4427="Half Day",4,0))</f>
        <v>9</v>
      </c>
      <c r="J4427" s="2"/>
      <c r="K4427" s="2"/>
    </row>
    <row r="4428" customFormat="false" ht="15" hidden="false" customHeight="false" outlineLevel="0" collapsed="false">
      <c r="A4428" s="2" t="s">
        <v>333</v>
      </c>
      <c r="B4428" s="2" t="s">
        <v>334</v>
      </c>
      <c r="C4428" s="2" t="s">
        <v>28</v>
      </c>
      <c r="D4428" s="3" t="n">
        <v>46259</v>
      </c>
      <c r="E4428" s="2" t="str">
        <f aca="false">TEXT(D4428,"dddd")</f>
        <v>Tuesday</v>
      </c>
      <c r="F4428" s="2" t="s">
        <v>457</v>
      </c>
      <c r="G4428" s="2" t="s">
        <v>458</v>
      </c>
      <c r="H4428" s="2" t="s">
        <v>459</v>
      </c>
      <c r="I4428" s="2" t="n">
        <f aca="false">IF(F4428="Present",9,IF(F4428="Half Day",4,0))</f>
        <v>9</v>
      </c>
      <c r="J4428" s="2"/>
      <c r="K4428" s="2"/>
    </row>
    <row r="4429" customFormat="false" ht="15" hidden="false" customHeight="false" outlineLevel="0" collapsed="false">
      <c r="A4429" s="2" t="s">
        <v>333</v>
      </c>
      <c r="B4429" s="2" t="s">
        <v>334</v>
      </c>
      <c r="C4429" s="2" t="s">
        <v>28</v>
      </c>
      <c r="D4429" s="3" t="n">
        <v>46260</v>
      </c>
      <c r="E4429" s="2" t="str">
        <f aca="false">TEXT(D4429,"dddd")</f>
        <v>Wednesday</v>
      </c>
      <c r="F4429" s="2" t="s">
        <v>457</v>
      </c>
      <c r="G4429" s="2" t="s">
        <v>458</v>
      </c>
      <c r="H4429" s="2" t="s">
        <v>459</v>
      </c>
      <c r="I4429" s="2" t="n">
        <f aca="false">IF(F4429="Present",9,IF(F4429="Half Day",4,0))</f>
        <v>9</v>
      </c>
      <c r="J4429" s="2"/>
      <c r="K4429" s="2"/>
    </row>
    <row r="4430" customFormat="false" ht="15" hidden="false" customHeight="false" outlineLevel="0" collapsed="false">
      <c r="A4430" s="2" t="s">
        <v>333</v>
      </c>
      <c r="B4430" s="2" t="s">
        <v>334</v>
      </c>
      <c r="C4430" s="2" t="s">
        <v>28</v>
      </c>
      <c r="D4430" s="3" t="n">
        <v>46261</v>
      </c>
      <c r="E4430" s="2" t="str">
        <f aca="false">TEXT(D4430,"dddd")</f>
        <v>Thursday</v>
      </c>
      <c r="F4430" s="2" t="s">
        <v>457</v>
      </c>
      <c r="G4430" s="2" t="s">
        <v>458</v>
      </c>
      <c r="H4430" s="2" t="s">
        <v>459</v>
      </c>
      <c r="I4430" s="2" t="n">
        <f aca="false">IF(F4430="Present",9,IF(F4430="Half Day",4,0))</f>
        <v>9</v>
      </c>
      <c r="J4430" s="2"/>
      <c r="K4430" s="2"/>
    </row>
    <row r="4431" customFormat="false" ht="15" hidden="false" customHeight="false" outlineLevel="0" collapsed="false">
      <c r="A4431" s="2" t="s">
        <v>333</v>
      </c>
      <c r="B4431" s="2" t="s">
        <v>334</v>
      </c>
      <c r="C4431" s="2" t="s">
        <v>28</v>
      </c>
      <c r="D4431" s="3" t="n">
        <v>46262</v>
      </c>
      <c r="E4431" s="2" t="str">
        <f aca="false">TEXT(D4431,"dddd")</f>
        <v>Friday</v>
      </c>
      <c r="F4431" s="2" t="s">
        <v>457</v>
      </c>
      <c r="G4431" s="2" t="s">
        <v>458</v>
      </c>
      <c r="H4431" s="2" t="s">
        <v>459</v>
      </c>
      <c r="I4431" s="2" t="n">
        <f aca="false">IF(F4431="Present",9,IF(F4431="Half Day",4,0))</f>
        <v>9</v>
      </c>
      <c r="J4431" s="2"/>
      <c r="K4431" s="2"/>
    </row>
    <row r="4432" customFormat="false" ht="15" hidden="false" customHeight="false" outlineLevel="0" collapsed="false">
      <c r="A4432" s="2" t="s">
        <v>333</v>
      </c>
      <c r="B4432" s="2" t="s">
        <v>334</v>
      </c>
      <c r="C4432" s="2" t="s">
        <v>28</v>
      </c>
      <c r="D4432" s="3" t="n">
        <v>46263</v>
      </c>
      <c r="E4432" s="2" t="str">
        <f aca="false">TEXT(D4432,"dddd")</f>
        <v>Saturday</v>
      </c>
      <c r="F4432" s="2" t="s">
        <v>457</v>
      </c>
      <c r="G4432" s="2" t="s">
        <v>458</v>
      </c>
      <c r="H4432" s="2" t="s">
        <v>459</v>
      </c>
      <c r="I4432" s="2" t="n">
        <f aca="false">IF(F4432="Present",9,IF(F4432="Half Day",4,0))</f>
        <v>9</v>
      </c>
      <c r="J4432" s="2"/>
      <c r="K4432" s="2"/>
    </row>
    <row r="4433" customFormat="false" ht="15" hidden="false" customHeight="false" outlineLevel="0" collapsed="false">
      <c r="A4433" s="2" t="s">
        <v>333</v>
      </c>
      <c r="B4433" s="2" t="s">
        <v>334</v>
      </c>
      <c r="C4433" s="2" t="s">
        <v>28</v>
      </c>
      <c r="D4433" s="3" t="n">
        <v>46264</v>
      </c>
      <c r="E4433" s="2" t="str">
        <f aca="false">TEXT(D4433,"dddd")</f>
        <v>Sunday</v>
      </c>
      <c r="F4433" s="2" t="s">
        <v>460</v>
      </c>
      <c r="G4433" s="2"/>
      <c r="H4433" s="2"/>
      <c r="I4433" s="2" t="n">
        <f aca="false">IF(F4433="Present",9,IF(F4433="Half Day",4,0))</f>
        <v>0</v>
      </c>
      <c r="J4433" s="2"/>
      <c r="K4433" s="2" t="s">
        <v>460</v>
      </c>
    </row>
    <row r="4434" customFormat="false" ht="15" hidden="false" customHeight="false" outlineLevel="0" collapsed="false">
      <c r="A4434" s="2" t="s">
        <v>333</v>
      </c>
      <c r="B4434" s="2" t="s">
        <v>334</v>
      </c>
      <c r="C4434" s="2" t="s">
        <v>28</v>
      </c>
      <c r="D4434" s="3" t="n">
        <v>46265</v>
      </c>
      <c r="E4434" s="2" t="str">
        <f aca="false">TEXT(D4434,"dddd")</f>
        <v>Monday</v>
      </c>
      <c r="F4434" s="2" t="s">
        <v>457</v>
      </c>
      <c r="G4434" s="2" t="s">
        <v>458</v>
      </c>
      <c r="H4434" s="2" t="s">
        <v>459</v>
      </c>
      <c r="I4434" s="2" t="n">
        <f aca="false">IF(F4434="Present",9,IF(F4434="Half Day",4,0))</f>
        <v>9</v>
      </c>
      <c r="J4434" s="2"/>
      <c r="K4434" s="2"/>
    </row>
    <row r="4435" customFormat="false" ht="15" hidden="false" customHeight="false" outlineLevel="0" collapsed="false">
      <c r="A4435" s="2" t="s">
        <v>335</v>
      </c>
      <c r="B4435" s="2" t="s">
        <v>336</v>
      </c>
      <c r="C4435" s="2" t="s">
        <v>32</v>
      </c>
      <c r="D4435" s="3" t="n">
        <v>46235</v>
      </c>
      <c r="E4435" s="2" t="str">
        <f aca="false">TEXT(D4435,"dddd")</f>
        <v>Saturday</v>
      </c>
      <c r="F4435" s="2" t="s">
        <v>457</v>
      </c>
      <c r="G4435" s="2" t="s">
        <v>458</v>
      </c>
      <c r="H4435" s="2" t="s">
        <v>459</v>
      </c>
      <c r="I4435" s="2" t="n">
        <f aca="false">IF(F4435="Present",9,IF(F4435="Half Day",4,0))</f>
        <v>9</v>
      </c>
      <c r="J4435" s="2"/>
      <c r="K4435" s="2"/>
    </row>
    <row r="4436" customFormat="false" ht="15" hidden="false" customHeight="false" outlineLevel="0" collapsed="false">
      <c r="A4436" s="2" t="s">
        <v>335</v>
      </c>
      <c r="B4436" s="2" t="s">
        <v>336</v>
      </c>
      <c r="C4436" s="2" t="s">
        <v>32</v>
      </c>
      <c r="D4436" s="3" t="n">
        <v>46236</v>
      </c>
      <c r="E4436" s="2" t="str">
        <f aca="false">TEXT(D4436,"dddd")</f>
        <v>Sunday</v>
      </c>
      <c r="F4436" s="2" t="s">
        <v>460</v>
      </c>
      <c r="G4436" s="2"/>
      <c r="H4436" s="2"/>
      <c r="I4436" s="2" t="n">
        <f aca="false">IF(F4436="Present",9,IF(F4436="Half Day",4,0))</f>
        <v>0</v>
      </c>
      <c r="J4436" s="2"/>
      <c r="K4436" s="2" t="s">
        <v>460</v>
      </c>
    </row>
    <row r="4437" customFormat="false" ht="15" hidden="false" customHeight="false" outlineLevel="0" collapsed="false">
      <c r="A4437" s="2" t="s">
        <v>335</v>
      </c>
      <c r="B4437" s="2" t="s">
        <v>336</v>
      </c>
      <c r="C4437" s="2" t="s">
        <v>32</v>
      </c>
      <c r="D4437" s="3" t="n">
        <v>46237</v>
      </c>
      <c r="E4437" s="2" t="str">
        <f aca="false">TEXT(D4437,"dddd")</f>
        <v>Monday</v>
      </c>
      <c r="F4437" s="2" t="s">
        <v>457</v>
      </c>
      <c r="G4437" s="2" t="s">
        <v>458</v>
      </c>
      <c r="H4437" s="2" t="s">
        <v>459</v>
      </c>
      <c r="I4437" s="2" t="n">
        <f aca="false">IF(F4437="Present",9,IF(F4437="Half Day",4,0))</f>
        <v>9</v>
      </c>
      <c r="J4437" s="2"/>
      <c r="K4437" s="2"/>
    </row>
    <row r="4438" customFormat="false" ht="15" hidden="false" customHeight="false" outlineLevel="0" collapsed="false">
      <c r="A4438" s="2" t="s">
        <v>335</v>
      </c>
      <c r="B4438" s="2" t="s">
        <v>336</v>
      </c>
      <c r="C4438" s="2" t="s">
        <v>32</v>
      </c>
      <c r="D4438" s="3" t="n">
        <v>46238</v>
      </c>
      <c r="E4438" s="2" t="str">
        <f aca="false">TEXT(D4438,"dddd")</f>
        <v>Tuesday</v>
      </c>
      <c r="F4438" s="2" t="s">
        <v>457</v>
      </c>
      <c r="G4438" s="2" t="s">
        <v>458</v>
      </c>
      <c r="H4438" s="2" t="s">
        <v>459</v>
      </c>
      <c r="I4438" s="2" t="n">
        <f aca="false">IF(F4438="Present",9,IF(F4438="Half Day",4,0))</f>
        <v>9</v>
      </c>
      <c r="J4438" s="2"/>
      <c r="K4438" s="2"/>
    </row>
    <row r="4439" customFormat="false" ht="15" hidden="false" customHeight="false" outlineLevel="0" collapsed="false">
      <c r="A4439" s="2" t="s">
        <v>335</v>
      </c>
      <c r="B4439" s="2" t="s">
        <v>336</v>
      </c>
      <c r="C4439" s="2" t="s">
        <v>32</v>
      </c>
      <c r="D4439" s="3" t="n">
        <v>46239</v>
      </c>
      <c r="E4439" s="2" t="str">
        <f aca="false">TEXT(D4439,"dddd")</f>
        <v>Wednesday</v>
      </c>
      <c r="F4439" s="2" t="s">
        <v>457</v>
      </c>
      <c r="G4439" s="2" t="s">
        <v>458</v>
      </c>
      <c r="H4439" s="2" t="s">
        <v>459</v>
      </c>
      <c r="I4439" s="2" t="n">
        <f aca="false">IF(F4439="Present",9,IF(F4439="Half Day",4,0))</f>
        <v>9</v>
      </c>
      <c r="J4439" s="2"/>
      <c r="K4439" s="2"/>
    </row>
    <row r="4440" customFormat="false" ht="15" hidden="false" customHeight="false" outlineLevel="0" collapsed="false">
      <c r="A4440" s="2" t="s">
        <v>335</v>
      </c>
      <c r="B4440" s="2" t="s">
        <v>336</v>
      </c>
      <c r="C4440" s="2" t="s">
        <v>32</v>
      </c>
      <c r="D4440" s="3" t="n">
        <v>46240</v>
      </c>
      <c r="E4440" s="2" t="str">
        <f aca="false">TEXT(D4440,"dddd")</f>
        <v>Thursday</v>
      </c>
      <c r="F4440" s="2" t="s">
        <v>457</v>
      </c>
      <c r="G4440" s="2" t="s">
        <v>458</v>
      </c>
      <c r="H4440" s="2" t="s">
        <v>459</v>
      </c>
      <c r="I4440" s="2" t="n">
        <f aca="false">IF(F4440="Present",9,IF(F4440="Half Day",4,0))</f>
        <v>9</v>
      </c>
      <c r="J4440" s="2"/>
      <c r="K4440" s="2"/>
    </row>
    <row r="4441" customFormat="false" ht="15" hidden="false" customHeight="false" outlineLevel="0" collapsed="false">
      <c r="A4441" s="2" t="s">
        <v>335</v>
      </c>
      <c r="B4441" s="2" t="s">
        <v>336</v>
      </c>
      <c r="C4441" s="2" t="s">
        <v>32</v>
      </c>
      <c r="D4441" s="3" t="n">
        <v>46241</v>
      </c>
      <c r="E4441" s="2" t="str">
        <f aca="false">TEXT(D4441,"dddd")</f>
        <v>Friday</v>
      </c>
      <c r="F4441" s="2" t="s">
        <v>457</v>
      </c>
      <c r="G4441" s="2" t="s">
        <v>458</v>
      </c>
      <c r="H4441" s="2" t="s">
        <v>459</v>
      </c>
      <c r="I4441" s="2" t="n">
        <f aca="false">IF(F4441="Present",9,IF(F4441="Half Day",4,0))</f>
        <v>9</v>
      </c>
      <c r="J4441" s="2"/>
      <c r="K4441" s="2"/>
    </row>
    <row r="4442" customFormat="false" ht="15" hidden="false" customHeight="false" outlineLevel="0" collapsed="false">
      <c r="A4442" s="2" t="s">
        <v>335</v>
      </c>
      <c r="B4442" s="2" t="s">
        <v>336</v>
      </c>
      <c r="C4442" s="2" t="s">
        <v>32</v>
      </c>
      <c r="D4442" s="3" t="n">
        <v>46242</v>
      </c>
      <c r="E4442" s="2" t="str">
        <f aca="false">TEXT(D4442,"dddd")</f>
        <v>Saturday</v>
      </c>
      <c r="F4442" s="2" t="s">
        <v>457</v>
      </c>
      <c r="G4442" s="2" t="s">
        <v>458</v>
      </c>
      <c r="H4442" s="2" t="s">
        <v>459</v>
      </c>
      <c r="I4442" s="2" t="n">
        <f aca="false">IF(F4442="Present",9,IF(F4442="Half Day",4,0))</f>
        <v>9</v>
      </c>
      <c r="J4442" s="2"/>
      <c r="K4442" s="2"/>
    </row>
    <row r="4443" customFormat="false" ht="15" hidden="false" customHeight="false" outlineLevel="0" collapsed="false">
      <c r="A4443" s="2" t="s">
        <v>335</v>
      </c>
      <c r="B4443" s="2" t="s">
        <v>336</v>
      </c>
      <c r="C4443" s="2" t="s">
        <v>32</v>
      </c>
      <c r="D4443" s="3" t="n">
        <v>46243</v>
      </c>
      <c r="E4443" s="2" t="str">
        <f aca="false">TEXT(D4443,"dddd")</f>
        <v>Sunday</v>
      </c>
      <c r="F4443" s="2" t="s">
        <v>460</v>
      </c>
      <c r="G4443" s="2"/>
      <c r="H4443" s="2"/>
      <c r="I4443" s="2" t="n">
        <f aca="false">IF(F4443="Present",9,IF(F4443="Half Day",4,0))</f>
        <v>0</v>
      </c>
      <c r="J4443" s="2"/>
      <c r="K4443" s="2" t="s">
        <v>460</v>
      </c>
    </row>
    <row r="4444" customFormat="false" ht="15" hidden="false" customHeight="false" outlineLevel="0" collapsed="false">
      <c r="A4444" s="2" t="s">
        <v>335</v>
      </c>
      <c r="B4444" s="2" t="s">
        <v>336</v>
      </c>
      <c r="C4444" s="2" t="s">
        <v>32</v>
      </c>
      <c r="D4444" s="3" t="n">
        <v>46244</v>
      </c>
      <c r="E4444" s="2" t="str">
        <f aca="false">TEXT(D4444,"dddd")</f>
        <v>Monday</v>
      </c>
      <c r="F4444" s="2" t="s">
        <v>457</v>
      </c>
      <c r="G4444" s="2" t="s">
        <v>458</v>
      </c>
      <c r="H4444" s="2" t="s">
        <v>459</v>
      </c>
      <c r="I4444" s="2" t="n">
        <f aca="false">IF(F4444="Present",9,IF(F4444="Half Day",4,0))</f>
        <v>9</v>
      </c>
      <c r="J4444" s="2"/>
      <c r="K4444" s="2"/>
    </row>
    <row r="4445" customFormat="false" ht="15" hidden="false" customHeight="false" outlineLevel="0" collapsed="false">
      <c r="A4445" s="2" t="s">
        <v>335</v>
      </c>
      <c r="B4445" s="2" t="s">
        <v>336</v>
      </c>
      <c r="C4445" s="2" t="s">
        <v>32</v>
      </c>
      <c r="D4445" s="3" t="n">
        <v>46245</v>
      </c>
      <c r="E4445" s="2" t="str">
        <f aca="false">TEXT(D4445,"dddd")</f>
        <v>Tuesday</v>
      </c>
      <c r="F4445" s="2" t="s">
        <v>457</v>
      </c>
      <c r="G4445" s="2" t="s">
        <v>458</v>
      </c>
      <c r="H4445" s="2" t="s">
        <v>459</v>
      </c>
      <c r="I4445" s="2" t="n">
        <f aca="false">IF(F4445="Present",9,IF(F4445="Half Day",4,0))</f>
        <v>9</v>
      </c>
      <c r="J4445" s="2"/>
      <c r="K4445" s="2"/>
    </row>
    <row r="4446" customFormat="false" ht="15" hidden="false" customHeight="false" outlineLevel="0" collapsed="false">
      <c r="A4446" s="2" t="s">
        <v>335</v>
      </c>
      <c r="B4446" s="2" t="s">
        <v>336</v>
      </c>
      <c r="C4446" s="2" t="s">
        <v>32</v>
      </c>
      <c r="D4446" s="3" t="n">
        <v>46246</v>
      </c>
      <c r="E4446" s="2" t="str">
        <f aca="false">TEXT(D4446,"dddd")</f>
        <v>Wednesday</v>
      </c>
      <c r="F4446" s="2" t="s">
        <v>457</v>
      </c>
      <c r="G4446" s="2" t="s">
        <v>458</v>
      </c>
      <c r="H4446" s="2" t="s">
        <v>459</v>
      </c>
      <c r="I4446" s="2" t="n">
        <f aca="false">IF(F4446="Present",9,IF(F4446="Half Day",4,0))</f>
        <v>9</v>
      </c>
      <c r="J4446" s="2"/>
      <c r="K4446" s="2"/>
    </row>
    <row r="4447" customFormat="false" ht="15" hidden="false" customHeight="false" outlineLevel="0" collapsed="false">
      <c r="A4447" s="2" t="s">
        <v>335</v>
      </c>
      <c r="B4447" s="2" t="s">
        <v>336</v>
      </c>
      <c r="C4447" s="2" t="s">
        <v>32</v>
      </c>
      <c r="D4447" s="3" t="n">
        <v>46247</v>
      </c>
      <c r="E4447" s="2" t="str">
        <f aca="false">TEXT(D4447,"dddd")</f>
        <v>Thursday</v>
      </c>
      <c r="F4447" s="2" t="s">
        <v>457</v>
      </c>
      <c r="G4447" s="2" t="s">
        <v>458</v>
      </c>
      <c r="H4447" s="2" t="s">
        <v>459</v>
      </c>
      <c r="I4447" s="2" t="n">
        <f aca="false">IF(F4447="Present",9,IF(F4447="Half Day",4,0))</f>
        <v>9</v>
      </c>
      <c r="J4447" s="2"/>
      <c r="K4447" s="2"/>
    </row>
    <row r="4448" customFormat="false" ht="15" hidden="false" customHeight="false" outlineLevel="0" collapsed="false">
      <c r="A4448" s="2" t="s">
        <v>335</v>
      </c>
      <c r="B4448" s="2" t="s">
        <v>336</v>
      </c>
      <c r="C4448" s="2" t="s">
        <v>32</v>
      </c>
      <c r="D4448" s="3" t="n">
        <v>46248</v>
      </c>
      <c r="E4448" s="2" t="str">
        <f aca="false">TEXT(D4448,"dddd")</f>
        <v>Friday</v>
      </c>
      <c r="F4448" s="2" t="s">
        <v>457</v>
      </c>
      <c r="G4448" s="2" t="s">
        <v>458</v>
      </c>
      <c r="H4448" s="2" t="s">
        <v>459</v>
      </c>
      <c r="I4448" s="2" t="n">
        <f aca="false">IF(F4448="Present",9,IF(F4448="Half Day",4,0))</f>
        <v>9</v>
      </c>
      <c r="J4448" s="2"/>
      <c r="K4448" s="2"/>
    </row>
    <row r="4449" customFormat="false" ht="15" hidden="false" customHeight="false" outlineLevel="0" collapsed="false">
      <c r="A4449" s="2" t="s">
        <v>335</v>
      </c>
      <c r="B4449" s="2" t="s">
        <v>336</v>
      </c>
      <c r="C4449" s="2" t="s">
        <v>32</v>
      </c>
      <c r="D4449" s="3" t="n">
        <v>46249</v>
      </c>
      <c r="E4449" s="2" t="str">
        <f aca="false">TEXT(D4449,"dddd")</f>
        <v>Saturday</v>
      </c>
      <c r="F4449" s="2" t="s">
        <v>461</v>
      </c>
      <c r="G4449" s="2"/>
      <c r="H4449" s="2"/>
      <c r="I4449" s="2" t="n">
        <f aca="false">IF(F4449="Present",9,IF(F4449="Half Day",4,0))</f>
        <v>0</v>
      </c>
      <c r="J4449" s="2"/>
      <c r="K4449" s="2" t="s">
        <v>462</v>
      </c>
    </row>
    <row r="4450" customFormat="false" ht="15" hidden="false" customHeight="false" outlineLevel="0" collapsed="false">
      <c r="A4450" s="2" t="s">
        <v>335</v>
      </c>
      <c r="B4450" s="2" t="s">
        <v>336</v>
      </c>
      <c r="C4450" s="2" t="s">
        <v>32</v>
      </c>
      <c r="D4450" s="3" t="n">
        <v>46250</v>
      </c>
      <c r="E4450" s="2" t="str">
        <f aca="false">TEXT(D4450,"dddd")</f>
        <v>Sunday</v>
      </c>
      <c r="F4450" s="2" t="s">
        <v>460</v>
      </c>
      <c r="G4450" s="2"/>
      <c r="H4450" s="2"/>
      <c r="I4450" s="2" t="n">
        <f aca="false">IF(F4450="Present",9,IF(F4450="Half Day",4,0))</f>
        <v>0</v>
      </c>
      <c r="J4450" s="2"/>
      <c r="K4450" s="2" t="s">
        <v>460</v>
      </c>
    </row>
    <row r="4451" customFormat="false" ht="15" hidden="false" customHeight="false" outlineLevel="0" collapsed="false">
      <c r="A4451" s="2" t="s">
        <v>335</v>
      </c>
      <c r="B4451" s="2" t="s">
        <v>336</v>
      </c>
      <c r="C4451" s="2" t="s">
        <v>32</v>
      </c>
      <c r="D4451" s="3" t="n">
        <v>46251</v>
      </c>
      <c r="E4451" s="2" t="str">
        <f aca="false">TEXT(D4451,"dddd")</f>
        <v>Monday</v>
      </c>
      <c r="F4451" s="2" t="s">
        <v>457</v>
      </c>
      <c r="G4451" s="2" t="s">
        <v>458</v>
      </c>
      <c r="H4451" s="2" t="s">
        <v>459</v>
      </c>
      <c r="I4451" s="2" t="n">
        <f aca="false">IF(F4451="Present",9,IF(F4451="Half Day",4,0))</f>
        <v>9</v>
      </c>
      <c r="J4451" s="2"/>
      <c r="K4451" s="2"/>
    </row>
    <row r="4452" customFormat="false" ht="15" hidden="false" customHeight="false" outlineLevel="0" collapsed="false">
      <c r="A4452" s="2" t="s">
        <v>335</v>
      </c>
      <c r="B4452" s="2" t="s">
        <v>336</v>
      </c>
      <c r="C4452" s="2" t="s">
        <v>32</v>
      </c>
      <c r="D4452" s="3" t="n">
        <v>46252</v>
      </c>
      <c r="E4452" s="2" t="str">
        <f aca="false">TEXT(D4452,"dddd")</f>
        <v>Tuesday</v>
      </c>
      <c r="F4452" s="2" t="s">
        <v>457</v>
      </c>
      <c r="G4452" s="2" t="s">
        <v>458</v>
      </c>
      <c r="H4452" s="2" t="s">
        <v>459</v>
      </c>
      <c r="I4452" s="2" t="n">
        <f aca="false">IF(F4452="Present",9,IF(F4452="Half Day",4,0))</f>
        <v>9</v>
      </c>
      <c r="J4452" s="2"/>
      <c r="K4452" s="2"/>
    </row>
    <row r="4453" customFormat="false" ht="15" hidden="false" customHeight="false" outlineLevel="0" collapsed="false">
      <c r="A4453" s="2" t="s">
        <v>335</v>
      </c>
      <c r="B4453" s="2" t="s">
        <v>336</v>
      </c>
      <c r="C4453" s="2" t="s">
        <v>32</v>
      </c>
      <c r="D4453" s="3" t="n">
        <v>46253</v>
      </c>
      <c r="E4453" s="2" t="str">
        <f aca="false">TEXT(D4453,"dddd")</f>
        <v>Wednesday</v>
      </c>
      <c r="F4453" s="2" t="s">
        <v>457</v>
      </c>
      <c r="G4453" s="2" t="s">
        <v>458</v>
      </c>
      <c r="H4453" s="2" t="s">
        <v>459</v>
      </c>
      <c r="I4453" s="2" t="n">
        <f aca="false">IF(F4453="Present",9,IF(F4453="Half Day",4,0))</f>
        <v>9</v>
      </c>
      <c r="J4453" s="2"/>
      <c r="K4453" s="2"/>
    </row>
    <row r="4454" customFormat="false" ht="15" hidden="false" customHeight="false" outlineLevel="0" collapsed="false">
      <c r="A4454" s="2" t="s">
        <v>335</v>
      </c>
      <c r="B4454" s="2" t="s">
        <v>336</v>
      </c>
      <c r="C4454" s="2" t="s">
        <v>32</v>
      </c>
      <c r="D4454" s="3" t="n">
        <v>46254</v>
      </c>
      <c r="E4454" s="2" t="str">
        <f aca="false">TEXT(D4454,"dddd")</f>
        <v>Thursday</v>
      </c>
      <c r="F4454" s="2" t="s">
        <v>457</v>
      </c>
      <c r="G4454" s="2" t="s">
        <v>458</v>
      </c>
      <c r="H4454" s="2" t="s">
        <v>459</v>
      </c>
      <c r="I4454" s="2" t="n">
        <f aca="false">IF(F4454="Present",9,IF(F4454="Half Day",4,0))</f>
        <v>9</v>
      </c>
      <c r="J4454" s="2"/>
      <c r="K4454" s="2"/>
    </row>
    <row r="4455" customFormat="false" ht="15" hidden="false" customHeight="false" outlineLevel="0" collapsed="false">
      <c r="A4455" s="2" t="s">
        <v>335</v>
      </c>
      <c r="B4455" s="2" t="s">
        <v>336</v>
      </c>
      <c r="C4455" s="2" t="s">
        <v>32</v>
      </c>
      <c r="D4455" s="3" t="n">
        <v>46255</v>
      </c>
      <c r="E4455" s="2" t="str">
        <f aca="false">TEXT(D4455,"dddd")</f>
        <v>Friday</v>
      </c>
      <c r="F4455" s="2" t="s">
        <v>457</v>
      </c>
      <c r="G4455" s="2" t="s">
        <v>458</v>
      </c>
      <c r="H4455" s="2" t="s">
        <v>459</v>
      </c>
      <c r="I4455" s="2" t="n">
        <f aca="false">IF(F4455="Present",9,IF(F4455="Half Day",4,0))</f>
        <v>9</v>
      </c>
      <c r="J4455" s="2"/>
      <c r="K4455" s="2"/>
    </row>
    <row r="4456" customFormat="false" ht="15" hidden="false" customHeight="false" outlineLevel="0" collapsed="false">
      <c r="A4456" s="2" t="s">
        <v>335</v>
      </c>
      <c r="B4456" s="2" t="s">
        <v>336</v>
      </c>
      <c r="C4456" s="2" t="s">
        <v>32</v>
      </c>
      <c r="D4456" s="3" t="n">
        <v>46256</v>
      </c>
      <c r="E4456" s="2" t="str">
        <f aca="false">TEXT(D4456,"dddd")</f>
        <v>Saturday</v>
      </c>
      <c r="F4456" s="2" t="s">
        <v>457</v>
      </c>
      <c r="G4456" s="2" t="s">
        <v>458</v>
      </c>
      <c r="H4456" s="2" t="s">
        <v>459</v>
      </c>
      <c r="I4456" s="2" t="n">
        <f aca="false">IF(F4456="Present",9,IF(F4456="Half Day",4,0))</f>
        <v>9</v>
      </c>
      <c r="J4456" s="2"/>
      <c r="K4456" s="2"/>
    </row>
    <row r="4457" customFormat="false" ht="15" hidden="false" customHeight="false" outlineLevel="0" collapsed="false">
      <c r="A4457" s="2" t="s">
        <v>335</v>
      </c>
      <c r="B4457" s="2" t="s">
        <v>336</v>
      </c>
      <c r="C4457" s="2" t="s">
        <v>32</v>
      </c>
      <c r="D4457" s="3" t="n">
        <v>46257</v>
      </c>
      <c r="E4457" s="2" t="str">
        <f aca="false">TEXT(D4457,"dddd")</f>
        <v>Sunday</v>
      </c>
      <c r="F4457" s="2" t="s">
        <v>460</v>
      </c>
      <c r="G4457" s="2"/>
      <c r="H4457" s="2"/>
      <c r="I4457" s="2" t="n">
        <f aca="false">IF(F4457="Present",9,IF(F4457="Half Day",4,0))</f>
        <v>0</v>
      </c>
      <c r="J4457" s="2"/>
      <c r="K4457" s="2" t="s">
        <v>460</v>
      </c>
    </row>
    <row r="4458" customFormat="false" ht="15" hidden="false" customHeight="false" outlineLevel="0" collapsed="false">
      <c r="A4458" s="2" t="s">
        <v>335</v>
      </c>
      <c r="B4458" s="2" t="s">
        <v>336</v>
      </c>
      <c r="C4458" s="2" t="s">
        <v>32</v>
      </c>
      <c r="D4458" s="3" t="n">
        <v>46258</v>
      </c>
      <c r="E4458" s="2" t="str">
        <f aca="false">TEXT(D4458,"dddd")</f>
        <v>Monday</v>
      </c>
      <c r="F4458" s="2" t="s">
        <v>457</v>
      </c>
      <c r="G4458" s="2" t="s">
        <v>458</v>
      </c>
      <c r="H4458" s="2" t="s">
        <v>459</v>
      </c>
      <c r="I4458" s="2" t="n">
        <f aca="false">IF(F4458="Present",9,IF(F4458="Half Day",4,0))</f>
        <v>9</v>
      </c>
      <c r="J4458" s="2"/>
      <c r="K4458" s="2"/>
    </row>
    <row r="4459" customFormat="false" ht="15" hidden="false" customHeight="false" outlineLevel="0" collapsed="false">
      <c r="A4459" s="2" t="s">
        <v>335</v>
      </c>
      <c r="B4459" s="2" t="s">
        <v>336</v>
      </c>
      <c r="C4459" s="2" t="s">
        <v>32</v>
      </c>
      <c r="D4459" s="3" t="n">
        <v>46259</v>
      </c>
      <c r="E4459" s="2" t="str">
        <f aca="false">TEXT(D4459,"dddd")</f>
        <v>Tuesday</v>
      </c>
      <c r="F4459" s="2" t="s">
        <v>457</v>
      </c>
      <c r="G4459" s="2" t="s">
        <v>458</v>
      </c>
      <c r="H4459" s="2" t="s">
        <v>459</v>
      </c>
      <c r="I4459" s="2" t="n">
        <f aca="false">IF(F4459="Present",9,IF(F4459="Half Day",4,0))</f>
        <v>9</v>
      </c>
      <c r="J4459" s="2"/>
      <c r="K4459" s="2"/>
    </row>
    <row r="4460" customFormat="false" ht="15" hidden="false" customHeight="false" outlineLevel="0" collapsed="false">
      <c r="A4460" s="2" t="s">
        <v>335</v>
      </c>
      <c r="B4460" s="2" t="s">
        <v>336</v>
      </c>
      <c r="C4460" s="2" t="s">
        <v>32</v>
      </c>
      <c r="D4460" s="3" t="n">
        <v>46260</v>
      </c>
      <c r="E4460" s="2" t="str">
        <f aca="false">TEXT(D4460,"dddd")</f>
        <v>Wednesday</v>
      </c>
      <c r="F4460" s="2" t="s">
        <v>463</v>
      </c>
      <c r="G4460" s="2"/>
      <c r="H4460" s="2"/>
      <c r="I4460" s="2" t="n">
        <f aca="false">IF(F4460="Present",9,IF(F4460="Half Day",4,0))</f>
        <v>0</v>
      </c>
      <c r="J4460" s="2" t="s">
        <v>464</v>
      </c>
      <c r="K4460" s="2" t="s">
        <v>465</v>
      </c>
    </row>
    <row r="4461" customFormat="false" ht="15" hidden="false" customHeight="false" outlineLevel="0" collapsed="false">
      <c r="A4461" s="2" t="s">
        <v>335</v>
      </c>
      <c r="B4461" s="2" t="s">
        <v>336</v>
      </c>
      <c r="C4461" s="2" t="s">
        <v>32</v>
      </c>
      <c r="D4461" s="3" t="n">
        <v>46261</v>
      </c>
      <c r="E4461" s="2" t="str">
        <f aca="false">TEXT(D4461,"dddd")</f>
        <v>Thursday</v>
      </c>
      <c r="F4461" s="2" t="s">
        <v>457</v>
      </c>
      <c r="G4461" s="2" t="s">
        <v>458</v>
      </c>
      <c r="H4461" s="2" t="s">
        <v>459</v>
      </c>
      <c r="I4461" s="2" t="n">
        <f aca="false">IF(F4461="Present",9,IF(F4461="Half Day",4,0))</f>
        <v>9</v>
      </c>
      <c r="J4461" s="2"/>
      <c r="K4461" s="2"/>
    </row>
    <row r="4462" customFormat="false" ht="15" hidden="false" customHeight="false" outlineLevel="0" collapsed="false">
      <c r="A4462" s="2" t="s">
        <v>335</v>
      </c>
      <c r="B4462" s="2" t="s">
        <v>336</v>
      </c>
      <c r="C4462" s="2" t="s">
        <v>32</v>
      </c>
      <c r="D4462" s="3" t="n">
        <v>46262</v>
      </c>
      <c r="E4462" s="2" t="str">
        <f aca="false">TEXT(D4462,"dddd")</f>
        <v>Friday</v>
      </c>
      <c r="F4462" s="2" t="s">
        <v>457</v>
      </c>
      <c r="G4462" s="2" t="s">
        <v>458</v>
      </c>
      <c r="H4462" s="2" t="s">
        <v>459</v>
      </c>
      <c r="I4462" s="2" t="n">
        <f aca="false">IF(F4462="Present",9,IF(F4462="Half Day",4,0))</f>
        <v>9</v>
      </c>
      <c r="J4462" s="2"/>
      <c r="K4462" s="2"/>
    </row>
    <row r="4463" customFormat="false" ht="15" hidden="false" customHeight="false" outlineLevel="0" collapsed="false">
      <c r="A4463" s="2" t="s">
        <v>335</v>
      </c>
      <c r="B4463" s="2" t="s">
        <v>336</v>
      </c>
      <c r="C4463" s="2" t="s">
        <v>32</v>
      </c>
      <c r="D4463" s="3" t="n">
        <v>46263</v>
      </c>
      <c r="E4463" s="2" t="str">
        <f aca="false">TEXT(D4463,"dddd")</f>
        <v>Saturday</v>
      </c>
      <c r="F4463" s="2" t="s">
        <v>457</v>
      </c>
      <c r="G4463" s="2" t="s">
        <v>458</v>
      </c>
      <c r="H4463" s="2" t="s">
        <v>459</v>
      </c>
      <c r="I4463" s="2" t="n">
        <f aca="false">IF(F4463="Present",9,IF(F4463="Half Day",4,0))</f>
        <v>9</v>
      </c>
      <c r="J4463" s="2"/>
      <c r="K4463" s="2"/>
    </row>
    <row r="4464" customFormat="false" ht="15" hidden="false" customHeight="false" outlineLevel="0" collapsed="false">
      <c r="A4464" s="2" t="s">
        <v>335</v>
      </c>
      <c r="B4464" s="2" t="s">
        <v>336</v>
      </c>
      <c r="C4464" s="2" t="s">
        <v>32</v>
      </c>
      <c r="D4464" s="3" t="n">
        <v>46264</v>
      </c>
      <c r="E4464" s="2" t="str">
        <f aca="false">TEXT(D4464,"dddd")</f>
        <v>Sunday</v>
      </c>
      <c r="F4464" s="2" t="s">
        <v>460</v>
      </c>
      <c r="G4464" s="2"/>
      <c r="H4464" s="2"/>
      <c r="I4464" s="2" t="n">
        <f aca="false">IF(F4464="Present",9,IF(F4464="Half Day",4,0))</f>
        <v>0</v>
      </c>
      <c r="J4464" s="2"/>
      <c r="K4464" s="2" t="s">
        <v>460</v>
      </c>
    </row>
    <row r="4465" customFormat="false" ht="15" hidden="false" customHeight="false" outlineLevel="0" collapsed="false">
      <c r="A4465" s="2" t="s">
        <v>335</v>
      </c>
      <c r="B4465" s="2" t="s">
        <v>336</v>
      </c>
      <c r="C4465" s="2" t="s">
        <v>32</v>
      </c>
      <c r="D4465" s="3" t="n">
        <v>46265</v>
      </c>
      <c r="E4465" s="2" t="str">
        <f aca="false">TEXT(D4465,"dddd")</f>
        <v>Monday</v>
      </c>
      <c r="F4465" s="2" t="s">
        <v>457</v>
      </c>
      <c r="G4465" s="2" t="s">
        <v>458</v>
      </c>
      <c r="H4465" s="2" t="s">
        <v>459</v>
      </c>
      <c r="I4465" s="2" t="n">
        <f aca="false">IF(F4465="Present",9,IF(F4465="Half Day",4,0))</f>
        <v>9</v>
      </c>
      <c r="J4465" s="2"/>
      <c r="K4465" s="2"/>
    </row>
    <row r="4466" customFormat="false" ht="15" hidden="false" customHeight="false" outlineLevel="0" collapsed="false">
      <c r="A4466" s="2" t="s">
        <v>337</v>
      </c>
      <c r="B4466" s="2" t="s">
        <v>338</v>
      </c>
      <c r="C4466" s="2" t="s">
        <v>36</v>
      </c>
      <c r="D4466" s="3" t="n">
        <v>46235</v>
      </c>
      <c r="E4466" s="2" t="str">
        <f aca="false">TEXT(D4466,"dddd")</f>
        <v>Saturday</v>
      </c>
      <c r="F4466" s="2" t="s">
        <v>457</v>
      </c>
      <c r="G4466" s="2" t="s">
        <v>458</v>
      </c>
      <c r="H4466" s="2" t="s">
        <v>459</v>
      </c>
      <c r="I4466" s="2" t="n">
        <f aca="false">IF(F4466="Present",9,IF(F4466="Half Day",4,0))</f>
        <v>9</v>
      </c>
      <c r="J4466" s="2"/>
      <c r="K4466" s="2"/>
    </row>
    <row r="4467" customFormat="false" ht="15" hidden="false" customHeight="false" outlineLevel="0" collapsed="false">
      <c r="A4467" s="2" t="s">
        <v>337</v>
      </c>
      <c r="B4467" s="2" t="s">
        <v>338</v>
      </c>
      <c r="C4467" s="2" t="s">
        <v>36</v>
      </c>
      <c r="D4467" s="3" t="n">
        <v>46236</v>
      </c>
      <c r="E4467" s="2" t="str">
        <f aca="false">TEXT(D4467,"dddd")</f>
        <v>Sunday</v>
      </c>
      <c r="F4467" s="2" t="s">
        <v>460</v>
      </c>
      <c r="G4467" s="2"/>
      <c r="H4467" s="2"/>
      <c r="I4467" s="2" t="n">
        <f aca="false">IF(F4467="Present",9,IF(F4467="Half Day",4,0))</f>
        <v>0</v>
      </c>
      <c r="J4467" s="2"/>
      <c r="K4467" s="2" t="s">
        <v>460</v>
      </c>
    </row>
    <row r="4468" customFormat="false" ht="15" hidden="false" customHeight="false" outlineLevel="0" collapsed="false">
      <c r="A4468" s="2" t="s">
        <v>337</v>
      </c>
      <c r="B4468" s="2" t="s">
        <v>338</v>
      </c>
      <c r="C4468" s="2" t="s">
        <v>36</v>
      </c>
      <c r="D4468" s="3" t="n">
        <v>46237</v>
      </c>
      <c r="E4468" s="2" t="str">
        <f aca="false">TEXT(D4468,"dddd")</f>
        <v>Monday</v>
      </c>
      <c r="F4468" s="2" t="s">
        <v>457</v>
      </c>
      <c r="G4468" s="2" t="s">
        <v>458</v>
      </c>
      <c r="H4468" s="2" t="s">
        <v>459</v>
      </c>
      <c r="I4468" s="2" t="n">
        <f aca="false">IF(F4468="Present",9,IF(F4468="Half Day",4,0))</f>
        <v>9</v>
      </c>
      <c r="J4468" s="2"/>
      <c r="K4468" s="2"/>
    </row>
    <row r="4469" customFormat="false" ht="15" hidden="false" customHeight="false" outlineLevel="0" collapsed="false">
      <c r="A4469" s="2" t="s">
        <v>337</v>
      </c>
      <c r="B4469" s="2" t="s">
        <v>338</v>
      </c>
      <c r="C4469" s="2" t="s">
        <v>36</v>
      </c>
      <c r="D4469" s="3" t="n">
        <v>46238</v>
      </c>
      <c r="E4469" s="2" t="str">
        <f aca="false">TEXT(D4469,"dddd")</f>
        <v>Tuesday</v>
      </c>
      <c r="F4469" s="2" t="s">
        <v>457</v>
      </c>
      <c r="G4469" s="2" t="s">
        <v>458</v>
      </c>
      <c r="H4469" s="2" t="s">
        <v>459</v>
      </c>
      <c r="I4469" s="2" t="n">
        <f aca="false">IF(F4469="Present",9,IF(F4469="Half Day",4,0))</f>
        <v>9</v>
      </c>
      <c r="J4469" s="2"/>
      <c r="K4469" s="2"/>
    </row>
    <row r="4470" customFormat="false" ht="15" hidden="false" customHeight="false" outlineLevel="0" collapsed="false">
      <c r="A4470" s="2" t="s">
        <v>337</v>
      </c>
      <c r="B4470" s="2" t="s">
        <v>338</v>
      </c>
      <c r="C4470" s="2" t="s">
        <v>36</v>
      </c>
      <c r="D4470" s="3" t="n">
        <v>46239</v>
      </c>
      <c r="E4470" s="2" t="str">
        <f aca="false">TEXT(D4470,"dddd")</f>
        <v>Wednesday</v>
      </c>
      <c r="F4470" s="2" t="s">
        <v>463</v>
      </c>
      <c r="G4470" s="2"/>
      <c r="H4470" s="2"/>
      <c r="I4470" s="2" t="n">
        <f aca="false">IF(F4470="Present",9,IF(F4470="Half Day",4,0))</f>
        <v>0</v>
      </c>
      <c r="J4470" s="2" t="s">
        <v>468</v>
      </c>
      <c r="K4470" s="2" t="s">
        <v>469</v>
      </c>
    </row>
    <row r="4471" customFormat="false" ht="15" hidden="false" customHeight="false" outlineLevel="0" collapsed="false">
      <c r="A4471" s="2" t="s">
        <v>337</v>
      </c>
      <c r="B4471" s="2" t="s">
        <v>338</v>
      </c>
      <c r="C4471" s="2" t="s">
        <v>36</v>
      </c>
      <c r="D4471" s="3" t="n">
        <v>46240</v>
      </c>
      <c r="E4471" s="2" t="str">
        <f aca="false">TEXT(D4471,"dddd")</f>
        <v>Thursday</v>
      </c>
      <c r="F4471" s="2" t="s">
        <v>457</v>
      </c>
      <c r="G4471" s="2" t="s">
        <v>458</v>
      </c>
      <c r="H4471" s="2" t="s">
        <v>459</v>
      </c>
      <c r="I4471" s="2" t="n">
        <f aca="false">IF(F4471="Present",9,IF(F4471="Half Day",4,0))</f>
        <v>9</v>
      </c>
      <c r="J4471" s="2"/>
      <c r="K4471" s="2"/>
    </row>
    <row r="4472" customFormat="false" ht="15" hidden="false" customHeight="false" outlineLevel="0" collapsed="false">
      <c r="A4472" s="2" t="s">
        <v>337</v>
      </c>
      <c r="B4472" s="2" t="s">
        <v>338</v>
      </c>
      <c r="C4472" s="2" t="s">
        <v>36</v>
      </c>
      <c r="D4472" s="3" t="n">
        <v>46241</v>
      </c>
      <c r="E4472" s="2" t="str">
        <f aca="false">TEXT(D4472,"dddd")</f>
        <v>Friday</v>
      </c>
      <c r="F4472" s="2" t="s">
        <v>461</v>
      </c>
      <c r="G4472" s="2"/>
      <c r="H4472" s="2"/>
      <c r="I4472" s="2" t="n">
        <f aca="false">IF(F4472="Present",9,IF(F4472="Half Day",4,0))</f>
        <v>0</v>
      </c>
      <c r="J4472" s="2"/>
      <c r="K4472" s="2" t="s">
        <v>462</v>
      </c>
    </row>
    <row r="4473" customFormat="false" ht="15" hidden="false" customHeight="false" outlineLevel="0" collapsed="false">
      <c r="A4473" s="2" t="s">
        <v>337</v>
      </c>
      <c r="B4473" s="2" t="s">
        <v>338</v>
      </c>
      <c r="C4473" s="2" t="s">
        <v>36</v>
      </c>
      <c r="D4473" s="3" t="n">
        <v>46242</v>
      </c>
      <c r="E4473" s="2" t="str">
        <f aca="false">TEXT(D4473,"dddd")</f>
        <v>Saturday</v>
      </c>
      <c r="F4473" s="2" t="s">
        <v>457</v>
      </c>
      <c r="G4473" s="2" t="s">
        <v>458</v>
      </c>
      <c r="H4473" s="2" t="s">
        <v>459</v>
      </c>
      <c r="I4473" s="2" t="n">
        <f aca="false">IF(F4473="Present",9,IF(F4473="Half Day",4,0))</f>
        <v>9</v>
      </c>
      <c r="J4473" s="2"/>
      <c r="K4473" s="2"/>
    </row>
    <row r="4474" customFormat="false" ht="15" hidden="false" customHeight="false" outlineLevel="0" collapsed="false">
      <c r="A4474" s="2" t="s">
        <v>337</v>
      </c>
      <c r="B4474" s="2" t="s">
        <v>338</v>
      </c>
      <c r="C4474" s="2" t="s">
        <v>36</v>
      </c>
      <c r="D4474" s="3" t="n">
        <v>46243</v>
      </c>
      <c r="E4474" s="2" t="str">
        <f aca="false">TEXT(D4474,"dddd")</f>
        <v>Sunday</v>
      </c>
      <c r="F4474" s="2" t="s">
        <v>460</v>
      </c>
      <c r="G4474" s="2"/>
      <c r="H4474" s="2"/>
      <c r="I4474" s="2" t="n">
        <f aca="false">IF(F4474="Present",9,IF(F4474="Half Day",4,0))</f>
        <v>0</v>
      </c>
      <c r="J4474" s="2"/>
      <c r="K4474" s="2" t="s">
        <v>460</v>
      </c>
    </row>
    <row r="4475" customFormat="false" ht="15" hidden="false" customHeight="false" outlineLevel="0" collapsed="false">
      <c r="A4475" s="2" t="s">
        <v>337</v>
      </c>
      <c r="B4475" s="2" t="s">
        <v>338</v>
      </c>
      <c r="C4475" s="2" t="s">
        <v>36</v>
      </c>
      <c r="D4475" s="3" t="n">
        <v>46244</v>
      </c>
      <c r="E4475" s="2" t="str">
        <f aca="false">TEXT(D4475,"dddd")</f>
        <v>Monday</v>
      </c>
      <c r="F4475" s="2" t="s">
        <v>457</v>
      </c>
      <c r="G4475" s="2" t="s">
        <v>458</v>
      </c>
      <c r="H4475" s="2" t="s">
        <v>459</v>
      </c>
      <c r="I4475" s="2" t="n">
        <f aca="false">IF(F4475="Present",9,IF(F4475="Half Day",4,0))</f>
        <v>9</v>
      </c>
      <c r="J4475" s="2"/>
      <c r="K4475" s="2"/>
    </row>
    <row r="4476" customFormat="false" ht="15" hidden="false" customHeight="false" outlineLevel="0" collapsed="false">
      <c r="A4476" s="2" t="s">
        <v>337</v>
      </c>
      <c r="B4476" s="2" t="s">
        <v>338</v>
      </c>
      <c r="C4476" s="2" t="s">
        <v>36</v>
      </c>
      <c r="D4476" s="3" t="n">
        <v>46245</v>
      </c>
      <c r="E4476" s="2" t="str">
        <f aca="false">TEXT(D4476,"dddd")</f>
        <v>Tuesday</v>
      </c>
      <c r="F4476" s="2" t="s">
        <v>457</v>
      </c>
      <c r="G4476" s="2" t="s">
        <v>458</v>
      </c>
      <c r="H4476" s="2" t="s">
        <v>459</v>
      </c>
      <c r="I4476" s="2" t="n">
        <f aca="false">IF(F4476="Present",9,IF(F4476="Half Day",4,0))</f>
        <v>9</v>
      </c>
      <c r="J4476" s="2"/>
      <c r="K4476" s="2"/>
    </row>
    <row r="4477" customFormat="false" ht="15" hidden="false" customHeight="false" outlineLevel="0" collapsed="false">
      <c r="A4477" s="2" t="s">
        <v>337</v>
      </c>
      <c r="B4477" s="2" t="s">
        <v>338</v>
      </c>
      <c r="C4477" s="2" t="s">
        <v>36</v>
      </c>
      <c r="D4477" s="3" t="n">
        <v>46246</v>
      </c>
      <c r="E4477" s="2" t="str">
        <f aca="false">TEXT(D4477,"dddd")</f>
        <v>Wednesday</v>
      </c>
      <c r="F4477" s="2" t="s">
        <v>457</v>
      </c>
      <c r="G4477" s="2" t="s">
        <v>458</v>
      </c>
      <c r="H4477" s="2" t="s">
        <v>459</v>
      </c>
      <c r="I4477" s="2" t="n">
        <f aca="false">IF(F4477="Present",9,IF(F4477="Half Day",4,0))</f>
        <v>9</v>
      </c>
      <c r="J4477" s="2"/>
      <c r="K4477" s="2"/>
    </row>
    <row r="4478" customFormat="false" ht="15" hidden="false" customHeight="false" outlineLevel="0" collapsed="false">
      <c r="A4478" s="2" t="s">
        <v>337</v>
      </c>
      <c r="B4478" s="2" t="s">
        <v>338</v>
      </c>
      <c r="C4478" s="2" t="s">
        <v>36</v>
      </c>
      <c r="D4478" s="3" t="n">
        <v>46247</v>
      </c>
      <c r="E4478" s="2" t="str">
        <f aca="false">TEXT(D4478,"dddd")</f>
        <v>Thursday</v>
      </c>
      <c r="F4478" s="2" t="s">
        <v>457</v>
      </c>
      <c r="G4478" s="2" t="s">
        <v>458</v>
      </c>
      <c r="H4478" s="2" t="s">
        <v>459</v>
      </c>
      <c r="I4478" s="2" t="n">
        <f aca="false">IF(F4478="Present",9,IF(F4478="Half Day",4,0))</f>
        <v>9</v>
      </c>
      <c r="J4478" s="2"/>
      <c r="K4478" s="2"/>
    </row>
    <row r="4479" customFormat="false" ht="15" hidden="false" customHeight="false" outlineLevel="0" collapsed="false">
      <c r="A4479" s="2" t="s">
        <v>337</v>
      </c>
      <c r="B4479" s="2" t="s">
        <v>338</v>
      </c>
      <c r="C4479" s="2" t="s">
        <v>36</v>
      </c>
      <c r="D4479" s="3" t="n">
        <v>46248</v>
      </c>
      <c r="E4479" s="2" t="str">
        <f aca="false">TEXT(D4479,"dddd")</f>
        <v>Friday</v>
      </c>
      <c r="F4479" s="2" t="s">
        <v>457</v>
      </c>
      <c r="G4479" s="2" t="s">
        <v>458</v>
      </c>
      <c r="H4479" s="2" t="s">
        <v>459</v>
      </c>
      <c r="I4479" s="2" t="n">
        <f aca="false">IF(F4479="Present",9,IF(F4479="Half Day",4,0))</f>
        <v>9</v>
      </c>
      <c r="J4479" s="2"/>
      <c r="K4479" s="2"/>
    </row>
    <row r="4480" customFormat="false" ht="15" hidden="false" customHeight="false" outlineLevel="0" collapsed="false">
      <c r="A4480" s="2" t="s">
        <v>337</v>
      </c>
      <c r="B4480" s="2" t="s">
        <v>338</v>
      </c>
      <c r="C4480" s="2" t="s">
        <v>36</v>
      </c>
      <c r="D4480" s="3" t="n">
        <v>46249</v>
      </c>
      <c r="E4480" s="2" t="str">
        <f aca="false">TEXT(D4480,"dddd")</f>
        <v>Saturday</v>
      </c>
      <c r="F4480" s="2" t="s">
        <v>461</v>
      </c>
      <c r="G4480" s="2"/>
      <c r="H4480" s="2"/>
      <c r="I4480" s="2" t="n">
        <f aca="false">IF(F4480="Present",9,IF(F4480="Half Day",4,0))</f>
        <v>0</v>
      </c>
      <c r="J4480" s="2"/>
      <c r="K4480" s="2" t="s">
        <v>462</v>
      </c>
    </row>
    <row r="4481" customFormat="false" ht="15" hidden="false" customHeight="false" outlineLevel="0" collapsed="false">
      <c r="A4481" s="2" t="s">
        <v>337</v>
      </c>
      <c r="B4481" s="2" t="s">
        <v>338</v>
      </c>
      <c r="C4481" s="2" t="s">
        <v>36</v>
      </c>
      <c r="D4481" s="3" t="n">
        <v>46250</v>
      </c>
      <c r="E4481" s="2" t="str">
        <f aca="false">TEXT(D4481,"dddd")</f>
        <v>Sunday</v>
      </c>
      <c r="F4481" s="2" t="s">
        <v>460</v>
      </c>
      <c r="G4481" s="2"/>
      <c r="H4481" s="2"/>
      <c r="I4481" s="2" t="n">
        <f aca="false">IF(F4481="Present",9,IF(F4481="Half Day",4,0))</f>
        <v>0</v>
      </c>
      <c r="J4481" s="2"/>
      <c r="K4481" s="2" t="s">
        <v>460</v>
      </c>
    </row>
    <row r="4482" customFormat="false" ht="15" hidden="false" customHeight="false" outlineLevel="0" collapsed="false">
      <c r="A4482" s="2" t="s">
        <v>337</v>
      </c>
      <c r="B4482" s="2" t="s">
        <v>338</v>
      </c>
      <c r="C4482" s="2" t="s">
        <v>36</v>
      </c>
      <c r="D4482" s="3" t="n">
        <v>46251</v>
      </c>
      <c r="E4482" s="2" t="str">
        <f aca="false">TEXT(D4482,"dddd")</f>
        <v>Monday</v>
      </c>
      <c r="F4482" s="2" t="s">
        <v>457</v>
      </c>
      <c r="G4482" s="2" t="s">
        <v>458</v>
      </c>
      <c r="H4482" s="2" t="s">
        <v>459</v>
      </c>
      <c r="I4482" s="2" t="n">
        <f aca="false">IF(F4482="Present",9,IF(F4482="Half Day",4,0))</f>
        <v>9</v>
      </c>
      <c r="J4482" s="2"/>
      <c r="K4482" s="2"/>
    </row>
    <row r="4483" customFormat="false" ht="15" hidden="false" customHeight="false" outlineLevel="0" collapsed="false">
      <c r="A4483" s="2" t="s">
        <v>337</v>
      </c>
      <c r="B4483" s="2" t="s">
        <v>338</v>
      </c>
      <c r="C4483" s="2" t="s">
        <v>36</v>
      </c>
      <c r="D4483" s="3" t="n">
        <v>46252</v>
      </c>
      <c r="E4483" s="2" t="str">
        <f aca="false">TEXT(D4483,"dddd")</f>
        <v>Tuesday</v>
      </c>
      <c r="F4483" s="2" t="s">
        <v>457</v>
      </c>
      <c r="G4483" s="2" t="s">
        <v>458</v>
      </c>
      <c r="H4483" s="2" t="s">
        <v>459</v>
      </c>
      <c r="I4483" s="2" t="n">
        <f aca="false">IF(F4483="Present",9,IF(F4483="Half Day",4,0))</f>
        <v>9</v>
      </c>
      <c r="J4483" s="2"/>
      <c r="K4483" s="2"/>
    </row>
    <row r="4484" customFormat="false" ht="15" hidden="false" customHeight="false" outlineLevel="0" collapsed="false">
      <c r="A4484" s="2" t="s">
        <v>337</v>
      </c>
      <c r="B4484" s="2" t="s">
        <v>338</v>
      </c>
      <c r="C4484" s="2" t="s">
        <v>36</v>
      </c>
      <c r="D4484" s="3" t="n">
        <v>46253</v>
      </c>
      <c r="E4484" s="2" t="str">
        <f aca="false">TEXT(D4484,"dddd")</f>
        <v>Wednesday</v>
      </c>
      <c r="F4484" s="2" t="s">
        <v>457</v>
      </c>
      <c r="G4484" s="2" t="s">
        <v>458</v>
      </c>
      <c r="H4484" s="2" t="s">
        <v>459</v>
      </c>
      <c r="I4484" s="2" t="n">
        <f aca="false">IF(F4484="Present",9,IF(F4484="Half Day",4,0))</f>
        <v>9</v>
      </c>
      <c r="J4484" s="2"/>
      <c r="K4484" s="2"/>
    </row>
    <row r="4485" customFormat="false" ht="15" hidden="false" customHeight="false" outlineLevel="0" collapsed="false">
      <c r="A4485" s="2" t="s">
        <v>337</v>
      </c>
      <c r="B4485" s="2" t="s">
        <v>338</v>
      </c>
      <c r="C4485" s="2" t="s">
        <v>36</v>
      </c>
      <c r="D4485" s="3" t="n">
        <v>46254</v>
      </c>
      <c r="E4485" s="2" t="str">
        <f aca="false">TEXT(D4485,"dddd")</f>
        <v>Thursday</v>
      </c>
      <c r="F4485" s="2" t="s">
        <v>457</v>
      </c>
      <c r="G4485" s="2" t="s">
        <v>458</v>
      </c>
      <c r="H4485" s="2" t="s">
        <v>459</v>
      </c>
      <c r="I4485" s="2" t="n">
        <f aca="false">IF(F4485="Present",9,IF(F4485="Half Day",4,0))</f>
        <v>9</v>
      </c>
      <c r="J4485" s="2"/>
      <c r="K4485" s="2"/>
    </row>
    <row r="4486" customFormat="false" ht="15" hidden="false" customHeight="false" outlineLevel="0" collapsed="false">
      <c r="A4486" s="2" t="s">
        <v>337</v>
      </c>
      <c r="B4486" s="2" t="s">
        <v>338</v>
      </c>
      <c r="C4486" s="2" t="s">
        <v>36</v>
      </c>
      <c r="D4486" s="3" t="n">
        <v>46255</v>
      </c>
      <c r="E4486" s="2" t="str">
        <f aca="false">TEXT(D4486,"dddd")</f>
        <v>Friday</v>
      </c>
      <c r="F4486" s="2" t="s">
        <v>466</v>
      </c>
      <c r="G4486" s="2" t="s">
        <v>458</v>
      </c>
      <c r="H4486" s="2" t="s">
        <v>467</v>
      </c>
      <c r="I4486" s="2" t="n">
        <f aca="false">IF(F4486="Present",9,IF(F4486="Half Day",4,0))</f>
        <v>4</v>
      </c>
      <c r="J4486" s="2"/>
      <c r="K4486" s="2" t="s">
        <v>466</v>
      </c>
    </row>
    <row r="4487" customFormat="false" ht="15" hidden="false" customHeight="false" outlineLevel="0" collapsed="false">
      <c r="A4487" s="2" t="s">
        <v>337</v>
      </c>
      <c r="B4487" s="2" t="s">
        <v>338</v>
      </c>
      <c r="C4487" s="2" t="s">
        <v>36</v>
      </c>
      <c r="D4487" s="3" t="n">
        <v>46256</v>
      </c>
      <c r="E4487" s="2" t="str">
        <f aca="false">TEXT(D4487,"dddd")</f>
        <v>Saturday</v>
      </c>
      <c r="F4487" s="2" t="s">
        <v>466</v>
      </c>
      <c r="G4487" s="2" t="s">
        <v>458</v>
      </c>
      <c r="H4487" s="2" t="s">
        <v>467</v>
      </c>
      <c r="I4487" s="2" t="n">
        <f aca="false">IF(F4487="Present",9,IF(F4487="Half Day",4,0))</f>
        <v>4</v>
      </c>
      <c r="J4487" s="2"/>
      <c r="K4487" s="2" t="s">
        <v>466</v>
      </c>
    </row>
    <row r="4488" customFormat="false" ht="15" hidden="false" customHeight="false" outlineLevel="0" collapsed="false">
      <c r="A4488" s="2" t="s">
        <v>337</v>
      </c>
      <c r="B4488" s="2" t="s">
        <v>338</v>
      </c>
      <c r="C4488" s="2" t="s">
        <v>36</v>
      </c>
      <c r="D4488" s="3" t="n">
        <v>46257</v>
      </c>
      <c r="E4488" s="2" t="str">
        <f aca="false">TEXT(D4488,"dddd")</f>
        <v>Sunday</v>
      </c>
      <c r="F4488" s="2" t="s">
        <v>460</v>
      </c>
      <c r="G4488" s="2"/>
      <c r="H4488" s="2"/>
      <c r="I4488" s="2" t="n">
        <f aca="false">IF(F4488="Present",9,IF(F4488="Half Day",4,0))</f>
        <v>0</v>
      </c>
      <c r="J4488" s="2"/>
      <c r="K4488" s="2" t="s">
        <v>460</v>
      </c>
    </row>
    <row r="4489" customFormat="false" ht="15" hidden="false" customHeight="false" outlineLevel="0" collapsed="false">
      <c r="A4489" s="2" t="s">
        <v>337</v>
      </c>
      <c r="B4489" s="2" t="s">
        <v>338</v>
      </c>
      <c r="C4489" s="2" t="s">
        <v>36</v>
      </c>
      <c r="D4489" s="3" t="n">
        <v>46258</v>
      </c>
      <c r="E4489" s="2" t="str">
        <f aca="false">TEXT(D4489,"dddd")</f>
        <v>Monday</v>
      </c>
      <c r="F4489" s="2" t="s">
        <v>457</v>
      </c>
      <c r="G4489" s="2" t="s">
        <v>458</v>
      </c>
      <c r="H4489" s="2" t="s">
        <v>459</v>
      </c>
      <c r="I4489" s="2" t="n">
        <f aca="false">IF(F4489="Present",9,IF(F4489="Half Day",4,0))</f>
        <v>9</v>
      </c>
      <c r="J4489" s="2"/>
      <c r="K4489" s="2"/>
    </row>
    <row r="4490" customFormat="false" ht="15" hidden="false" customHeight="false" outlineLevel="0" collapsed="false">
      <c r="A4490" s="2" t="s">
        <v>337</v>
      </c>
      <c r="B4490" s="2" t="s">
        <v>338</v>
      </c>
      <c r="C4490" s="2" t="s">
        <v>36</v>
      </c>
      <c r="D4490" s="3" t="n">
        <v>46259</v>
      </c>
      <c r="E4490" s="2" t="str">
        <f aca="false">TEXT(D4490,"dddd")</f>
        <v>Tuesday</v>
      </c>
      <c r="F4490" s="2" t="s">
        <v>457</v>
      </c>
      <c r="G4490" s="2" t="s">
        <v>458</v>
      </c>
      <c r="H4490" s="2" t="s">
        <v>459</v>
      </c>
      <c r="I4490" s="2" t="n">
        <f aca="false">IF(F4490="Present",9,IF(F4490="Half Day",4,0))</f>
        <v>9</v>
      </c>
      <c r="J4490" s="2"/>
      <c r="K4490" s="2"/>
    </row>
    <row r="4491" customFormat="false" ht="15" hidden="false" customHeight="false" outlineLevel="0" collapsed="false">
      <c r="A4491" s="2" t="s">
        <v>337</v>
      </c>
      <c r="B4491" s="2" t="s">
        <v>338</v>
      </c>
      <c r="C4491" s="2" t="s">
        <v>36</v>
      </c>
      <c r="D4491" s="3" t="n">
        <v>46260</v>
      </c>
      <c r="E4491" s="2" t="str">
        <f aca="false">TEXT(D4491,"dddd")</f>
        <v>Wednesday</v>
      </c>
      <c r="F4491" s="2" t="s">
        <v>457</v>
      </c>
      <c r="G4491" s="2" t="s">
        <v>458</v>
      </c>
      <c r="H4491" s="2" t="s">
        <v>459</v>
      </c>
      <c r="I4491" s="2" t="n">
        <f aca="false">IF(F4491="Present",9,IF(F4491="Half Day",4,0))</f>
        <v>9</v>
      </c>
      <c r="J4491" s="2"/>
      <c r="K4491" s="2"/>
    </row>
    <row r="4492" customFormat="false" ht="15" hidden="false" customHeight="false" outlineLevel="0" collapsed="false">
      <c r="A4492" s="2" t="s">
        <v>337</v>
      </c>
      <c r="B4492" s="2" t="s">
        <v>338</v>
      </c>
      <c r="C4492" s="2" t="s">
        <v>36</v>
      </c>
      <c r="D4492" s="3" t="n">
        <v>46261</v>
      </c>
      <c r="E4492" s="2" t="str">
        <f aca="false">TEXT(D4492,"dddd")</f>
        <v>Thursday</v>
      </c>
      <c r="F4492" s="2" t="s">
        <v>461</v>
      </c>
      <c r="G4492" s="2"/>
      <c r="H4492" s="2"/>
      <c r="I4492" s="2" t="n">
        <f aca="false">IF(F4492="Present",9,IF(F4492="Half Day",4,0))</f>
        <v>0</v>
      </c>
      <c r="J4492" s="2"/>
      <c r="K4492" s="2" t="s">
        <v>462</v>
      </c>
    </row>
    <row r="4493" customFormat="false" ht="15" hidden="false" customHeight="false" outlineLevel="0" collapsed="false">
      <c r="A4493" s="2" t="s">
        <v>337</v>
      </c>
      <c r="B4493" s="2" t="s">
        <v>338</v>
      </c>
      <c r="C4493" s="2" t="s">
        <v>36</v>
      </c>
      <c r="D4493" s="3" t="n">
        <v>46262</v>
      </c>
      <c r="E4493" s="2" t="str">
        <f aca="false">TEXT(D4493,"dddd")</f>
        <v>Friday</v>
      </c>
      <c r="F4493" s="2" t="s">
        <v>457</v>
      </c>
      <c r="G4493" s="2" t="s">
        <v>458</v>
      </c>
      <c r="H4493" s="2" t="s">
        <v>459</v>
      </c>
      <c r="I4493" s="2" t="n">
        <f aca="false">IF(F4493="Present",9,IF(F4493="Half Day",4,0))</f>
        <v>9</v>
      </c>
      <c r="J4493" s="2"/>
      <c r="K4493" s="2"/>
    </row>
    <row r="4494" customFormat="false" ht="15" hidden="false" customHeight="false" outlineLevel="0" collapsed="false">
      <c r="A4494" s="2" t="s">
        <v>337</v>
      </c>
      <c r="B4494" s="2" t="s">
        <v>338</v>
      </c>
      <c r="C4494" s="2" t="s">
        <v>36</v>
      </c>
      <c r="D4494" s="3" t="n">
        <v>46263</v>
      </c>
      <c r="E4494" s="2" t="str">
        <f aca="false">TEXT(D4494,"dddd")</f>
        <v>Saturday</v>
      </c>
      <c r="F4494" s="2" t="s">
        <v>463</v>
      </c>
      <c r="G4494" s="2"/>
      <c r="H4494" s="2"/>
      <c r="I4494" s="2" t="n">
        <f aca="false">IF(F4494="Present",9,IF(F4494="Half Day",4,0))</f>
        <v>0</v>
      </c>
      <c r="J4494" s="2" t="s">
        <v>470</v>
      </c>
      <c r="K4494" s="2" t="s">
        <v>471</v>
      </c>
    </row>
    <row r="4495" customFormat="false" ht="15" hidden="false" customHeight="false" outlineLevel="0" collapsed="false">
      <c r="A4495" s="2" t="s">
        <v>337</v>
      </c>
      <c r="B4495" s="2" t="s">
        <v>338</v>
      </c>
      <c r="C4495" s="2" t="s">
        <v>36</v>
      </c>
      <c r="D4495" s="3" t="n">
        <v>46264</v>
      </c>
      <c r="E4495" s="2" t="str">
        <f aca="false">TEXT(D4495,"dddd")</f>
        <v>Sunday</v>
      </c>
      <c r="F4495" s="2" t="s">
        <v>460</v>
      </c>
      <c r="G4495" s="2"/>
      <c r="H4495" s="2"/>
      <c r="I4495" s="2" t="n">
        <f aca="false">IF(F4495="Present",9,IF(F4495="Half Day",4,0))</f>
        <v>0</v>
      </c>
      <c r="J4495" s="2"/>
      <c r="K4495" s="2" t="s">
        <v>460</v>
      </c>
    </row>
    <row r="4496" customFormat="false" ht="15" hidden="false" customHeight="false" outlineLevel="0" collapsed="false">
      <c r="A4496" s="2" t="s">
        <v>337</v>
      </c>
      <c r="B4496" s="2" t="s">
        <v>338</v>
      </c>
      <c r="C4496" s="2" t="s">
        <v>36</v>
      </c>
      <c r="D4496" s="3" t="n">
        <v>46265</v>
      </c>
      <c r="E4496" s="2" t="str">
        <f aca="false">TEXT(D4496,"dddd")</f>
        <v>Monday</v>
      </c>
      <c r="F4496" s="2" t="s">
        <v>457</v>
      </c>
      <c r="G4496" s="2" t="s">
        <v>458</v>
      </c>
      <c r="H4496" s="2" t="s">
        <v>459</v>
      </c>
      <c r="I4496" s="2" t="n">
        <f aca="false">IF(F4496="Present",9,IF(F4496="Half Day",4,0))</f>
        <v>9</v>
      </c>
      <c r="J4496" s="2"/>
      <c r="K4496" s="2"/>
    </row>
    <row r="4497" customFormat="false" ht="15" hidden="false" customHeight="false" outlineLevel="0" collapsed="false">
      <c r="A4497" s="2" t="s">
        <v>339</v>
      </c>
      <c r="B4497" s="2" t="s">
        <v>340</v>
      </c>
      <c r="C4497" s="2" t="s">
        <v>41</v>
      </c>
      <c r="D4497" s="3" t="n">
        <v>46235</v>
      </c>
      <c r="E4497" s="2" t="str">
        <f aca="false">TEXT(D4497,"dddd")</f>
        <v>Saturday</v>
      </c>
      <c r="F4497" s="2" t="s">
        <v>457</v>
      </c>
      <c r="G4497" s="2" t="s">
        <v>458</v>
      </c>
      <c r="H4497" s="2" t="s">
        <v>459</v>
      </c>
      <c r="I4497" s="2" t="n">
        <f aca="false">IF(F4497="Present",9,IF(F4497="Half Day",4,0))</f>
        <v>9</v>
      </c>
      <c r="J4497" s="2"/>
      <c r="K4497" s="2"/>
    </row>
    <row r="4498" customFormat="false" ht="15" hidden="false" customHeight="false" outlineLevel="0" collapsed="false">
      <c r="A4498" s="2" t="s">
        <v>339</v>
      </c>
      <c r="B4498" s="2" t="s">
        <v>340</v>
      </c>
      <c r="C4498" s="2" t="s">
        <v>41</v>
      </c>
      <c r="D4498" s="3" t="n">
        <v>46236</v>
      </c>
      <c r="E4498" s="2" t="str">
        <f aca="false">TEXT(D4498,"dddd")</f>
        <v>Sunday</v>
      </c>
      <c r="F4498" s="2" t="s">
        <v>460</v>
      </c>
      <c r="G4498" s="2"/>
      <c r="H4498" s="2"/>
      <c r="I4498" s="2" t="n">
        <f aca="false">IF(F4498="Present",9,IF(F4498="Half Day",4,0))</f>
        <v>0</v>
      </c>
      <c r="J4498" s="2"/>
      <c r="K4498" s="2" t="s">
        <v>460</v>
      </c>
    </row>
    <row r="4499" customFormat="false" ht="15" hidden="false" customHeight="false" outlineLevel="0" collapsed="false">
      <c r="A4499" s="2" t="s">
        <v>339</v>
      </c>
      <c r="B4499" s="2" t="s">
        <v>340</v>
      </c>
      <c r="C4499" s="2" t="s">
        <v>41</v>
      </c>
      <c r="D4499" s="3" t="n">
        <v>46237</v>
      </c>
      <c r="E4499" s="2" t="str">
        <f aca="false">TEXT(D4499,"dddd")</f>
        <v>Monday</v>
      </c>
      <c r="F4499" s="2" t="s">
        <v>466</v>
      </c>
      <c r="G4499" s="2" t="s">
        <v>458</v>
      </c>
      <c r="H4499" s="2" t="s">
        <v>467</v>
      </c>
      <c r="I4499" s="2" t="n">
        <f aca="false">IF(F4499="Present",9,IF(F4499="Half Day",4,0))</f>
        <v>4</v>
      </c>
      <c r="J4499" s="2"/>
      <c r="K4499" s="2" t="s">
        <v>466</v>
      </c>
    </row>
    <row r="4500" customFormat="false" ht="15" hidden="false" customHeight="false" outlineLevel="0" collapsed="false">
      <c r="A4500" s="2" t="s">
        <v>339</v>
      </c>
      <c r="B4500" s="2" t="s">
        <v>340</v>
      </c>
      <c r="C4500" s="2" t="s">
        <v>41</v>
      </c>
      <c r="D4500" s="3" t="n">
        <v>46238</v>
      </c>
      <c r="E4500" s="2" t="str">
        <f aca="false">TEXT(D4500,"dddd")</f>
        <v>Tuesday</v>
      </c>
      <c r="F4500" s="2" t="s">
        <v>457</v>
      </c>
      <c r="G4500" s="2" t="s">
        <v>458</v>
      </c>
      <c r="H4500" s="2" t="s">
        <v>459</v>
      </c>
      <c r="I4500" s="2" t="n">
        <f aca="false">IF(F4500="Present",9,IF(F4500="Half Day",4,0))</f>
        <v>9</v>
      </c>
      <c r="J4500" s="2"/>
      <c r="K4500" s="2"/>
    </row>
    <row r="4501" customFormat="false" ht="15" hidden="false" customHeight="false" outlineLevel="0" collapsed="false">
      <c r="A4501" s="2" t="s">
        <v>339</v>
      </c>
      <c r="B4501" s="2" t="s">
        <v>340</v>
      </c>
      <c r="C4501" s="2" t="s">
        <v>41</v>
      </c>
      <c r="D4501" s="3" t="n">
        <v>46239</v>
      </c>
      <c r="E4501" s="2" t="str">
        <f aca="false">TEXT(D4501,"dddd")</f>
        <v>Wednesday</v>
      </c>
      <c r="F4501" s="2" t="s">
        <v>457</v>
      </c>
      <c r="G4501" s="2" t="s">
        <v>458</v>
      </c>
      <c r="H4501" s="2" t="s">
        <v>459</v>
      </c>
      <c r="I4501" s="2" t="n">
        <f aca="false">IF(F4501="Present",9,IF(F4501="Half Day",4,0))</f>
        <v>9</v>
      </c>
      <c r="J4501" s="2"/>
      <c r="K4501" s="2"/>
    </row>
    <row r="4502" customFormat="false" ht="15" hidden="false" customHeight="false" outlineLevel="0" collapsed="false">
      <c r="A4502" s="2" t="s">
        <v>339</v>
      </c>
      <c r="B4502" s="2" t="s">
        <v>340</v>
      </c>
      <c r="C4502" s="2" t="s">
        <v>41</v>
      </c>
      <c r="D4502" s="3" t="n">
        <v>46240</v>
      </c>
      <c r="E4502" s="2" t="str">
        <f aca="false">TEXT(D4502,"dddd")</f>
        <v>Thursday</v>
      </c>
      <c r="F4502" s="2" t="s">
        <v>457</v>
      </c>
      <c r="G4502" s="2" t="s">
        <v>458</v>
      </c>
      <c r="H4502" s="2" t="s">
        <v>459</v>
      </c>
      <c r="I4502" s="2" t="n">
        <f aca="false">IF(F4502="Present",9,IF(F4502="Half Day",4,0))</f>
        <v>9</v>
      </c>
      <c r="J4502" s="2"/>
      <c r="K4502" s="2"/>
    </row>
    <row r="4503" customFormat="false" ht="15" hidden="false" customHeight="false" outlineLevel="0" collapsed="false">
      <c r="A4503" s="2" t="s">
        <v>339</v>
      </c>
      <c r="B4503" s="2" t="s">
        <v>340</v>
      </c>
      <c r="C4503" s="2" t="s">
        <v>41</v>
      </c>
      <c r="D4503" s="3" t="n">
        <v>46241</v>
      </c>
      <c r="E4503" s="2" t="str">
        <f aca="false">TEXT(D4503,"dddd")</f>
        <v>Friday</v>
      </c>
      <c r="F4503" s="2" t="s">
        <v>466</v>
      </c>
      <c r="G4503" s="2" t="s">
        <v>458</v>
      </c>
      <c r="H4503" s="2" t="s">
        <v>467</v>
      </c>
      <c r="I4503" s="2" t="n">
        <f aca="false">IF(F4503="Present",9,IF(F4503="Half Day",4,0))</f>
        <v>4</v>
      </c>
      <c r="J4503" s="2"/>
      <c r="K4503" s="2" t="s">
        <v>466</v>
      </c>
    </row>
    <row r="4504" customFormat="false" ht="15" hidden="false" customHeight="false" outlineLevel="0" collapsed="false">
      <c r="A4504" s="2" t="s">
        <v>339</v>
      </c>
      <c r="B4504" s="2" t="s">
        <v>340</v>
      </c>
      <c r="C4504" s="2" t="s">
        <v>41</v>
      </c>
      <c r="D4504" s="3" t="n">
        <v>46242</v>
      </c>
      <c r="E4504" s="2" t="str">
        <f aca="false">TEXT(D4504,"dddd")</f>
        <v>Saturday</v>
      </c>
      <c r="F4504" s="2" t="s">
        <v>457</v>
      </c>
      <c r="G4504" s="2" t="s">
        <v>458</v>
      </c>
      <c r="H4504" s="2" t="s">
        <v>459</v>
      </c>
      <c r="I4504" s="2" t="n">
        <f aca="false">IF(F4504="Present",9,IF(F4504="Half Day",4,0))</f>
        <v>9</v>
      </c>
      <c r="J4504" s="2"/>
      <c r="K4504" s="2"/>
    </row>
    <row r="4505" customFormat="false" ht="15" hidden="false" customHeight="false" outlineLevel="0" collapsed="false">
      <c r="A4505" s="2" t="s">
        <v>339</v>
      </c>
      <c r="B4505" s="2" t="s">
        <v>340</v>
      </c>
      <c r="C4505" s="2" t="s">
        <v>41</v>
      </c>
      <c r="D4505" s="3" t="n">
        <v>46243</v>
      </c>
      <c r="E4505" s="2" t="str">
        <f aca="false">TEXT(D4505,"dddd")</f>
        <v>Sunday</v>
      </c>
      <c r="F4505" s="2" t="s">
        <v>460</v>
      </c>
      <c r="G4505" s="2"/>
      <c r="H4505" s="2"/>
      <c r="I4505" s="2" t="n">
        <f aca="false">IF(F4505="Present",9,IF(F4505="Half Day",4,0))</f>
        <v>0</v>
      </c>
      <c r="J4505" s="2"/>
      <c r="K4505" s="2" t="s">
        <v>460</v>
      </c>
    </row>
    <row r="4506" customFormat="false" ht="15" hidden="false" customHeight="false" outlineLevel="0" collapsed="false">
      <c r="A4506" s="2" t="s">
        <v>339</v>
      </c>
      <c r="B4506" s="2" t="s">
        <v>340</v>
      </c>
      <c r="C4506" s="2" t="s">
        <v>41</v>
      </c>
      <c r="D4506" s="3" t="n">
        <v>46244</v>
      </c>
      <c r="E4506" s="2" t="str">
        <f aca="false">TEXT(D4506,"dddd")</f>
        <v>Monday</v>
      </c>
      <c r="F4506" s="2" t="s">
        <v>457</v>
      </c>
      <c r="G4506" s="2" t="s">
        <v>458</v>
      </c>
      <c r="H4506" s="2" t="s">
        <v>459</v>
      </c>
      <c r="I4506" s="2" t="n">
        <f aca="false">IF(F4506="Present",9,IF(F4506="Half Day",4,0))</f>
        <v>9</v>
      </c>
      <c r="J4506" s="2"/>
      <c r="K4506" s="2"/>
    </row>
    <row r="4507" customFormat="false" ht="15" hidden="false" customHeight="false" outlineLevel="0" collapsed="false">
      <c r="A4507" s="2" t="s">
        <v>339</v>
      </c>
      <c r="B4507" s="2" t="s">
        <v>340</v>
      </c>
      <c r="C4507" s="2" t="s">
        <v>41</v>
      </c>
      <c r="D4507" s="3" t="n">
        <v>46245</v>
      </c>
      <c r="E4507" s="2" t="str">
        <f aca="false">TEXT(D4507,"dddd")</f>
        <v>Tuesday</v>
      </c>
      <c r="F4507" s="2" t="s">
        <v>457</v>
      </c>
      <c r="G4507" s="2" t="s">
        <v>458</v>
      </c>
      <c r="H4507" s="2" t="s">
        <v>459</v>
      </c>
      <c r="I4507" s="2" t="n">
        <f aca="false">IF(F4507="Present",9,IF(F4507="Half Day",4,0))</f>
        <v>9</v>
      </c>
      <c r="J4507" s="2"/>
      <c r="K4507" s="2"/>
    </row>
    <row r="4508" customFormat="false" ht="15" hidden="false" customHeight="false" outlineLevel="0" collapsed="false">
      <c r="A4508" s="2" t="s">
        <v>339</v>
      </c>
      <c r="B4508" s="2" t="s">
        <v>340</v>
      </c>
      <c r="C4508" s="2" t="s">
        <v>41</v>
      </c>
      <c r="D4508" s="3" t="n">
        <v>46246</v>
      </c>
      <c r="E4508" s="2" t="str">
        <f aca="false">TEXT(D4508,"dddd")</f>
        <v>Wednesday</v>
      </c>
      <c r="F4508" s="2" t="s">
        <v>457</v>
      </c>
      <c r="G4508" s="2" t="s">
        <v>458</v>
      </c>
      <c r="H4508" s="2" t="s">
        <v>459</v>
      </c>
      <c r="I4508" s="2" t="n">
        <f aca="false">IF(F4508="Present",9,IF(F4508="Half Day",4,0))</f>
        <v>9</v>
      </c>
      <c r="J4508" s="2"/>
      <c r="K4508" s="2"/>
    </row>
    <row r="4509" customFormat="false" ht="15" hidden="false" customHeight="false" outlineLevel="0" collapsed="false">
      <c r="A4509" s="2" t="s">
        <v>339</v>
      </c>
      <c r="B4509" s="2" t="s">
        <v>340</v>
      </c>
      <c r="C4509" s="2" t="s">
        <v>41</v>
      </c>
      <c r="D4509" s="3" t="n">
        <v>46247</v>
      </c>
      <c r="E4509" s="2" t="str">
        <f aca="false">TEXT(D4509,"dddd")</f>
        <v>Thursday</v>
      </c>
      <c r="F4509" s="2" t="s">
        <v>457</v>
      </c>
      <c r="G4509" s="2" t="s">
        <v>458</v>
      </c>
      <c r="H4509" s="2" t="s">
        <v>459</v>
      </c>
      <c r="I4509" s="2" t="n">
        <f aca="false">IF(F4509="Present",9,IF(F4509="Half Day",4,0))</f>
        <v>9</v>
      </c>
      <c r="J4509" s="2"/>
      <c r="K4509" s="2"/>
    </row>
    <row r="4510" customFormat="false" ht="15" hidden="false" customHeight="false" outlineLevel="0" collapsed="false">
      <c r="A4510" s="2" t="s">
        <v>339</v>
      </c>
      <c r="B4510" s="2" t="s">
        <v>340</v>
      </c>
      <c r="C4510" s="2" t="s">
        <v>41</v>
      </c>
      <c r="D4510" s="3" t="n">
        <v>46248</v>
      </c>
      <c r="E4510" s="2" t="str">
        <f aca="false">TEXT(D4510,"dddd")</f>
        <v>Friday</v>
      </c>
      <c r="F4510" s="2" t="s">
        <v>457</v>
      </c>
      <c r="G4510" s="2" t="s">
        <v>458</v>
      </c>
      <c r="H4510" s="2" t="s">
        <v>459</v>
      </c>
      <c r="I4510" s="2" t="n">
        <f aca="false">IF(F4510="Present",9,IF(F4510="Half Day",4,0))</f>
        <v>9</v>
      </c>
      <c r="J4510" s="2"/>
      <c r="K4510" s="2"/>
    </row>
    <row r="4511" customFormat="false" ht="15" hidden="false" customHeight="false" outlineLevel="0" collapsed="false">
      <c r="A4511" s="2" t="s">
        <v>339</v>
      </c>
      <c r="B4511" s="2" t="s">
        <v>340</v>
      </c>
      <c r="C4511" s="2" t="s">
        <v>41</v>
      </c>
      <c r="D4511" s="3" t="n">
        <v>46249</v>
      </c>
      <c r="E4511" s="2" t="str">
        <f aca="false">TEXT(D4511,"dddd")</f>
        <v>Saturday</v>
      </c>
      <c r="F4511" s="2" t="s">
        <v>457</v>
      </c>
      <c r="G4511" s="2" t="s">
        <v>458</v>
      </c>
      <c r="H4511" s="2" t="s">
        <v>459</v>
      </c>
      <c r="I4511" s="2" t="n">
        <f aca="false">IF(F4511="Present",9,IF(F4511="Half Day",4,0))</f>
        <v>9</v>
      </c>
      <c r="J4511" s="2"/>
      <c r="K4511" s="2"/>
    </row>
    <row r="4512" customFormat="false" ht="15" hidden="false" customHeight="false" outlineLevel="0" collapsed="false">
      <c r="A4512" s="2" t="s">
        <v>339</v>
      </c>
      <c r="B4512" s="2" t="s">
        <v>340</v>
      </c>
      <c r="C4512" s="2" t="s">
        <v>41</v>
      </c>
      <c r="D4512" s="3" t="n">
        <v>46250</v>
      </c>
      <c r="E4512" s="2" t="str">
        <f aca="false">TEXT(D4512,"dddd")</f>
        <v>Sunday</v>
      </c>
      <c r="F4512" s="2" t="s">
        <v>460</v>
      </c>
      <c r="G4512" s="2"/>
      <c r="H4512" s="2"/>
      <c r="I4512" s="2" t="n">
        <f aca="false">IF(F4512="Present",9,IF(F4512="Half Day",4,0))</f>
        <v>0</v>
      </c>
      <c r="J4512" s="2"/>
      <c r="K4512" s="2" t="s">
        <v>460</v>
      </c>
    </row>
    <row r="4513" customFormat="false" ht="15" hidden="false" customHeight="false" outlineLevel="0" collapsed="false">
      <c r="A4513" s="2" t="s">
        <v>339</v>
      </c>
      <c r="B4513" s="2" t="s">
        <v>340</v>
      </c>
      <c r="C4513" s="2" t="s">
        <v>41</v>
      </c>
      <c r="D4513" s="3" t="n">
        <v>46251</v>
      </c>
      <c r="E4513" s="2" t="str">
        <f aca="false">TEXT(D4513,"dddd")</f>
        <v>Monday</v>
      </c>
      <c r="F4513" s="2" t="s">
        <v>457</v>
      </c>
      <c r="G4513" s="2" t="s">
        <v>458</v>
      </c>
      <c r="H4513" s="2" t="s">
        <v>459</v>
      </c>
      <c r="I4513" s="2" t="n">
        <f aca="false">IF(F4513="Present",9,IF(F4513="Half Day",4,0))</f>
        <v>9</v>
      </c>
      <c r="J4513" s="2"/>
      <c r="K4513" s="2"/>
    </row>
    <row r="4514" customFormat="false" ht="15" hidden="false" customHeight="false" outlineLevel="0" collapsed="false">
      <c r="A4514" s="2" t="s">
        <v>339</v>
      </c>
      <c r="B4514" s="2" t="s">
        <v>340</v>
      </c>
      <c r="C4514" s="2" t="s">
        <v>41</v>
      </c>
      <c r="D4514" s="3" t="n">
        <v>46252</v>
      </c>
      <c r="E4514" s="2" t="str">
        <f aca="false">TEXT(D4514,"dddd")</f>
        <v>Tuesday</v>
      </c>
      <c r="F4514" s="2" t="s">
        <v>457</v>
      </c>
      <c r="G4514" s="2" t="s">
        <v>458</v>
      </c>
      <c r="H4514" s="2" t="s">
        <v>459</v>
      </c>
      <c r="I4514" s="2" t="n">
        <f aca="false">IF(F4514="Present",9,IF(F4514="Half Day",4,0))</f>
        <v>9</v>
      </c>
      <c r="J4514" s="2"/>
      <c r="K4514" s="2"/>
    </row>
    <row r="4515" customFormat="false" ht="15" hidden="false" customHeight="false" outlineLevel="0" collapsed="false">
      <c r="A4515" s="2" t="s">
        <v>339</v>
      </c>
      <c r="B4515" s="2" t="s">
        <v>340</v>
      </c>
      <c r="C4515" s="2" t="s">
        <v>41</v>
      </c>
      <c r="D4515" s="3" t="n">
        <v>46253</v>
      </c>
      <c r="E4515" s="2" t="str">
        <f aca="false">TEXT(D4515,"dddd")</f>
        <v>Wednesday</v>
      </c>
      <c r="F4515" s="2" t="s">
        <v>457</v>
      </c>
      <c r="G4515" s="2" t="s">
        <v>458</v>
      </c>
      <c r="H4515" s="2" t="s">
        <v>459</v>
      </c>
      <c r="I4515" s="2" t="n">
        <f aca="false">IF(F4515="Present",9,IF(F4515="Half Day",4,0))</f>
        <v>9</v>
      </c>
      <c r="J4515" s="2"/>
      <c r="K4515" s="2"/>
    </row>
    <row r="4516" customFormat="false" ht="15" hidden="false" customHeight="false" outlineLevel="0" collapsed="false">
      <c r="A4516" s="2" t="s">
        <v>339</v>
      </c>
      <c r="B4516" s="2" t="s">
        <v>340</v>
      </c>
      <c r="C4516" s="2" t="s">
        <v>41</v>
      </c>
      <c r="D4516" s="3" t="n">
        <v>46254</v>
      </c>
      <c r="E4516" s="2" t="str">
        <f aca="false">TEXT(D4516,"dddd")</f>
        <v>Thursday</v>
      </c>
      <c r="F4516" s="2" t="s">
        <v>457</v>
      </c>
      <c r="G4516" s="2" t="s">
        <v>458</v>
      </c>
      <c r="H4516" s="2" t="s">
        <v>459</v>
      </c>
      <c r="I4516" s="2" t="n">
        <f aca="false">IF(F4516="Present",9,IF(F4516="Half Day",4,0))</f>
        <v>9</v>
      </c>
      <c r="J4516" s="2"/>
      <c r="K4516" s="2"/>
    </row>
    <row r="4517" customFormat="false" ht="15" hidden="false" customHeight="false" outlineLevel="0" collapsed="false">
      <c r="A4517" s="2" t="s">
        <v>339</v>
      </c>
      <c r="B4517" s="2" t="s">
        <v>340</v>
      </c>
      <c r="C4517" s="2" t="s">
        <v>41</v>
      </c>
      <c r="D4517" s="3" t="n">
        <v>46255</v>
      </c>
      <c r="E4517" s="2" t="str">
        <f aca="false">TEXT(D4517,"dddd")</f>
        <v>Friday</v>
      </c>
      <c r="F4517" s="2" t="s">
        <v>457</v>
      </c>
      <c r="G4517" s="2" t="s">
        <v>458</v>
      </c>
      <c r="H4517" s="2" t="s">
        <v>459</v>
      </c>
      <c r="I4517" s="2" t="n">
        <f aca="false">IF(F4517="Present",9,IF(F4517="Half Day",4,0))</f>
        <v>9</v>
      </c>
      <c r="J4517" s="2"/>
      <c r="K4517" s="2"/>
    </row>
    <row r="4518" customFormat="false" ht="15" hidden="false" customHeight="false" outlineLevel="0" collapsed="false">
      <c r="A4518" s="2" t="s">
        <v>339</v>
      </c>
      <c r="B4518" s="2" t="s">
        <v>340</v>
      </c>
      <c r="C4518" s="2" t="s">
        <v>41</v>
      </c>
      <c r="D4518" s="3" t="n">
        <v>46256</v>
      </c>
      <c r="E4518" s="2" t="str">
        <f aca="false">TEXT(D4518,"dddd")</f>
        <v>Saturday</v>
      </c>
      <c r="F4518" s="2" t="s">
        <v>457</v>
      </c>
      <c r="G4518" s="2" t="s">
        <v>458</v>
      </c>
      <c r="H4518" s="2" t="s">
        <v>459</v>
      </c>
      <c r="I4518" s="2" t="n">
        <f aca="false">IF(F4518="Present",9,IF(F4518="Half Day",4,0))</f>
        <v>9</v>
      </c>
      <c r="J4518" s="2"/>
      <c r="K4518" s="2"/>
    </row>
    <row r="4519" customFormat="false" ht="15" hidden="false" customHeight="false" outlineLevel="0" collapsed="false">
      <c r="A4519" s="2" t="s">
        <v>339</v>
      </c>
      <c r="B4519" s="2" t="s">
        <v>340</v>
      </c>
      <c r="C4519" s="2" t="s">
        <v>41</v>
      </c>
      <c r="D4519" s="3" t="n">
        <v>46257</v>
      </c>
      <c r="E4519" s="2" t="str">
        <f aca="false">TEXT(D4519,"dddd")</f>
        <v>Sunday</v>
      </c>
      <c r="F4519" s="2" t="s">
        <v>460</v>
      </c>
      <c r="G4519" s="2"/>
      <c r="H4519" s="2"/>
      <c r="I4519" s="2" t="n">
        <f aca="false">IF(F4519="Present",9,IF(F4519="Half Day",4,0))</f>
        <v>0</v>
      </c>
      <c r="J4519" s="2"/>
      <c r="K4519" s="2" t="s">
        <v>460</v>
      </c>
    </row>
    <row r="4520" customFormat="false" ht="15" hidden="false" customHeight="false" outlineLevel="0" collapsed="false">
      <c r="A4520" s="2" t="s">
        <v>339</v>
      </c>
      <c r="B4520" s="2" t="s">
        <v>340</v>
      </c>
      <c r="C4520" s="2" t="s">
        <v>41</v>
      </c>
      <c r="D4520" s="3" t="n">
        <v>46258</v>
      </c>
      <c r="E4520" s="2" t="str">
        <f aca="false">TEXT(D4520,"dddd")</f>
        <v>Monday</v>
      </c>
      <c r="F4520" s="2" t="s">
        <v>457</v>
      </c>
      <c r="G4520" s="2" t="s">
        <v>458</v>
      </c>
      <c r="H4520" s="2" t="s">
        <v>459</v>
      </c>
      <c r="I4520" s="2" t="n">
        <f aca="false">IF(F4520="Present",9,IF(F4520="Half Day",4,0))</f>
        <v>9</v>
      </c>
      <c r="J4520" s="2"/>
      <c r="K4520" s="2"/>
    </row>
    <row r="4521" customFormat="false" ht="15" hidden="false" customHeight="false" outlineLevel="0" collapsed="false">
      <c r="A4521" s="2" t="s">
        <v>339</v>
      </c>
      <c r="B4521" s="2" t="s">
        <v>340</v>
      </c>
      <c r="C4521" s="2" t="s">
        <v>41</v>
      </c>
      <c r="D4521" s="3" t="n">
        <v>46259</v>
      </c>
      <c r="E4521" s="2" t="str">
        <f aca="false">TEXT(D4521,"dddd")</f>
        <v>Tuesday</v>
      </c>
      <c r="F4521" s="2" t="s">
        <v>457</v>
      </c>
      <c r="G4521" s="2" t="s">
        <v>458</v>
      </c>
      <c r="H4521" s="2" t="s">
        <v>459</v>
      </c>
      <c r="I4521" s="2" t="n">
        <f aca="false">IF(F4521="Present",9,IF(F4521="Half Day",4,0))</f>
        <v>9</v>
      </c>
      <c r="J4521" s="2"/>
      <c r="K4521" s="2"/>
    </row>
    <row r="4522" customFormat="false" ht="15" hidden="false" customHeight="false" outlineLevel="0" collapsed="false">
      <c r="A4522" s="2" t="s">
        <v>339</v>
      </c>
      <c r="B4522" s="2" t="s">
        <v>340</v>
      </c>
      <c r="C4522" s="2" t="s">
        <v>41</v>
      </c>
      <c r="D4522" s="3" t="n">
        <v>46260</v>
      </c>
      <c r="E4522" s="2" t="str">
        <f aca="false">TEXT(D4522,"dddd")</f>
        <v>Wednesday</v>
      </c>
      <c r="F4522" s="2" t="s">
        <v>461</v>
      </c>
      <c r="G4522" s="2"/>
      <c r="H4522" s="2"/>
      <c r="I4522" s="2" t="n">
        <f aca="false">IF(F4522="Present",9,IF(F4522="Half Day",4,0))</f>
        <v>0</v>
      </c>
      <c r="J4522" s="2"/>
      <c r="K4522" s="2" t="s">
        <v>462</v>
      </c>
    </row>
    <row r="4523" customFormat="false" ht="15" hidden="false" customHeight="false" outlineLevel="0" collapsed="false">
      <c r="A4523" s="2" t="s">
        <v>339</v>
      </c>
      <c r="B4523" s="2" t="s">
        <v>340</v>
      </c>
      <c r="C4523" s="2" t="s">
        <v>41</v>
      </c>
      <c r="D4523" s="3" t="n">
        <v>46261</v>
      </c>
      <c r="E4523" s="2" t="str">
        <f aca="false">TEXT(D4523,"dddd")</f>
        <v>Thursday</v>
      </c>
      <c r="F4523" s="2" t="s">
        <v>457</v>
      </c>
      <c r="G4523" s="2" t="s">
        <v>458</v>
      </c>
      <c r="H4523" s="2" t="s">
        <v>459</v>
      </c>
      <c r="I4523" s="2" t="n">
        <f aca="false">IF(F4523="Present",9,IF(F4523="Half Day",4,0))</f>
        <v>9</v>
      </c>
      <c r="J4523" s="2"/>
      <c r="K4523" s="2"/>
    </row>
    <row r="4524" customFormat="false" ht="15" hidden="false" customHeight="false" outlineLevel="0" collapsed="false">
      <c r="A4524" s="2" t="s">
        <v>339</v>
      </c>
      <c r="B4524" s="2" t="s">
        <v>340</v>
      </c>
      <c r="C4524" s="2" t="s">
        <v>41</v>
      </c>
      <c r="D4524" s="3" t="n">
        <v>46262</v>
      </c>
      <c r="E4524" s="2" t="str">
        <f aca="false">TEXT(D4524,"dddd")</f>
        <v>Friday</v>
      </c>
      <c r="F4524" s="2" t="s">
        <v>457</v>
      </c>
      <c r="G4524" s="2" t="s">
        <v>458</v>
      </c>
      <c r="H4524" s="2" t="s">
        <v>459</v>
      </c>
      <c r="I4524" s="2" t="n">
        <f aca="false">IF(F4524="Present",9,IF(F4524="Half Day",4,0))</f>
        <v>9</v>
      </c>
      <c r="J4524" s="2"/>
      <c r="K4524" s="2"/>
    </row>
    <row r="4525" customFormat="false" ht="15" hidden="false" customHeight="false" outlineLevel="0" collapsed="false">
      <c r="A4525" s="2" t="s">
        <v>339</v>
      </c>
      <c r="B4525" s="2" t="s">
        <v>340</v>
      </c>
      <c r="C4525" s="2" t="s">
        <v>41</v>
      </c>
      <c r="D4525" s="3" t="n">
        <v>46263</v>
      </c>
      <c r="E4525" s="2" t="str">
        <f aca="false">TEXT(D4525,"dddd")</f>
        <v>Saturday</v>
      </c>
      <c r="F4525" s="2" t="s">
        <v>457</v>
      </c>
      <c r="G4525" s="2" t="s">
        <v>458</v>
      </c>
      <c r="H4525" s="2" t="s">
        <v>459</v>
      </c>
      <c r="I4525" s="2" t="n">
        <f aca="false">IF(F4525="Present",9,IF(F4525="Half Day",4,0))</f>
        <v>9</v>
      </c>
      <c r="J4525" s="2"/>
      <c r="K4525" s="2"/>
    </row>
    <row r="4526" customFormat="false" ht="15" hidden="false" customHeight="false" outlineLevel="0" collapsed="false">
      <c r="A4526" s="2" t="s">
        <v>339</v>
      </c>
      <c r="B4526" s="2" t="s">
        <v>340</v>
      </c>
      <c r="C4526" s="2" t="s">
        <v>41</v>
      </c>
      <c r="D4526" s="3" t="n">
        <v>46264</v>
      </c>
      <c r="E4526" s="2" t="str">
        <f aca="false">TEXT(D4526,"dddd")</f>
        <v>Sunday</v>
      </c>
      <c r="F4526" s="2" t="s">
        <v>460</v>
      </c>
      <c r="G4526" s="2"/>
      <c r="H4526" s="2"/>
      <c r="I4526" s="2" t="n">
        <f aca="false">IF(F4526="Present",9,IF(F4526="Half Day",4,0))</f>
        <v>0</v>
      </c>
      <c r="J4526" s="2"/>
      <c r="K4526" s="2" t="s">
        <v>460</v>
      </c>
    </row>
    <row r="4527" customFormat="false" ht="15" hidden="false" customHeight="false" outlineLevel="0" collapsed="false">
      <c r="A4527" s="2" t="s">
        <v>339</v>
      </c>
      <c r="B4527" s="2" t="s">
        <v>340</v>
      </c>
      <c r="C4527" s="2" t="s">
        <v>41</v>
      </c>
      <c r="D4527" s="3" t="n">
        <v>46265</v>
      </c>
      <c r="E4527" s="2" t="str">
        <f aca="false">TEXT(D4527,"dddd")</f>
        <v>Monday</v>
      </c>
      <c r="F4527" s="2" t="s">
        <v>463</v>
      </c>
      <c r="G4527" s="2"/>
      <c r="H4527" s="2"/>
      <c r="I4527" s="2" t="n">
        <f aca="false">IF(F4527="Present",9,IF(F4527="Half Day",4,0))</f>
        <v>0</v>
      </c>
      <c r="J4527" s="2" t="s">
        <v>468</v>
      </c>
      <c r="K4527" s="2" t="s">
        <v>469</v>
      </c>
    </row>
    <row r="4528" customFormat="false" ht="15" hidden="false" customHeight="false" outlineLevel="0" collapsed="false">
      <c r="A4528" s="2" t="s">
        <v>341</v>
      </c>
      <c r="B4528" s="2" t="s">
        <v>342</v>
      </c>
      <c r="C4528" s="2" t="s">
        <v>45</v>
      </c>
      <c r="D4528" s="3" t="n">
        <v>46235</v>
      </c>
      <c r="E4528" s="2" t="str">
        <f aca="false">TEXT(D4528,"dddd")</f>
        <v>Saturday</v>
      </c>
      <c r="F4528" s="2" t="s">
        <v>457</v>
      </c>
      <c r="G4528" s="2" t="s">
        <v>458</v>
      </c>
      <c r="H4528" s="2" t="s">
        <v>459</v>
      </c>
      <c r="I4528" s="2" t="n">
        <f aca="false">IF(F4528="Present",9,IF(F4528="Half Day",4,0))</f>
        <v>9</v>
      </c>
      <c r="J4528" s="2"/>
      <c r="K4528" s="2"/>
    </row>
    <row r="4529" customFormat="false" ht="15" hidden="false" customHeight="false" outlineLevel="0" collapsed="false">
      <c r="A4529" s="2" t="s">
        <v>341</v>
      </c>
      <c r="B4529" s="2" t="s">
        <v>342</v>
      </c>
      <c r="C4529" s="2" t="s">
        <v>45</v>
      </c>
      <c r="D4529" s="3" t="n">
        <v>46236</v>
      </c>
      <c r="E4529" s="2" t="str">
        <f aca="false">TEXT(D4529,"dddd")</f>
        <v>Sunday</v>
      </c>
      <c r="F4529" s="2" t="s">
        <v>460</v>
      </c>
      <c r="G4529" s="2"/>
      <c r="H4529" s="2"/>
      <c r="I4529" s="2" t="n">
        <f aca="false">IF(F4529="Present",9,IF(F4529="Half Day",4,0))</f>
        <v>0</v>
      </c>
      <c r="J4529" s="2"/>
      <c r="K4529" s="2" t="s">
        <v>460</v>
      </c>
    </row>
    <row r="4530" customFormat="false" ht="15" hidden="false" customHeight="false" outlineLevel="0" collapsed="false">
      <c r="A4530" s="2" t="s">
        <v>341</v>
      </c>
      <c r="B4530" s="2" t="s">
        <v>342</v>
      </c>
      <c r="C4530" s="2" t="s">
        <v>45</v>
      </c>
      <c r="D4530" s="3" t="n">
        <v>46237</v>
      </c>
      <c r="E4530" s="2" t="str">
        <f aca="false">TEXT(D4530,"dddd")</f>
        <v>Monday</v>
      </c>
      <c r="F4530" s="2" t="s">
        <v>457</v>
      </c>
      <c r="G4530" s="2" t="s">
        <v>458</v>
      </c>
      <c r="H4530" s="2" t="s">
        <v>459</v>
      </c>
      <c r="I4530" s="2" t="n">
        <f aca="false">IF(F4530="Present",9,IF(F4530="Half Day",4,0))</f>
        <v>9</v>
      </c>
      <c r="J4530" s="2"/>
      <c r="K4530" s="2"/>
    </row>
    <row r="4531" customFormat="false" ht="15" hidden="false" customHeight="false" outlineLevel="0" collapsed="false">
      <c r="A4531" s="2" t="s">
        <v>341</v>
      </c>
      <c r="B4531" s="2" t="s">
        <v>342</v>
      </c>
      <c r="C4531" s="2" t="s">
        <v>45</v>
      </c>
      <c r="D4531" s="3" t="n">
        <v>46238</v>
      </c>
      <c r="E4531" s="2" t="str">
        <f aca="false">TEXT(D4531,"dddd")</f>
        <v>Tuesday</v>
      </c>
      <c r="F4531" s="2" t="s">
        <v>457</v>
      </c>
      <c r="G4531" s="2" t="s">
        <v>458</v>
      </c>
      <c r="H4531" s="2" t="s">
        <v>459</v>
      </c>
      <c r="I4531" s="2" t="n">
        <f aca="false">IF(F4531="Present",9,IF(F4531="Half Day",4,0))</f>
        <v>9</v>
      </c>
      <c r="J4531" s="2"/>
      <c r="K4531" s="2"/>
    </row>
    <row r="4532" customFormat="false" ht="15" hidden="false" customHeight="false" outlineLevel="0" collapsed="false">
      <c r="A4532" s="2" t="s">
        <v>341</v>
      </c>
      <c r="B4532" s="2" t="s">
        <v>342</v>
      </c>
      <c r="C4532" s="2" t="s">
        <v>45</v>
      </c>
      <c r="D4532" s="3" t="n">
        <v>46239</v>
      </c>
      <c r="E4532" s="2" t="str">
        <f aca="false">TEXT(D4532,"dddd")</f>
        <v>Wednesday</v>
      </c>
      <c r="F4532" s="2" t="s">
        <v>457</v>
      </c>
      <c r="G4532" s="2" t="s">
        <v>458</v>
      </c>
      <c r="H4532" s="2" t="s">
        <v>459</v>
      </c>
      <c r="I4532" s="2" t="n">
        <f aca="false">IF(F4532="Present",9,IF(F4532="Half Day",4,0))</f>
        <v>9</v>
      </c>
      <c r="J4532" s="2"/>
      <c r="K4532" s="2"/>
    </row>
    <row r="4533" customFormat="false" ht="15" hidden="false" customHeight="false" outlineLevel="0" collapsed="false">
      <c r="A4533" s="2" t="s">
        <v>341</v>
      </c>
      <c r="B4533" s="2" t="s">
        <v>342</v>
      </c>
      <c r="C4533" s="2" t="s">
        <v>45</v>
      </c>
      <c r="D4533" s="3" t="n">
        <v>46240</v>
      </c>
      <c r="E4533" s="2" t="str">
        <f aca="false">TEXT(D4533,"dddd")</f>
        <v>Thursday</v>
      </c>
      <c r="F4533" s="2" t="s">
        <v>457</v>
      </c>
      <c r="G4533" s="2" t="s">
        <v>458</v>
      </c>
      <c r="H4533" s="2" t="s">
        <v>459</v>
      </c>
      <c r="I4533" s="2" t="n">
        <f aca="false">IF(F4533="Present",9,IF(F4533="Half Day",4,0))</f>
        <v>9</v>
      </c>
      <c r="J4533" s="2"/>
      <c r="K4533" s="2"/>
    </row>
    <row r="4534" customFormat="false" ht="15" hidden="false" customHeight="false" outlineLevel="0" collapsed="false">
      <c r="A4534" s="2" t="s">
        <v>341</v>
      </c>
      <c r="B4534" s="2" t="s">
        <v>342</v>
      </c>
      <c r="C4534" s="2" t="s">
        <v>45</v>
      </c>
      <c r="D4534" s="3" t="n">
        <v>46241</v>
      </c>
      <c r="E4534" s="2" t="str">
        <f aca="false">TEXT(D4534,"dddd")</f>
        <v>Friday</v>
      </c>
      <c r="F4534" s="2" t="s">
        <v>461</v>
      </c>
      <c r="G4534" s="2"/>
      <c r="H4534" s="2"/>
      <c r="I4534" s="2" t="n">
        <f aca="false">IF(F4534="Present",9,IF(F4534="Half Day",4,0))</f>
        <v>0</v>
      </c>
      <c r="J4534" s="2"/>
      <c r="K4534" s="2" t="s">
        <v>462</v>
      </c>
    </row>
    <row r="4535" customFormat="false" ht="15" hidden="false" customHeight="false" outlineLevel="0" collapsed="false">
      <c r="A4535" s="2" t="s">
        <v>341</v>
      </c>
      <c r="B4535" s="2" t="s">
        <v>342</v>
      </c>
      <c r="C4535" s="2" t="s">
        <v>45</v>
      </c>
      <c r="D4535" s="3" t="n">
        <v>46242</v>
      </c>
      <c r="E4535" s="2" t="str">
        <f aca="false">TEXT(D4535,"dddd")</f>
        <v>Saturday</v>
      </c>
      <c r="F4535" s="2" t="s">
        <v>457</v>
      </c>
      <c r="G4535" s="2" t="s">
        <v>458</v>
      </c>
      <c r="H4535" s="2" t="s">
        <v>459</v>
      </c>
      <c r="I4535" s="2" t="n">
        <f aca="false">IF(F4535="Present",9,IF(F4535="Half Day",4,0))</f>
        <v>9</v>
      </c>
      <c r="J4535" s="2"/>
      <c r="K4535" s="2"/>
    </row>
    <row r="4536" customFormat="false" ht="15" hidden="false" customHeight="false" outlineLevel="0" collapsed="false">
      <c r="A4536" s="2" t="s">
        <v>341</v>
      </c>
      <c r="B4536" s="2" t="s">
        <v>342</v>
      </c>
      <c r="C4536" s="2" t="s">
        <v>45</v>
      </c>
      <c r="D4536" s="3" t="n">
        <v>46243</v>
      </c>
      <c r="E4536" s="2" t="str">
        <f aca="false">TEXT(D4536,"dddd")</f>
        <v>Sunday</v>
      </c>
      <c r="F4536" s="2" t="s">
        <v>460</v>
      </c>
      <c r="G4536" s="2"/>
      <c r="H4536" s="2"/>
      <c r="I4536" s="2" t="n">
        <f aca="false">IF(F4536="Present",9,IF(F4536="Half Day",4,0))</f>
        <v>0</v>
      </c>
      <c r="J4536" s="2"/>
      <c r="K4536" s="2" t="s">
        <v>460</v>
      </c>
    </row>
    <row r="4537" customFormat="false" ht="15" hidden="false" customHeight="false" outlineLevel="0" collapsed="false">
      <c r="A4537" s="2" t="s">
        <v>341</v>
      </c>
      <c r="B4537" s="2" t="s">
        <v>342</v>
      </c>
      <c r="C4537" s="2" t="s">
        <v>45</v>
      </c>
      <c r="D4537" s="3" t="n">
        <v>46244</v>
      </c>
      <c r="E4537" s="2" t="str">
        <f aca="false">TEXT(D4537,"dddd")</f>
        <v>Monday</v>
      </c>
      <c r="F4537" s="2" t="s">
        <v>457</v>
      </c>
      <c r="G4537" s="2" t="s">
        <v>458</v>
      </c>
      <c r="H4537" s="2" t="s">
        <v>459</v>
      </c>
      <c r="I4537" s="2" t="n">
        <f aca="false">IF(F4537="Present",9,IF(F4537="Half Day",4,0))</f>
        <v>9</v>
      </c>
      <c r="J4537" s="2"/>
      <c r="K4537" s="2"/>
    </row>
    <row r="4538" customFormat="false" ht="15" hidden="false" customHeight="false" outlineLevel="0" collapsed="false">
      <c r="A4538" s="2" t="s">
        <v>341</v>
      </c>
      <c r="B4538" s="2" t="s">
        <v>342</v>
      </c>
      <c r="C4538" s="2" t="s">
        <v>45</v>
      </c>
      <c r="D4538" s="3" t="n">
        <v>46245</v>
      </c>
      <c r="E4538" s="2" t="str">
        <f aca="false">TEXT(D4538,"dddd")</f>
        <v>Tuesday</v>
      </c>
      <c r="F4538" s="2" t="s">
        <v>457</v>
      </c>
      <c r="G4538" s="2" t="s">
        <v>458</v>
      </c>
      <c r="H4538" s="2" t="s">
        <v>459</v>
      </c>
      <c r="I4538" s="2" t="n">
        <f aca="false">IF(F4538="Present",9,IF(F4538="Half Day",4,0))</f>
        <v>9</v>
      </c>
      <c r="J4538" s="2"/>
      <c r="K4538" s="2"/>
    </row>
    <row r="4539" customFormat="false" ht="15" hidden="false" customHeight="false" outlineLevel="0" collapsed="false">
      <c r="A4539" s="2" t="s">
        <v>341</v>
      </c>
      <c r="B4539" s="2" t="s">
        <v>342</v>
      </c>
      <c r="C4539" s="2" t="s">
        <v>45</v>
      </c>
      <c r="D4539" s="3" t="n">
        <v>46246</v>
      </c>
      <c r="E4539" s="2" t="str">
        <f aca="false">TEXT(D4539,"dddd")</f>
        <v>Wednesday</v>
      </c>
      <c r="F4539" s="2" t="s">
        <v>457</v>
      </c>
      <c r="G4539" s="2" t="s">
        <v>458</v>
      </c>
      <c r="H4539" s="2" t="s">
        <v>459</v>
      </c>
      <c r="I4539" s="2" t="n">
        <f aca="false">IF(F4539="Present",9,IF(F4539="Half Day",4,0))</f>
        <v>9</v>
      </c>
      <c r="J4539" s="2"/>
      <c r="K4539" s="2"/>
    </row>
    <row r="4540" customFormat="false" ht="15" hidden="false" customHeight="false" outlineLevel="0" collapsed="false">
      <c r="A4540" s="2" t="s">
        <v>341</v>
      </c>
      <c r="B4540" s="2" t="s">
        <v>342</v>
      </c>
      <c r="C4540" s="2" t="s">
        <v>45</v>
      </c>
      <c r="D4540" s="3" t="n">
        <v>46247</v>
      </c>
      <c r="E4540" s="2" t="str">
        <f aca="false">TEXT(D4540,"dddd")</f>
        <v>Thursday</v>
      </c>
      <c r="F4540" s="2" t="s">
        <v>461</v>
      </c>
      <c r="G4540" s="2"/>
      <c r="H4540" s="2"/>
      <c r="I4540" s="2" t="n">
        <f aca="false">IF(F4540="Present",9,IF(F4540="Half Day",4,0))</f>
        <v>0</v>
      </c>
      <c r="J4540" s="2"/>
      <c r="K4540" s="2" t="s">
        <v>462</v>
      </c>
    </row>
    <row r="4541" customFormat="false" ht="15" hidden="false" customHeight="false" outlineLevel="0" collapsed="false">
      <c r="A4541" s="2" t="s">
        <v>341</v>
      </c>
      <c r="B4541" s="2" t="s">
        <v>342</v>
      </c>
      <c r="C4541" s="2" t="s">
        <v>45</v>
      </c>
      <c r="D4541" s="3" t="n">
        <v>46248</v>
      </c>
      <c r="E4541" s="2" t="str">
        <f aca="false">TEXT(D4541,"dddd")</f>
        <v>Friday</v>
      </c>
      <c r="F4541" s="2" t="s">
        <v>457</v>
      </c>
      <c r="G4541" s="2" t="s">
        <v>458</v>
      </c>
      <c r="H4541" s="2" t="s">
        <v>459</v>
      </c>
      <c r="I4541" s="2" t="n">
        <f aca="false">IF(F4541="Present",9,IF(F4541="Half Day",4,0))</f>
        <v>9</v>
      </c>
      <c r="J4541" s="2"/>
      <c r="K4541" s="2"/>
    </row>
    <row r="4542" customFormat="false" ht="15" hidden="false" customHeight="false" outlineLevel="0" collapsed="false">
      <c r="A4542" s="2" t="s">
        <v>341</v>
      </c>
      <c r="B4542" s="2" t="s">
        <v>342</v>
      </c>
      <c r="C4542" s="2" t="s">
        <v>45</v>
      </c>
      <c r="D4542" s="3" t="n">
        <v>46249</v>
      </c>
      <c r="E4542" s="2" t="str">
        <f aca="false">TEXT(D4542,"dddd")</f>
        <v>Saturday</v>
      </c>
      <c r="F4542" s="2" t="s">
        <v>457</v>
      </c>
      <c r="G4542" s="2" t="s">
        <v>458</v>
      </c>
      <c r="H4542" s="2" t="s">
        <v>459</v>
      </c>
      <c r="I4542" s="2" t="n">
        <f aca="false">IF(F4542="Present",9,IF(F4542="Half Day",4,0))</f>
        <v>9</v>
      </c>
      <c r="J4542" s="2"/>
      <c r="K4542" s="2"/>
    </row>
    <row r="4543" customFormat="false" ht="15" hidden="false" customHeight="false" outlineLevel="0" collapsed="false">
      <c r="A4543" s="2" t="s">
        <v>341</v>
      </c>
      <c r="B4543" s="2" t="s">
        <v>342</v>
      </c>
      <c r="C4543" s="2" t="s">
        <v>45</v>
      </c>
      <c r="D4543" s="3" t="n">
        <v>46250</v>
      </c>
      <c r="E4543" s="2" t="str">
        <f aca="false">TEXT(D4543,"dddd")</f>
        <v>Sunday</v>
      </c>
      <c r="F4543" s="2" t="s">
        <v>460</v>
      </c>
      <c r="G4543" s="2"/>
      <c r="H4543" s="2"/>
      <c r="I4543" s="2" t="n">
        <f aca="false">IF(F4543="Present",9,IF(F4543="Half Day",4,0))</f>
        <v>0</v>
      </c>
      <c r="J4543" s="2"/>
      <c r="K4543" s="2" t="s">
        <v>460</v>
      </c>
    </row>
    <row r="4544" customFormat="false" ht="15" hidden="false" customHeight="false" outlineLevel="0" collapsed="false">
      <c r="A4544" s="2" t="s">
        <v>341</v>
      </c>
      <c r="B4544" s="2" t="s">
        <v>342</v>
      </c>
      <c r="C4544" s="2" t="s">
        <v>45</v>
      </c>
      <c r="D4544" s="3" t="n">
        <v>46251</v>
      </c>
      <c r="E4544" s="2" t="str">
        <f aca="false">TEXT(D4544,"dddd")</f>
        <v>Monday</v>
      </c>
      <c r="F4544" s="2" t="s">
        <v>461</v>
      </c>
      <c r="G4544" s="2"/>
      <c r="H4544" s="2"/>
      <c r="I4544" s="2" t="n">
        <f aca="false">IF(F4544="Present",9,IF(F4544="Half Day",4,0))</f>
        <v>0</v>
      </c>
      <c r="J4544" s="2"/>
      <c r="K4544" s="2" t="s">
        <v>462</v>
      </c>
    </row>
    <row r="4545" customFormat="false" ht="15" hidden="false" customHeight="false" outlineLevel="0" collapsed="false">
      <c r="A4545" s="2" t="s">
        <v>341</v>
      </c>
      <c r="B4545" s="2" t="s">
        <v>342</v>
      </c>
      <c r="C4545" s="2" t="s">
        <v>45</v>
      </c>
      <c r="D4545" s="3" t="n">
        <v>46252</v>
      </c>
      <c r="E4545" s="2" t="str">
        <f aca="false">TEXT(D4545,"dddd")</f>
        <v>Tuesday</v>
      </c>
      <c r="F4545" s="2" t="s">
        <v>461</v>
      </c>
      <c r="G4545" s="2"/>
      <c r="H4545" s="2"/>
      <c r="I4545" s="2" t="n">
        <f aca="false">IF(F4545="Present",9,IF(F4545="Half Day",4,0))</f>
        <v>0</v>
      </c>
      <c r="J4545" s="2"/>
      <c r="K4545" s="2" t="s">
        <v>462</v>
      </c>
    </row>
    <row r="4546" customFormat="false" ht="15" hidden="false" customHeight="false" outlineLevel="0" collapsed="false">
      <c r="A4546" s="2" t="s">
        <v>341</v>
      </c>
      <c r="B4546" s="2" t="s">
        <v>342</v>
      </c>
      <c r="C4546" s="2" t="s">
        <v>45</v>
      </c>
      <c r="D4546" s="3" t="n">
        <v>46253</v>
      </c>
      <c r="E4546" s="2" t="str">
        <f aca="false">TEXT(D4546,"dddd")</f>
        <v>Wednesday</v>
      </c>
      <c r="F4546" s="2" t="s">
        <v>457</v>
      </c>
      <c r="G4546" s="2" t="s">
        <v>458</v>
      </c>
      <c r="H4546" s="2" t="s">
        <v>459</v>
      </c>
      <c r="I4546" s="2" t="n">
        <f aca="false">IF(F4546="Present",9,IF(F4546="Half Day",4,0))</f>
        <v>9</v>
      </c>
      <c r="J4546" s="2"/>
      <c r="K4546" s="2"/>
    </row>
    <row r="4547" customFormat="false" ht="15" hidden="false" customHeight="false" outlineLevel="0" collapsed="false">
      <c r="A4547" s="2" t="s">
        <v>341</v>
      </c>
      <c r="B4547" s="2" t="s">
        <v>342</v>
      </c>
      <c r="C4547" s="2" t="s">
        <v>45</v>
      </c>
      <c r="D4547" s="3" t="n">
        <v>46254</v>
      </c>
      <c r="E4547" s="2" t="str">
        <f aca="false">TEXT(D4547,"dddd")</f>
        <v>Thursday</v>
      </c>
      <c r="F4547" s="2" t="s">
        <v>461</v>
      </c>
      <c r="G4547" s="2"/>
      <c r="H4547" s="2"/>
      <c r="I4547" s="2" t="n">
        <f aca="false">IF(F4547="Present",9,IF(F4547="Half Day",4,0))</f>
        <v>0</v>
      </c>
      <c r="J4547" s="2"/>
      <c r="K4547" s="2" t="s">
        <v>462</v>
      </c>
    </row>
    <row r="4548" customFormat="false" ht="15" hidden="false" customHeight="false" outlineLevel="0" collapsed="false">
      <c r="A4548" s="2" t="s">
        <v>341</v>
      </c>
      <c r="B4548" s="2" t="s">
        <v>342</v>
      </c>
      <c r="C4548" s="2" t="s">
        <v>45</v>
      </c>
      <c r="D4548" s="3" t="n">
        <v>46255</v>
      </c>
      <c r="E4548" s="2" t="str">
        <f aca="false">TEXT(D4548,"dddd")</f>
        <v>Friday</v>
      </c>
      <c r="F4548" s="2" t="s">
        <v>457</v>
      </c>
      <c r="G4548" s="2" t="s">
        <v>458</v>
      </c>
      <c r="H4548" s="2" t="s">
        <v>459</v>
      </c>
      <c r="I4548" s="2" t="n">
        <f aca="false">IF(F4548="Present",9,IF(F4548="Half Day",4,0))</f>
        <v>9</v>
      </c>
      <c r="J4548" s="2"/>
      <c r="K4548" s="2"/>
    </row>
    <row r="4549" customFormat="false" ht="15" hidden="false" customHeight="false" outlineLevel="0" collapsed="false">
      <c r="A4549" s="2" t="s">
        <v>341</v>
      </c>
      <c r="B4549" s="2" t="s">
        <v>342</v>
      </c>
      <c r="C4549" s="2" t="s">
        <v>45</v>
      </c>
      <c r="D4549" s="3" t="n">
        <v>46256</v>
      </c>
      <c r="E4549" s="2" t="str">
        <f aca="false">TEXT(D4549,"dddd")</f>
        <v>Saturday</v>
      </c>
      <c r="F4549" s="2" t="s">
        <v>457</v>
      </c>
      <c r="G4549" s="2" t="s">
        <v>458</v>
      </c>
      <c r="H4549" s="2" t="s">
        <v>459</v>
      </c>
      <c r="I4549" s="2" t="n">
        <f aca="false">IF(F4549="Present",9,IF(F4549="Half Day",4,0))</f>
        <v>9</v>
      </c>
      <c r="J4549" s="2"/>
      <c r="K4549" s="2"/>
    </row>
    <row r="4550" customFormat="false" ht="15" hidden="false" customHeight="false" outlineLevel="0" collapsed="false">
      <c r="A4550" s="2" t="s">
        <v>341</v>
      </c>
      <c r="B4550" s="2" t="s">
        <v>342</v>
      </c>
      <c r="C4550" s="2" t="s">
        <v>45</v>
      </c>
      <c r="D4550" s="3" t="n">
        <v>46257</v>
      </c>
      <c r="E4550" s="2" t="str">
        <f aca="false">TEXT(D4550,"dddd")</f>
        <v>Sunday</v>
      </c>
      <c r="F4550" s="2" t="s">
        <v>460</v>
      </c>
      <c r="G4550" s="2"/>
      <c r="H4550" s="2"/>
      <c r="I4550" s="2" t="n">
        <f aca="false">IF(F4550="Present",9,IF(F4550="Half Day",4,0))</f>
        <v>0</v>
      </c>
      <c r="J4550" s="2"/>
      <c r="K4550" s="2" t="s">
        <v>460</v>
      </c>
    </row>
    <row r="4551" customFormat="false" ht="15" hidden="false" customHeight="false" outlineLevel="0" collapsed="false">
      <c r="A4551" s="2" t="s">
        <v>341</v>
      </c>
      <c r="B4551" s="2" t="s">
        <v>342</v>
      </c>
      <c r="C4551" s="2" t="s">
        <v>45</v>
      </c>
      <c r="D4551" s="3" t="n">
        <v>46258</v>
      </c>
      <c r="E4551" s="2" t="str">
        <f aca="false">TEXT(D4551,"dddd")</f>
        <v>Monday</v>
      </c>
      <c r="F4551" s="2" t="s">
        <v>463</v>
      </c>
      <c r="G4551" s="2"/>
      <c r="H4551" s="2"/>
      <c r="I4551" s="2" t="n">
        <f aca="false">IF(F4551="Present",9,IF(F4551="Half Day",4,0))</f>
        <v>0</v>
      </c>
      <c r="J4551" s="2" t="s">
        <v>470</v>
      </c>
      <c r="K4551" s="2" t="s">
        <v>471</v>
      </c>
    </row>
    <row r="4552" customFormat="false" ht="15" hidden="false" customHeight="false" outlineLevel="0" collapsed="false">
      <c r="A4552" s="2" t="s">
        <v>341</v>
      </c>
      <c r="B4552" s="2" t="s">
        <v>342</v>
      </c>
      <c r="C4552" s="2" t="s">
        <v>45</v>
      </c>
      <c r="D4552" s="3" t="n">
        <v>46259</v>
      </c>
      <c r="E4552" s="2" t="str">
        <f aca="false">TEXT(D4552,"dddd")</f>
        <v>Tuesday</v>
      </c>
      <c r="F4552" s="2" t="s">
        <v>457</v>
      </c>
      <c r="G4552" s="2" t="s">
        <v>458</v>
      </c>
      <c r="H4552" s="2" t="s">
        <v>459</v>
      </c>
      <c r="I4552" s="2" t="n">
        <f aca="false">IF(F4552="Present",9,IF(F4552="Half Day",4,0))</f>
        <v>9</v>
      </c>
      <c r="J4552" s="2"/>
      <c r="K4552" s="2"/>
    </row>
    <row r="4553" customFormat="false" ht="15" hidden="false" customHeight="false" outlineLevel="0" collapsed="false">
      <c r="A4553" s="2" t="s">
        <v>341</v>
      </c>
      <c r="B4553" s="2" t="s">
        <v>342</v>
      </c>
      <c r="C4553" s="2" t="s">
        <v>45</v>
      </c>
      <c r="D4553" s="3" t="n">
        <v>46260</v>
      </c>
      <c r="E4553" s="2" t="str">
        <f aca="false">TEXT(D4553,"dddd")</f>
        <v>Wednesday</v>
      </c>
      <c r="F4553" s="2" t="s">
        <v>457</v>
      </c>
      <c r="G4553" s="2" t="s">
        <v>458</v>
      </c>
      <c r="H4553" s="2" t="s">
        <v>459</v>
      </c>
      <c r="I4553" s="2" t="n">
        <f aca="false">IF(F4553="Present",9,IF(F4553="Half Day",4,0))</f>
        <v>9</v>
      </c>
      <c r="J4553" s="2"/>
      <c r="K4553" s="2"/>
    </row>
    <row r="4554" customFormat="false" ht="15" hidden="false" customHeight="false" outlineLevel="0" collapsed="false">
      <c r="A4554" s="2" t="s">
        <v>341</v>
      </c>
      <c r="B4554" s="2" t="s">
        <v>342</v>
      </c>
      <c r="C4554" s="2" t="s">
        <v>45</v>
      </c>
      <c r="D4554" s="3" t="n">
        <v>46261</v>
      </c>
      <c r="E4554" s="2" t="str">
        <f aca="false">TEXT(D4554,"dddd")</f>
        <v>Thursday</v>
      </c>
      <c r="F4554" s="2" t="s">
        <v>457</v>
      </c>
      <c r="G4554" s="2" t="s">
        <v>458</v>
      </c>
      <c r="H4554" s="2" t="s">
        <v>459</v>
      </c>
      <c r="I4554" s="2" t="n">
        <f aca="false">IF(F4554="Present",9,IF(F4554="Half Day",4,0))</f>
        <v>9</v>
      </c>
      <c r="J4554" s="2"/>
      <c r="K4554" s="2"/>
    </row>
    <row r="4555" customFormat="false" ht="15" hidden="false" customHeight="false" outlineLevel="0" collapsed="false">
      <c r="A4555" s="2" t="s">
        <v>341</v>
      </c>
      <c r="B4555" s="2" t="s">
        <v>342</v>
      </c>
      <c r="C4555" s="2" t="s">
        <v>45</v>
      </c>
      <c r="D4555" s="3" t="n">
        <v>46262</v>
      </c>
      <c r="E4555" s="2" t="str">
        <f aca="false">TEXT(D4555,"dddd")</f>
        <v>Friday</v>
      </c>
      <c r="F4555" s="2" t="s">
        <v>461</v>
      </c>
      <c r="G4555" s="2"/>
      <c r="H4555" s="2"/>
      <c r="I4555" s="2" t="n">
        <f aca="false">IF(F4555="Present",9,IF(F4555="Half Day",4,0))</f>
        <v>0</v>
      </c>
      <c r="J4555" s="2"/>
      <c r="K4555" s="2" t="s">
        <v>462</v>
      </c>
    </row>
    <row r="4556" customFormat="false" ht="15" hidden="false" customHeight="false" outlineLevel="0" collapsed="false">
      <c r="A4556" s="2" t="s">
        <v>341</v>
      </c>
      <c r="B4556" s="2" t="s">
        <v>342</v>
      </c>
      <c r="C4556" s="2" t="s">
        <v>45</v>
      </c>
      <c r="D4556" s="3" t="n">
        <v>46263</v>
      </c>
      <c r="E4556" s="2" t="str">
        <f aca="false">TEXT(D4556,"dddd")</f>
        <v>Saturday</v>
      </c>
      <c r="F4556" s="2" t="s">
        <v>457</v>
      </c>
      <c r="G4556" s="2" t="s">
        <v>458</v>
      </c>
      <c r="H4556" s="2" t="s">
        <v>459</v>
      </c>
      <c r="I4556" s="2" t="n">
        <f aca="false">IF(F4556="Present",9,IF(F4556="Half Day",4,0))</f>
        <v>9</v>
      </c>
      <c r="J4556" s="2"/>
      <c r="K4556" s="2"/>
    </row>
    <row r="4557" customFormat="false" ht="15" hidden="false" customHeight="false" outlineLevel="0" collapsed="false">
      <c r="A4557" s="2" t="s">
        <v>341</v>
      </c>
      <c r="B4557" s="2" t="s">
        <v>342</v>
      </c>
      <c r="C4557" s="2" t="s">
        <v>45</v>
      </c>
      <c r="D4557" s="3" t="n">
        <v>46264</v>
      </c>
      <c r="E4557" s="2" t="str">
        <f aca="false">TEXT(D4557,"dddd")</f>
        <v>Sunday</v>
      </c>
      <c r="F4557" s="2" t="s">
        <v>460</v>
      </c>
      <c r="G4557" s="2"/>
      <c r="H4557" s="2"/>
      <c r="I4557" s="2" t="n">
        <f aca="false">IF(F4557="Present",9,IF(F4557="Half Day",4,0))</f>
        <v>0</v>
      </c>
      <c r="J4557" s="2"/>
      <c r="K4557" s="2" t="s">
        <v>460</v>
      </c>
    </row>
    <row r="4558" customFormat="false" ht="15" hidden="false" customHeight="false" outlineLevel="0" collapsed="false">
      <c r="A4558" s="2" t="s">
        <v>341</v>
      </c>
      <c r="B4558" s="2" t="s">
        <v>342</v>
      </c>
      <c r="C4558" s="2" t="s">
        <v>45</v>
      </c>
      <c r="D4558" s="3" t="n">
        <v>46265</v>
      </c>
      <c r="E4558" s="2" t="str">
        <f aca="false">TEXT(D4558,"dddd")</f>
        <v>Monday</v>
      </c>
      <c r="F4558" s="2" t="s">
        <v>461</v>
      </c>
      <c r="G4558" s="2"/>
      <c r="H4558" s="2"/>
      <c r="I4558" s="2" t="n">
        <f aca="false">IF(F4558="Present",9,IF(F4558="Half Day",4,0))</f>
        <v>0</v>
      </c>
      <c r="J4558" s="2"/>
      <c r="K4558" s="2" t="s">
        <v>462</v>
      </c>
    </row>
    <row r="4559" customFormat="false" ht="15" hidden="false" customHeight="false" outlineLevel="0" collapsed="false">
      <c r="A4559" s="2" t="s">
        <v>343</v>
      </c>
      <c r="B4559" s="2" t="s">
        <v>344</v>
      </c>
      <c r="C4559" s="2" t="s">
        <v>49</v>
      </c>
      <c r="D4559" s="3" t="n">
        <v>46235</v>
      </c>
      <c r="E4559" s="2" t="str">
        <f aca="false">TEXT(D4559,"dddd")</f>
        <v>Saturday</v>
      </c>
      <c r="F4559" s="2" t="s">
        <v>457</v>
      </c>
      <c r="G4559" s="2" t="s">
        <v>458</v>
      </c>
      <c r="H4559" s="2" t="s">
        <v>459</v>
      </c>
      <c r="I4559" s="2" t="n">
        <f aca="false">IF(F4559="Present",9,IF(F4559="Half Day",4,0))</f>
        <v>9</v>
      </c>
      <c r="J4559" s="2"/>
      <c r="K4559" s="2"/>
    </row>
    <row r="4560" customFormat="false" ht="15" hidden="false" customHeight="false" outlineLevel="0" collapsed="false">
      <c r="A4560" s="2" t="s">
        <v>343</v>
      </c>
      <c r="B4560" s="2" t="s">
        <v>344</v>
      </c>
      <c r="C4560" s="2" t="s">
        <v>49</v>
      </c>
      <c r="D4560" s="3" t="n">
        <v>46236</v>
      </c>
      <c r="E4560" s="2" t="str">
        <f aca="false">TEXT(D4560,"dddd")</f>
        <v>Sunday</v>
      </c>
      <c r="F4560" s="2" t="s">
        <v>460</v>
      </c>
      <c r="G4560" s="2"/>
      <c r="H4560" s="2"/>
      <c r="I4560" s="2" t="n">
        <f aca="false">IF(F4560="Present",9,IF(F4560="Half Day",4,0))</f>
        <v>0</v>
      </c>
      <c r="J4560" s="2"/>
      <c r="K4560" s="2" t="s">
        <v>460</v>
      </c>
    </row>
    <row r="4561" customFormat="false" ht="15" hidden="false" customHeight="false" outlineLevel="0" collapsed="false">
      <c r="A4561" s="2" t="s">
        <v>343</v>
      </c>
      <c r="B4561" s="2" t="s">
        <v>344</v>
      </c>
      <c r="C4561" s="2" t="s">
        <v>49</v>
      </c>
      <c r="D4561" s="3" t="n">
        <v>46237</v>
      </c>
      <c r="E4561" s="2" t="str">
        <f aca="false">TEXT(D4561,"dddd")</f>
        <v>Monday</v>
      </c>
      <c r="F4561" s="2" t="s">
        <v>457</v>
      </c>
      <c r="G4561" s="2" t="s">
        <v>458</v>
      </c>
      <c r="H4561" s="2" t="s">
        <v>459</v>
      </c>
      <c r="I4561" s="2" t="n">
        <f aca="false">IF(F4561="Present",9,IF(F4561="Half Day",4,0))</f>
        <v>9</v>
      </c>
      <c r="J4561" s="2"/>
      <c r="K4561" s="2"/>
    </row>
    <row r="4562" customFormat="false" ht="15" hidden="false" customHeight="false" outlineLevel="0" collapsed="false">
      <c r="A4562" s="2" t="s">
        <v>343</v>
      </c>
      <c r="B4562" s="2" t="s">
        <v>344</v>
      </c>
      <c r="C4562" s="2" t="s">
        <v>49</v>
      </c>
      <c r="D4562" s="3" t="n">
        <v>46238</v>
      </c>
      <c r="E4562" s="2" t="str">
        <f aca="false">TEXT(D4562,"dddd")</f>
        <v>Tuesday</v>
      </c>
      <c r="F4562" s="2" t="s">
        <v>457</v>
      </c>
      <c r="G4562" s="2" t="s">
        <v>458</v>
      </c>
      <c r="H4562" s="2" t="s">
        <v>459</v>
      </c>
      <c r="I4562" s="2" t="n">
        <f aca="false">IF(F4562="Present",9,IF(F4562="Half Day",4,0))</f>
        <v>9</v>
      </c>
      <c r="J4562" s="2"/>
      <c r="K4562" s="2"/>
    </row>
    <row r="4563" customFormat="false" ht="15" hidden="false" customHeight="false" outlineLevel="0" collapsed="false">
      <c r="A4563" s="2" t="s">
        <v>343</v>
      </c>
      <c r="B4563" s="2" t="s">
        <v>344</v>
      </c>
      <c r="C4563" s="2" t="s">
        <v>49</v>
      </c>
      <c r="D4563" s="3" t="n">
        <v>46239</v>
      </c>
      <c r="E4563" s="2" t="str">
        <f aca="false">TEXT(D4563,"dddd")</f>
        <v>Wednesday</v>
      </c>
      <c r="F4563" s="2" t="s">
        <v>457</v>
      </c>
      <c r="G4563" s="2" t="s">
        <v>458</v>
      </c>
      <c r="H4563" s="2" t="s">
        <v>459</v>
      </c>
      <c r="I4563" s="2" t="n">
        <f aca="false">IF(F4563="Present",9,IF(F4563="Half Day",4,0))</f>
        <v>9</v>
      </c>
      <c r="J4563" s="2"/>
      <c r="K4563" s="2"/>
    </row>
    <row r="4564" customFormat="false" ht="15" hidden="false" customHeight="false" outlineLevel="0" collapsed="false">
      <c r="A4564" s="2" t="s">
        <v>343</v>
      </c>
      <c r="B4564" s="2" t="s">
        <v>344</v>
      </c>
      <c r="C4564" s="2" t="s">
        <v>49</v>
      </c>
      <c r="D4564" s="3" t="n">
        <v>46240</v>
      </c>
      <c r="E4564" s="2" t="str">
        <f aca="false">TEXT(D4564,"dddd")</f>
        <v>Thursday</v>
      </c>
      <c r="F4564" s="2" t="s">
        <v>457</v>
      </c>
      <c r="G4564" s="2" t="s">
        <v>458</v>
      </c>
      <c r="H4564" s="2" t="s">
        <v>459</v>
      </c>
      <c r="I4564" s="2" t="n">
        <f aca="false">IF(F4564="Present",9,IF(F4564="Half Day",4,0))</f>
        <v>9</v>
      </c>
      <c r="J4564" s="2"/>
      <c r="K4564" s="2"/>
    </row>
    <row r="4565" customFormat="false" ht="15" hidden="false" customHeight="false" outlineLevel="0" collapsed="false">
      <c r="A4565" s="2" t="s">
        <v>343</v>
      </c>
      <c r="B4565" s="2" t="s">
        <v>344</v>
      </c>
      <c r="C4565" s="2" t="s">
        <v>49</v>
      </c>
      <c r="D4565" s="3" t="n">
        <v>46241</v>
      </c>
      <c r="E4565" s="2" t="str">
        <f aca="false">TEXT(D4565,"dddd")</f>
        <v>Friday</v>
      </c>
      <c r="F4565" s="2" t="s">
        <v>457</v>
      </c>
      <c r="G4565" s="2" t="s">
        <v>458</v>
      </c>
      <c r="H4565" s="2" t="s">
        <v>459</v>
      </c>
      <c r="I4565" s="2" t="n">
        <f aca="false">IF(F4565="Present",9,IF(F4565="Half Day",4,0))</f>
        <v>9</v>
      </c>
      <c r="J4565" s="2"/>
      <c r="K4565" s="2"/>
    </row>
    <row r="4566" customFormat="false" ht="15" hidden="false" customHeight="false" outlineLevel="0" collapsed="false">
      <c r="A4566" s="2" t="s">
        <v>343</v>
      </c>
      <c r="B4566" s="2" t="s">
        <v>344</v>
      </c>
      <c r="C4566" s="2" t="s">
        <v>49</v>
      </c>
      <c r="D4566" s="3" t="n">
        <v>46242</v>
      </c>
      <c r="E4566" s="2" t="str">
        <f aca="false">TEXT(D4566,"dddd")</f>
        <v>Saturday</v>
      </c>
      <c r="F4566" s="2" t="s">
        <v>457</v>
      </c>
      <c r="G4566" s="2" t="s">
        <v>458</v>
      </c>
      <c r="H4566" s="2" t="s">
        <v>459</v>
      </c>
      <c r="I4566" s="2" t="n">
        <f aca="false">IF(F4566="Present",9,IF(F4566="Half Day",4,0))</f>
        <v>9</v>
      </c>
      <c r="J4566" s="2"/>
      <c r="K4566" s="2"/>
    </row>
    <row r="4567" customFormat="false" ht="15" hidden="false" customHeight="false" outlineLevel="0" collapsed="false">
      <c r="A4567" s="2" t="s">
        <v>343</v>
      </c>
      <c r="B4567" s="2" t="s">
        <v>344</v>
      </c>
      <c r="C4567" s="2" t="s">
        <v>49</v>
      </c>
      <c r="D4567" s="3" t="n">
        <v>46243</v>
      </c>
      <c r="E4567" s="2" t="str">
        <f aca="false">TEXT(D4567,"dddd")</f>
        <v>Sunday</v>
      </c>
      <c r="F4567" s="2" t="s">
        <v>460</v>
      </c>
      <c r="G4567" s="2"/>
      <c r="H4567" s="2"/>
      <c r="I4567" s="2" t="n">
        <f aca="false">IF(F4567="Present",9,IF(F4567="Half Day",4,0))</f>
        <v>0</v>
      </c>
      <c r="J4567" s="2"/>
      <c r="K4567" s="2" t="s">
        <v>460</v>
      </c>
    </row>
    <row r="4568" customFormat="false" ht="15" hidden="false" customHeight="false" outlineLevel="0" collapsed="false">
      <c r="A4568" s="2" t="s">
        <v>343</v>
      </c>
      <c r="B4568" s="2" t="s">
        <v>344</v>
      </c>
      <c r="C4568" s="2" t="s">
        <v>49</v>
      </c>
      <c r="D4568" s="3" t="n">
        <v>46244</v>
      </c>
      <c r="E4568" s="2" t="str">
        <f aca="false">TEXT(D4568,"dddd")</f>
        <v>Monday</v>
      </c>
      <c r="F4568" s="2" t="s">
        <v>457</v>
      </c>
      <c r="G4568" s="2" t="s">
        <v>458</v>
      </c>
      <c r="H4568" s="2" t="s">
        <v>459</v>
      </c>
      <c r="I4568" s="2" t="n">
        <f aca="false">IF(F4568="Present",9,IF(F4568="Half Day",4,0))</f>
        <v>9</v>
      </c>
      <c r="J4568" s="2"/>
      <c r="K4568" s="2"/>
    </row>
    <row r="4569" customFormat="false" ht="15" hidden="false" customHeight="false" outlineLevel="0" collapsed="false">
      <c r="A4569" s="2" t="s">
        <v>343</v>
      </c>
      <c r="B4569" s="2" t="s">
        <v>344</v>
      </c>
      <c r="C4569" s="2" t="s">
        <v>49</v>
      </c>
      <c r="D4569" s="3" t="n">
        <v>46245</v>
      </c>
      <c r="E4569" s="2" t="str">
        <f aca="false">TEXT(D4569,"dddd")</f>
        <v>Tuesday</v>
      </c>
      <c r="F4569" s="2" t="s">
        <v>457</v>
      </c>
      <c r="G4569" s="2" t="s">
        <v>458</v>
      </c>
      <c r="H4569" s="2" t="s">
        <v>459</v>
      </c>
      <c r="I4569" s="2" t="n">
        <f aca="false">IF(F4569="Present",9,IF(F4569="Half Day",4,0))</f>
        <v>9</v>
      </c>
      <c r="J4569" s="2"/>
      <c r="K4569" s="2"/>
    </row>
    <row r="4570" customFormat="false" ht="15" hidden="false" customHeight="false" outlineLevel="0" collapsed="false">
      <c r="A4570" s="2" t="s">
        <v>343</v>
      </c>
      <c r="B4570" s="2" t="s">
        <v>344</v>
      </c>
      <c r="C4570" s="2" t="s">
        <v>49</v>
      </c>
      <c r="D4570" s="3" t="n">
        <v>46246</v>
      </c>
      <c r="E4570" s="2" t="str">
        <f aca="false">TEXT(D4570,"dddd")</f>
        <v>Wednesday</v>
      </c>
      <c r="F4570" s="2" t="s">
        <v>466</v>
      </c>
      <c r="G4570" s="2" t="s">
        <v>458</v>
      </c>
      <c r="H4570" s="2" t="s">
        <v>467</v>
      </c>
      <c r="I4570" s="2" t="n">
        <f aca="false">IF(F4570="Present",9,IF(F4570="Half Day",4,0))</f>
        <v>4</v>
      </c>
      <c r="J4570" s="2"/>
      <c r="K4570" s="2" t="s">
        <v>466</v>
      </c>
    </row>
    <row r="4571" customFormat="false" ht="15" hidden="false" customHeight="false" outlineLevel="0" collapsed="false">
      <c r="A4571" s="2" t="s">
        <v>343</v>
      </c>
      <c r="B4571" s="2" t="s">
        <v>344</v>
      </c>
      <c r="C4571" s="2" t="s">
        <v>49</v>
      </c>
      <c r="D4571" s="3" t="n">
        <v>46247</v>
      </c>
      <c r="E4571" s="2" t="str">
        <f aca="false">TEXT(D4571,"dddd")</f>
        <v>Thursday</v>
      </c>
      <c r="F4571" s="2" t="s">
        <v>457</v>
      </c>
      <c r="G4571" s="2" t="s">
        <v>458</v>
      </c>
      <c r="H4571" s="2" t="s">
        <v>459</v>
      </c>
      <c r="I4571" s="2" t="n">
        <f aca="false">IF(F4571="Present",9,IF(F4571="Half Day",4,0))</f>
        <v>9</v>
      </c>
      <c r="J4571" s="2"/>
      <c r="K4571" s="2"/>
    </row>
    <row r="4572" customFormat="false" ht="15" hidden="false" customHeight="false" outlineLevel="0" collapsed="false">
      <c r="A4572" s="2" t="s">
        <v>343</v>
      </c>
      <c r="B4572" s="2" t="s">
        <v>344</v>
      </c>
      <c r="C4572" s="2" t="s">
        <v>49</v>
      </c>
      <c r="D4572" s="3" t="n">
        <v>46248</v>
      </c>
      <c r="E4572" s="2" t="str">
        <f aca="false">TEXT(D4572,"dddd")</f>
        <v>Friday</v>
      </c>
      <c r="F4572" s="2" t="s">
        <v>457</v>
      </c>
      <c r="G4572" s="2" t="s">
        <v>458</v>
      </c>
      <c r="H4572" s="2" t="s">
        <v>459</v>
      </c>
      <c r="I4572" s="2" t="n">
        <f aca="false">IF(F4572="Present",9,IF(F4572="Half Day",4,0))</f>
        <v>9</v>
      </c>
      <c r="J4572" s="2"/>
      <c r="K4572" s="2"/>
    </row>
    <row r="4573" customFormat="false" ht="15" hidden="false" customHeight="false" outlineLevel="0" collapsed="false">
      <c r="A4573" s="2" t="s">
        <v>343</v>
      </c>
      <c r="B4573" s="2" t="s">
        <v>344</v>
      </c>
      <c r="C4573" s="2" t="s">
        <v>49</v>
      </c>
      <c r="D4573" s="3" t="n">
        <v>46249</v>
      </c>
      <c r="E4573" s="2" t="str">
        <f aca="false">TEXT(D4573,"dddd")</f>
        <v>Saturday</v>
      </c>
      <c r="F4573" s="2" t="s">
        <v>457</v>
      </c>
      <c r="G4573" s="2" t="s">
        <v>458</v>
      </c>
      <c r="H4573" s="2" t="s">
        <v>459</v>
      </c>
      <c r="I4573" s="2" t="n">
        <f aca="false">IF(F4573="Present",9,IF(F4573="Half Day",4,0))</f>
        <v>9</v>
      </c>
      <c r="J4573" s="2"/>
      <c r="K4573" s="2"/>
    </row>
    <row r="4574" customFormat="false" ht="15" hidden="false" customHeight="false" outlineLevel="0" collapsed="false">
      <c r="A4574" s="2" t="s">
        <v>343</v>
      </c>
      <c r="B4574" s="2" t="s">
        <v>344</v>
      </c>
      <c r="C4574" s="2" t="s">
        <v>49</v>
      </c>
      <c r="D4574" s="3" t="n">
        <v>46250</v>
      </c>
      <c r="E4574" s="2" t="str">
        <f aca="false">TEXT(D4574,"dddd")</f>
        <v>Sunday</v>
      </c>
      <c r="F4574" s="2" t="s">
        <v>460</v>
      </c>
      <c r="G4574" s="2"/>
      <c r="H4574" s="2"/>
      <c r="I4574" s="2" t="n">
        <f aca="false">IF(F4574="Present",9,IF(F4574="Half Day",4,0))</f>
        <v>0</v>
      </c>
      <c r="J4574" s="2"/>
      <c r="K4574" s="2" t="s">
        <v>460</v>
      </c>
    </row>
    <row r="4575" customFormat="false" ht="15" hidden="false" customHeight="false" outlineLevel="0" collapsed="false">
      <c r="A4575" s="2" t="s">
        <v>343</v>
      </c>
      <c r="B4575" s="2" t="s">
        <v>344</v>
      </c>
      <c r="C4575" s="2" t="s">
        <v>49</v>
      </c>
      <c r="D4575" s="3" t="n">
        <v>46251</v>
      </c>
      <c r="E4575" s="2" t="str">
        <f aca="false">TEXT(D4575,"dddd")</f>
        <v>Monday</v>
      </c>
      <c r="F4575" s="2" t="s">
        <v>457</v>
      </c>
      <c r="G4575" s="2" t="s">
        <v>458</v>
      </c>
      <c r="H4575" s="2" t="s">
        <v>459</v>
      </c>
      <c r="I4575" s="2" t="n">
        <f aca="false">IF(F4575="Present",9,IF(F4575="Half Day",4,0))</f>
        <v>9</v>
      </c>
      <c r="J4575" s="2"/>
      <c r="K4575" s="2"/>
    </row>
    <row r="4576" customFormat="false" ht="15" hidden="false" customHeight="false" outlineLevel="0" collapsed="false">
      <c r="A4576" s="2" t="s">
        <v>343</v>
      </c>
      <c r="B4576" s="2" t="s">
        <v>344</v>
      </c>
      <c r="C4576" s="2" t="s">
        <v>49</v>
      </c>
      <c r="D4576" s="3" t="n">
        <v>46252</v>
      </c>
      <c r="E4576" s="2" t="str">
        <f aca="false">TEXT(D4576,"dddd")</f>
        <v>Tuesday</v>
      </c>
      <c r="F4576" s="2" t="s">
        <v>457</v>
      </c>
      <c r="G4576" s="2" t="s">
        <v>458</v>
      </c>
      <c r="H4576" s="2" t="s">
        <v>459</v>
      </c>
      <c r="I4576" s="2" t="n">
        <f aca="false">IF(F4576="Present",9,IF(F4576="Half Day",4,0))</f>
        <v>9</v>
      </c>
      <c r="J4576" s="2"/>
      <c r="K4576" s="2"/>
    </row>
    <row r="4577" customFormat="false" ht="15" hidden="false" customHeight="false" outlineLevel="0" collapsed="false">
      <c r="A4577" s="2" t="s">
        <v>343</v>
      </c>
      <c r="B4577" s="2" t="s">
        <v>344</v>
      </c>
      <c r="C4577" s="2" t="s">
        <v>49</v>
      </c>
      <c r="D4577" s="3" t="n">
        <v>46253</v>
      </c>
      <c r="E4577" s="2" t="str">
        <f aca="false">TEXT(D4577,"dddd")</f>
        <v>Wednesday</v>
      </c>
      <c r="F4577" s="2" t="s">
        <v>457</v>
      </c>
      <c r="G4577" s="2" t="s">
        <v>458</v>
      </c>
      <c r="H4577" s="2" t="s">
        <v>459</v>
      </c>
      <c r="I4577" s="2" t="n">
        <f aca="false">IF(F4577="Present",9,IF(F4577="Half Day",4,0))</f>
        <v>9</v>
      </c>
      <c r="J4577" s="2"/>
      <c r="K4577" s="2"/>
    </row>
    <row r="4578" customFormat="false" ht="15" hidden="false" customHeight="false" outlineLevel="0" collapsed="false">
      <c r="A4578" s="2" t="s">
        <v>343</v>
      </c>
      <c r="B4578" s="2" t="s">
        <v>344</v>
      </c>
      <c r="C4578" s="2" t="s">
        <v>49</v>
      </c>
      <c r="D4578" s="3" t="n">
        <v>46254</v>
      </c>
      <c r="E4578" s="2" t="str">
        <f aca="false">TEXT(D4578,"dddd")</f>
        <v>Thursday</v>
      </c>
      <c r="F4578" s="2" t="s">
        <v>457</v>
      </c>
      <c r="G4578" s="2" t="s">
        <v>458</v>
      </c>
      <c r="H4578" s="2" t="s">
        <v>459</v>
      </c>
      <c r="I4578" s="2" t="n">
        <f aca="false">IF(F4578="Present",9,IF(F4578="Half Day",4,0))</f>
        <v>9</v>
      </c>
      <c r="J4578" s="2"/>
      <c r="K4578" s="2"/>
    </row>
    <row r="4579" customFormat="false" ht="15" hidden="false" customHeight="false" outlineLevel="0" collapsed="false">
      <c r="A4579" s="2" t="s">
        <v>343</v>
      </c>
      <c r="B4579" s="2" t="s">
        <v>344</v>
      </c>
      <c r="C4579" s="2" t="s">
        <v>49</v>
      </c>
      <c r="D4579" s="3" t="n">
        <v>46255</v>
      </c>
      <c r="E4579" s="2" t="str">
        <f aca="false">TEXT(D4579,"dddd")</f>
        <v>Friday</v>
      </c>
      <c r="F4579" s="2" t="s">
        <v>457</v>
      </c>
      <c r="G4579" s="2" t="s">
        <v>458</v>
      </c>
      <c r="H4579" s="2" t="s">
        <v>459</v>
      </c>
      <c r="I4579" s="2" t="n">
        <f aca="false">IF(F4579="Present",9,IF(F4579="Half Day",4,0))</f>
        <v>9</v>
      </c>
      <c r="J4579" s="2"/>
      <c r="K4579" s="2"/>
    </row>
    <row r="4580" customFormat="false" ht="15" hidden="false" customHeight="false" outlineLevel="0" collapsed="false">
      <c r="A4580" s="2" t="s">
        <v>343</v>
      </c>
      <c r="B4580" s="2" t="s">
        <v>344</v>
      </c>
      <c r="C4580" s="2" t="s">
        <v>49</v>
      </c>
      <c r="D4580" s="3" t="n">
        <v>46256</v>
      </c>
      <c r="E4580" s="2" t="str">
        <f aca="false">TEXT(D4580,"dddd")</f>
        <v>Saturday</v>
      </c>
      <c r="F4580" s="2" t="s">
        <v>457</v>
      </c>
      <c r="G4580" s="2" t="s">
        <v>458</v>
      </c>
      <c r="H4580" s="2" t="s">
        <v>459</v>
      </c>
      <c r="I4580" s="2" t="n">
        <f aca="false">IF(F4580="Present",9,IF(F4580="Half Day",4,0))</f>
        <v>9</v>
      </c>
      <c r="J4580" s="2"/>
      <c r="K4580" s="2"/>
    </row>
    <row r="4581" customFormat="false" ht="15" hidden="false" customHeight="false" outlineLevel="0" collapsed="false">
      <c r="A4581" s="2" t="s">
        <v>343</v>
      </c>
      <c r="B4581" s="2" t="s">
        <v>344</v>
      </c>
      <c r="C4581" s="2" t="s">
        <v>49</v>
      </c>
      <c r="D4581" s="3" t="n">
        <v>46257</v>
      </c>
      <c r="E4581" s="2" t="str">
        <f aca="false">TEXT(D4581,"dddd")</f>
        <v>Sunday</v>
      </c>
      <c r="F4581" s="2" t="s">
        <v>460</v>
      </c>
      <c r="G4581" s="2"/>
      <c r="H4581" s="2"/>
      <c r="I4581" s="2" t="n">
        <f aca="false">IF(F4581="Present",9,IF(F4581="Half Day",4,0))</f>
        <v>0</v>
      </c>
      <c r="J4581" s="2"/>
      <c r="K4581" s="2" t="s">
        <v>460</v>
      </c>
    </row>
    <row r="4582" customFormat="false" ht="15" hidden="false" customHeight="false" outlineLevel="0" collapsed="false">
      <c r="A4582" s="2" t="s">
        <v>343</v>
      </c>
      <c r="B4582" s="2" t="s">
        <v>344</v>
      </c>
      <c r="C4582" s="2" t="s">
        <v>49</v>
      </c>
      <c r="D4582" s="3" t="n">
        <v>46258</v>
      </c>
      <c r="E4582" s="2" t="str">
        <f aca="false">TEXT(D4582,"dddd")</f>
        <v>Monday</v>
      </c>
      <c r="F4582" s="2" t="s">
        <v>457</v>
      </c>
      <c r="G4582" s="2" t="s">
        <v>458</v>
      </c>
      <c r="H4582" s="2" t="s">
        <v>459</v>
      </c>
      <c r="I4582" s="2" t="n">
        <f aca="false">IF(F4582="Present",9,IF(F4582="Half Day",4,0))</f>
        <v>9</v>
      </c>
      <c r="J4582" s="2"/>
      <c r="K4582" s="2"/>
    </row>
    <row r="4583" customFormat="false" ht="15" hidden="false" customHeight="false" outlineLevel="0" collapsed="false">
      <c r="A4583" s="2" t="s">
        <v>343</v>
      </c>
      <c r="B4583" s="2" t="s">
        <v>344</v>
      </c>
      <c r="C4583" s="2" t="s">
        <v>49</v>
      </c>
      <c r="D4583" s="3" t="n">
        <v>46259</v>
      </c>
      <c r="E4583" s="2" t="str">
        <f aca="false">TEXT(D4583,"dddd")</f>
        <v>Tuesday</v>
      </c>
      <c r="F4583" s="2" t="s">
        <v>457</v>
      </c>
      <c r="G4583" s="2" t="s">
        <v>458</v>
      </c>
      <c r="H4583" s="2" t="s">
        <v>459</v>
      </c>
      <c r="I4583" s="2" t="n">
        <f aca="false">IF(F4583="Present",9,IF(F4583="Half Day",4,0))</f>
        <v>9</v>
      </c>
      <c r="J4583" s="2"/>
      <c r="K4583" s="2"/>
    </row>
    <row r="4584" customFormat="false" ht="15" hidden="false" customHeight="false" outlineLevel="0" collapsed="false">
      <c r="A4584" s="2" t="s">
        <v>343</v>
      </c>
      <c r="B4584" s="2" t="s">
        <v>344</v>
      </c>
      <c r="C4584" s="2" t="s">
        <v>49</v>
      </c>
      <c r="D4584" s="3" t="n">
        <v>46260</v>
      </c>
      <c r="E4584" s="2" t="str">
        <f aca="false">TEXT(D4584,"dddd")</f>
        <v>Wednesday</v>
      </c>
      <c r="F4584" s="2" t="s">
        <v>457</v>
      </c>
      <c r="G4584" s="2" t="s">
        <v>458</v>
      </c>
      <c r="H4584" s="2" t="s">
        <v>459</v>
      </c>
      <c r="I4584" s="2" t="n">
        <f aca="false">IF(F4584="Present",9,IF(F4584="Half Day",4,0))</f>
        <v>9</v>
      </c>
      <c r="J4584" s="2"/>
      <c r="K4584" s="2"/>
    </row>
    <row r="4585" customFormat="false" ht="15" hidden="false" customHeight="false" outlineLevel="0" collapsed="false">
      <c r="A4585" s="2" t="s">
        <v>343</v>
      </c>
      <c r="B4585" s="2" t="s">
        <v>344</v>
      </c>
      <c r="C4585" s="2" t="s">
        <v>49</v>
      </c>
      <c r="D4585" s="3" t="n">
        <v>46261</v>
      </c>
      <c r="E4585" s="2" t="str">
        <f aca="false">TEXT(D4585,"dddd")</f>
        <v>Thursday</v>
      </c>
      <c r="F4585" s="2" t="s">
        <v>457</v>
      </c>
      <c r="G4585" s="2" t="s">
        <v>458</v>
      </c>
      <c r="H4585" s="2" t="s">
        <v>459</v>
      </c>
      <c r="I4585" s="2" t="n">
        <f aca="false">IF(F4585="Present",9,IF(F4585="Half Day",4,0))</f>
        <v>9</v>
      </c>
      <c r="J4585" s="2"/>
      <c r="K4585" s="2"/>
    </row>
    <row r="4586" customFormat="false" ht="15" hidden="false" customHeight="false" outlineLevel="0" collapsed="false">
      <c r="A4586" s="2" t="s">
        <v>343</v>
      </c>
      <c r="B4586" s="2" t="s">
        <v>344</v>
      </c>
      <c r="C4586" s="2" t="s">
        <v>49</v>
      </c>
      <c r="D4586" s="3" t="n">
        <v>46262</v>
      </c>
      <c r="E4586" s="2" t="str">
        <f aca="false">TEXT(D4586,"dddd")</f>
        <v>Friday</v>
      </c>
      <c r="F4586" s="2" t="s">
        <v>457</v>
      </c>
      <c r="G4586" s="2" t="s">
        <v>458</v>
      </c>
      <c r="H4586" s="2" t="s">
        <v>459</v>
      </c>
      <c r="I4586" s="2" t="n">
        <f aca="false">IF(F4586="Present",9,IF(F4586="Half Day",4,0))</f>
        <v>9</v>
      </c>
      <c r="J4586" s="2"/>
      <c r="K4586" s="2"/>
    </row>
    <row r="4587" customFormat="false" ht="15" hidden="false" customHeight="false" outlineLevel="0" collapsed="false">
      <c r="A4587" s="2" t="s">
        <v>343</v>
      </c>
      <c r="B4587" s="2" t="s">
        <v>344</v>
      </c>
      <c r="C4587" s="2" t="s">
        <v>49</v>
      </c>
      <c r="D4587" s="3" t="n">
        <v>46263</v>
      </c>
      <c r="E4587" s="2" t="str">
        <f aca="false">TEXT(D4587,"dddd")</f>
        <v>Saturday</v>
      </c>
      <c r="F4587" s="2" t="s">
        <v>457</v>
      </c>
      <c r="G4587" s="2" t="s">
        <v>458</v>
      </c>
      <c r="H4587" s="2" t="s">
        <v>459</v>
      </c>
      <c r="I4587" s="2" t="n">
        <f aca="false">IF(F4587="Present",9,IF(F4587="Half Day",4,0))</f>
        <v>9</v>
      </c>
      <c r="J4587" s="2"/>
      <c r="K4587" s="2"/>
    </row>
    <row r="4588" customFormat="false" ht="15" hidden="false" customHeight="false" outlineLevel="0" collapsed="false">
      <c r="A4588" s="2" t="s">
        <v>343</v>
      </c>
      <c r="B4588" s="2" t="s">
        <v>344</v>
      </c>
      <c r="C4588" s="2" t="s">
        <v>49</v>
      </c>
      <c r="D4588" s="3" t="n">
        <v>46264</v>
      </c>
      <c r="E4588" s="2" t="str">
        <f aca="false">TEXT(D4588,"dddd")</f>
        <v>Sunday</v>
      </c>
      <c r="F4588" s="2" t="s">
        <v>460</v>
      </c>
      <c r="G4588" s="2"/>
      <c r="H4588" s="2"/>
      <c r="I4588" s="2" t="n">
        <f aca="false">IF(F4588="Present",9,IF(F4588="Half Day",4,0))</f>
        <v>0</v>
      </c>
      <c r="J4588" s="2"/>
      <c r="K4588" s="2" t="s">
        <v>460</v>
      </c>
    </row>
    <row r="4589" customFormat="false" ht="15" hidden="false" customHeight="false" outlineLevel="0" collapsed="false">
      <c r="A4589" s="2" t="s">
        <v>343</v>
      </c>
      <c r="B4589" s="2" t="s">
        <v>344</v>
      </c>
      <c r="C4589" s="2" t="s">
        <v>49</v>
      </c>
      <c r="D4589" s="3" t="n">
        <v>46265</v>
      </c>
      <c r="E4589" s="2" t="str">
        <f aca="false">TEXT(D4589,"dddd")</f>
        <v>Monday</v>
      </c>
      <c r="F4589" s="2" t="s">
        <v>457</v>
      </c>
      <c r="G4589" s="2" t="s">
        <v>458</v>
      </c>
      <c r="H4589" s="2" t="s">
        <v>459</v>
      </c>
      <c r="I4589" s="2" t="n">
        <f aca="false">IF(F4589="Present",9,IF(F4589="Half Day",4,0))</f>
        <v>9</v>
      </c>
      <c r="J4589" s="2"/>
      <c r="K4589" s="2"/>
    </row>
    <row r="4590" customFormat="false" ht="15" hidden="false" customHeight="false" outlineLevel="0" collapsed="false">
      <c r="A4590" s="2" t="s">
        <v>345</v>
      </c>
      <c r="B4590" s="2" t="s">
        <v>346</v>
      </c>
      <c r="C4590" s="2" t="s">
        <v>53</v>
      </c>
      <c r="D4590" s="3" t="n">
        <v>46235</v>
      </c>
      <c r="E4590" s="2" t="str">
        <f aca="false">TEXT(D4590,"dddd")</f>
        <v>Saturday</v>
      </c>
      <c r="F4590" s="2" t="s">
        <v>457</v>
      </c>
      <c r="G4590" s="2" t="s">
        <v>458</v>
      </c>
      <c r="H4590" s="2" t="s">
        <v>459</v>
      </c>
      <c r="I4590" s="2" t="n">
        <f aca="false">IF(F4590="Present",9,IF(F4590="Half Day",4,0))</f>
        <v>9</v>
      </c>
      <c r="J4590" s="2"/>
      <c r="K4590" s="2"/>
    </row>
    <row r="4591" customFormat="false" ht="15" hidden="false" customHeight="false" outlineLevel="0" collapsed="false">
      <c r="A4591" s="2" t="s">
        <v>345</v>
      </c>
      <c r="B4591" s="2" t="s">
        <v>346</v>
      </c>
      <c r="C4591" s="2" t="s">
        <v>53</v>
      </c>
      <c r="D4591" s="3" t="n">
        <v>46236</v>
      </c>
      <c r="E4591" s="2" t="str">
        <f aca="false">TEXT(D4591,"dddd")</f>
        <v>Sunday</v>
      </c>
      <c r="F4591" s="2" t="s">
        <v>460</v>
      </c>
      <c r="G4591" s="2"/>
      <c r="H4591" s="2"/>
      <c r="I4591" s="2" t="n">
        <f aca="false">IF(F4591="Present",9,IF(F4591="Half Day",4,0))</f>
        <v>0</v>
      </c>
      <c r="J4591" s="2"/>
      <c r="K4591" s="2" t="s">
        <v>460</v>
      </c>
    </row>
    <row r="4592" customFormat="false" ht="15" hidden="false" customHeight="false" outlineLevel="0" collapsed="false">
      <c r="A4592" s="2" t="s">
        <v>345</v>
      </c>
      <c r="B4592" s="2" t="s">
        <v>346</v>
      </c>
      <c r="C4592" s="2" t="s">
        <v>53</v>
      </c>
      <c r="D4592" s="3" t="n">
        <v>46237</v>
      </c>
      <c r="E4592" s="2" t="str">
        <f aca="false">TEXT(D4592,"dddd")</f>
        <v>Monday</v>
      </c>
      <c r="F4592" s="2" t="s">
        <v>457</v>
      </c>
      <c r="G4592" s="2" t="s">
        <v>458</v>
      </c>
      <c r="H4592" s="2" t="s">
        <v>459</v>
      </c>
      <c r="I4592" s="2" t="n">
        <f aca="false">IF(F4592="Present",9,IF(F4592="Half Day",4,0))</f>
        <v>9</v>
      </c>
      <c r="J4592" s="2"/>
      <c r="K4592" s="2"/>
    </row>
    <row r="4593" customFormat="false" ht="15" hidden="false" customHeight="false" outlineLevel="0" collapsed="false">
      <c r="A4593" s="2" t="s">
        <v>345</v>
      </c>
      <c r="B4593" s="2" t="s">
        <v>346</v>
      </c>
      <c r="C4593" s="2" t="s">
        <v>53</v>
      </c>
      <c r="D4593" s="3" t="n">
        <v>46238</v>
      </c>
      <c r="E4593" s="2" t="str">
        <f aca="false">TEXT(D4593,"dddd")</f>
        <v>Tuesday</v>
      </c>
      <c r="F4593" s="2" t="s">
        <v>457</v>
      </c>
      <c r="G4593" s="2" t="s">
        <v>458</v>
      </c>
      <c r="H4593" s="2" t="s">
        <v>459</v>
      </c>
      <c r="I4593" s="2" t="n">
        <f aca="false">IF(F4593="Present",9,IF(F4593="Half Day",4,0))</f>
        <v>9</v>
      </c>
      <c r="J4593" s="2"/>
      <c r="K4593" s="2"/>
    </row>
    <row r="4594" customFormat="false" ht="15" hidden="false" customHeight="false" outlineLevel="0" collapsed="false">
      <c r="A4594" s="2" t="s">
        <v>345</v>
      </c>
      <c r="B4594" s="2" t="s">
        <v>346</v>
      </c>
      <c r="C4594" s="2" t="s">
        <v>53</v>
      </c>
      <c r="D4594" s="3" t="n">
        <v>46239</v>
      </c>
      <c r="E4594" s="2" t="str">
        <f aca="false">TEXT(D4594,"dddd")</f>
        <v>Wednesday</v>
      </c>
      <c r="F4594" s="2" t="s">
        <v>457</v>
      </c>
      <c r="G4594" s="2" t="s">
        <v>458</v>
      </c>
      <c r="H4594" s="2" t="s">
        <v>459</v>
      </c>
      <c r="I4594" s="2" t="n">
        <f aca="false">IF(F4594="Present",9,IF(F4594="Half Day",4,0))</f>
        <v>9</v>
      </c>
      <c r="J4594" s="2"/>
      <c r="K4594" s="2"/>
    </row>
    <row r="4595" customFormat="false" ht="15" hidden="false" customHeight="false" outlineLevel="0" collapsed="false">
      <c r="A4595" s="2" t="s">
        <v>345</v>
      </c>
      <c r="B4595" s="2" t="s">
        <v>346</v>
      </c>
      <c r="C4595" s="2" t="s">
        <v>53</v>
      </c>
      <c r="D4595" s="3" t="n">
        <v>46240</v>
      </c>
      <c r="E4595" s="2" t="str">
        <f aca="false">TEXT(D4595,"dddd")</f>
        <v>Thursday</v>
      </c>
      <c r="F4595" s="2" t="s">
        <v>461</v>
      </c>
      <c r="G4595" s="2"/>
      <c r="H4595" s="2"/>
      <c r="I4595" s="2" t="n">
        <f aca="false">IF(F4595="Present",9,IF(F4595="Half Day",4,0))</f>
        <v>0</v>
      </c>
      <c r="J4595" s="2"/>
      <c r="K4595" s="2" t="s">
        <v>462</v>
      </c>
    </row>
    <row r="4596" customFormat="false" ht="15" hidden="false" customHeight="false" outlineLevel="0" collapsed="false">
      <c r="A4596" s="2" t="s">
        <v>345</v>
      </c>
      <c r="B4596" s="2" t="s">
        <v>346</v>
      </c>
      <c r="C4596" s="2" t="s">
        <v>53</v>
      </c>
      <c r="D4596" s="3" t="n">
        <v>46241</v>
      </c>
      <c r="E4596" s="2" t="str">
        <f aca="false">TEXT(D4596,"dddd")</f>
        <v>Friday</v>
      </c>
      <c r="F4596" s="2" t="s">
        <v>457</v>
      </c>
      <c r="G4596" s="2" t="s">
        <v>458</v>
      </c>
      <c r="H4596" s="2" t="s">
        <v>459</v>
      </c>
      <c r="I4596" s="2" t="n">
        <f aca="false">IF(F4596="Present",9,IF(F4596="Half Day",4,0))</f>
        <v>9</v>
      </c>
      <c r="J4596" s="2"/>
      <c r="K4596" s="2"/>
    </row>
    <row r="4597" customFormat="false" ht="15" hidden="false" customHeight="false" outlineLevel="0" collapsed="false">
      <c r="A4597" s="2" t="s">
        <v>345</v>
      </c>
      <c r="B4597" s="2" t="s">
        <v>346</v>
      </c>
      <c r="C4597" s="2" t="s">
        <v>53</v>
      </c>
      <c r="D4597" s="3" t="n">
        <v>46242</v>
      </c>
      <c r="E4597" s="2" t="str">
        <f aca="false">TEXT(D4597,"dddd")</f>
        <v>Saturday</v>
      </c>
      <c r="F4597" s="2" t="s">
        <v>457</v>
      </c>
      <c r="G4597" s="2" t="s">
        <v>458</v>
      </c>
      <c r="H4597" s="2" t="s">
        <v>459</v>
      </c>
      <c r="I4597" s="2" t="n">
        <f aca="false">IF(F4597="Present",9,IF(F4597="Half Day",4,0))</f>
        <v>9</v>
      </c>
      <c r="J4597" s="2"/>
      <c r="K4597" s="2"/>
    </row>
    <row r="4598" customFormat="false" ht="15" hidden="false" customHeight="false" outlineLevel="0" collapsed="false">
      <c r="A4598" s="2" t="s">
        <v>345</v>
      </c>
      <c r="B4598" s="2" t="s">
        <v>346</v>
      </c>
      <c r="C4598" s="2" t="s">
        <v>53</v>
      </c>
      <c r="D4598" s="3" t="n">
        <v>46243</v>
      </c>
      <c r="E4598" s="2" t="str">
        <f aca="false">TEXT(D4598,"dddd")</f>
        <v>Sunday</v>
      </c>
      <c r="F4598" s="2" t="s">
        <v>460</v>
      </c>
      <c r="G4598" s="2"/>
      <c r="H4598" s="2"/>
      <c r="I4598" s="2" t="n">
        <f aca="false">IF(F4598="Present",9,IF(F4598="Half Day",4,0))</f>
        <v>0</v>
      </c>
      <c r="J4598" s="2"/>
      <c r="K4598" s="2" t="s">
        <v>460</v>
      </c>
    </row>
    <row r="4599" customFormat="false" ht="15" hidden="false" customHeight="false" outlineLevel="0" collapsed="false">
      <c r="A4599" s="2" t="s">
        <v>345</v>
      </c>
      <c r="B4599" s="2" t="s">
        <v>346</v>
      </c>
      <c r="C4599" s="2" t="s">
        <v>53</v>
      </c>
      <c r="D4599" s="3" t="n">
        <v>46244</v>
      </c>
      <c r="E4599" s="2" t="str">
        <f aca="false">TEXT(D4599,"dddd")</f>
        <v>Monday</v>
      </c>
      <c r="F4599" s="2" t="s">
        <v>457</v>
      </c>
      <c r="G4599" s="2" t="s">
        <v>458</v>
      </c>
      <c r="H4599" s="2" t="s">
        <v>459</v>
      </c>
      <c r="I4599" s="2" t="n">
        <f aca="false">IF(F4599="Present",9,IF(F4599="Half Day",4,0))</f>
        <v>9</v>
      </c>
      <c r="J4599" s="2"/>
      <c r="K4599" s="2"/>
    </row>
    <row r="4600" customFormat="false" ht="15" hidden="false" customHeight="false" outlineLevel="0" collapsed="false">
      <c r="A4600" s="2" t="s">
        <v>345</v>
      </c>
      <c r="B4600" s="2" t="s">
        <v>346</v>
      </c>
      <c r="C4600" s="2" t="s">
        <v>53</v>
      </c>
      <c r="D4600" s="3" t="n">
        <v>46245</v>
      </c>
      <c r="E4600" s="2" t="str">
        <f aca="false">TEXT(D4600,"dddd")</f>
        <v>Tuesday</v>
      </c>
      <c r="F4600" s="2" t="s">
        <v>457</v>
      </c>
      <c r="G4600" s="2" t="s">
        <v>458</v>
      </c>
      <c r="H4600" s="2" t="s">
        <v>459</v>
      </c>
      <c r="I4600" s="2" t="n">
        <f aca="false">IF(F4600="Present",9,IF(F4600="Half Day",4,0))</f>
        <v>9</v>
      </c>
      <c r="J4600" s="2"/>
      <c r="K4600" s="2"/>
    </row>
    <row r="4601" customFormat="false" ht="15" hidden="false" customHeight="false" outlineLevel="0" collapsed="false">
      <c r="A4601" s="2" t="s">
        <v>345</v>
      </c>
      <c r="B4601" s="2" t="s">
        <v>346</v>
      </c>
      <c r="C4601" s="2" t="s">
        <v>53</v>
      </c>
      <c r="D4601" s="3" t="n">
        <v>46246</v>
      </c>
      <c r="E4601" s="2" t="str">
        <f aca="false">TEXT(D4601,"dddd")</f>
        <v>Wednesday</v>
      </c>
      <c r="F4601" s="2" t="s">
        <v>457</v>
      </c>
      <c r="G4601" s="2" t="s">
        <v>458</v>
      </c>
      <c r="H4601" s="2" t="s">
        <v>459</v>
      </c>
      <c r="I4601" s="2" t="n">
        <f aca="false">IF(F4601="Present",9,IF(F4601="Half Day",4,0))</f>
        <v>9</v>
      </c>
      <c r="J4601" s="2"/>
      <c r="K4601" s="2"/>
    </row>
    <row r="4602" customFormat="false" ht="15" hidden="false" customHeight="false" outlineLevel="0" collapsed="false">
      <c r="A4602" s="2" t="s">
        <v>345</v>
      </c>
      <c r="B4602" s="2" t="s">
        <v>346</v>
      </c>
      <c r="C4602" s="2" t="s">
        <v>53</v>
      </c>
      <c r="D4602" s="3" t="n">
        <v>46247</v>
      </c>
      <c r="E4602" s="2" t="str">
        <f aca="false">TEXT(D4602,"dddd")</f>
        <v>Thursday</v>
      </c>
      <c r="F4602" s="2" t="s">
        <v>457</v>
      </c>
      <c r="G4602" s="2" t="s">
        <v>458</v>
      </c>
      <c r="H4602" s="2" t="s">
        <v>459</v>
      </c>
      <c r="I4602" s="2" t="n">
        <f aca="false">IF(F4602="Present",9,IF(F4602="Half Day",4,0))</f>
        <v>9</v>
      </c>
      <c r="J4602" s="2"/>
      <c r="K4602" s="2"/>
    </row>
    <row r="4603" customFormat="false" ht="15" hidden="false" customHeight="false" outlineLevel="0" collapsed="false">
      <c r="A4603" s="2" t="s">
        <v>345</v>
      </c>
      <c r="B4603" s="2" t="s">
        <v>346</v>
      </c>
      <c r="C4603" s="2" t="s">
        <v>53</v>
      </c>
      <c r="D4603" s="3" t="n">
        <v>46248</v>
      </c>
      <c r="E4603" s="2" t="str">
        <f aca="false">TEXT(D4603,"dddd")</f>
        <v>Friday</v>
      </c>
      <c r="F4603" s="2" t="s">
        <v>457</v>
      </c>
      <c r="G4603" s="2" t="s">
        <v>458</v>
      </c>
      <c r="H4603" s="2" t="s">
        <v>459</v>
      </c>
      <c r="I4603" s="2" t="n">
        <f aca="false">IF(F4603="Present",9,IF(F4603="Half Day",4,0))</f>
        <v>9</v>
      </c>
      <c r="J4603" s="2"/>
      <c r="K4603" s="2"/>
    </row>
    <row r="4604" customFormat="false" ht="15" hidden="false" customHeight="false" outlineLevel="0" collapsed="false">
      <c r="A4604" s="2" t="s">
        <v>345</v>
      </c>
      <c r="B4604" s="2" t="s">
        <v>346</v>
      </c>
      <c r="C4604" s="2" t="s">
        <v>53</v>
      </c>
      <c r="D4604" s="3" t="n">
        <v>46249</v>
      </c>
      <c r="E4604" s="2" t="str">
        <f aca="false">TEXT(D4604,"dddd")</f>
        <v>Saturday</v>
      </c>
      <c r="F4604" s="2" t="s">
        <v>457</v>
      </c>
      <c r="G4604" s="2" t="s">
        <v>458</v>
      </c>
      <c r="H4604" s="2" t="s">
        <v>459</v>
      </c>
      <c r="I4604" s="2" t="n">
        <f aca="false">IF(F4604="Present",9,IF(F4604="Half Day",4,0))</f>
        <v>9</v>
      </c>
      <c r="J4604" s="2"/>
      <c r="K4604" s="2"/>
    </row>
    <row r="4605" customFormat="false" ht="15" hidden="false" customHeight="false" outlineLevel="0" collapsed="false">
      <c r="A4605" s="2" t="s">
        <v>345</v>
      </c>
      <c r="B4605" s="2" t="s">
        <v>346</v>
      </c>
      <c r="C4605" s="2" t="s">
        <v>53</v>
      </c>
      <c r="D4605" s="3" t="n">
        <v>46250</v>
      </c>
      <c r="E4605" s="2" t="str">
        <f aca="false">TEXT(D4605,"dddd")</f>
        <v>Sunday</v>
      </c>
      <c r="F4605" s="2" t="s">
        <v>460</v>
      </c>
      <c r="G4605" s="2"/>
      <c r="H4605" s="2"/>
      <c r="I4605" s="2" t="n">
        <f aca="false">IF(F4605="Present",9,IF(F4605="Half Day",4,0))</f>
        <v>0</v>
      </c>
      <c r="J4605" s="2"/>
      <c r="K4605" s="2" t="s">
        <v>460</v>
      </c>
    </row>
    <row r="4606" customFormat="false" ht="15" hidden="false" customHeight="false" outlineLevel="0" collapsed="false">
      <c r="A4606" s="2" t="s">
        <v>345</v>
      </c>
      <c r="B4606" s="2" t="s">
        <v>346</v>
      </c>
      <c r="C4606" s="2" t="s">
        <v>53</v>
      </c>
      <c r="D4606" s="3" t="n">
        <v>46251</v>
      </c>
      <c r="E4606" s="2" t="str">
        <f aca="false">TEXT(D4606,"dddd")</f>
        <v>Monday</v>
      </c>
      <c r="F4606" s="2" t="s">
        <v>457</v>
      </c>
      <c r="G4606" s="2" t="s">
        <v>458</v>
      </c>
      <c r="H4606" s="2" t="s">
        <v>459</v>
      </c>
      <c r="I4606" s="2" t="n">
        <f aca="false">IF(F4606="Present",9,IF(F4606="Half Day",4,0))</f>
        <v>9</v>
      </c>
      <c r="J4606" s="2"/>
      <c r="K4606" s="2"/>
    </row>
    <row r="4607" customFormat="false" ht="15" hidden="false" customHeight="false" outlineLevel="0" collapsed="false">
      <c r="A4607" s="2" t="s">
        <v>345</v>
      </c>
      <c r="B4607" s="2" t="s">
        <v>346</v>
      </c>
      <c r="C4607" s="2" t="s">
        <v>53</v>
      </c>
      <c r="D4607" s="3" t="n">
        <v>46252</v>
      </c>
      <c r="E4607" s="2" t="str">
        <f aca="false">TEXT(D4607,"dddd")</f>
        <v>Tuesday</v>
      </c>
      <c r="F4607" s="2" t="s">
        <v>457</v>
      </c>
      <c r="G4607" s="2" t="s">
        <v>458</v>
      </c>
      <c r="H4607" s="2" t="s">
        <v>459</v>
      </c>
      <c r="I4607" s="2" t="n">
        <f aca="false">IF(F4607="Present",9,IF(F4607="Half Day",4,0))</f>
        <v>9</v>
      </c>
      <c r="J4607" s="2"/>
      <c r="K4607" s="2"/>
    </row>
    <row r="4608" customFormat="false" ht="15" hidden="false" customHeight="false" outlineLevel="0" collapsed="false">
      <c r="A4608" s="2" t="s">
        <v>345</v>
      </c>
      <c r="B4608" s="2" t="s">
        <v>346</v>
      </c>
      <c r="C4608" s="2" t="s">
        <v>53</v>
      </c>
      <c r="D4608" s="3" t="n">
        <v>46253</v>
      </c>
      <c r="E4608" s="2" t="str">
        <f aca="false">TEXT(D4608,"dddd")</f>
        <v>Wednesday</v>
      </c>
      <c r="F4608" s="2" t="s">
        <v>457</v>
      </c>
      <c r="G4608" s="2" t="s">
        <v>458</v>
      </c>
      <c r="H4608" s="2" t="s">
        <v>459</v>
      </c>
      <c r="I4608" s="2" t="n">
        <f aca="false">IF(F4608="Present",9,IF(F4608="Half Day",4,0))</f>
        <v>9</v>
      </c>
      <c r="J4608" s="2"/>
      <c r="K4608" s="2"/>
    </row>
    <row r="4609" customFormat="false" ht="15" hidden="false" customHeight="false" outlineLevel="0" collapsed="false">
      <c r="A4609" s="2" t="s">
        <v>345</v>
      </c>
      <c r="B4609" s="2" t="s">
        <v>346</v>
      </c>
      <c r="C4609" s="2" t="s">
        <v>53</v>
      </c>
      <c r="D4609" s="3" t="n">
        <v>46254</v>
      </c>
      <c r="E4609" s="2" t="str">
        <f aca="false">TEXT(D4609,"dddd")</f>
        <v>Thursday</v>
      </c>
      <c r="F4609" s="2" t="s">
        <v>461</v>
      </c>
      <c r="G4609" s="2"/>
      <c r="H4609" s="2"/>
      <c r="I4609" s="2" t="n">
        <f aca="false">IF(F4609="Present",9,IF(F4609="Half Day",4,0))</f>
        <v>0</v>
      </c>
      <c r="J4609" s="2"/>
      <c r="K4609" s="2" t="s">
        <v>462</v>
      </c>
    </row>
    <row r="4610" customFormat="false" ht="15" hidden="false" customHeight="false" outlineLevel="0" collapsed="false">
      <c r="A4610" s="2" t="s">
        <v>345</v>
      </c>
      <c r="B4610" s="2" t="s">
        <v>346</v>
      </c>
      <c r="C4610" s="2" t="s">
        <v>53</v>
      </c>
      <c r="D4610" s="3" t="n">
        <v>46255</v>
      </c>
      <c r="E4610" s="2" t="str">
        <f aca="false">TEXT(D4610,"dddd")</f>
        <v>Friday</v>
      </c>
      <c r="F4610" s="2" t="s">
        <v>457</v>
      </c>
      <c r="G4610" s="2" t="s">
        <v>458</v>
      </c>
      <c r="H4610" s="2" t="s">
        <v>459</v>
      </c>
      <c r="I4610" s="2" t="n">
        <f aca="false">IF(F4610="Present",9,IF(F4610="Half Day",4,0))</f>
        <v>9</v>
      </c>
      <c r="J4610" s="2"/>
      <c r="K4610" s="2"/>
    </row>
    <row r="4611" customFormat="false" ht="15" hidden="false" customHeight="false" outlineLevel="0" collapsed="false">
      <c r="A4611" s="2" t="s">
        <v>345</v>
      </c>
      <c r="B4611" s="2" t="s">
        <v>346</v>
      </c>
      <c r="C4611" s="2" t="s">
        <v>53</v>
      </c>
      <c r="D4611" s="3" t="n">
        <v>46256</v>
      </c>
      <c r="E4611" s="2" t="str">
        <f aca="false">TEXT(D4611,"dddd")</f>
        <v>Saturday</v>
      </c>
      <c r="F4611" s="2" t="s">
        <v>457</v>
      </c>
      <c r="G4611" s="2" t="s">
        <v>458</v>
      </c>
      <c r="H4611" s="2" t="s">
        <v>459</v>
      </c>
      <c r="I4611" s="2" t="n">
        <f aca="false">IF(F4611="Present",9,IF(F4611="Half Day",4,0))</f>
        <v>9</v>
      </c>
      <c r="J4611" s="2"/>
      <c r="K4611" s="2"/>
    </row>
    <row r="4612" customFormat="false" ht="15" hidden="false" customHeight="false" outlineLevel="0" collapsed="false">
      <c r="A4612" s="2" t="s">
        <v>345</v>
      </c>
      <c r="B4612" s="2" t="s">
        <v>346</v>
      </c>
      <c r="C4612" s="2" t="s">
        <v>53</v>
      </c>
      <c r="D4612" s="3" t="n">
        <v>46257</v>
      </c>
      <c r="E4612" s="2" t="str">
        <f aca="false">TEXT(D4612,"dddd")</f>
        <v>Sunday</v>
      </c>
      <c r="F4612" s="2" t="s">
        <v>460</v>
      </c>
      <c r="G4612" s="2"/>
      <c r="H4612" s="2"/>
      <c r="I4612" s="2" t="n">
        <f aca="false">IF(F4612="Present",9,IF(F4612="Half Day",4,0))</f>
        <v>0</v>
      </c>
      <c r="J4612" s="2"/>
      <c r="K4612" s="2" t="s">
        <v>460</v>
      </c>
    </row>
    <row r="4613" customFormat="false" ht="15" hidden="false" customHeight="false" outlineLevel="0" collapsed="false">
      <c r="A4613" s="2" t="s">
        <v>345</v>
      </c>
      <c r="B4613" s="2" t="s">
        <v>346</v>
      </c>
      <c r="C4613" s="2" t="s">
        <v>53</v>
      </c>
      <c r="D4613" s="3" t="n">
        <v>46258</v>
      </c>
      <c r="E4613" s="2" t="str">
        <f aca="false">TEXT(D4613,"dddd")</f>
        <v>Monday</v>
      </c>
      <c r="F4613" s="2" t="s">
        <v>457</v>
      </c>
      <c r="G4613" s="2" t="s">
        <v>458</v>
      </c>
      <c r="H4613" s="2" t="s">
        <v>459</v>
      </c>
      <c r="I4613" s="2" t="n">
        <f aca="false">IF(F4613="Present",9,IF(F4613="Half Day",4,0))</f>
        <v>9</v>
      </c>
      <c r="J4613" s="2"/>
      <c r="K4613" s="2"/>
    </row>
    <row r="4614" customFormat="false" ht="15" hidden="false" customHeight="false" outlineLevel="0" collapsed="false">
      <c r="A4614" s="2" t="s">
        <v>345</v>
      </c>
      <c r="B4614" s="2" t="s">
        <v>346</v>
      </c>
      <c r="C4614" s="2" t="s">
        <v>53</v>
      </c>
      <c r="D4614" s="3" t="n">
        <v>46259</v>
      </c>
      <c r="E4614" s="2" t="str">
        <f aca="false">TEXT(D4614,"dddd")</f>
        <v>Tuesday</v>
      </c>
      <c r="F4614" s="2" t="s">
        <v>457</v>
      </c>
      <c r="G4614" s="2" t="s">
        <v>458</v>
      </c>
      <c r="H4614" s="2" t="s">
        <v>459</v>
      </c>
      <c r="I4614" s="2" t="n">
        <f aca="false">IF(F4614="Present",9,IF(F4614="Half Day",4,0))</f>
        <v>9</v>
      </c>
      <c r="J4614" s="2"/>
      <c r="K4614" s="2"/>
    </row>
    <row r="4615" customFormat="false" ht="15" hidden="false" customHeight="false" outlineLevel="0" collapsed="false">
      <c r="A4615" s="2" t="s">
        <v>345</v>
      </c>
      <c r="B4615" s="2" t="s">
        <v>346</v>
      </c>
      <c r="C4615" s="2" t="s">
        <v>53</v>
      </c>
      <c r="D4615" s="3" t="n">
        <v>46260</v>
      </c>
      <c r="E4615" s="2" t="str">
        <f aca="false">TEXT(D4615,"dddd")</f>
        <v>Wednesday</v>
      </c>
      <c r="F4615" s="2" t="s">
        <v>457</v>
      </c>
      <c r="G4615" s="2" t="s">
        <v>458</v>
      </c>
      <c r="H4615" s="2" t="s">
        <v>459</v>
      </c>
      <c r="I4615" s="2" t="n">
        <f aca="false">IF(F4615="Present",9,IF(F4615="Half Day",4,0))</f>
        <v>9</v>
      </c>
      <c r="J4615" s="2"/>
      <c r="K4615" s="2"/>
    </row>
    <row r="4616" customFormat="false" ht="15" hidden="false" customHeight="false" outlineLevel="0" collapsed="false">
      <c r="A4616" s="2" t="s">
        <v>345</v>
      </c>
      <c r="B4616" s="2" t="s">
        <v>346</v>
      </c>
      <c r="C4616" s="2" t="s">
        <v>53</v>
      </c>
      <c r="D4616" s="3" t="n">
        <v>46261</v>
      </c>
      <c r="E4616" s="2" t="str">
        <f aca="false">TEXT(D4616,"dddd")</f>
        <v>Thursday</v>
      </c>
      <c r="F4616" s="2" t="s">
        <v>461</v>
      </c>
      <c r="G4616" s="2"/>
      <c r="H4616" s="2"/>
      <c r="I4616" s="2" t="n">
        <f aca="false">IF(F4616="Present",9,IF(F4616="Half Day",4,0))</f>
        <v>0</v>
      </c>
      <c r="J4616" s="2"/>
      <c r="K4616" s="2" t="s">
        <v>462</v>
      </c>
    </row>
    <row r="4617" customFormat="false" ht="15" hidden="false" customHeight="false" outlineLevel="0" collapsed="false">
      <c r="A4617" s="2" t="s">
        <v>345</v>
      </c>
      <c r="B4617" s="2" t="s">
        <v>346</v>
      </c>
      <c r="C4617" s="2" t="s">
        <v>53</v>
      </c>
      <c r="D4617" s="3" t="n">
        <v>46262</v>
      </c>
      <c r="E4617" s="2" t="str">
        <f aca="false">TEXT(D4617,"dddd")</f>
        <v>Friday</v>
      </c>
      <c r="F4617" s="2" t="s">
        <v>457</v>
      </c>
      <c r="G4617" s="2" t="s">
        <v>458</v>
      </c>
      <c r="H4617" s="2" t="s">
        <v>459</v>
      </c>
      <c r="I4617" s="2" t="n">
        <f aca="false">IF(F4617="Present",9,IF(F4617="Half Day",4,0))</f>
        <v>9</v>
      </c>
      <c r="J4617" s="2"/>
      <c r="K4617" s="2"/>
    </row>
    <row r="4618" customFormat="false" ht="15" hidden="false" customHeight="false" outlineLevel="0" collapsed="false">
      <c r="A4618" s="2" t="s">
        <v>345</v>
      </c>
      <c r="B4618" s="2" t="s">
        <v>346</v>
      </c>
      <c r="C4618" s="2" t="s">
        <v>53</v>
      </c>
      <c r="D4618" s="3" t="n">
        <v>46263</v>
      </c>
      <c r="E4618" s="2" t="str">
        <f aca="false">TEXT(D4618,"dddd")</f>
        <v>Saturday</v>
      </c>
      <c r="F4618" s="2" t="s">
        <v>457</v>
      </c>
      <c r="G4618" s="2" t="s">
        <v>458</v>
      </c>
      <c r="H4618" s="2" t="s">
        <v>459</v>
      </c>
      <c r="I4618" s="2" t="n">
        <f aca="false">IF(F4618="Present",9,IF(F4618="Half Day",4,0))</f>
        <v>9</v>
      </c>
      <c r="J4618" s="2"/>
      <c r="K4618" s="2"/>
    </row>
    <row r="4619" customFormat="false" ht="15" hidden="false" customHeight="false" outlineLevel="0" collapsed="false">
      <c r="A4619" s="2" t="s">
        <v>345</v>
      </c>
      <c r="B4619" s="2" t="s">
        <v>346</v>
      </c>
      <c r="C4619" s="2" t="s">
        <v>53</v>
      </c>
      <c r="D4619" s="3" t="n">
        <v>46264</v>
      </c>
      <c r="E4619" s="2" t="str">
        <f aca="false">TEXT(D4619,"dddd")</f>
        <v>Sunday</v>
      </c>
      <c r="F4619" s="2" t="s">
        <v>460</v>
      </c>
      <c r="G4619" s="2"/>
      <c r="H4619" s="2"/>
      <c r="I4619" s="2" t="n">
        <f aca="false">IF(F4619="Present",9,IF(F4619="Half Day",4,0))</f>
        <v>0</v>
      </c>
      <c r="J4619" s="2"/>
      <c r="K4619" s="2" t="s">
        <v>460</v>
      </c>
    </row>
    <row r="4620" customFormat="false" ht="15" hidden="false" customHeight="false" outlineLevel="0" collapsed="false">
      <c r="A4620" s="2" t="s">
        <v>345</v>
      </c>
      <c r="B4620" s="2" t="s">
        <v>346</v>
      </c>
      <c r="C4620" s="2" t="s">
        <v>53</v>
      </c>
      <c r="D4620" s="3" t="n">
        <v>46265</v>
      </c>
      <c r="E4620" s="2" t="str">
        <f aca="false">TEXT(D4620,"dddd")</f>
        <v>Monday</v>
      </c>
      <c r="F4620" s="2" t="s">
        <v>463</v>
      </c>
      <c r="G4620" s="2"/>
      <c r="H4620" s="2"/>
      <c r="I4620" s="2" t="n">
        <f aca="false">IF(F4620="Present",9,IF(F4620="Half Day",4,0))</f>
        <v>0</v>
      </c>
      <c r="J4620" s="2" t="s">
        <v>472</v>
      </c>
      <c r="K4620" s="2" t="s">
        <v>473</v>
      </c>
    </row>
    <row r="4621" customFormat="false" ht="15" hidden="false" customHeight="false" outlineLevel="0" collapsed="false">
      <c r="A4621" s="2" t="s">
        <v>347</v>
      </c>
      <c r="B4621" s="2" t="s">
        <v>348</v>
      </c>
      <c r="C4621" s="2" t="s">
        <v>57</v>
      </c>
      <c r="D4621" s="3" t="n">
        <v>46235</v>
      </c>
      <c r="E4621" s="2" t="str">
        <f aca="false">TEXT(D4621,"dddd")</f>
        <v>Saturday</v>
      </c>
      <c r="F4621" s="2" t="s">
        <v>457</v>
      </c>
      <c r="G4621" s="2" t="s">
        <v>458</v>
      </c>
      <c r="H4621" s="2" t="s">
        <v>459</v>
      </c>
      <c r="I4621" s="2" t="n">
        <f aca="false">IF(F4621="Present",9,IF(F4621="Half Day",4,0))</f>
        <v>9</v>
      </c>
      <c r="J4621" s="2"/>
      <c r="K4621" s="2"/>
    </row>
    <row r="4622" customFormat="false" ht="15" hidden="false" customHeight="false" outlineLevel="0" collapsed="false">
      <c r="A4622" s="2" t="s">
        <v>347</v>
      </c>
      <c r="B4622" s="2" t="s">
        <v>348</v>
      </c>
      <c r="C4622" s="2" t="s">
        <v>57</v>
      </c>
      <c r="D4622" s="3" t="n">
        <v>46236</v>
      </c>
      <c r="E4622" s="2" t="str">
        <f aca="false">TEXT(D4622,"dddd")</f>
        <v>Sunday</v>
      </c>
      <c r="F4622" s="2" t="s">
        <v>460</v>
      </c>
      <c r="G4622" s="2"/>
      <c r="H4622" s="2"/>
      <c r="I4622" s="2" t="n">
        <f aca="false">IF(F4622="Present",9,IF(F4622="Half Day",4,0))</f>
        <v>0</v>
      </c>
      <c r="J4622" s="2"/>
      <c r="K4622" s="2" t="s">
        <v>460</v>
      </c>
    </row>
    <row r="4623" customFormat="false" ht="15" hidden="false" customHeight="false" outlineLevel="0" collapsed="false">
      <c r="A4623" s="2" t="s">
        <v>347</v>
      </c>
      <c r="B4623" s="2" t="s">
        <v>348</v>
      </c>
      <c r="C4623" s="2" t="s">
        <v>57</v>
      </c>
      <c r="D4623" s="3" t="n">
        <v>46237</v>
      </c>
      <c r="E4623" s="2" t="str">
        <f aca="false">TEXT(D4623,"dddd")</f>
        <v>Monday</v>
      </c>
      <c r="F4623" s="2" t="s">
        <v>457</v>
      </c>
      <c r="G4623" s="2" t="s">
        <v>458</v>
      </c>
      <c r="H4623" s="2" t="s">
        <v>459</v>
      </c>
      <c r="I4623" s="2" t="n">
        <f aca="false">IF(F4623="Present",9,IF(F4623="Half Day",4,0))</f>
        <v>9</v>
      </c>
      <c r="J4623" s="2"/>
      <c r="K4623" s="2"/>
    </row>
    <row r="4624" customFormat="false" ht="15" hidden="false" customHeight="false" outlineLevel="0" collapsed="false">
      <c r="A4624" s="2" t="s">
        <v>347</v>
      </c>
      <c r="B4624" s="2" t="s">
        <v>348</v>
      </c>
      <c r="C4624" s="2" t="s">
        <v>57</v>
      </c>
      <c r="D4624" s="3" t="n">
        <v>46238</v>
      </c>
      <c r="E4624" s="2" t="str">
        <f aca="false">TEXT(D4624,"dddd")</f>
        <v>Tuesday</v>
      </c>
      <c r="F4624" s="2" t="s">
        <v>457</v>
      </c>
      <c r="G4624" s="2" t="s">
        <v>458</v>
      </c>
      <c r="H4624" s="2" t="s">
        <v>459</v>
      </c>
      <c r="I4624" s="2" t="n">
        <f aca="false">IF(F4624="Present",9,IF(F4624="Half Day",4,0))</f>
        <v>9</v>
      </c>
      <c r="J4624" s="2"/>
      <c r="K4624" s="2"/>
    </row>
    <row r="4625" customFormat="false" ht="15" hidden="false" customHeight="false" outlineLevel="0" collapsed="false">
      <c r="A4625" s="2" t="s">
        <v>347</v>
      </c>
      <c r="B4625" s="2" t="s">
        <v>348</v>
      </c>
      <c r="C4625" s="2" t="s">
        <v>57</v>
      </c>
      <c r="D4625" s="3" t="n">
        <v>46239</v>
      </c>
      <c r="E4625" s="2" t="str">
        <f aca="false">TEXT(D4625,"dddd")</f>
        <v>Wednesday</v>
      </c>
      <c r="F4625" s="2" t="s">
        <v>457</v>
      </c>
      <c r="G4625" s="2" t="s">
        <v>458</v>
      </c>
      <c r="H4625" s="2" t="s">
        <v>459</v>
      </c>
      <c r="I4625" s="2" t="n">
        <f aca="false">IF(F4625="Present",9,IF(F4625="Half Day",4,0))</f>
        <v>9</v>
      </c>
      <c r="J4625" s="2"/>
      <c r="K4625" s="2"/>
    </row>
    <row r="4626" customFormat="false" ht="15" hidden="false" customHeight="false" outlineLevel="0" collapsed="false">
      <c r="A4626" s="2" t="s">
        <v>347</v>
      </c>
      <c r="B4626" s="2" t="s">
        <v>348</v>
      </c>
      <c r="C4626" s="2" t="s">
        <v>57</v>
      </c>
      <c r="D4626" s="3" t="n">
        <v>46240</v>
      </c>
      <c r="E4626" s="2" t="str">
        <f aca="false">TEXT(D4626,"dddd")</f>
        <v>Thursday</v>
      </c>
      <c r="F4626" s="2" t="s">
        <v>457</v>
      </c>
      <c r="G4626" s="2" t="s">
        <v>458</v>
      </c>
      <c r="H4626" s="2" t="s">
        <v>459</v>
      </c>
      <c r="I4626" s="2" t="n">
        <f aca="false">IF(F4626="Present",9,IF(F4626="Half Day",4,0))</f>
        <v>9</v>
      </c>
      <c r="J4626" s="2"/>
      <c r="K4626" s="2"/>
    </row>
    <row r="4627" customFormat="false" ht="15" hidden="false" customHeight="false" outlineLevel="0" collapsed="false">
      <c r="A4627" s="2" t="s">
        <v>347</v>
      </c>
      <c r="B4627" s="2" t="s">
        <v>348</v>
      </c>
      <c r="C4627" s="2" t="s">
        <v>57</v>
      </c>
      <c r="D4627" s="3" t="n">
        <v>46241</v>
      </c>
      <c r="E4627" s="2" t="str">
        <f aca="false">TEXT(D4627,"dddd")</f>
        <v>Friday</v>
      </c>
      <c r="F4627" s="2" t="s">
        <v>457</v>
      </c>
      <c r="G4627" s="2" t="s">
        <v>458</v>
      </c>
      <c r="H4627" s="2" t="s">
        <v>459</v>
      </c>
      <c r="I4627" s="2" t="n">
        <f aca="false">IF(F4627="Present",9,IF(F4627="Half Day",4,0))</f>
        <v>9</v>
      </c>
      <c r="J4627" s="2"/>
      <c r="K4627" s="2"/>
    </row>
    <row r="4628" customFormat="false" ht="15" hidden="false" customHeight="false" outlineLevel="0" collapsed="false">
      <c r="A4628" s="2" t="s">
        <v>347</v>
      </c>
      <c r="B4628" s="2" t="s">
        <v>348</v>
      </c>
      <c r="C4628" s="2" t="s">
        <v>57</v>
      </c>
      <c r="D4628" s="3" t="n">
        <v>46242</v>
      </c>
      <c r="E4628" s="2" t="str">
        <f aca="false">TEXT(D4628,"dddd")</f>
        <v>Saturday</v>
      </c>
      <c r="F4628" s="2" t="s">
        <v>457</v>
      </c>
      <c r="G4628" s="2" t="s">
        <v>458</v>
      </c>
      <c r="H4628" s="2" t="s">
        <v>459</v>
      </c>
      <c r="I4628" s="2" t="n">
        <f aca="false">IF(F4628="Present",9,IF(F4628="Half Day",4,0))</f>
        <v>9</v>
      </c>
      <c r="J4628" s="2"/>
      <c r="K4628" s="2"/>
    </row>
    <row r="4629" customFormat="false" ht="15" hidden="false" customHeight="false" outlineLevel="0" collapsed="false">
      <c r="A4629" s="2" t="s">
        <v>347</v>
      </c>
      <c r="B4629" s="2" t="s">
        <v>348</v>
      </c>
      <c r="C4629" s="2" t="s">
        <v>57</v>
      </c>
      <c r="D4629" s="3" t="n">
        <v>46243</v>
      </c>
      <c r="E4629" s="2" t="str">
        <f aca="false">TEXT(D4629,"dddd")</f>
        <v>Sunday</v>
      </c>
      <c r="F4629" s="2" t="s">
        <v>460</v>
      </c>
      <c r="G4629" s="2"/>
      <c r="H4629" s="2"/>
      <c r="I4629" s="2" t="n">
        <f aca="false">IF(F4629="Present",9,IF(F4629="Half Day",4,0))</f>
        <v>0</v>
      </c>
      <c r="J4629" s="2"/>
      <c r="K4629" s="2" t="s">
        <v>460</v>
      </c>
    </row>
    <row r="4630" customFormat="false" ht="15" hidden="false" customHeight="false" outlineLevel="0" collapsed="false">
      <c r="A4630" s="2" t="s">
        <v>347</v>
      </c>
      <c r="B4630" s="2" t="s">
        <v>348</v>
      </c>
      <c r="C4630" s="2" t="s">
        <v>57</v>
      </c>
      <c r="D4630" s="3" t="n">
        <v>46244</v>
      </c>
      <c r="E4630" s="2" t="str">
        <f aca="false">TEXT(D4630,"dddd")</f>
        <v>Monday</v>
      </c>
      <c r="F4630" s="2" t="s">
        <v>457</v>
      </c>
      <c r="G4630" s="2" t="s">
        <v>458</v>
      </c>
      <c r="H4630" s="2" t="s">
        <v>459</v>
      </c>
      <c r="I4630" s="2" t="n">
        <f aca="false">IF(F4630="Present",9,IF(F4630="Half Day",4,0))</f>
        <v>9</v>
      </c>
      <c r="J4630" s="2"/>
      <c r="K4630" s="2"/>
    </row>
    <row r="4631" customFormat="false" ht="15" hidden="false" customHeight="false" outlineLevel="0" collapsed="false">
      <c r="A4631" s="2" t="s">
        <v>347</v>
      </c>
      <c r="B4631" s="2" t="s">
        <v>348</v>
      </c>
      <c r="C4631" s="2" t="s">
        <v>57</v>
      </c>
      <c r="D4631" s="3" t="n">
        <v>46245</v>
      </c>
      <c r="E4631" s="2" t="str">
        <f aca="false">TEXT(D4631,"dddd")</f>
        <v>Tuesday</v>
      </c>
      <c r="F4631" s="2" t="s">
        <v>457</v>
      </c>
      <c r="G4631" s="2" t="s">
        <v>458</v>
      </c>
      <c r="H4631" s="2" t="s">
        <v>459</v>
      </c>
      <c r="I4631" s="2" t="n">
        <f aca="false">IF(F4631="Present",9,IF(F4631="Half Day",4,0))</f>
        <v>9</v>
      </c>
      <c r="J4631" s="2"/>
      <c r="K4631" s="2"/>
    </row>
    <row r="4632" customFormat="false" ht="15" hidden="false" customHeight="false" outlineLevel="0" collapsed="false">
      <c r="A4632" s="2" t="s">
        <v>347</v>
      </c>
      <c r="B4632" s="2" t="s">
        <v>348</v>
      </c>
      <c r="C4632" s="2" t="s">
        <v>57</v>
      </c>
      <c r="D4632" s="3" t="n">
        <v>46246</v>
      </c>
      <c r="E4632" s="2" t="str">
        <f aca="false">TEXT(D4632,"dddd")</f>
        <v>Wednesday</v>
      </c>
      <c r="F4632" s="2" t="s">
        <v>457</v>
      </c>
      <c r="G4632" s="2" t="s">
        <v>458</v>
      </c>
      <c r="H4632" s="2" t="s">
        <v>459</v>
      </c>
      <c r="I4632" s="2" t="n">
        <f aca="false">IF(F4632="Present",9,IF(F4632="Half Day",4,0))</f>
        <v>9</v>
      </c>
      <c r="J4632" s="2"/>
      <c r="K4632" s="2"/>
    </row>
    <row r="4633" customFormat="false" ht="15" hidden="false" customHeight="false" outlineLevel="0" collapsed="false">
      <c r="A4633" s="2" t="s">
        <v>347</v>
      </c>
      <c r="B4633" s="2" t="s">
        <v>348</v>
      </c>
      <c r="C4633" s="2" t="s">
        <v>57</v>
      </c>
      <c r="D4633" s="3" t="n">
        <v>46247</v>
      </c>
      <c r="E4633" s="2" t="str">
        <f aca="false">TEXT(D4633,"dddd")</f>
        <v>Thursday</v>
      </c>
      <c r="F4633" s="2" t="s">
        <v>457</v>
      </c>
      <c r="G4633" s="2" t="s">
        <v>458</v>
      </c>
      <c r="H4633" s="2" t="s">
        <v>459</v>
      </c>
      <c r="I4633" s="2" t="n">
        <f aca="false">IF(F4633="Present",9,IF(F4633="Half Day",4,0))</f>
        <v>9</v>
      </c>
      <c r="J4633" s="2"/>
      <c r="K4633" s="2"/>
    </row>
    <row r="4634" customFormat="false" ht="15" hidden="false" customHeight="false" outlineLevel="0" collapsed="false">
      <c r="A4634" s="2" t="s">
        <v>347</v>
      </c>
      <c r="B4634" s="2" t="s">
        <v>348</v>
      </c>
      <c r="C4634" s="2" t="s">
        <v>57</v>
      </c>
      <c r="D4634" s="3" t="n">
        <v>46248</v>
      </c>
      <c r="E4634" s="2" t="str">
        <f aca="false">TEXT(D4634,"dddd")</f>
        <v>Friday</v>
      </c>
      <c r="F4634" s="2" t="s">
        <v>457</v>
      </c>
      <c r="G4634" s="2" t="s">
        <v>458</v>
      </c>
      <c r="H4634" s="2" t="s">
        <v>459</v>
      </c>
      <c r="I4634" s="2" t="n">
        <f aca="false">IF(F4634="Present",9,IF(F4634="Half Day",4,0))</f>
        <v>9</v>
      </c>
      <c r="J4634" s="2"/>
      <c r="K4634" s="2"/>
    </row>
    <row r="4635" customFormat="false" ht="15" hidden="false" customHeight="false" outlineLevel="0" collapsed="false">
      <c r="A4635" s="2" t="s">
        <v>347</v>
      </c>
      <c r="B4635" s="2" t="s">
        <v>348</v>
      </c>
      <c r="C4635" s="2" t="s">
        <v>57</v>
      </c>
      <c r="D4635" s="3" t="n">
        <v>46249</v>
      </c>
      <c r="E4635" s="2" t="str">
        <f aca="false">TEXT(D4635,"dddd")</f>
        <v>Saturday</v>
      </c>
      <c r="F4635" s="2" t="s">
        <v>457</v>
      </c>
      <c r="G4635" s="2" t="s">
        <v>458</v>
      </c>
      <c r="H4635" s="2" t="s">
        <v>459</v>
      </c>
      <c r="I4635" s="2" t="n">
        <f aca="false">IF(F4635="Present",9,IF(F4635="Half Day",4,0))</f>
        <v>9</v>
      </c>
      <c r="J4635" s="2"/>
      <c r="K4635" s="2"/>
    </row>
    <row r="4636" customFormat="false" ht="15" hidden="false" customHeight="false" outlineLevel="0" collapsed="false">
      <c r="A4636" s="2" t="s">
        <v>347</v>
      </c>
      <c r="B4636" s="2" t="s">
        <v>348</v>
      </c>
      <c r="C4636" s="2" t="s">
        <v>57</v>
      </c>
      <c r="D4636" s="3" t="n">
        <v>46250</v>
      </c>
      <c r="E4636" s="2" t="str">
        <f aca="false">TEXT(D4636,"dddd")</f>
        <v>Sunday</v>
      </c>
      <c r="F4636" s="2" t="s">
        <v>460</v>
      </c>
      <c r="G4636" s="2"/>
      <c r="H4636" s="2"/>
      <c r="I4636" s="2" t="n">
        <f aca="false">IF(F4636="Present",9,IF(F4636="Half Day",4,0))</f>
        <v>0</v>
      </c>
      <c r="J4636" s="2"/>
      <c r="K4636" s="2" t="s">
        <v>460</v>
      </c>
    </row>
    <row r="4637" customFormat="false" ht="15" hidden="false" customHeight="false" outlineLevel="0" collapsed="false">
      <c r="A4637" s="2" t="s">
        <v>347</v>
      </c>
      <c r="B4637" s="2" t="s">
        <v>348</v>
      </c>
      <c r="C4637" s="2" t="s">
        <v>57</v>
      </c>
      <c r="D4637" s="3" t="n">
        <v>46251</v>
      </c>
      <c r="E4637" s="2" t="str">
        <f aca="false">TEXT(D4637,"dddd")</f>
        <v>Monday</v>
      </c>
      <c r="F4637" s="2" t="s">
        <v>457</v>
      </c>
      <c r="G4637" s="2" t="s">
        <v>458</v>
      </c>
      <c r="H4637" s="2" t="s">
        <v>459</v>
      </c>
      <c r="I4637" s="2" t="n">
        <f aca="false">IF(F4637="Present",9,IF(F4637="Half Day",4,0))</f>
        <v>9</v>
      </c>
      <c r="J4637" s="2"/>
      <c r="K4637" s="2"/>
    </row>
    <row r="4638" customFormat="false" ht="15" hidden="false" customHeight="false" outlineLevel="0" collapsed="false">
      <c r="A4638" s="2" t="s">
        <v>347</v>
      </c>
      <c r="B4638" s="2" t="s">
        <v>348</v>
      </c>
      <c r="C4638" s="2" t="s">
        <v>57</v>
      </c>
      <c r="D4638" s="3" t="n">
        <v>46252</v>
      </c>
      <c r="E4638" s="2" t="str">
        <f aca="false">TEXT(D4638,"dddd")</f>
        <v>Tuesday</v>
      </c>
      <c r="F4638" s="2" t="s">
        <v>457</v>
      </c>
      <c r="G4638" s="2" t="s">
        <v>458</v>
      </c>
      <c r="H4638" s="2" t="s">
        <v>459</v>
      </c>
      <c r="I4638" s="2" t="n">
        <f aca="false">IF(F4638="Present",9,IF(F4638="Half Day",4,0))</f>
        <v>9</v>
      </c>
      <c r="J4638" s="2"/>
      <c r="K4638" s="2"/>
    </row>
    <row r="4639" customFormat="false" ht="15" hidden="false" customHeight="false" outlineLevel="0" collapsed="false">
      <c r="A4639" s="2" t="s">
        <v>347</v>
      </c>
      <c r="B4639" s="2" t="s">
        <v>348</v>
      </c>
      <c r="C4639" s="2" t="s">
        <v>57</v>
      </c>
      <c r="D4639" s="3" t="n">
        <v>46253</v>
      </c>
      <c r="E4639" s="2" t="str">
        <f aca="false">TEXT(D4639,"dddd")</f>
        <v>Wednesday</v>
      </c>
      <c r="F4639" s="2" t="s">
        <v>466</v>
      </c>
      <c r="G4639" s="2" t="s">
        <v>458</v>
      </c>
      <c r="H4639" s="2" t="s">
        <v>467</v>
      </c>
      <c r="I4639" s="2" t="n">
        <f aca="false">IF(F4639="Present",9,IF(F4639="Half Day",4,0))</f>
        <v>4</v>
      </c>
      <c r="J4639" s="2"/>
      <c r="K4639" s="2" t="s">
        <v>466</v>
      </c>
    </row>
    <row r="4640" customFormat="false" ht="15" hidden="false" customHeight="false" outlineLevel="0" collapsed="false">
      <c r="A4640" s="2" t="s">
        <v>347</v>
      </c>
      <c r="B4640" s="2" t="s">
        <v>348</v>
      </c>
      <c r="C4640" s="2" t="s">
        <v>57</v>
      </c>
      <c r="D4640" s="3" t="n">
        <v>46254</v>
      </c>
      <c r="E4640" s="2" t="str">
        <f aca="false">TEXT(D4640,"dddd")</f>
        <v>Thursday</v>
      </c>
      <c r="F4640" s="2" t="s">
        <v>457</v>
      </c>
      <c r="G4640" s="2" t="s">
        <v>458</v>
      </c>
      <c r="H4640" s="2" t="s">
        <v>459</v>
      </c>
      <c r="I4640" s="2" t="n">
        <f aca="false">IF(F4640="Present",9,IF(F4640="Half Day",4,0))</f>
        <v>9</v>
      </c>
      <c r="J4640" s="2"/>
      <c r="K4640" s="2"/>
    </row>
    <row r="4641" customFormat="false" ht="15" hidden="false" customHeight="false" outlineLevel="0" collapsed="false">
      <c r="A4641" s="2" t="s">
        <v>347</v>
      </c>
      <c r="B4641" s="2" t="s">
        <v>348</v>
      </c>
      <c r="C4641" s="2" t="s">
        <v>57</v>
      </c>
      <c r="D4641" s="3" t="n">
        <v>46255</v>
      </c>
      <c r="E4641" s="2" t="str">
        <f aca="false">TEXT(D4641,"dddd")</f>
        <v>Friday</v>
      </c>
      <c r="F4641" s="2" t="s">
        <v>457</v>
      </c>
      <c r="G4641" s="2" t="s">
        <v>458</v>
      </c>
      <c r="H4641" s="2" t="s">
        <v>459</v>
      </c>
      <c r="I4641" s="2" t="n">
        <f aca="false">IF(F4641="Present",9,IF(F4641="Half Day",4,0))</f>
        <v>9</v>
      </c>
      <c r="J4641" s="2"/>
      <c r="K4641" s="2"/>
    </row>
    <row r="4642" customFormat="false" ht="15" hidden="false" customHeight="false" outlineLevel="0" collapsed="false">
      <c r="A4642" s="2" t="s">
        <v>347</v>
      </c>
      <c r="B4642" s="2" t="s">
        <v>348</v>
      </c>
      <c r="C4642" s="2" t="s">
        <v>57</v>
      </c>
      <c r="D4642" s="3" t="n">
        <v>46256</v>
      </c>
      <c r="E4642" s="2" t="str">
        <f aca="false">TEXT(D4642,"dddd")</f>
        <v>Saturday</v>
      </c>
      <c r="F4642" s="2" t="s">
        <v>457</v>
      </c>
      <c r="G4642" s="2" t="s">
        <v>458</v>
      </c>
      <c r="H4642" s="2" t="s">
        <v>459</v>
      </c>
      <c r="I4642" s="2" t="n">
        <f aca="false">IF(F4642="Present",9,IF(F4642="Half Day",4,0))</f>
        <v>9</v>
      </c>
      <c r="J4642" s="2"/>
      <c r="K4642" s="2"/>
    </row>
    <row r="4643" customFormat="false" ht="15" hidden="false" customHeight="false" outlineLevel="0" collapsed="false">
      <c r="A4643" s="2" t="s">
        <v>347</v>
      </c>
      <c r="B4643" s="2" t="s">
        <v>348</v>
      </c>
      <c r="C4643" s="2" t="s">
        <v>57</v>
      </c>
      <c r="D4643" s="3" t="n">
        <v>46257</v>
      </c>
      <c r="E4643" s="2" t="str">
        <f aca="false">TEXT(D4643,"dddd")</f>
        <v>Sunday</v>
      </c>
      <c r="F4643" s="2" t="s">
        <v>460</v>
      </c>
      <c r="G4643" s="2"/>
      <c r="H4643" s="2"/>
      <c r="I4643" s="2" t="n">
        <f aca="false">IF(F4643="Present",9,IF(F4643="Half Day",4,0))</f>
        <v>0</v>
      </c>
      <c r="J4643" s="2"/>
      <c r="K4643" s="2" t="s">
        <v>460</v>
      </c>
    </row>
    <row r="4644" customFormat="false" ht="15" hidden="false" customHeight="false" outlineLevel="0" collapsed="false">
      <c r="A4644" s="2" t="s">
        <v>347</v>
      </c>
      <c r="B4644" s="2" t="s">
        <v>348</v>
      </c>
      <c r="C4644" s="2" t="s">
        <v>57</v>
      </c>
      <c r="D4644" s="3" t="n">
        <v>46258</v>
      </c>
      <c r="E4644" s="2" t="str">
        <f aca="false">TEXT(D4644,"dddd")</f>
        <v>Monday</v>
      </c>
      <c r="F4644" s="2" t="s">
        <v>457</v>
      </c>
      <c r="G4644" s="2" t="s">
        <v>458</v>
      </c>
      <c r="H4644" s="2" t="s">
        <v>459</v>
      </c>
      <c r="I4644" s="2" t="n">
        <f aca="false">IF(F4644="Present",9,IF(F4644="Half Day",4,0))</f>
        <v>9</v>
      </c>
      <c r="J4644" s="2"/>
      <c r="K4644" s="2"/>
    </row>
    <row r="4645" customFormat="false" ht="15" hidden="false" customHeight="false" outlineLevel="0" collapsed="false">
      <c r="A4645" s="2" t="s">
        <v>347</v>
      </c>
      <c r="B4645" s="2" t="s">
        <v>348</v>
      </c>
      <c r="C4645" s="2" t="s">
        <v>57</v>
      </c>
      <c r="D4645" s="3" t="n">
        <v>46259</v>
      </c>
      <c r="E4645" s="2" t="str">
        <f aca="false">TEXT(D4645,"dddd")</f>
        <v>Tuesday</v>
      </c>
      <c r="F4645" s="2" t="s">
        <v>457</v>
      </c>
      <c r="G4645" s="2" t="s">
        <v>458</v>
      </c>
      <c r="H4645" s="2" t="s">
        <v>459</v>
      </c>
      <c r="I4645" s="2" t="n">
        <f aca="false">IF(F4645="Present",9,IF(F4645="Half Day",4,0))</f>
        <v>9</v>
      </c>
      <c r="J4645" s="2"/>
      <c r="K4645" s="2"/>
    </row>
    <row r="4646" customFormat="false" ht="15" hidden="false" customHeight="false" outlineLevel="0" collapsed="false">
      <c r="A4646" s="2" t="s">
        <v>347</v>
      </c>
      <c r="B4646" s="2" t="s">
        <v>348</v>
      </c>
      <c r="C4646" s="2" t="s">
        <v>57</v>
      </c>
      <c r="D4646" s="3" t="n">
        <v>46260</v>
      </c>
      <c r="E4646" s="2" t="str">
        <f aca="false">TEXT(D4646,"dddd")</f>
        <v>Wednesday</v>
      </c>
      <c r="F4646" s="2" t="s">
        <v>457</v>
      </c>
      <c r="G4646" s="2" t="s">
        <v>458</v>
      </c>
      <c r="H4646" s="2" t="s">
        <v>459</v>
      </c>
      <c r="I4646" s="2" t="n">
        <f aca="false">IF(F4646="Present",9,IF(F4646="Half Day",4,0))</f>
        <v>9</v>
      </c>
      <c r="J4646" s="2"/>
      <c r="K4646" s="2"/>
    </row>
    <row r="4647" customFormat="false" ht="15" hidden="false" customHeight="false" outlineLevel="0" collapsed="false">
      <c r="A4647" s="2" t="s">
        <v>347</v>
      </c>
      <c r="B4647" s="2" t="s">
        <v>348</v>
      </c>
      <c r="C4647" s="2" t="s">
        <v>57</v>
      </c>
      <c r="D4647" s="3" t="n">
        <v>46261</v>
      </c>
      <c r="E4647" s="2" t="str">
        <f aca="false">TEXT(D4647,"dddd")</f>
        <v>Thursday</v>
      </c>
      <c r="F4647" s="2" t="s">
        <v>457</v>
      </c>
      <c r="G4647" s="2" t="s">
        <v>458</v>
      </c>
      <c r="H4647" s="2" t="s">
        <v>459</v>
      </c>
      <c r="I4647" s="2" t="n">
        <f aca="false">IF(F4647="Present",9,IF(F4647="Half Day",4,0))</f>
        <v>9</v>
      </c>
      <c r="J4647" s="2"/>
      <c r="K4647" s="2"/>
    </row>
    <row r="4648" customFormat="false" ht="15" hidden="false" customHeight="false" outlineLevel="0" collapsed="false">
      <c r="A4648" s="2" t="s">
        <v>347</v>
      </c>
      <c r="B4648" s="2" t="s">
        <v>348</v>
      </c>
      <c r="C4648" s="2" t="s">
        <v>57</v>
      </c>
      <c r="D4648" s="3" t="n">
        <v>46262</v>
      </c>
      <c r="E4648" s="2" t="str">
        <f aca="false">TEXT(D4648,"dddd")</f>
        <v>Friday</v>
      </c>
      <c r="F4648" s="2" t="s">
        <v>457</v>
      </c>
      <c r="G4648" s="2" t="s">
        <v>458</v>
      </c>
      <c r="H4648" s="2" t="s">
        <v>459</v>
      </c>
      <c r="I4648" s="2" t="n">
        <f aca="false">IF(F4648="Present",9,IF(F4648="Half Day",4,0))</f>
        <v>9</v>
      </c>
      <c r="J4648" s="2"/>
      <c r="K4648" s="2"/>
    </row>
    <row r="4649" customFormat="false" ht="15" hidden="false" customHeight="false" outlineLevel="0" collapsed="false">
      <c r="A4649" s="2" t="s">
        <v>347</v>
      </c>
      <c r="B4649" s="2" t="s">
        <v>348</v>
      </c>
      <c r="C4649" s="2" t="s">
        <v>57</v>
      </c>
      <c r="D4649" s="3" t="n">
        <v>46263</v>
      </c>
      <c r="E4649" s="2" t="str">
        <f aca="false">TEXT(D4649,"dddd")</f>
        <v>Saturday</v>
      </c>
      <c r="F4649" s="2" t="s">
        <v>457</v>
      </c>
      <c r="G4649" s="2" t="s">
        <v>458</v>
      </c>
      <c r="H4649" s="2" t="s">
        <v>459</v>
      </c>
      <c r="I4649" s="2" t="n">
        <f aca="false">IF(F4649="Present",9,IF(F4649="Half Day",4,0))</f>
        <v>9</v>
      </c>
      <c r="J4649" s="2"/>
      <c r="K4649" s="2"/>
    </row>
    <row r="4650" customFormat="false" ht="15" hidden="false" customHeight="false" outlineLevel="0" collapsed="false">
      <c r="A4650" s="2" t="s">
        <v>347</v>
      </c>
      <c r="B4650" s="2" t="s">
        <v>348</v>
      </c>
      <c r="C4650" s="2" t="s">
        <v>57</v>
      </c>
      <c r="D4650" s="3" t="n">
        <v>46264</v>
      </c>
      <c r="E4650" s="2" t="str">
        <f aca="false">TEXT(D4650,"dddd")</f>
        <v>Sunday</v>
      </c>
      <c r="F4650" s="2" t="s">
        <v>460</v>
      </c>
      <c r="G4650" s="2"/>
      <c r="H4650" s="2"/>
      <c r="I4650" s="2" t="n">
        <f aca="false">IF(F4650="Present",9,IF(F4650="Half Day",4,0))</f>
        <v>0</v>
      </c>
      <c r="J4650" s="2"/>
      <c r="K4650" s="2" t="s">
        <v>460</v>
      </c>
    </row>
    <row r="4651" customFormat="false" ht="15" hidden="false" customHeight="false" outlineLevel="0" collapsed="false">
      <c r="A4651" s="2" t="s">
        <v>347</v>
      </c>
      <c r="B4651" s="2" t="s">
        <v>348</v>
      </c>
      <c r="C4651" s="2" t="s">
        <v>57</v>
      </c>
      <c r="D4651" s="3" t="n">
        <v>46265</v>
      </c>
      <c r="E4651" s="2" t="str">
        <f aca="false">TEXT(D4651,"dddd")</f>
        <v>Monday</v>
      </c>
      <c r="F4651" s="2" t="s">
        <v>457</v>
      </c>
      <c r="G4651" s="2" t="s">
        <v>458</v>
      </c>
      <c r="H4651" s="2" t="s">
        <v>459</v>
      </c>
      <c r="I4651" s="2" t="n">
        <f aca="false">IF(F4651="Present",9,IF(F4651="Half Day",4,0))</f>
        <v>9</v>
      </c>
      <c r="J4651" s="2"/>
      <c r="K4651" s="2"/>
    </row>
    <row r="4652" customFormat="false" ht="15" hidden="false" customHeight="false" outlineLevel="0" collapsed="false">
      <c r="A4652" s="2" t="s">
        <v>349</v>
      </c>
      <c r="B4652" s="2" t="s">
        <v>350</v>
      </c>
      <c r="C4652" s="2" t="s">
        <v>17</v>
      </c>
      <c r="D4652" s="3" t="n">
        <v>46235</v>
      </c>
      <c r="E4652" s="2" t="str">
        <f aca="false">TEXT(D4652,"dddd")</f>
        <v>Saturday</v>
      </c>
      <c r="F4652" s="2" t="s">
        <v>461</v>
      </c>
      <c r="G4652" s="2"/>
      <c r="H4652" s="2"/>
      <c r="I4652" s="2" t="n">
        <f aca="false">IF(F4652="Present",9,IF(F4652="Half Day",4,0))</f>
        <v>0</v>
      </c>
      <c r="J4652" s="2"/>
      <c r="K4652" s="2" t="s">
        <v>462</v>
      </c>
    </row>
    <row r="4653" customFormat="false" ht="15" hidden="false" customHeight="false" outlineLevel="0" collapsed="false">
      <c r="A4653" s="2" t="s">
        <v>349</v>
      </c>
      <c r="B4653" s="2" t="s">
        <v>350</v>
      </c>
      <c r="C4653" s="2" t="s">
        <v>17</v>
      </c>
      <c r="D4653" s="3" t="n">
        <v>46236</v>
      </c>
      <c r="E4653" s="2" t="str">
        <f aca="false">TEXT(D4653,"dddd")</f>
        <v>Sunday</v>
      </c>
      <c r="F4653" s="2" t="s">
        <v>460</v>
      </c>
      <c r="G4653" s="2"/>
      <c r="H4653" s="2"/>
      <c r="I4653" s="2" t="n">
        <f aca="false">IF(F4653="Present",9,IF(F4653="Half Day",4,0))</f>
        <v>0</v>
      </c>
      <c r="J4653" s="2"/>
      <c r="K4653" s="2" t="s">
        <v>460</v>
      </c>
    </row>
    <row r="4654" customFormat="false" ht="15" hidden="false" customHeight="false" outlineLevel="0" collapsed="false">
      <c r="A4654" s="2" t="s">
        <v>349</v>
      </c>
      <c r="B4654" s="2" t="s">
        <v>350</v>
      </c>
      <c r="C4654" s="2" t="s">
        <v>17</v>
      </c>
      <c r="D4654" s="3" t="n">
        <v>46237</v>
      </c>
      <c r="E4654" s="2" t="str">
        <f aca="false">TEXT(D4654,"dddd")</f>
        <v>Monday</v>
      </c>
      <c r="F4654" s="2" t="s">
        <v>457</v>
      </c>
      <c r="G4654" s="2" t="s">
        <v>458</v>
      </c>
      <c r="H4654" s="2" t="s">
        <v>459</v>
      </c>
      <c r="I4654" s="2" t="n">
        <f aca="false">IF(F4654="Present",9,IF(F4654="Half Day",4,0))</f>
        <v>9</v>
      </c>
      <c r="J4654" s="2"/>
      <c r="K4654" s="2"/>
    </row>
    <row r="4655" customFormat="false" ht="15" hidden="false" customHeight="false" outlineLevel="0" collapsed="false">
      <c r="A4655" s="2" t="s">
        <v>349</v>
      </c>
      <c r="B4655" s="2" t="s">
        <v>350</v>
      </c>
      <c r="C4655" s="2" t="s">
        <v>17</v>
      </c>
      <c r="D4655" s="3" t="n">
        <v>46238</v>
      </c>
      <c r="E4655" s="2" t="str">
        <f aca="false">TEXT(D4655,"dddd")</f>
        <v>Tuesday</v>
      </c>
      <c r="F4655" s="2" t="s">
        <v>457</v>
      </c>
      <c r="G4655" s="2" t="s">
        <v>458</v>
      </c>
      <c r="H4655" s="2" t="s">
        <v>459</v>
      </c>
      <c r="I4655" s="2" t="n">
        <f aca="false">IF(F4655="Present",9,IF(F4655="Half Day",4,0))</f>
        <v>9</v>
      </c>
      <c r="J4655" s="2"/>
      <c r="K4655" s="2"/>
    </row>
    <row r="4656" customFormat="false" ht="15" hidden="false" customHeight="false" outlineLevel="0" collapsed="false">
      <c r="A4656" s="2" t="s">
        <v>349</v>
      </c>
      <c r="B4656" s="2" t="s">
        <v>350</v>
      </c>
      <c r="C4656" s="2" t="s">
        <v>17</v>
      </c>
      <c r="D4656" s="3" t="n">
        <v>46239</v>
      </c>
      <c r="E4656" s="2" t="str">
        <f aca="false">TEXT(D4656,"dddd")</f>
        <v>Wednesday</v>
      </c>
      <c r="F4656" s="2" t="s">
        <v>457</v>
      </c>
      <c r="G4656" s="2" t="s">
        <v>458</v>
      </c>
      <c r="H4656" s="2" t="s">
        <v>459</v>
      </c>
      <c r="I4656" s="2" t="n">
        <f aca="false">IF(F4656="Present",9,IF(F4656="Half Day",4,0))</f>
        <v>9</v>
      </c>
      <c r="J4656" s="2"/>
      <c r="K4656" s="2"/>
    </row>
    <row r="4657" customFormat="false" ht="15" hidden="false" customHeight="false" outlineLevel="0" collapsed="false">
      <c r="A4657" s="2" t="s">
        <v>349</v>
      </c>
      <c r="B4657" s="2" t="s">
        <v>350</v>
      </c>
      <c r="C4657" s="2" t="s">
        <v>17</v>
      </c>
      <c r="D4657" s="3" t="n">
        <v>46240</v>
      </c>
      <c r="E4657" s="2" t="str">
        <f aca="false">TEXT(D4657,"dddd")</f>
        <v>Thursday</v>
      </c>
      <c r="F4657" s="2" t="s">
        <v>457</v>
      </c>
      <c r="G4657" s="2" t="s">
        <v>458</v>
      </c>
      <c r="H4657" s="2" t="s">
        <v>459</v>
      </c>
      <c r="I4657" s="2" t="n">
        <f aca="false">IF(F4657="Present",9,IF(F4657="Half Day",4,0))</f>
        <v>9</v>
      </c>
      <c r="J4657" s="2"/>
      <c r="K4657" s="2"/>
    </row>
    <row r="4658" customFormat="false" ht="15" hidden="false" customHeight="false" outlineLevel="0" collapsed="false">
      <c r="A4658" s="2" t="s">
        <v>349</v>
      </c>
      <c r="B4658" s="2" t="s">
        <v>350</v>
      </c>
      <c r="C4658" s="2" t="s">
        <v>17</v>
      </c>
      <c r="D4658" s="3" t="n">
        <v>46241</v>
      </c>
      <c r="E4658" s="2" t="str">
        <f aca="false">TEXT(D4658,"dddd")</f>
        <v>Friday</v>
      </c>
      <c r="F4658" s="2" t="s">
        <v>457</v>
      </c>
      <c r="G4658" s="2" t="s">
        <v>458</v>
      </c>
      <c r="H4658" s="2" t="s">
        <v>459</v>
      </c>
      <c r="I4658" s="2" t="n">
        <f aca="false">IF(F4658="Present",9,IF(F4658="Half Day",4,0))</f>
        <v>9</v>
      </c>
      <c r="J4658" s="2"/>
      <c r="K4658" s="2"/>
    </row>
    <row r="4659" customFormat="false" ht="15" hidden="false" customHeight="false" outlineLevel="0" collapsed="false">
      <c r="A4659" s="2" t="s">
        <v>349</v>
      </c>
      <c r="B4659" s="2" t="s">
        <v>350</v>
      </c>
      <c r="C4659" s="2" t="s">
        <v>17</v>
      </c>
      <c r="D4659" s="3" t="n">
        <v>46242</v>
      </c>
      <c r="E4659" s="2" t="str">
        <f aca="false">TEXT(D4659,"dddd")</f>
        <v>Saturday</v>
      </c>
      <c r="F4659" s="2" t="s">
        <v>461</v>
      </c>
      <c r="G4659" s="2"/>
      <c r="H4659" s="2"/>
      <c r="I4659" s="2" t="n">
        <f aca="false">IF(F4659="Present",9,IF(F4659="Half Day",4,0))</f>
        <v>0</v>
      </c>
      <c r="J4659" s="2"/>
      <c r="K4659" s="2" t="s">
        <v>462</v>
      </c>
    </row>
    <row r="4660" customFormat="false" ht="15" hidden="false" customHeight="false" outlineLevel="0" collapsed="false">
      <c r="A4660" s="2" t="s">
        <v>349</v>
      </c>
      <c r="B4660" s="2" t="s">
        <v>350</v>
      </c>
      <c r="C4660" s="2" t="s">
        <v>17</v>
      </c>
      <c r="D4660" s="3" t="n">
        <v>46243</v>
      </c>
      <c r="E4660" s="2" t="str">
        <f aca="false">TEXT(D4660,"dddd")</f>
        <v>Sunday</v>
      </c>
      <c r="F4660" s="2" t="s">
        <v>460</v>
      </c>
      <c r="G4660" s="2"/>
      <c r="H4660" s="2"/>
      <c r="I4660" s="2" t="n">
        <f aca="false">IF(F4660="Present",9,IF(F4660="Half Day",4,0))</f>
        <v>0</v>
      </c>
      <c r="J4660" s="2"/>
      <c r="K4660" s="2" t="s">
        <v>460</v>
      </c>
    </row>
    <row r="4661" customFormat="false" ht="15" hidden="false" customHeight="false" outlineLevel="0" collapsed="false">
      <c r="A4661" s="2" t="s">
        <v>349</v>
      </c>
      <c r="B4661" s="2" t="s">
        <v>350</v>
      </c>
      <c r="C4661" s="2" t="s">
        <v>17</v>
      </c>
      <c r="D4661" s="3" t="n">
        <v>46244</v>
      </c>
      <c r="E4661" s="2" t="str">
        <f aca="false">TEXT(D4661,"dddd")</f>
        <v>Monday</v>
      </c>
      <c r="F4661" s="2" t="s">
        <v>457</v>
      </c>
      <c r="G4661" s="2" t="s">
        <v>458</v>
      </c>
      <c r="H4661" s="2" t="s">
        <v>459</v>
      </c>
      <c r="I4661" s="2" t="n">
        <f aca="false">IF(F4661="Present",9,IF(F4661="Half Day",4,0))</f>
        <v>9</v>
      </c>
      <c r="J4661" s="2"/>
      <c r="K4661" s="2"/>
    </row>
    <row r="4662" customFormat="false" ht="15" hidden="false" customHeight="false" outlineLevel="0" collapsed="false">
      <c r="A4662" s="2" t="s">
        <v>349</v>
      </c>
      <c r="B4662" s="2" t="s">
        <v>350</v>
      </c>
      <c r="C4662" s="2" t="s">
        <v>17</v>
      </c>
      <c r="D4662" s="3" t="n">
        <v>46245</v>
      </c>
      <c r="E4662" s="2" t="str">
        <f aca="false">TEXT(D4662,"dddd")</f>
        <v>Tuesday</v>
      </c>
      <c r="F4662" s="2" t="s">
        <v>457</v>
      </c>
      <c r="G4662" s="2" t="s">
        <v>458</v>
      </c>
      <c r="H4662" s="2" t="s">
        <v>459</v>
      </c>
      <c r="I4662" s="2" t="n">
        <f aca="false">IF(F4662="Present",9,IF(F4662="Half Day",4,0))</f>
        <v>9</v>
      </c>
      <c r="J4662" s="2"/>
      <c r="K4662" s="2"/>
    </row>
    <row r="4663" customFormat="false" ht="15" hidden="false" customHeight="false" outlineLevel="0" collapsed="false">
      <c r="A4663" s="2" t="s">
        <v>349</v>
      </c>
      <c r="B4663" s="2" t="s">
        <v>350</v>
      </c>
      <c r="C4663" s="2" t="s">
        <v>17</v>
      </c>
      <c r="D4663" s="3" t="n">
        <v>46246</v>
      </c>
      <c r="E4663" s="2" t="str">
        <f aca="false">TEXT(D4663,"dddd")</f>
        <v>Wednesday</v>
      </c>
      <c r="F4663" s="2" t="s">
        <v>457</v>
      </c>
      <c r="G4663" s="2" t="s">
        <v>458</v>
      </c>
      <c r="H4663" s="2" t="s">
        <v>459</v>
      </c>
      <c r="I4663" s="2" t="n">
        <f aca="false">IF(F4663="Present",9,IF(F4663="Half Day",4,0))</f>
        <v>9</v>
      </c>
      <c r="J4663" s="2"/>
      <c r="K4663" s="2"/>
    </row>
    <row r="4664" customFormat="false" ht="15" hidden="false" customHeight="false" outlineLevel="0" collapsed="false">
      <c r="A4664" s="2" t="s">
        <v>349</v>
      </c>
      <c r="B4664" s="2" t="s">
        <v>350</v>
      </c>
      <c r="C4664" s="2" t="s">
        <v>17</v>
      </c>
      <c r="D4664" s="3" t="n">
        <v>46247</v>
      </c>
      <c r="E4664" s="2" t="str">
        <f aca="false">TEXT(D4664,"dddd")</f>
        <v>Thursday</v>
      </c>
      <c r="F4664" s="2" t="s">
        <v>457</v>
      </c>
      <c r="G4664" s="2" t="s">
        <v>458</v>
      </c>
      <c r="H4664" s="2" t="s">
        <v>459</v>
      </c>
      <c r="I4664" s="2" t="n">
        <f aca="false">IF(F4664="Present",9,IF(F4664="Half Day",4,0))</f>
        <v>9</v>
      </c>
      <c r="J4664" s="2"/>
      <c r="K4664" s="2"/>
    </row>
    <row r="4665" customFormat="false" ht="15" hidden="false" customHeight="false" outlineLevel="0" collapsed="false">
      <c r="A4665" s="2" t="s">
        <v>349</v>
      </c>
      <c r="B4665" s="2" t="s">
        <v>350</v>
      </c>
      <c r="C4665" s="2" t="s">
        <v>17</v>
      </c>
      <c r="D4665" s="3" t="n">
        <v>46248</v>
      </c>
      <c r="E4665" s="2" t="str">
        <f aca="false">TEXT(D4665,"dddd")</f>
        <v>Friday</v>
      </c>
      <c r="F4665" s="2" t="s">
        <v>457</v>
      </c>
      <c r="G4665" s="2" t="s">
        <v>458</v>
      </c>
      <c r="H4665" s="2" t="s">
        <v>459</v>
      </c>
      <c r="I4665" s="2" t="n">
        <f aca="false">IF(F4665="Present",9,IF(F4665="Half Day",4,0))</f>
        <v>9</v>
      </c>
      <c r="J4665" s="2"/>
      <c r="K4665" s="2"/>
    </row>
    <row r="4666" customFormat="false" ht="15" hidden="false" customHeight="false" outlineLevel="0" collapsed="false">
      <c r="A4666" s="2" t="s">
        <v>349</v>
      </c>
      <c r="B4666" s="2" t="s">
        <v>350</v>
      </c>
      <c r="C4666" s="2" t="s">
        <v>17</v>
      </c>
      <c r="D4666" s="3" t="n">
        <v>46249</v>
      </c>
      <c r="E4666" s="2" t="str">
        <f aca="false">TEXT(D4666,"dddd")</f>
        <v>Saturday</v>
      </c>
      <c r="F4666" s="2" t="s">
        <v>461</v>
      </c>
      <c r="G4666" s="2"/>
      <c r="H4666" s="2"/>
      <c r="I4666" s="2" t="n">
        <f aca="false">IF(F4666="Present",9,IF(F4666="Half Day",4,0))</f>
        <v>0</v>
      </c>
      <c r="J4666" s="2"/>
      <c r="K4666" s="2" t="s">
        <v>462</v>
      </c>
    </row>
    <row r="4667" customFormat="false" ht="15" hidden="false" customHeight="false" outlineLevel="0" collapsed="false">
      <c r="A4667" s="2" t="s">
        <v>349</v>
      </c>
      <c r="B4667" s="2" t="s">
        <v>350</v>
      </c>
      <c r="C4667" s="2" t="s">
        <v>17</v>
      </c>
      <c r="D4667" s="3" t="n">
        <v>46250</v>
      </c>
      <c r="E4667" s="2" t="str">
        <f aca="false">TEXT(D4667,"dddd")</f>
        <v>Sunday</v>
      </c>
      <c r="F4667" s="2" t="s">
        <v>460</v>
      </c>
      <c r="G4667" s="2"/>
      <c r="H4667" s="2"/>
      <c r="I4667" s="2" t="n">
        <f aca="false">IF(F4667="Present",9,IF(F4667="Half Day",4,0))</f>
        <v>0</v>
      </c>
      <c r="J4667" s="2"/>
      <c r="K4667" s="2" t="s">
        <v>460</v>
      </c>
    </row>
    <row r="4668" customFormat="false" ht="15" hidden="false" customHeight="false" outlineLevel="0" collapsed="false">
      <c r="A4668" s="2" t="s">
        <v>349</v>
      </c>
      <c r="B4668" s="2" t="s">
        <v>350</v>
      </c>
      <c r="C4668" s="2" t="s">
        <v>17</v>
      </c>
      <c r="D4668" s="3" t="n">
        <v>46251</v>
      </c>
      <c r="E4668" s="2" t="str">
        <f aca="false">TEXT(D4668,"dddd")</f>
        <v>Monday</v>
      </c>
      <c r="F4668" s="2" t="s">
        <v>457</v>
      </c>
      <c r="G4668" s="2" t="s">
        <v>458</v>
      </c>
      <c r="H4668" s="2" t="s">
        <v>459</v>
      </c>
      <c r="I4668" s="2" t="n">
        <f aca="false">IF(F4668="Present",9,IF(F4668="Half Day",4,0))</f>
        <v>9</v>
      </c>
      <c r="J4668" s="2"/>
      <c r="K4668" s="2"/>
    </row>
    <row r="4669" customFormat="false" ht="15" hidden="false" customHeight="false" outlineLevel="0" collapsed="false">
      <c r="A4669" s="2" t="s">
        <v>349</v>
      </c>
      <c r="B4669" s="2" t="s">
        <v>350</v>
      </c>
      <c r="C4669" s="2" t="s">
        <v>17</v>
      </c>
      <c r="D4669" s="3" t="n">
        <v>46252</v>
      </c>
      <c r="E4669" s="2" t="str">
        <f aca="false">TEXT(D4669,"dddd")</f>
        <v>Tuesday</v>
      </c>
      <c r="F4669" s="2" t="s">
        <v>461</v>
      </c>
      <c r="G4669" s="2"/>
      <c r="H4669" s="2"/>
      <c r="I4669" s="2" t="n">
        <f aca="false">IF(F4669="Present",9,IF(F4669="Half Day",4,0))</f>
        <v>0</v>
      </c>
      <c r="J4669" s="2"/>
      <c r="K4669" s="2" t="s">
        <v>462</v>
      </c>
    </row>
    <row r="4670" customFormat="false" ht="15" hidden="false" customHeight="false" outlineLevel="0" collapsed="false">
      <c r="A4670" s="2" t="s">
        <v>349</v>
      </c>
      <c r="B4670" s="2" t="s">
        <v>350</v>
      </c>
      <c r="C4670" s="2" t="s">
        <v>17</v>
      </c>
      <c r="D4670" s="3" t="n">
        <v>46253</v>
      </c>
      <c r="E4670" s="2" t="str">
        <f aca="false">TEXT(D4670,"dddd")</f>
        <v>Wednesday</v>
      </c>
      <c r="F4670" s="2" t="s">
        <v>461</v>
      </c>
      <c r="G4670" s="2"/>
      <c r="H4670" s="2"/>
      <c r="I4670" s="2" t="n">
        <f aca="false">IF(F4670="Present",9,IF(F4670="Half Day",4,0))</f>
        <v>0</v>
      </c>
      <c r="J4670" s="2"/>
      <c r="K4670" s="2" t="s">
        <v>462</v>
      </c>
    </row>
    <row r="4671" customFormat="false" ht="15" hidden="false" customHeight="false" outlineLevel="0" collapsed="false">
      <c r="A4671" s="2" t="s">
        <v>349</v>
      </c>
      <c r="B4671" s="2" t="s">
        <v>350</v>
      </c>
      <c r="C4671" s="2" t="s">
        <v>17</v>
      </c>
      <c r="D4671" s="3" t="n">
        <v>46254</v>
      </c>
      <c r="E4671" s="2" t="str">
        <f aca="false">TEXT(D4671,"dddd")</f>
        <v>Thursday</v>
      </c>
      <c r="F4671" s="2" t="s">
        <v>461</v>
      </c>
      <c r="G4671" s="2"/>
      <c r="H4671" s="2"/>
      <c r="I4671" s="2" t="n">
        <f aca="false">IF(F4671="Present",9,IF(F4671="Half Day",4,0))</f>
        <v>0</v>
      </c>
      <c r="J4671" s="2"/>
      <c r="K4671" s="2" t="s">
        <v>462</v>
      </c>
    </row>
    <row r="4672" customFormat="false" ht="15" hidden="false" customHeight="false" outlineLevel="0" collapsed="false">
      <c r="A4672" s="2" t="s">
        <v>349</v>
      </c>
      <c r="B4672" s="2" t="s">
        <v>350</v>
      </c>
      <c r="C4672" s="2" t="s">
        <v>17</v>
      </c>
      <c r="D4672" s="3" t="n">
        <v>46255</v>
      </c>
      <c r="E4672" s="2" t="str">
        <f aca="false">TEXT(D4672,"dddd")</f>
        <v>Friday</v>
      </c>
      <c r="F4672" s="2" t="s">
        <v>457</v>
      </c>
      <c r="G4672" s="2" t="s">
        <v>458</v>
      </c>
      <c r="H4672" s="2" t="s">
        <v>459</v>
      </c>
      <c r="I4672" s="2" t="n">
        <f aca="false">IF(F4672="Present",9,IF(F4672="Half Day",4,0))</f>
        <v>9</v>
      </c>
      <c r="J4672" s="2"/>
      <c r="K4672" s="2"/>
    </row>
    <row r="4673" customFormat="false" ht="15" hidden="false" customHeight="false" outlineLevel="0" collapsed="false">
      <c r="A4673" s="2" t="s">
        <v>349</v>
      </c>
      <c r="B4673" s="2" t="s">
        <v>350</v>
      </c>
      <c r="C4673" s="2" t="s">
        <v>17</v>
      </c>
      <c r="D4673" s="3" t="n">
        <v>46256</v>
      </c>
      <c r="E4673" s="2" t="str">
        <f aca="false">TEXT(D4673,"dddd")</f>
        <v>Saturday</v>
      </c>
      <c r="F4673" s="2" t="s">
        <v>457</v>
      </c>
      <c r="G4673" s="2" t="s">
        <v>458</v>
      </c>
      <c r="H4673" s="2" t="s">
        <v>459</v>
      </c>
      <c r="I4673" s="2" t="n">
        <f aca="false">IF(F4673="Present",9,IF(F4673="Half Day",4,0))</f>
        <v>9</v>
      </c>
      <c r="J4673" s="2"/>
      <c r="K4673" s="2"/>
    </row>
    <row r="4674" customFormat="false" ht="15" hidden="false" customHeight="false" outlineLevel="0" collapsed="false">
      <c r="A4674" s="2" t="s">
        <v>349</v>
      </c>
      <c r="B4674" s="2" t="s">
        <v>350</v>
      </c>
      <c r="C4674" s="2" t="s">
        <v>17</v>
      </c>
      <c r="D4674" s="3" t="n">
        <v>46257</v>
      </c>
      <c r="E4674" s="2" t="str">
        <f aca="false">TEXT(D4674,"dddd")</f>
        <v>Sunday</v>
      </c>
      <c r="F4674" s="2" t="s">
        <v>460</v>
      </c>
      <c r="G4674" s="2"/>
      <c r="H4674" s="2"/>
      <c r="I4674" s="2" t="n">
        <f aca="false">IF(F4674="Present",9,IF(F4674="Half Day",4,0))</f>
        <v>0</v>
      </c>
      <c r="J4674" s="2"/>
      <c r="K4674" s="2" t="s">
        <v>460</v>
      </c>
    </row>
    <row r="4675" customFormat="false" ht="15" hidden="false" customHeight="false" outlineLevel="0" collapsed="false">
      <c r="A4675" s="2" t="s">
        <v>349</v>
      </c>
      <c r="B4675" s="2" t="s">
        <v>350</v>
      </c>
      <c r="C4675" s="2" t="s">
        <v>17</v>
      </c>
      <c r="D4675" s="3" t="n">
        <v>46258</v>
      </c>
      <c r="E4675" s="2" t="str">
        <f aca="false">TEXT(D4675,"dddd")</f>
        <v>Monday</v>
      </c>
      <c r="F4675" s="2" t="s">
        <v>457</v>
      </c>
      <c r="G4675" s="2" t="s">
        <v>458</v>
      </c>
      <c r="H4675" s="2" t="s">
        <v>459</v>
      </c>
      <c r="I4675" s="2" t="n">
        <f aca="false">IF(F4675="Present",9,IF(F4675="Half Day",4,0))</f>
        <v>9</v>
      </c>
      <c r="J4675" s="2"/>
      <c r="K4675" s="2"/>
    </row>
    <row r="4676" customFormat="false" ht="15" hidden="false" customHeight="false" outlineLevel="0" collapsed="false">
      <c r="A4676" s="2" t="s">
        <v>349</v>
      </c>
      <c r="B4676" s="2" t="s">
        <v>350</v>
      </c>
      <c r="C4676" s="2" t="s">
        <v>17</v>
      </c>
      <c r="D4676" s="3" t="n">
        <v>46259</v>
      </c>
      <c r="E4676" s="2" t="str">
        <f aca="false">TEXT(D4676,"dddd")</f>
        <v>Tuesday</v>
      </c>
      <c r="F4676" s="2" t="s">
        <v>457</v>
      </c>
      <c r="G4676" s="2" t="s">
        <v>458</v>
      </c>
      <c r="H4676" s="2" t="s">
        <v>459</v>
      </c>
      <c r="I4676" s="2" t="n">
        <f aca="false">IF(F4676="Present",9,IF(F4676="Half Day",4,0))</f>
        <v>9</v>
      </c>
      <c r="J4676" s="2"/>
      <c r="K4676" s="2"/>
    </row>
    <row r="4677" customFormat="false" ht="15" hidden="false" customHeight="false" outlineLevel="0" collapsed="false">
      <c r="A4677" s="2" t="s">
        <v>349</v>
      </c>
      <c r="B4677" s="2" t="s">
        <v>350</v>
      </c>
      <c r="C4677" s="2" t="s">
        <v>17</v>
      </c>
      <c r="D4677" s="3" t="n">
        <v>46260</v>
      </c>
      <c r="E4677" s="2" t="str">
        <f aca="false">TEXT(D4677,"dddd")</f>
        <v>Wednesday</v>
      </c>
      <c r="F4677" s="2" t="s">
        <v>461</v>
      </c>
      <c r="G4677" s="2"/>
      <c r="H4677" s="2"/>
      <c r="I4677" s="2" t="n">
        <f aca="false">IF(F4677="Present",9,IF(F4677="Half Day",4,0))</f>
        <v>0</v>
      </c>
      <c r="J4677" s="2"/>
      <c r="K4677" s="2" t="s">
        <v>462</v>
      </c>
    </row>
    <row r="4678" customFormat="false" ht="15" hidden="false" customHeight="false" outlineLevel="0" collapsed="false">
      <c r="A4678" s="2" t="s">
        <v>349</v>
      </c>
      <c r="B4678" s="2" t="s">
        <v>350</v>
      </c>
      <c r="C4678" s="2" t="s">
        <v>17</v>
      </c>
      <c r="D4678" s="3" t="n">
        <v>46261</v>
      </c>
      <c r="E4678" s="2" t="str">
        <f aca="false">TEXT(D4678,"dddd")</f>
        <v>Thursday</v>
      </c>
      <c r="F4678" s="2" t="s">
        <v>457</v>
      </c>
      <c r="G4678" s="2" t="s">
        <v>458</v>
      </c>
      <c r="H4678" s="2" t="s">
        <v>459</v>
      </c>
      <c r="I4678" s="2" t="n">
        <f aca="false">IF(F4678="Present",9,IF(F4678="Half Day",4,0))</f>
        <v>9</v>
      </c>
      <c r="J4678" s="2"/>
      <c r="K4678" s="2"/>
    </row>
    <row r="4679" customFormat="false" ht="15" hidden="false" customHeight="false" outlineLevel="0" collapsed="false">
      <c r="A4679" s="2" t="s">
        <v>349</v>
      </c>
      <c r="B4679" s="2" t="s">
        <v>350</v>
      </c>
      <c r="C4679" s="2" t="s">
        <v>17</v>
      </c>
      <c r="D4679" s="3" t="n">
        <v>46262</v>
      </c>
      <c r="E4679" s="2" t="str">
        <f aca="false">TEXT(D4679,"dddd")</f>
        <v>Friday</v>
      </c>
      <c r="F4679" s="2" t="s">
        <v>457</v>
      </c>
      <c r="G4679" s="2" t="s">
        <v>458</v>
      </c>
      <c r="H4679" s="2" t="s">
        <v>459</v>
      </c>
      <c r="I4679" s="2" t="n">
        <f aca="false">IF(F4679="Present",9,IF(F4679="Half Day",4,0))</f>
        <v>9</v>
      </c>
      <c r="J4679" s="2"/>
      <c r="K4679" s="2"/>
    </row>
    <row r="4680" customFormat="false" ht="15" hidden="false" customHeight="false" outlineLevel="0" collapsed="false">
      <c r="A4680" s="2" t="s">
        <v>349</v>
      </c>
      <c r="B4680" s="2" t="s">
        <v>350</v>
      </c>
      <c r="C4680" s="2" t="s">
        <v>17</v>
      </c>
      <c r="D4680" s="3" t="n">
        <v>46263</v>
      </c>
      <c r="E4680" s="2" t="str">
        <f aca="false">TEXT(D4680,"dddd")</f>
        <v>Saturday</v>
      </c>
      <c r="F4680" s="2" t="s">
        <v>461</v>
      </c>
      <c r="G4680" s="2"/>
      <c r="H4680" s="2"/>
      <c r="I4680" s="2" t="n">
        <f aca="false">IF(F4680="Present",9,IF(F4680="Half Day",4,0))</f>
        <v>0</v>
      </c>
      <c r="J4680" s="2"/>
      <c r="K4680" s="2" t="s">
        <v>462</v>
      </c>
    </row>
    <row r="4681" customFormat="false" ht="15" hidden="false" customHeight="false" outlineLevel="0" collapsed="false">
      <c r="A4681" s="2" t="s">
        <v>349</v>
      </c>
      <c r="B4681" s="2" t="s">
        <v>350</v>
      </c>
      <c r="C4681" s="2" t="s">
        <v>17</v>
      </c>
      <c r="D4681" s="3" t="n">
        <v>46264</v>
      </c>
      <c r="E4681" s="2" t="str">
        <f aca="false">TEXT(D4681,"dddd")</f>
        <v>Sunday</v>
      </c>
      <c r="F4681" s="2" t="s">
        <v>460</v>
      </c>
      <c r="G4681" s="2"/>
      <c r="H4681" s="2"/>
      <c r="I4681" s="2" t="n">
        <f aca="false">IF(F4681="Present",9,IF(F4681="Half Day",4,0))</f>
        <v>0</v>
      </c>
      <c r="J4681" s="2"/>
      <c r="K4681" s="2" t="s">
        <v>460</v>
      </c>
    </row>
    <row r="4682" customFormat="false" ht="15" hidden="false" customHeight="false" outlineLevel="0" collapsed="false">
      <c r="A4682" s="2" t="s">
        <v>349</v>
      </c>
      <c r="B4682" s="2" t="s">
        <v>350</v>
      </c>
      <c r="C4682" s="2" t="s">
        <v>17</v>
      </c>
      <c r="D4682" s="3" t="n">
        <v>46265</v>
      </c>
      <c r="E4682" s="2" t="str">
        <f aca="false">TEXT(D4682,"dddd")</f>
        <v>Monday</v>
      </c>
      <c r="F4682" s="2" t="s">
        <v>457</v>
      </c>
      <c r="G4682" s="2" t="s">
        <v>458</v>
      </c>
      <c r="H4682" s="2" t="s">
        <v>459</v>
      </c>
      <c r="I4682" s="2" t="n">
        <f aca="false">IF(F4682="Present",9,IF(F4682="Half Day",4,0))</f>
        <v>9</v>
      </c>
      <c r="J4682" s="2"/>
      <c r="K4682" s="2"/>
    </row>
    <row r="4683" customFormat="false" ht="15" hidden="false" customHeight="false" outlineLevel="0" collapsed="false">
      <c r="A4683" s="2" t="s">
        <v>351</v>
      </c>
      <c r="B4683" s="2" t="s">
        <v>352</v>
      </c>
      <c r="C4683" s="2" t="s">
        <v>24</v>
      </c>
      <c r="D4683" s="3" t="n">
        <v>46235</v>
      </c>
      <c r="E4683" s="2" t="str">
        <f aca="false">TEXT(D4683,"dddd")</f>
        <v>Saturday</v>
      </c>
      <c r="F4683" s="2" t="s">
        <v>461</v>
      </c>
      <c r="G4683" s="2"/>
      <c r="H4683" s="2"/>
      <c r="I4683" s="2" t="n">
        <f aca="false">IF(F4683="Present",9,IF(F4683="Half Day",4,0))</f>
        <v>0</v>
      </c>
      <c r="J4683" s="2"/>
      <c r="K4683" s="2" t="s">
        <v>462</v>
      </c>
    </row>
    <row r="4684" customFormat="false" ht="15" hidden="false" customHeight="false" outlineLevel="0" collapsed="false">
      <c r="A4684" s="2" t="s">
        <v>351</v>
      </c>
      <c r="B4684" s="2" t="s">
        <v>352</v>
      </c>
      <c r="C4684" s="2" t="s">
        <v>24</v>
      </c>
      <c r="D4684" s="3" t="n">
        <v>46236</v>
      </c>
      <c r="E4684" s="2" t="str">
        <f aca="false">TEXT(D4684,"dddd")</f>
        <v>Sunday</v>
      </c>
      <c r="F4684" s="2" t="s">
        <v>460</v>
      </c>
      <c r="G4684" s="2"/>
      <c r="H4684" s="2"/>
      <c r="I4684" s="2" t="n">
        <f aca="false">IF(F4684="Present",9,IF(F4684="Half Day",4,0))</f>
        <v>0</v>
      </c>
      <c r="J4684" s="2"/>
      <c r="K4684" s="2" t="s">
        <v>460</v>
      </c>
    </row>
    <row r="4685" customFormat="false" ht="15" hidden="false" customHeight="false" outlineLevel="0" collapsed="false">
      <c r="A4685" s="2" t="s">
        <v>351</v>
      </c>
      <c r="B4685" s="2" t="s">
        <v>352</v>
      </c>
      <c r="C4685" s="2" t="s">
        <v>24</v>
      </c>
      <c r="D4685" s="3" t="n">
        <v>46237</v>
      </c>
      <c r="E4685" s="2" t="str">
        <f aca="false">TEXT(D4685,"dddd")</f>
        <v>Monday</v>
      </c>
      <c r="F4685" s="2" t="s">
        <v>457</v>
      </c>
      <c r="G4685" s="2" t="s">
        <v>458</v>
      </c>
      <c r="H4685" s="2" t="s">
        <v>459</v>
      </c>
      <c r="I4685" s="2" t="n">
        <f aca="false">IF(F4685="Present",9,IF(F4685="Half Day",4,0))</f>
        <v>9</v>
      </c>
      <c r="J4685" s="2"/>
      <c r="K4685" s="2"/>
    </row>
    <row r="4686" customFormat="false" ht="15" hidden="false" customHeight="false" outlineLevel="0" collapsed="false">
      <c r="A4686" s="2" t="s">
        <v>351</v>
      </c>
      <c r="B4686" s="2" t="s">
        <v>352</v>
      </c>
      <c r="C4686" s="2" t="s">
        <v>24</v>
      </c>
      <c r="D4686" s="3" t="n">
        <v>46238</v>
      </c>
      <c r="E4686" s="2" t="str">
        <f aca="false">TEXT(D4686,"dddd")</f>
        <v>Tuesday</v>
      </c>
      <c r="F4686" s="2" t="s">
        <v>466</v>
      </c>
      <c r="G4686" s="2" t="s">
        <v>458</v>
      </c>
      <c r="H4686" s="2" t="s">
        <v>467</v>
      </c>
      <c r="I4686" s="2" t="n">
        <f aca="false">IF(F4686="Present",9,IF(F4686="Half Day",4,0))</f>
        <v>4</v>
      </c>
      <c r="J4686" s="2"/>
      <c r="K4686" s="2" t="s">
        <v>466</v>
      </c>
    </row>
    <row r="4687" customFormat="false" ht="15" hidden="false" customHeight="false" outlineLevel="0" collapsed="false">
      <c r="A4687" s="2" t="s">
        <v>351</v>
      </c>
      <c r="B4687" s="2" t="s">
        <v>352</v>
      </c>
      <c r="C4687" s="2" t="s">
        <v>24</v>
      </c>
      <c r="D4687" s="3" t="n">
        <v>46239</v>
      </c>
      <c r="E4687" s="2" t="str">
        <f aca="false">TEXT(D4687,"dddd")</f>
        <v>Wednesday</v>
      </c>
      <c r="F4687" s="2" t="s">
        <v>457</v>
      </c>
      <c r="G4687" s="2" t="s">
        <v>458</v>
      </c>
      <c r="H4687" s="2" t="s">
        <v>459</v>
      </c>
      <c r="I4687" s="2" t="n">
        <f aca="false">IF(F4687="Present",9,IF(F4687="Half Day",4,0))</f>
        <v>9</v>
      </c>
      <c r="J4687" s="2"/>
      <c r="K4687" s="2"/>
    </row>
    <row r="4688" customFormat="false" ht="15" hidden="false" customHeight="false" outlineLevel="0" collapsed="false">
      <c r="A4688" s="2" t="s">
        <v>351</v>
      </c>
      <c r="B4688" s="2" t="s">
        <v>352</v>
      </c>
      <c r="C4688" s="2" t="s">
        <v>24</v>
      </c>
      <c r="D4688" s="3" t="n">
        <v>46240</v>
      </c>
      <c r="E4688" s="2" t="str">
        <f aca="false">TEXT(D4688,"dddd")</f>
        <v>Thursday</v>
      </c>
      <c r="F4688" s="2" t="s">
        <v>457</v>
      </c>
      <c r="G4688" s="2" t="s">
        <v>458</v>
      </c>
      <c r="H4688" s="2" t="s">
        <v>459</v>
      </c>
      <c r="I4688" s="2" t="n">
        <f aca="false">IF(F4688="Present",9,IF(F4688="Half Day",4,0))</f>
        <v>9</v>
      </c>
      <c r="J4688" s="2"/>
      <c r="K4688" s="2"/>
    </row>
    <row r="4689" customFormat="false" ht="15" hidden="false" customHeight="false" outlineLevel="0" collapsed="false">
      <c r="A4689" s="2" t="s">
        <v>351</v>
      </c>
      <c r="B4689" s="2" t="s">
        <v>352</v>
      </c>
      <c r="C4689" s="2" t="s">
        <v>24</v>
      </c>
      <c r="D4689" s="3" t="n">
        <v>46241</v>
      </c>
      <c r="E4689" s="2" t="str">
        <f aca="false">TEXT(D4689,"dddd")</f>
        <v>Friday</v>
      </c>
      <c r="F4689" s="2" t="s">
        <v>457</v>
      </c>
      <c r="G4689" s="2" t="s">
        <v>458</v>
      </c>
      <c r="H4689" s="2" t="s">
        <v>459</v>
      </c>
      <c r="I4689" s="2" t="n">
        <f aca="false">IF(F4689="Present",9,IF(F4689="Half Day",4,0))</f>
        <v>9</v>
      </c>
      <c r="J4689" s="2"/>
      <c r="K4689" s="2"/>
    </row>
    <row r="4690" customFormat="false" ht="15" hidden="false" customHeight="false" outlineLevel="0" collapsed="false">
      <c r="A4690" s="2" t="s">
        <v>351</v>
      </c>
      <c r="B4690" s="2" t="s">
        <v>352</v>
      </c>
      <c r="C4690" s="2" t="s">
        <v>24</v>
      </c>
      <c r="D4690" s="3" t="n">
        <v>46242</v>
      </c>
      <c r="E4690" s="2" t="str">
        <f aca="false">TEXT(D4690,"dddd")</f>
        <v>Saturday</v>
      </c>
      <c r="F4690" s="2" t="s">
        <v>457</v>
      </c>
      <c r="G4690" s="2" t="s">
        <v>458</v>
      </c>
      <c r="H4690" s="2" t="s">
        <v>459</v>
      </c>
      <c r="I4690" s="2" t="n">
        <f aca="false">IF(F4690="Present",9,IF(F4690="Half Day",4,0))</f>
        <v>9</v>
      </c>
      <c r="J4690" s="2"/>
      <c r="K4690" s="2"/>
    </row>
    <row r="4691" customFormat="false" ht="15" hidden="false" customHeight="false" outlineLevel="0" collapsed="false">
      <c r="A4691" s="2" t="s">
        <v>351</v>
      </c>
      <c r="B4691" s="2" t="s">
        <v>352</v>
      </c>
      <c r="C4691" s="2" t="s">
        <v>24</v>
      </c>
      <c r="D4691" s="3" t="n">
        <v>46243</v>
      </c>
      <c r="E4691" s="2" t="str">
        <f aca="false">TEXT(D4691,"dddd")</f>
        <v>Sunday</v>
      </c>
      <c r="F4691" s="2" t="s">
        <v>460</v>
      </c>
      <c r="G4691" s="2"/>
      <c r="H4691" s="2"/>
      <c r="I4691" s="2" t="n">
        <f aca="false">IF(F4691="Present",9,IF(F4691="Half Day",4,0))</f>
        <v>0</v>
      </c>
      <c r="J4691" s="2"/>
      <c r="K4691" s="2" t="s">
        <v>460</v>
      </c>
    </row>
    <row r="4692" customFormat="false" ht="15" hidden="false" customHeight="false" outlineLevel="0" collapsed="false">
      <c r="A4692" s="2" t="s">
        <v>351</v>
      </c>
      <c r="B4692" s="2" t="s">
        <v>352</v>
      </c>
      <c r="C4692" s="2" t="s">
        <v>24</v>
      </c>
      <c r="D4692" s="3" t="n">
        <v>46244</v>
      </c>
      <c r="E4692" s="2" t="str">
        <f aca="false">TEXT(D4692,"dddd")</f>
        <v>Monday</v>
      </c>
      <c r="F4692" s="2" t="s">
        <v>457</v>
      </c>
      <c r="G4692" s="2" t="s">
        <v>458</v>
      </c>
      <c r="H4692" s="2" t="s">
        <v>459</v>
      </c>
      <c r="I4692" s="2" t="n">
        <f aca="false">IF(F4692="Present",9,IF(F4692="Half Day",4,0))</f>
        <v>9</v>
      </c>
      <c r="J4692" s="2"/>
      <c r="K4692" s="2"/>
    </row>
    <row r="4693" customFormat="false" ht="15" hidden="false" customHeight="false" outlineLevel="0" collapsed="false">
      <c r="A4693" s="2" t="s">
        <v>351</v>
      </c>
      <c r="B4693" s="2" t="s">
        <v>352</v>
      </c>
      <c r="C4693" s="2" t="s">
        <v>24</v>
      </c>
      <c r="D4693" s="3" t="n">
        <v>46245</v>
      </c>
      <c r="E4693" s="2" t="str">
        <f aca="false">TEXT(D4693,"dddd")</f>
        <v>Tuesday</v>
      </c>
      <c r="F4693" s="2" t="s">
        <v>461</v>
      </c>
      <c r="G4693" s="2"/>
      <c r="H4693" s="2"/>
      <c r="I4693" s="2" t="n">
        <f aca="false">IF(F4693="Present",9,IF(F4693="Half Day",4,0))</f>
        <v>0</v>
      </c>
      <c r="J4693" s="2"/>
      <c r="K4693" s="2" t="s">
        <v>462</v>
      </c>
    </row>
    <row r="4694" customFormat="false" ht="15" hidden="false" customHeight="false" outlineLevel="0" collapsed="false">
      <c r="A4694" s="2" t="s">
        <v>351</v>
      </c>
      <c r="B4694" s="2" t="s">
        <v>352</v>
      </c>
      <c r="C4694" s="2" t="s">
        <v>24</v>
      </c>
      <c r="D4694" s="3" t="n">
        <v>46246</v>
      </c>
      <c r="E4694" s="2" t="str">
        <f aca="false">TEXT(D4694,"dddd")</f>
        <v>Wednesday</v>
      </c>
      <c r="F4694" s="2" t="s">
        <v>457</v>
      </c>
      <c r="G4694" s="2" t="s">
        <v>458</v>
      </c>
      <c r="H4694" s="2" t="s">
        <v>459</v>
      </c>
      <c r="I4694" s="2" t="n">
        <f aca="false">IF(F4694="Present",9,IF(F4694="Half Day",4,0))</f>
        <v>9</v>
      </c>
      <c r="J4694" s="2"/>
      <c r="K4694" s="2"/>
    </row>
    <row r="4695" customFormat="false" ht="15" hidden="false" customHeight="false" outlineLevel="0" collapsed="false">
      <c r="A4695" s="2" t="s">
        <v>351</v>
      </c>
      <c r="B4695" s="2" t="s">
        <v>352</v>
      </c>
      <c r="C4695" s="2" t="s">
        <v>24</v>
      </c>
      <c r="D4695" s="3" t="n">
        <v>46247</v>
      </c>
      <c r="E4695" s="2" t="str">
        <f aca="false">TEXT(D4695,"dddd")</f>
        <v>Thursday</v>
      </c>
      <c r="F4695" s="2" t="s">
        <v>457</v>
      </c>
      <c r="G4695" s="2" t="s">
        <v>458</v>
      </c>
      <c r="H4695" s="2" t="s">
        <v>459</v>
      </c>
      <c r="I4695" s="2" t="n">
        <f aca="false">IF(F4695="Present",9,IF(F4695="Half Day",4,0))</f>
        <v>9</v>
      </c>
      <c r="J4695" s="2"/>
      <c r="K4695" s="2"/>
    </row>
    <row r="4696" customFormat="false" ht="15" hidden="false" customHeight="false" outlineLevel="0" collapsed="false">
      <c r="A4696" s="2" t="s">
        <v>351</v>
      </c>
      <c r="B4696" s="2" t="s">
        <v>352</v>
      </c>
      <c r="C4696" s="2" t="s">
        <v>24</v>
      </c>
      <c r="D4696" s="3" t="n">
        <v>46248</v>
      </c>
      <c r="E4696" s="2" t="str">
        <f aca="false">TEXT(D4696,"dddd")</f>
        <v>Friday</v>
      </c>
      <c r="F4696" s="2" t="s">
        <v>457</v>
      </c>
      <c r="G4696" s="2" t="s">
        <v>458</v>
      </c>
      <c r="H4696" s="2" t="s">
        <v>459</v>
      </c>
      <c r="I4696" s="2" t="n">
        <f aca="false">IF(F4696="Present",9,IF(F4696="Half Day",4,0))</f>
        <v>9</v>
      </c>
      <c r="J4696" s="2"/>
      <c r="K4696" s="2"/>
    </row>
    <row r="4697" customFormat="false" ht="15" hidden="false" customHeight="false" outlineLevel="0" collapsed="false">
      <c r="A4697" s="2" t="s">
        <v>351</v>
      </c>
      <c r="B4697" s="2" t="s">
        <v>352</v>
      </c>
      <c r="C4697" s="2" t="s">
        <v>24</v>
      </c>
      <c r="D4697" s="3" t="n">
        <v>46249</v>
      </c>
      <c r="E4697" s="2" t="str">
        <f aca="false">TEXT(D4697,"dddd")</f>
        <v>Saturday</v>
      </c>
      <c r="F4697" s="2" t="s">
        <v>457</v>
      </c>
      <c r="G4697" s="2" t="s">
        <v>458</v>
      </c>
      <c r="H4697" s="2" t="s">
        <v>459</v>
      </c>
      <c r="I4697" s="2" t="n">
        <f aca="false">IF(F4697="Present",9,IF(F4697="Half Day",4,0))</f>
        <v>9</v>
      </c>
      <c r="J4697" s="2"/>
      <c r="K4697" s="2"/>
    </row>
    <row r="4698" customFormat="false" ht="15" hidden="false" customHeight="false" outlineLevel="0" collapsed="false">
      <c r="A4698" s="2" t="s">
        <v>351</v>
      </c>
      <c r="B4698" s="2" t="s">
        <v>352</v>
      </c>
      <c r="C4698" s="2" t="s">
        <v>24</v>
      </c>
      <c r="D4698" s="3" t="n">
        <v>46250</v>
      </c>
      <c r="E4698" s="2" t="str">
        <f aca="false">TEXT(D4698,"dddd")</f>
        <v>Sunday</v>
      </c>
      <c r="F4698" s="2" t="s">
        <v>460</v>
      </c>
      <c r="G4698" s="2"/>
      <c r="H4698" s="2"/>
      <c r="I4698" s="2" t="n">
        <f aca="false">IF(F4698="Present",9,IF(F4698="Half Day",4,0))</f>
        <v>0</v>
      </c>
      <c r="J4698" s="2"/>
      <c r="K4698" s="2" t="s">
        <v>460</v>
      </c>
    </row>
    <row r="4699" customFormat="false" ht="15" hidden="false" customHeight="false" outlineLevel="0" collapsed="false">
      <c r="A4699" s="2" t="s">
        <v>351</v>
      </c>
      <c r="B4699" s="2" t="s">
        <v>352</v>
      </c>
      <c r="C4699" s="2" t="s">
        <v>24</v>
      </c>
      <c r="D4699" s="3" t="n">
        <v>46251</v>
      </c>
      <c r="E4699" s="2" t="str">
        <f aca="false">TEXT(D4699,"dddd")</f>
        <v>Monday</v>
      </c>
      <c r="F4699" s="2" t="s">
        <v>457</v>
      </c>
      <c r="G4699" s="2" t="s">
        <v>458</v>
      </c>
      <c r="H4699" s="2" t="s">
        <v>459</v>
      </c>
      <c r="I4699" s="2" t="n">
        <f aca="false">IF(F4699="Present",9,IF(F4699="Half Day",4,0))</f>
        <v>9</v>
      </c>
      <c r="J4699" s="2"/>
      <c r="K4699" s="2"/>
    </row>
    <row r="4700" customFormat="false" ht="15" hidden="false" customHeight="false" outlineLevel="0" collapsed="false">
      <c r="A4700" s="2" t="s">
        <v>351</v>
      </c>
      <c r="B4700" s="2" t="s">
        <v>352</v>
      </c>
      <c r="C4700" s="2" t="s">
        <v>24</v>
      </c>
      <c r="D4700" s="3" t="n">
        <v>46252</v>
      </c>
      <c r="E4700" s="2" t="str">
        <f aca="false">TEXT(D4700,"dddd")</f>
        <v>Tuesday</v>
      </c>
      <c r="F4700" s="2" t="s">
        <v>457</v>
      </c>
      <c r="G4700" s="2" t="s">
        <v>458</v>
      </c>
      <c r="H4700" s="2" t="s">
        <v>459</v>
      </c>
      <c r="I4700" s="2" t="n">
        <f aca="false">IF(F4700="Present",9,IF(F4700="Half Day",4,0))</f>
        <v>9</v>
      </c>
      <c r="J4700" s="2"/>
      <c r="K4700" s="2"/>
    </row>
    <row r="4701" customFormat="false" ht="15" hidden="false" customHeight="false" outlineLevel="0" collapsed="false">
      <c r="A4701" s="2" t="s">
        <v>351</v>
      </c>
      <c r="B4701" s="2" t="s">
        <v>352</v>
      </c>
      <c r="C4701" s="2" t="s">
        <v>24</v>
      </c>
      <c r="D4701" s="3" t="n">
        <v>46253</v>
      </c>
      <c r="E4701" s="2" t="str">
        <f aca="false">TEXT(D4701,"dddd")</f>
        <v>Wednesday</v>
      </c>
      <c r="F4701" s="2" t="s">
        <v>457</v>
      </c>
      <c r="G4701" s="2" t="s">
        <v>458</v>
      </c>
      <c r="H4701" s="2" t="s">
        <v>459</v>
      </c>
      <c r="I4701" s="2" t="n">
        <f aca="false">IF(F4701="Present",9,IF(F4701="Half Day",4,0))</f>
        <v>9</v>
      </c>
      <c r="J4701" s="2"/>
      <c r="K4701" s="2"/>
    </row>
    <row r="4702" customFormat="false" ht="15" hidden="false" customHeight="false" outlineLevel="0" collapsed="false">
      <c r="A4702" s="2" t="s">
        <v>351</v>
      </c>
      <c r="B4702" s="2" t="s">
        <v>352</v>
      </c>
      <c r="C4702" s="2" t="s">
        <v>24</v>
      </c>
      <c r="D4702" s="3" t="n">
        <v>46254</v>
      </c>
      <c r="E4702" s="2" t="str">
        <f aca="false">TEXT(D4702,"dddd")</f>
        <v>Thursday</v>
      </c>
      <c r="F4702" s="2" t="s">
        <v>461</v>
      </c>
      <c r="G4702" s="2"/>
      <c r="H4702" s="2"/>
      <c r="I4702" s="2" t="n">
        <f aca="false">IF(F4702="Present",9,IF(F4702="Half Day",4,0))</f>
        <v>0</v>
      </c>
      <c r="J4702" s="2"/>
      <c r="K4702" s="2" t="s">
        <v>462</v>
      </c>
    </row>
    <row r="4703" customFormat="false" ht="15" hidden="false" customHeight="false" outlineLevel="0" collapsed="false">
      <c r="A4703" s="2" t="s">
        <v>351</v>
      </c>
      <c r="B4703" s="2" t="s">
        <v>352</v>
      </c>
      <c r="C4703" s="2" t="s">
        <v>24</v>
      </c>
      <c r="D4703" s="3" t="n">
        <v>46255</v>
      </c>
      <c r="E4703" s="2" t="str">
        <f aca="false">TEXT(D4703,"dddd")</f>
        <v>Friday</v>
      </c>
      <c r="F4703" s="2" t="s">
        <v>457</v>
      </c>
      <c r="G4703" s="2" t="s">
        <v>458</v>
      </c>
      <c r="H4703" s="2" t="s">
        <v>459</v>
      </c>
      <c r="I4703" s="2" t="n">
        <f aca="false">IF(F4703="Present",9,IF(F4703="Half Day",4,0))</f>
        <v>9</v>
      </c>
      <c r="J4703" s="2"/>
      <c r="K4703" s="2"/>
    </row>
    <row r="4704" customFormat="false" ht="15" hidden="false" customHeight="false" outlineLevel="0" collapsed="false">
      <c r="A4704" s="2" t="s">
        <v>351</v>
      </c>
      <c r="B4704" s="2" t="s">
        <v>352</v>
      </c>
      <c r="C4704" s="2" t="s">
        <v>24</v>
      </c>
      <c r="D4704" s="3" t="n">
        <v>46256</v>
      </c>
      <c r="E4704" s="2" t="str">
        <f aca="false">TEXT(D4704,"dddd")</f>
        <v>Saturday</v>
      </c>
      <c r="F4704" s="2" t="s">
        <v>457</v>
      </c>
      <c r="G4704" s="2" t="s">
        <v>458</v>
      </c>
      <c r="H4704" s="2" t="s">
        <v>459</v>
      </c>
      <c r="I4704" s="2" t="n">
        <f aca="false">IF(F4704="Present",9,IF(F4704="Half Day",4,0))</f>
        <v>9</v>
      </c>
      <c r="J4704" s="2"/>
      <c r="K4704" s="2"/>
    </row>
    <row r="4705" customFormat="false" ht="15" hidden="false" customHeight="false" outlineLevel="0" collapsed="false">
      <c r="A4705" s="2" t="s">
        <v>351</v>
      </c>
      <c r="B4705" s="2" t="s">
        <v>352</v>
      </c>
      <c r="C4705" s="2" t="s">
        <v>24</v>
      </c>
      <c r="D4705" s="3" t="n">
        <v>46257</v>
      </c>
      <c r="E4705" s="2" t="str">
        <f aca="false">TEXT(D4705,"dddd")</f>
        <v>Sunday</v>
      </c>
      <c r="F4705" s="2" t="s">
        <v>460</v>
      </c>
      <c r="G4705" s="2"/>
      <c r="H4705" s="2"/>
      <c r="I4705" s="2" t="n">
        <f aca="false">IF(F4705="Present",9,IF(F4705="Half Day",4,0))</f>
        <v>0</v>
      </c>
      <c r="J4705" s="2"/>
      <c r="K4705" s="2" t="s">
        <v>460</v>
      </c>
    </row>
    <row r="4706" customFormat="false" ht="15" hidden="false" customHeight="false" outlineLevel="0" collapsed="false">
      <c r="A4706" s="2" t="s">
        <v>351</v>
      </c>
      <c r="B4706" s="2" t="s">
        <v>352</v>
      </c>
      <c r="C4706" s="2" t="s">
        <v>24</v>
      </c>
      <c r="D4706" s="3" t="n">
        <v>46258</v>
      </c>
      <c r="E4706" s="2" t="str">
        <f aca="false">TEXT(D4706,"dddd")</f>
        <v>Monday</v>
      </c>
      <c r="F4706" s="2" t="s">
        <v>461</v>
      </c>
      <c r="G4706" s="2"/>
      <c r="H4706" s="2"/>
      <c r="I4706" s="2" t="n">
        <f aca="false">IF(F4706="Present",9,IF(F4706="Half Day",4,0))</f>
        <v>0</v>
      </c>
      <c r="J4706" s="2"/>
      <c r="K4706" s="2" t="s">
        <v>462</v>
      </c>
    </row>
    <row r="4707" customFormat="false" ht="15" hidden="false" customHeight="false" outlineLevel="0" collapsed="false">
      <c r="A4707" s="2" t="s">
        <v>351</v>
      </c>
      <c r="B4707" s="2" t="s">
        <v>352</v>
      </c>
      <c r="C4707" s="2" t="s">
        <v>24</v>
      </c>
      <c r="D4707" s="3" t="n">
        <v>46259</v>
      </c>
      <c r="E4707" s="2" t="str">
        <f aca="false">TEXT(D4707,"dddd")</f>
        <v>Tuesday</v>
      </c>
      <c r="F4707" s="2" t="s">
        <v>457</v>
      </c>
      <c r="G4707" s="2" t="s">
        <v>458</v>
      </c>
      <c r="H4707" s="2" t="s">
        <v>459</v>
      </c>
      <c r="I4707" s="2" t="n">
        <f aca="false">IF(F4707="Present",9,IF(F4707="Half Day",4,0))</f>
        <v>9</v>
      </c>
      <c r="J4707" s="2"/>
      <c r="K4707" s="2"/>
    </row>
    <row r="4708" customFormat="false" ht="15" hidden="false" customHeight="false" outlineLevel="0" collapsed="false">
      <c r="A4708" s="2" t="s">
        <v>351</v>
      </c>
      <c r="B4708" s="2" t="s">
        <v>352</v>
      </c>
      <c r="C4708" s="2" t="s">
        <v>24</v>
      </c>
      <c r="D4708" s="3" t="n">
        <v>46260</v>
      </c>
      <c r="E4708" s="2" t="str">
        <f aca="false">TEXT(D4708,"dddd")</f>
        <v>Wednesday</v>
      </c>
      <c r="F4708" s="2" t="s">
        <v>457</v>
      </c>
      <c r="G4708" s="2" t="s">
        <v>458</v>
      </c>
      <c r="H4708" s="2" t="s">
        <v>459</v>
      </c>
      <c r="I4708" s="2" t="n">
        <f aca="false">IF(F4708="Present",9,IF(F4708="Half Day",4,0))</f>
        <v>9</v>
      </c>
      <c r="J4708" s="2"/>
      <c r="K4708" s="2"/>
    </row>
    <row r="4709" customFormat="false" ht="15" hidden="false" customHeight="false" outlineLevel="0" collapsed="false">
      <c r="A4709" s="2" t="s">
        <v>351</v>
      </c>
      <c r="B4709" s="2" t="s">
        <v>352</v>
      </c>
      <c r="C4709" s="2" t="s">
        <v>24</v>
      </c>
      <c r="D4709" s="3" t="n">
        <v>46261</v>
      </c>
      <c r="E4709" s="2" t="str">
        <f aca="false">TEXT(D4709,"dddd")</f>
        <v>Thursday</v>
      </c>
      <c r="F4709" s="2" t="s">
        <v>457</v>
      </c>
      <c r="G4709" s="2" t="s">
        <v>458</v>
      </c>
      <c r="H4709" s="2" t="s">
        <v>459</v>
      </c>
      <c r="I4709" s="2" t="n">
        <f aca="false">IF(F4709="Present",9,IF(F4709="Half Day",4,0))</f>
        <v>9</v>
      </c>
      <c r="J4709" s="2"/>
      <c r="K4709" s="2"/>
    </row>
    <row r="4710" customFormat="false" ht="15" hidden="false" customHeight="false" outlineLevel="0" collapsed="false">
      <c r="A4710" s="2" t="s">
        <v>351</v>
      </c>
      <c r="B4710" s="2" t="s">
        <v>352</v>
      </c>
      <c r="C4710" s="2" t="s">
        <v>24</v>
      </c>
      <c r="D4710" s="3" t="n">
        <v>46262</v>
      </c>
      <c r="E4710" s="2" t="str">
        <f aca="false">TEXT(D4710,"dddd")</f>
        <v>Friday</v>
      </c>
      <c r="F4710" s="2" t="s">
        <v>457</v>
      </c>
      <c r="G4710" s="2" t="s">
        <v>458</v>
      </c>
      <c r="H4710" s="2" t="s">
        <v>459</v>
      </c>
      <c r="I4710" s="2" t="n">
        <f aca="false">IF(F4710="Present",9,IF(F4710="Half Day",4,0))</f>
        <v>9</v>
      </c>
      <c r="J4710" s="2"/>
      <c r="K4710" s="2"/>
    </row>
    <row r="4711" customFormat="false" ht="15" hidden="false" customHeight="false" outlineLevel="0" collapsed="false">
      <c r="A4711" s="2" t="s">
        <v>351</v>
      </c>
      <c r="B4711" s="2" t="s">
        <v>352</v>
      </c>
      <c r="C4711" s="2" t="s">
        <v>24</v>
      </c>
      <c r="D4711" s="3" t="n">
        <v>46263</v>
      </c>
      <c r="E4711" s="2" t="str">
        <f aca="false">TEXT(D4711,"dddd")</f>
        <v>Saturday</v>
      </c>
      <c r="F4711" s="2" t="s">
        <v>461</v>
      </c>
      <c r="G4711" s="2"/>
      <c r="H4711" s="2"/>
      <c r="I4711" s="2" t="n">
        <f aca="false">IF(F4711="Present",9,IF(F4711="Half Day",4,0))</f>
        <v>0</v>
      </c>
      <c r="J4711" s="2"/>
      <c r="K4711" s="2" t="s">
        <v>462</v>
      </c>
    </row>
    <row r="4712" customFormat="false" ht="15" hidden="false" customHeight="false" outlineLevel="0" collapsed="false">
      <c r="A4712" s="2" t="s">
        <v>351</v>
      </c>
      <c r="B4712" s="2" t="s">
        <v>352</v>
      </c>
      <c r="C4712" s="2" t="s">
        <v>24</v>
      </c>
      <c r="D4712" s="3" t="n">
        <v>46264</v>
      </c>
      <c r="E4712" s="2" t="str">
        <f aca="false">TEXT(D4712,"dddd")</f>
        <v>Sunday</v>
      </c>
      <c r="F4712" s="2" t="s">
        <v>460</v>
      </c>
      <c r="G4712" s="2"/>
      <c r="H4712" s="2"/>
      <c r="I4712" s="2" t="n">
        <f aca="false">IF(F4712="Present",9,IF(F4712="Half Day",4,0))</f>
        <v>0</v>
      </c>
      <c r="J4712" s="2"/>
      <c r="K4712" s="2" t="s">
        <v>460</v>
      </c>
    </row>
    <row r="4713" customFormat="false" ht="15" hidden="false" customHeight="false" outlineLevel="0" collapsed="false">
      <c r="A4713" s="2" t="s">
        <v>351</v>
      </c>
      <c r="B4713" s="2" t="s">
        <v>352</v>
      </c>
      <c r="C4713" s="2" t="s">
        <v>24</v>
      </c>
      <c r="D4713" s="3" t="n">
        <v>46265</v>
      </c>
      <c r="E4713" s="2" t="str">
        <f aca="false">TEXT(D4713,"dddd")</f>
        <v>Monday</v>
      </c>
      <c r="F4713" s="2" t="s">
        <v>457</v>
      </c>
      <c r="G4713" s="2" t="s">
        <v>458</v>
      </c>
      <c r="H4713" s="2" t="s">
        <v>459</v>
      </c>
      <c r="I4713" s="2" t="n">
        <f aca="false">IF(F4713="Present",9,IF(F4713="Half Day",4,0))</f>
        <v>9</v>
      </c>
      <c r="J4713" s="2"/>
      <c r="K4713" s="2"/>
    </row>
    <row r="4714" customFormat="false" ht="15" hidden="false" customHeight="false" outlineLevel="0" collapsed="false">
      <c r="A4714" s="2" t="s">
        <v>353</v>
      </c>
      <c r="B4714" s="2" t="s">
        <v>354</v>
      </c>
      <c r="C4714" s="2" t="s">
        <v>28</v>
      </c>
      <c r="D4714" s="3" t="n">
        <v>46235</v>
      </c>
      <c r="E4714" s="2" t="str">
        <f aca="false">TEXT(D4714,"dddd")</f>
        <v>Saturday</v>
      </c>
      <c r="F4714" s="2" t="s">
        <v>457</v>
      </c>
      <c r="G4714" s="2" t="s">
        <v>458</v>
      </c>
      <c r="H4714" s="2" t="s">
        <v>459</v>
      </c>
      <c r="I4714" s="2" t="n">
        <f aca="false">IF(F4714="Present",9,IF(F4714="Half Day",4,0))</f>
        <v>9</v>
      </c>
      <c r="J4714" s="2"/>
      <c r="K4714" s="2"/>
    </row>
    <row r="4715" customFormat="false" ht="15" hidden="false" customHeight="false" outlineLevel="0" collapsed="false">
      <c r="A4715" s="2" t="s">
        <v>353</v>
      </c>
      <c r="B4715" s="2" t="s">
        <v>354</v>
      </c>
      <c r="C4715" s="2" t="s">
        <v>28</v>
      </c>
      <c r="D4715" s="3" t="n">
        <v>46236</v>
      </c>
      <c r="E4715" s="2" t="str">
        <f aca="false">TEXT(D4715,"dddd")</f>
        <v>Sunday</v>
      </c>
      <c r="F4715" s="2" t="s">
        <v>460</v>
      </c>
      <c r="G4715" s="2"/>
      <c r="H4715" s="2"/>
      <c r="I4715" s="2" t="n">
        <f aca="false">IF(F4715="Present",9,IF(F4715="Half Day",4,0))</f>
        <v>0</v>
      </c>
      <c r="J4715" s="2"/>
      <c r="K4715" s="2" t="s">
        <v>460</v>
      </c>
    </row>
    <row r="4716" customFormat="false" ht="15" hidden="false" customHeight="false" outlineLevel="0" collapsed="false">
      <c r="A4716" s="2" t="s">
        <v>353</v>
      </c>
      <c r="B4716" s="2" t="s">
        <v>354</v>
      </c>
      <c r="C4716" s="2" t="s">
        <v>28</v>
      </c>
      <c r="D4716" s="3" t="n">
        <v>46237</v>
      </c>
      <c r="E4716" s="2" t="str">
        <f aca="false">TEXT(D4716,"dddd")</f>
        <v>Monday</v>
      </c>
      <c r="F4716" s="2" t="s">
        <v>457</v>
      </c>
      <c r="G4716" s="2" t="s">
        <v>458</v>
      </c>
      <c r="H4716" s="2" t="s">
        <v>459</v>
      </c>
      <c r="I4716" s="2" t="n">
        <f aca="false">IF(F4716="Present",9,IF(F4716="Half Day",4,0))</f>
        <v>9</v>
      </c>
      <c r="J4716" s="2"/>
      <c r="K4716" s="2"/>
    </row>
    <row r="4717" customFormat="false" ht="15" hidden="false" customHeight="false" outlineLevel="0" collapsed="false">
      <c r="A4717" s="2" t="s">
        <v>353</v>
      </c>
      <c r="B4717" s="2" t="s">
        <v>354</v>
      </c>
      <c r="C4717" s="2" t="s">
        <v>28</v>
      </c>
      <c r="D4717" s="3" t="n">
        <v>46238</v>
      </c>
      <c r="E4717" s="2" t="str">
        <f aca="false">TEXT(D4717,"dddd")</f>
        <v>Tuesday</v>
      </c>
      <c r="F4717" s="2" t="s">
        <v>457</v>
      </c>
      <c r="G4717" s="2" t="s">
        <v>458</v>
      </c>
      <c r="H4717" s="2" t="s">
        <v>459</v>
      </c>
      <c r="I4717" s="2" t="n">
        <f aca="false">IF(F4717="Present",9,IF(F4717="Half Day",4,0))</f>
        <v>9</v>
      </c>
      <c r="J4717" s="2"/>
      <c r="K4717" s="2"/>
    </row>
    <row r="4718" customFormat="false" ht="15" hidden="false" customHeight="false" outlineLevel="0" collapsed="false">
      <c r="A4718" s="2" t="s">
        <v>353</v>
      </c>
      <c r="B4718" s="2" t="s">
        <v>354</v>
      </c>
      <c r="C4718" s="2" t="s">
        <v>28</v>
      </c>
      <c r="D4718" s="3" t="n">
        <v>46239</v>
      </c>
      <c r="E4718" s="2" t="str">
        <f aca="false">TEXT(D4718,"dddd")</f>
        <v>Wednesday</v>
      </c>
      <c r="F4718" s="2" t="s">
        <v>461</v>
      </c>
      <c r="G4718" s="2"/>
      <c r="H4718" s="2"/>
      <c r="I4718" s="2" t="n">
        <f aca="false">IF(F4718="Present",9,IF(F4718="Half Day",4,0))</f>
        <v>0</v>
      </c>
      <c r="J4718" s="2"/>
      <c r="K4718" s="2" t="s">
        <v>462</v>
      </c>
    </row>
    <row r="4719" customFormat="false" ht="15" hidden="false" customHeight="false" outlineLevel="0" collapsed="false">
      <c r="A4719" s="2" t="s">
        <v>353</v>
      </c>
      <c r="B4719" s="2" t="s">
        <v>354</v>
      </c>
      <c r="C4719" s="2" t="s">
        <v>28</v>
      </c>
      <c r="D4719" s="3" t="n">
        <v>46240</v>
      </c>
      <c r="E4719" s="2" t="str">
        <f aca="false">TEXT(D4719,"dddd")</f>
        <v>Thursday</v>
      </c>
      <c r="F4719" s="2" t="s">
        <v>457</v>
      </c>
      <c r="G4719" s="2" t="s">
        <v>458</v>
      </c>
      <c r="H4719" s="2" t="s">
        <v>459</v>
      </c>
      <c r="I4719" s="2" t="n">
        <f aca="false">IF(F4719="Present",9,IF(F4719="Half Day",4,0))</f>
        <v>9</v>
      </c>
      <c r="J4719" s="2"/>
      <c r="K4719" s="2"/>
    </row>
    <row r="4720" customFormat="false" ht="15" hidden="false" customHeight="false" outlineLevel="0" collapsed="false">
      <c r="A4720" s="2" t="s">
        <v>353</v>
      </c>
      <c r="B4720" s="2" t="s">
        <v>354</v>
      </c>
      <c r="C4720" s="2" t="s">
        <v>28</v>
      </c>
      <c r="D4720" s="3" t="n">
        <v>46241</v>
      </c>
      <c r="E4720" s="2" t="str">
        <f aca="false">TEXT(D4720,"dddd")</f>
        <v>Friday</v>
      </c>
      <c r="F4720" s="2" t="s">
        <v>457</v>
      </c>
      <c r="G4720" s="2" t="s">
        <v>458</v>
      </c>
      <c r="H4720" s="2" t="s">
        <v>459</v>
      </c>
      <c r="I4720" s="2" t="n">
        <f aca="false">IF(F4720="Present",9,IF(F4720="Half Day",4,0))</f>
        <v>9</v>
      </c>
      <c r="J4720" s="2"/>
      <c r="K4720" s="2"/>
    </row>
    <row r="4721" customFormat="false" ht="15" hidden="false" customHeight="false" outlineLevel="0" collapsed="false">
      <c r="A4721" s="2" t="s">
        <v>353</v>
      </c>
      <c r="B4721" s="2" t="s">
        <v>354</v>
      </c>
      <c r="C4721" s="2" t="s">
        <v>28</v>
      </c>
      <c r="D4721" s="3" t="n">
        <v>46242</v>
      </c>
      <c r="E4721" s="2" t="str">
        <f aca="false">TEXT(D4721,"dddd")</f>
        <v>Saturday</v>
      </c>
      <c r="F4721" s="2" t="s">
        <v>457</v>
      </c>
      <c r="G4721" s="2" t="s">
        <v>458</v>
      </c>
      <c r="H4721" s="2" t="s">
        <v>459</v>
      </c>
      <c r="I4721" s="2" t="n">
        <f aca="false">IF(F4721="Present",9,IF(F4721="Half Day",4,0))</f>
        <v>9</v>
      </c>
      <c r="J4721" s="2"/>
      <c r="K4721" s="2"/>
    </row>
    <row r="4722" customFormat="false" ht="15" hidden="false" customHeight="false" outlineLevel="0" collapsed="false">
      <c r="A4722" s="2" t="s">
        <v>353</v>
      </c>
      <c r="B4722" s="2" t="s">
        <v>354</v>
      </c>
      <c r="C4722" s="2" t="s">
        <v>28</v>
      </c>
      <c r="D4722" s="3" t="n">
        <v>46243</v>
      </c>
      <c r="E4722" s="2" t="str">
        <f aca="false">TEXT(D4722,"dddd")</f>
        <v>Sunday</v>
      </c>
      <c r="F4722" s="2" t="s">
        <v>460</v>
      </c>
      <c r="G4722" s="2"/>
      <c r="H4722" s="2"/>
      <c r="I4722" s="2" t="n">
        <f aca="false">IF(F4722="Present",9,IF(F4722="Half Day",4,0))</f>
        <v>0</v>
      </c>
      <c r="J4722" s="2"/>
      <c r="K4722" s="2" t="s">
        <v>460</v>
      </c>
    </row>
    <row r="4723" customFormat="false" ht="15" hidden="false" customHeight="false" outlineLevel="0" collapsed="false">
      <c r="A4723" s="2" t="s">
        <v>353</v>
      </c>
      <c r="B4723" s="2" t="s">
        <v>354</v>
      </c>
      <c r="C4723" s="2" t="s">
        <v>28</v>
      </c>
      <c r="D4723" s="3" t="n">
        <v>46244</v>
      </c>
      <c r="E4723" s="2" t="str">
        <f aca="false">TEXT(D4723,"dddd")</f>
        <v>Monday</v>
      </c>
      <c r="F4723" s="2" t="s">
        <v>457</v>
      </c>
      <c r="G4723" s="2" t="s">
        <v>458</v>
      </c>
      <c r="H4723" s="2" t="s">
        <v>459</v>
      </c>
      <c r="I4723" s="2" t="n">
        <f aca="false">IF(F4723="Present",9,IF(F4723="Half Day",4,0))</f>
        <v>9</v>
      </c>
      <c r="J4723" s="2"/>
      <c r="K4723" s="2"/>
    </row>
    <row r="4724" customFormat="false" ht="15" hidden="false" customHeight="false" outlineLevel="0" collapsed="false">
      <c r="A4724" s="2" t="s">
        <v>353</v>
      </c>
      <c r="B4724" s="2" t="s">
        <v>354</v>
      </c>
      <c r="C4724" s="2" t="s">
        <v>28</v>
      </c>
      <c r="D4724" s="3" t="n">
        <v>46245</v>
      </c>
      <c r="E4724" s="2" t="str">
        <f aca="false">TEXT(D4724,"dddd")</f>
        <v>Tuesday</v>
      </c>
      <c r="F4724" s="2" t="s">
        <v>461</v>
      </c>
      <c r="G4724" s="2"/>
      <c r="H4724" s="2"/>
      <c r="I4724" s="2" t="n">
        <f aca="false">IF(F4724="Present",9,IF(F4724="Half Day",4,0))</f>
        <v>0</v>
      </c>
      <c r="J4724" s="2"/>
      <c r="K4724" s="2" t="s">
        <v>462</v>
      </c>
    </row>
    <row r="4725" customFormat="false" ht="15" hidden="false" customHeight="false" outlineLevel="0" collapsed="false">
      <c r="A4725" s="2" t="s">
        <v>353</v>
      </c>
      <c r="B4725" s="2" t="s">
        <v>354</v>
      </c>
      <c r="C4725" s="2" t="s">
        <v>28</v>
      </c>
      <c r="D4725" s="3" t="n">
        <v>46246</v>
      </c>
      <c r="E4725" s="2" t="str">
        <f aca="false">TEXT(D4725,"dddd")</f>
        <v>Wednesday</v>
      </c>
      <c r="F4725" s="2" t="s">
        <v>457</v>
      </c>
      <c r="G4725" s="2" t="s">
        <v>458</v>
      </c>
      <c r="H4725" s="2" t="s">
        <v>459</v>
      </c>
      <c r="I4725" s="2" t="n">
        <f aca="false">IF(F4725="Present",9,IF(F4725="Half Day",4,0))</f>
        <v>9</v>
      </c>
      <c r="J4725" s="2"/>
      <c r="K4725" s="2"/>
    </row>
    <row r="4726" customFormat="false" ht="15" hidden="false" customHeight="false" outlineLevel="0" collapsed="false">
      <c r="A4726" s="2" t="s">
        <v>353</v>
      </c>
      <c r="B4726" s="2" t="s">
        <v>354</v>
      </c>
      <c r="C4726" s="2" t="s">
        <v>28</v>
      </c>
      <c r="D4726" s="3" t="n">
        <v>46247</v>
      </c>
      <c r="E4726" s="2" t="str">
        <f aca="false">TEXT(D4726,"dddd")</f>
        <v>Thursday</v>
      </c>
      <c r="F4726" s="2" t="s">
        <v>466</v>
      </c>
      <c r="G4726" s="2" t="s">
        <v>458</v>
      </c>
      <c r="H4726" s="2" t="s">
        <v>467</v>
      </c>
      <c r="I4726" s="2" t="n">
        <f aca="false">IF(F4726="Present",9,IF(F4726="Half Day",4,0))</f>
        <v>4</v>
      </c>
      <c r="J4726" s="2"/>
      <c r="K4726" s="2" t="s">
        <v>466</v>
      </c>
    </row>
    <row r="4727" customFormat="false" ht="15" hidden="false" customHeight="false" outlineLevel="0" collapsed="false">
      <c r="A4727" s="2" t="s">
        <v>353</v>
      </c>
      <c r="B4727" s="2" t="s">
        <v>354</v>
      </c>
      <c r="C4727" s="2" t="s">
        <v>28</v>
      </c>
      <c r="D4727" s="3" t="n">
        <v>46248</v>
      </c>
      <c r="E4727" s="2" t="str">
        <f aca="false">TEXT(D4727,"dddd")</f>
        <v>Friday</v>
      </c>
      <c r="F4727" s="2" t="s">
        <v>457</v>
      </c>
      <c r="G4727" s="2" t="s">
        <v>458</v>
      </c>
      <c r="H4727" s="2" t="s">
        <v>459</v>
      </c>
      <c r="I4727" s="2" t="n">
        <f aca="false">IF(F4727="Present",9,IF(F4727="Half Day",4,0))</f>
        <v>9</v>
      </c>
      <c r="J4727" s="2"/>
      <c r="K4727" s="2"/>
    </row>
    <row r="4728" customFormat="false" ht="15" hidden="false" customHeight="false" outlineLevel="0" collapsed="false">
      <c r="A4728" s="2" t="s">
        <v>353</v>
      </c>
      <c r="B4728" s="2" t="s">
        <v>354</v>
      </c>
      <c r="C4728" s="2" t="s">
        <v>28</v>
      </c>
      <c r="D4728" s="3" t="n">
        <v>46249</v>
      </c>
      <c r="E4728" s="2" t="str">
        <f aca="false">TEXT(D4728,"dddd")</f>
        <v>Saturday</v>
      </c>
      <c r="F4728" s="2" t="s">
        <v>461</v>
      </c>
      <c r="G4728" s="2"/>
      <c r="H4728" s="2"/>
      <c r="I4728" s="2" t="n">
        <f aca="false">IF(F4728="Present",9,IF(F4728="Half Day",4,0))</f>
        <v>0</v>
      </c>
      <c r="J4728" s="2"/>
      <c r="K4728" s="2" t="s">
        <v>462</v>
      </c>
    </row>
    <row r="4729" customFormat="false" ht="15" hidden="false" customHeight="false" outlineLevel="0" collapsed="false">
      <c r="A4729" s="2" t="s">
        <v>353</v>
      </c>
      <c r="B4729" s="2" t="s">
        <v>354</v>
      </c>
      <c r="C4729" s="2" t="s">
        <v>28</v>
      </c>
      <c r="D4729" s="3" t="n">
        <v>46250</v>
      </c>
      <c r="E4729" s="2" t="str">
        <f aca="false">TEXT(D4729,"dddd")</f>
        <v>Sunday</v>
      </c>
      <c r="F4729" s="2" t="s">
        <v>460</v>
      </c>
      <c r="G4729" s="2"/>
      <c r="H4729" s="2"/>
      <c r="I4729" s="2" t="n">
        <f aca="false">IF(F4729="Present",9,IF(F4729="Half Day",4,0))</f>
        <v>0</v>
      </c>
      <c r="J4729" s="2"/>
      <c r="K4729" s="2" t="s">
        <v>460</v>
      </c>
    </row>
    <row r="4730" customFormat="false" ht="15" hidden="false" customHeight="false" outlineLevel="0" collapsed="false">
      <c r="A4730" s="2" t="s">
        <v>353</v>
      </c>
      <c r="B4730" s="2" t="s">
        <v>354</v>
      </c>
      <c r="C4730" s="2" t="s">
        <v>28</v>
      </c>
      <c r="D4730" s="3" t="n">
        <v>46251</v>
      </c>
      <c r="E4730" s="2" t="str">
        <f aca="false">TEXT(D4730,"dddd")</f>
        <v>Monday</v>
      </c>
      <c r="F4730" s="2" t="s">
        <v>461</v>
      </c>
      <c r="G4730" s="2"/>
      <c r="H4730" s="2"/>
      <c r="I4730" s="2" t="n">
        <f aca="false">IF(F4730="Present",9,IF(F4730="Half Day",4,0))</f>
        <v>0</v>
      </c>
      <c r="J4730" s="2"/>
      <c r="K4730" s="2" t="s">
        <v>462</v>
      </c>
    </row>
    <row r="4731" customFormat="false" ht="15" hidden="false" customHeight="false" outlineLevel="0" collapsed="false">
      <c r="A4731" s="2" t="s">
        <v>353</v>
      </c>
      <c r="B4731" s="2" t="s">
        <v>354</v>
      </c>
      <c r="C4731" s="2" t="s">
        <v>28</v>
      </c>
      <c r="D4731" s="3" t="n">
        <v>46252</v>
      </c>
      <c r="E4731" s="2" t="str">
        <f aca="false">TEXT(D4731,"dddd")</f>
        <v>Tuesday</v>
      </c>
      <c r="F4731" s="2" t="s">
        <v>463</v>
      </c>
      <c r="G4731" s="2"/>
      <c r="H4731" s="2"/>
      <c r="I4731" s="2" t="n">
        <f aca="false">IF(F4731="Present",9,IF(F4731="Half Day",4,0))</f>
        <v>0</v>
      </c>
      <c r="J4731" s="2" t="s">
        <v>474</v>
      </c>
      <c r="K4731" s="2" t="s">
        <v>475</v>
      </c>
    </row>
    <row r="4732" customFormat="false" ht="15" hidden="false" customHeight="false" outlineLevel="0" collapsed="false">
      <c r="A4732" s="2" t="s">
        <v>353</v>
      </c>
      <c r="B4732" s="2" t="s">
        <v>354</v>
      </c>
      <c r="C4732" s="2" t="s">
        <v>28</v>
      </c>
      <c r="D4732" s="3" t="n">
        <v>46253</v>
      </c>
      <c r="E4732" s="2" t="str">
        <f aca="false">TEXT(D4732,"dddd")</f>
        <v>Wednesday</v>
      </c>
      <c r="F4732" s="2" t="s">
        <v>457</v>
      </c>
      <c r="G4732" s="2" t="s">
        <v>458</v>
      </c>
      <c r="H4732" s="2" t="s">
        <v>459</v>
      </c>
      <c r="I4732" s="2" t="n">
        <f aca="false">IF(F4732="Present",9,IF(F4732="Half Day",4,0))</f>
        <v>9</v>
      </c>
      <c r="J4732" s="2"/>
      <c r="K4732" s="2"/>
    </row>
    <row r="4733" customFormat="false" ht="15" hidden="false" customHeight="false" outlineLevel="0" collapsed="false">
      <c r="A4733" s="2" t="s">
        <v>353</v>
      </c>
      <c r="B4733" s="2" t="s">
        <v>354</v>
      </c>
      <c r="C4733" s="2" t="s">
        <v>28</v>
      </c>
      <c r="D4733" s="3" t="n">
        <v>46254</v>
      </c>
      <c r="E4733" s="2" t="str">
        <f aca="false">TEXT(D4733,"dddd")</f>
        <v>Thursday</v>
      </c>
      <c r="F4733" s="2" t="s">
        <v>457</v>
      </c>
      <c r="G4733" s="2" t="s">
        <v>458</v>
      </c>
      <c r="H4733" s="2" t="s">
        <v>459</v>
      </c>
      <c r="I4733" s="2" t="n">
        <f aca="false">IF(F4733="Present",9,IF(F4733="Half Day",4,0))</f>
        <v>9</v>
      </c>
      <c r="J4733" s="2"/>
      <c r="K4733" s="2"/>
    </row>
    <row r="4734" customFormat="false" ht="15" hidden="false" customHeight="false" outlineLevel="0" collapsed="false">
      <c r="A4734" s="2" t="s">
        <v>353</v>
      </c>
      <c r="B4734" s="2" t="s">
        <v>354</v>
      </c>
      <c r="C4734" s="2" t="s">
        <v>28</v>
      </c>
      <c r="D4734" s="3" t="n">
        <v>46255</v>
      </c>
      <c r="E4734" s="2" t="str">
        <f aca="false">TEXT(D4734,"dddd")</f>
        <v>Friday</v>
      </c>
      <c r="F4734" s="2" t="s">
        <v>457</v>
      </c>
      <c r="G4734" s="2" t="s">
        <v>458</v>
      </c>
      <c r="H4734" s="2" t="s">
        <v>459</v>
      </c>
      <c r="I4734" s="2" t="n">
        <f aca="false">IF(F4734="Present",9,IF(F4734="Half Day",4,0))</f>
        <v>9</v>
      </c>
      <c r="J4734" s="2"/>
      <c r="K4734" s="2"/>
    </row>
    <row r="4735" customFormat="false" ht="15" hidden="false" customHeight="false" outlineLevel="0" collapsed="false">
      <c r="A4735" s="2" t="s">
        <v>353</v>
      </c>
      <c r="B4735" s="2" t="s">
        <v>354</v>
      </c>
      <c r="C4735" s="2" t="s">
        <v>28</v>
      </c>
      <c r="D4735" s="3" t="n">
        <v>46256</v>
      </c>
      <c r="E4735" s="2" t="str">
        <f aca="false">TEXT(D4735,"dddd")</f>
        <v>Saturday</v>
      </c>
      <c r="F4735" s="2" t="s">
        <v>457</v>
      </c>
      <c r="G4735" s="2" t="s">
        <v>458</v>
      </c>
      <c r="H4735" s="2" t="s">
        <v>459</v>
      </c>
      <c r="I4735" s="2" t="n">
        <f aca="false">IF(F4735="Present",9,IF(F4735="Half Day",4,0))</f>
        <v>9</v>
      </c>
      <c r="J4735" s="2"/>
      <c r="K4735" s="2"/>
    </row>
    <row r="4736" customFormat="false" ht="15" hidden="false" customHeight="false" outlineLevel="0" collapsed="false">
      <c r="A4736" s="2" t="s">
        <v>353</v>
      </c>
      <c r="B4736" s="2" t="s">
        <v>354</v>
      </c>
      <c r="C4736" s="2" t="s">
        <v>28</v>
      </c>
      <c r="D4736" s="3" t="n">
        <v>46257</v>
      </c>
      <c r="E4736" s="2" t="str">
        <f aca="false">TEXT(D4736,"dddd")</f>
        <v>Sunday</v>
      </c>
      <c r="F4736" s="2" t="s">
        <v>460</v>
      </c>
      <c r="G4736" s="2"/>
      <c r="H4736" s="2"/>
      <c r="I4736" s="2" t="n">
        <f aca="false">IF(F4736="Present",9,IF(F4736="Half Day",4,0))</f>
        <v>0</v>
      </c>
      <c r="J4736" s="2"/>
      <c r="K4736" s="2" t="s">
        <v>460</v>
      </c>
    </row>
    <row r="4737" customFormat="false" ht="15" hidden="false" customHeight="false" outlineLevel="0" collapsed="false">
      <c r="A4737" s="2" t="s">
        <v>353</v>
      </c>
      <c r="B4737" s="2" t="s">
        <v>354</v>
      </c>
      <c r="C4737" s="2" t="s">
        <v>28</v>
      </c>
      <c r="D4737" s="3" t="n">
        <v>46258</v>
      </c>
      <c r="E4737" s="2" t="str">
        <f aca="false">TEXT(D4737,"dddd")</f>
        <v>Monday</v>
      </c>
      <c r="F4737" s="2" t="s">
        <v>466</v>
      </c>
      <c r="G4737" s="2" t="s">
        <v>458</v>
      </c>
      <c r="H4737" s="2" t="s">
        <v>467</v>
      </c>
      <c r="I4737" s="2" t="n">
        <f aca="false">IF(F4737="Present",9,IF(F4737="Half Day",4,0))</f>
        <v>4</v>
      </c>
      <c r="J4737" s="2"/>
      <c r="K4737" s="2" t="s">
        <v>466</v>
      </c>
    </row>
    <row r="4738" customFormat="false" ht="15" hidden="false" customHeight="false" outlineLevel="0" collapsed="false">
      <c r="A4738" s="2" t="s">
        <v>353</v>
      </c>
      <c r="B4738" s="2" t="s">
        <v>354</v>
      </c>
      <c r="C4738" s="2" t="s">
        <v>28</v>
      </c>
      <c r="D4738" s="3" t="n">
        <v>46259</v>
      </c>
      <c r="E4738" s="2" t="str">
        <f aca="false">TEXT(D4738,"dddd")</f>
        <v>Tuesday</v>
      </c>
      <c r="F4738" s="2" t="s">
        <v>457</v>
      </c>
      <c r="G4738" s="2" t="s">
        <v>458</v>
      </c>
      <c r="H4738" s="2" t="s">
        <v>459</v>
      </c>
      <c r="I4738" s="2" t="n">
        <f aca="false">IF(F4738="Present",9,IF(F4738="Half Day",4,0))</f>
        <v>9</v>
      </c>
      <c r="J4738" s="2"/>
      <c r="K4738" s="2"/>
    </row>
    <row r="4739" customFormat="false" ht="15" hidden="false" customHeight="false" outlineLevel="0" collapsed="false">
      <c r="A4739" s="2" t="s">
        <v>353</v>
      </c>
      <c r="B4739" s="2" t="s">
        <v>354</v>
      </c>
      <c r="C4739" s="2" t="s">
        <v>28</v>
      </c>
      <c r="D4739" s="3" t="n">
        <v>46260</v>
      </c>
      <c r="E4739" s="2" t="str">
        <f aca="false">TEXT(D4739,"dddd")</f>
        <v>Wednesday</v>
      </c>
      <c r="F4739" s="2" t="s">
        <v>457</v>
      </c>
      <c r="G4739" s="2" t="s">
        <v>458</v>
      </c>
      <c r="H4739" s="2" t="s">
        <v>459</v>
      </c>
      <c r="I4739" s="2" t="n">
        <f aca="false">IF(F4739="Present",9,IF(F4739="Half Day",4,0))</f>
        <v>9</v>
      </c>
      <c r="J4739" s="2"/>
      <c r="K4739" s="2"/>
    </row>
    <row r="4740" customFormat="false" ht="15" hidden="false" customHeight="false" outlineLevel="0" collapsed="false">
      <c r="A4740" s="2" t="s">
        <v>353</v>
      </c>
      <c r="B4740" s="2" t="s">
        <v>354</v>
      </c>
      <c r="C4740" s="2" t="s">
        <v>28</v>
      </c>
      <c r="D4740" s="3" t="n">
        <v>46261</v>
      </c>
      <c r="E4740" s="2" t="str">
        <f aca="false">TEXT(D4740,"dddd")</f>
        <v>Thursday</v>
      </c>
      <c r="F4740" s="2" t="s">
        <v>457</v>
      </c>
      <c r="G4740" s="2" t="s">
        <v>458</v>
      </c>
      <c r="H4740" s="2" t="s">
        <v>459</v>
      </c>
      <c r="I4740" s="2" t="n">
        <f aca="false">IF(F4740="Present",9,IF(F4740="Half Day",4,0))</f>
        <v>9</v>
      </c>
      <c r="J4740" s="2"/>
      <c r="K4740" s="2"/>
    </row>
    <row r="4741" customFormat="false" ht="15" hidden="false" customHeight="false" outlineLevel="0" collapsed="false">
      <c r="A4741" s="2" t="s">
        <v>353</v>
      </c>
      <c r="B4741" s="2" t="s">
        <v>354</v>
      </c>
      <c r="C4741" s="2" t="s">
        <v>28</v>
      </c>
      <c r="D4741" s="3" t="n">
        <v>46262</v>
      </c>
      <c r="E4741" s="2" t="str">
        <f aca="false">TEXT(D4741,"dddd")</f>
        <v>Friday</v>
      </c>
      <c r="F4741" s="2" t="s">
        <v>457</v>
      </c>
      <c r="G4741" s="2" t="s">
        <v>458</v>
      </c>
      <c r="H4741" s="2" t="s">
        <v>459</v>
      </c>
      <c r="I4741" s="2" t="n">
        <f aca="false">IF(F4741="Present",9,IF(F4741="Half Day",4,0))</f>
        <v>9</v>
      </c>
      <c r="J4741" s="2"/>
      <c r="K4741" s="2"/>
    </row>
    <row r="4742" customFormat="false" ht="15" hidden="false" customHeight="false" outlineLevel="0" collapsed="false">
      <c r="A4742" s="2" t="s">
        <v>353</v>
      </c>
      <c r="B4742" s="2" t="s">
        <v>354</v>
      </c>
      <c r="C4742" s="2" t="s">
        <v>28</v>
      </c>
      <c r="D4742" s="3" t="n">
        <v>46263</v>
      </c>
      <c r="E4742" s="2" t="str">
        <f aca="false">TEXT(D4742,"dddd")</f>
        <v>Saturday</v>
      </c>
      <c r="F4742" s="2" t="s">
        <v>457</v>
      </c>
      <c r="G4742" s="2" t="s">
        <v>458</v>
      </c>
      <c r="H4742" s="2" t="s">
        <v>459</v>
      </c>
      <c r="I4742" s="2" t="n">
        <f aca="false">IF(F4742="Present",9,IF(F4742="Half Day",4,0))</f>
        <v>9</v>
      </c>
      <c r="J4742" s="2"/>
      <c r="K4742" s="2"/>
    </row>
    <row r="4743" customFormat="false" ht="15" hidden="false" customHeight="false" outlineLevel="0" collapsed="false">
      <c r="A4743" s="2" t="s">
        <v>353</v>
      </c>
      <c r="B4743" s="2" t="s">
        <v>354</v>
      </c>
      <c r="C4743" s="2" t="s">
        <v>28</v>
      </c>
      <c r="D4743" s="3" t="n">
        <v>46264</v>
      </c>
      <c r="E4743" s="2" t="str">
        <f aca="false">TEXT(D4743,"dddd")</f>
        <v>Sunday</v>
      </c>
      <c r="F4743" s="2" t="s">
        <v>460</v>
      </c>
      <c r="G4743" s="2"/>
      <c r="H4743" s="2"/>
      <c r="I4743" s="2" t="n">
        <f aca="false">IF(F4743="Present",9,IF(F4743="Half Day",4,0))</f>
        <v>0</v>
      </c>
      <c r="J4743" s="2"/>
      <c r="K4743" s="2" t="s">
        <v>460</v>
      </c>
    </row>
    <row r="4744" customFormat="false" ht="15" hidden="false" customHeight="false" outlineLevel="0" collapsed="false">
      <c r="A4744" s="2" t="s">
        <v>353</v>
      </c>
      <c r="B4744" s="2" t="s">
        <v>354</v>
      </c>
      <c r="C4744" s="2" t="s">
        <v>28</v>
      </c>
      <c r="D4744" s="3" t="n">
        <v>46265</v>
      </c>
      <c r="E4744" s="2" t="str">
        <f aca="false">TEXT(D4744,"dddd")</f>
        <v>Monday</v>
      </c>
      <c r="F4744" s="2" t="s">
        <v>457</v>
      </c>
      <c r="G4744" s="2" t="s">
        <v>458</v>
      </c>
      <c r="H4744" s="2" t="s">
        <v>459</v>
      </c>
      <c r="I4744" s="2" t="n">
        <f aca="false">IF(F4744="Present",9,IF(F4744="Half Day",4,0))</f>
        <v>9</v>
      </c>
      <c r="J4744" s="2"/>
      <c r="K4744" s="2"/>
    </row>
    <row r="4745" customFormat="false" ht="15" hidden="false" customHeight="false" outlineLevel="0" collapsed="false">
      <c r="A4745" s="2" t="s">
        <v>355</v>
      </c>
      <c r="B4745" s="2" t="s">
        <v>356</v>
      </c>
      <c r="C4745" s="2" t="s">
        <v>32</v>
      </c>
      <c r="D4745" s="3" t="n">
        <v>46235</v>
      </c>
      <c r="E4745" s="2" t="str">
        <f aca="false">TEXT(D4745,"dddd")</f>
        <v>Saturday</v>
      </c>
      <c r="F4745" s="2" t="s">
        <v>457</v>
      </c>
      <c r="G4745" s="2" t="s">
        <v>458</v>
      </c>
      <c r="H4745" s="2" t="s">
        <v>459</v>
      </c>
      <c r="I4745" s="2" t="n">
        <f aca="false">IF(F4745="Present",9,IF(F4745="Half Day",4,0))</f>
        <v>9</v>
      </c>
      <c r="J4745" s="2"/>
      <c r="K4745" s="2"/>
    </row>
    <row r="4746" customFormat="false" ht="15" hidden="false" customHeight="false" outlineLevel="0" collapsed="false">
      <c r="A4746" s="2" t="s">
        <v>355</v>
      </c>
      <c r="B4746" s="2" t="s">
        <v>356</v>
      </c>
      <c r="C4746" s="2" t="s">
        <v>32</v>
      </c>
      <c r="D4746" s="3" t="n">
        <v>46236</v>
      </c>
      <c r="E4746" s="2" t="str">
        <f aca="false">TEXT(D4746,"dddd")</f>
        <v>Sunday</v>
      </c>
      <c r="F4746" s="2" t="s">
        <v>460</v>
      </c>
      <c r="G4746" s="2"/>
      <c r="H4746" s="2"/>
      <c r="I4746" s="2" t="n">
        <f aca="false">IF(F4746="Present",9,IF(F4746="Half Day",4,0))</f>
        <v>0</v>
      </c>
      <c r="J4746" s="2"/>
      <c r="K4746" s="2" t="s">
        <v>460</v>
      </c>
    </row>
    <row r="4747" customFormat="false" ht="15" hidden="false" customHeight="false" outlineLevel="0" collapsed="false">
      <c r="A4747" s="2" t="s">
        <v>355</v>
      </c>
      <c r="B4747" s="2" t="s">
        <v>356</v>
      </c>
      <c r="C4747" s="2" t="s">
        <v>32</v>
      </c>
      <c r="D4747" s="3" t="n">
        <v>46237</v>
      </c>
      <c r="E4747" s="2" t="str">
        <f aca="false">TEXT(D4747,"dddd")</f>
        <v>Monday</v>
      </c>
      <c r="F4747" s="2" t="s">
        <v>457</v>
      </c>
      <c r="G4747" s="2" t="s">
        <v>458</v>
      </c>
      <c r="H4747" s="2" t="s">
        <v>459</v>
      </c>
      <c r="I4747" s="2" t="n">
        <f aca="false">IF(F4747="Present",9,IF(F4747="Half Day",4,0))</f>
        <v>9</v>
      </c>
      <c r="J4747" s="2"/>
      <c r="K4747" s="2"/>
    </row>
    <row r="4748" customFormat="false" ht="15" hidden="false" customHeight="false" outlineLevel="0" collapsed="false">
      <c r="A4748" s="2" t="s">
        <v>355</v>
      </c>
      <c r="B4748" s="2" t="s">
        <v>356</v>
      </c>
      <c r="C4748" s="2" t="s">
        <v>32</v>
      </c>
      <c r="D4748" s="3" t="n">
        <v>46238</v>
      </c>
      <c r="E4748" s="2" t="str">
        <f aca="false">TEXT(D4748,"dddd")</f>
        <v>Tuesday</v>
      </c>
      <c r="F4748" s="2" t="s">
        <v>457</v>
      </c>
      <c r="G4748" s="2" t="s">
        <v>458</v>
      </c>
      <c r="H4748" s="2" t="s">
        <v>459</v>
      </c>
      <c r="I4748" s="2" t="n">
        <f aca="false">IF(F4748="Present",9,IF(F4748="Half Day",4,0))</f>
        <v>9</v>
      </c>
      <c r="J4748" s="2"/>
      <c r="K4748" s="2"/>
    </row>
    <row r="4749" customFormat="false" ht="15" hidden="false" customHeight="false" outlineLevel="0" collapsed="false">
      <c r="A4749" s="2" t="s">
        <v>355</v>
      </c>
      <c r="B4749" s="2" t="s">
        <v>356</v>
      </c>
      <c r="C4749" s="2" t="s">
        <v>32</v>
      </c>
      <c r="D4749" s="3" t="n">
        <v>46239</v>
      </c>
      <c r="E4749" s="2" t="str">
        <f aca="false">TEXT(D4749,"dddd")</f>
        <v>Wednesday</v>
      </c>
      <c r="F4749" s="2" t="s">
        <v>457</v>
      </c>
      <c r="G4749" s="2" t="s">
        <v>458</v>
      </c>
      <c r="H4749" s="2" t="s">
        <v>459</v>
      </c>
      <c r="I4749" s="2" t="n">
        <f aca="false">IF(F4749="Present",9,IF(F4749="Half Day",4,0))</f>
        <v>9</v>
      </c>
      <c r="J4749" s="2"/>
      <c r="K4749" s="2"/>
    </row>
    <row r="4750" customFormat="false" ht="15" hidden="false" customHeight="false" outlineLevel="0" collapsed="false">
      <c r="A4750" s="2" t="s">
        <v>355</v>
      </c>
      <c r="B4750" s="2" t="s">
        <v>356</v>
      </c>
      <c r="C4750" s="2" t="s">
        <v>32</v>
      </c>
      <c r="D4750" s="3" t="n">
        <v>46240</v>
      </c>
      <c r="E4750" s="2" t="str">
        <f aca="false">TEXT(D4750,"dddd")</f>
        <v>Thursday</v>
      </c>
      <c r="F4750" s="2" t="s">
        <v>466</v>
      </c>
      <c r="G4750" s="2" t="s">
        <v>458</v>
      </c>
      <c r="H4750" s="2" t="s">
        <v>467</v>
      </c>
      <c r="I4750" s="2" t="n">
        <f aca="false">IF(F4750="Present",9,IF(F4750="Half Day",4,0))</f>
        <v>4</v>
      </c>
      <c r="J4750" s="2"/>
      <c r="K4750" s="2" t="s">
        <v>466</v>
      </c>
    </row>
    <row r="4751" customFormat="false" ht="15" hidden="false" customHeight="false" outlineLevel="0" collapsed="false">
      <c r="A4751" s="2" t="s">
        <v>355</v>
      </c>
      <c r="B4751" s="2" t="s">
        <v>356</v>
      </c>
      <c r="C4751" s="2" t="s">
        <v>32</v>
      </c>
      <c r="D4751" s="3" t="n">
        <v>46241</v>
      </c>
      <c r="E4751" s="2" t="str">
        <f aca="false">TEXT(D4751,"dddd")</f>
        <v>Friday</v>
      </c>
      <c r="F4751" s="2" t="s">
        <v>457</v>
      </c>
      <c r="G4751" s="2" t="s">
        <v>458</v>
      </c>
      <c r="H4751" s="2" t="s">
        <v>459</v>
      </c>
      <c r="I4751" s="2" t="n">
        <f aca="false">IF(F4751="Present",9,IF(F4751="Half Day",4,0))</f>
        <v>9</v>
      </c>
      <c r="J4751" s="2"/>
      <c r="K4751" s="2"/>
    </row>
    <row r="4752" customFormat="false" ht="15" hidden="false" customHeight="false" outlineLevel="0" collapsed="false">
      <c r="A4752" s="2" t="s">
        <v>355</v>
      </c>
      <c r="B4752" s="2" t="s">
        <v>356</v>
      </c>
      <c r="C4752" s="2" t="s">
        <v>32</v>
      </c>
      <c r="D4752" s="3" t="n">
        <v>46242</v>
      </c>
      <c r="E4752" s="2" t="str">
        <f aca="false">TEXT(D4752,"dddd")</f>
        <v>Saturday</v>
      </c>
      <c r="F4752" s="2" t="s">
        <v>461</v>
      </c>
      <c r="G4752" s="2"/>
      <c r="H4752" s="2"/>
      <c r="I4752" s="2" t="n">
        <f aca="false">IF(F4752="Present",9,IF(F4752="Half Day",4,0))</f>
        <v>0</v>
      </c>
      <c r="J4752" s="2"/>
      <c r="K4752" s="2" t="s">
        <v>462</v>
      </c>
    </row>
    <row r="4753" customFormat="false" ht="15" hidden="false" customHeight="false" outlineLevel="0" collapsed="false">
      <c r="A4753" s="2" t="s">
        <v>355</v>
      </c>
      <c r="B4753" s="2" t="s">
        <v>356</v>
      </c>
      <c r="C4753" s="2" t="s">
        <v>32</v>
      </c>
      <c r="D4753" s="3" t="n">
        <v>46243</v>
      </c>
      <c r="E4753" s="2" t="str">
        <f aca="false">TEXT(D4753,"dddd")</f>
        <v>Sunday</v>
      </c>
      <c r="F4753" s="2" t="s">
        <v>460</v>
      </c>
      <c r="G4753" s="2"/>
      <c r="H4753" s="2"/>
      <c r="I4753" s="2" t="n">
        <f aca="false">IF(F4753="Present",9,IF(F4753="Half Day",4,0))</f>
        <v>0</v>
      </c>
      <c r="J4753" s="2"/>
      <c r="K4753" s="2" t="s">
        <v>460</v>
      </c>
    </row>
    <row r="4754" customFormat="false" ht="15" hidden="false" customHeight="false" outlineLevel="0" collapsed="false">
      <c r="A4754" s="2" t="s">
        <v>355</v>
      </c>
      <c r="B4754" s="2" t="s">
        <v>356</v>
      </c>
      <c r="C4754" s="2" t="s">
        <v>32</v>
      </c>
      <c r="D4754" s="3" t="n">
        <v>46244</v>
      </c>
      <c r="E4754" s="2" t="str">
        <f aca="false">TEXT(D4754,"dddd")</f>
        <v>Monday</v>
      </c>
      <c r="F4754" s="2" t="s">
        <v>457</v>
      </c>
      <c r="G4754" s="2" t="s">
        <v>458</v>
      </c>
      <c r="H4754" s="2" t="s">
        <v>459</v>
      </c>
      <c r="I4754" s="2" t="n">
        <f aca="false">IF(F4754="Present",9,IF(F4754="Half Day",4,0))</f>
        <v>9</v>
      </c>
      <c r="J4754" s="2"/>
      <c r="K4754" s="2"/>
    </row>
    <row r="4755" customFormat="false" ht="15" hidden="false" customHeight="false" outlineLevel="0" collapsed="false">
      <c r="A4755" s="2" t="s">
        <v>355</v>
      </c>
      <c r="B4755" s="2" t="s">
        <v>356</v>
      </c>
      <c r="C4755" s="2" t="s">
        <v>32</v>
      </c>
      <c r="D4755" s="3" t="n">
        <v>46245</v>
      </c>
      <c r="E4755" s="2" t="str">
        <f aca="false">TEXT(D4755,"dddd")</f>
        <v>Tuesday</v>
      </c>
      <c r="F4755" s="2" t="s">
        <v>457</v>
      </c>
      <c r="G4755" s="2" t="s">
        <v>458</v>
      </c>
      <c r="H4755" s="2" t="s">
        <v>459</v>
      </c>
      <c r="I4755" s="2" t="n">
        <f aca="false">IF(F4755="Present",9,IF(F4755="Half Day",4,0))</f>
        <v>9</v>
      </c>
      <c r="J4755" s="2"/>
      <c r="K4755" s="2"/>
    </row>
    <row r="4756" customFormat="false" ht="15" hidden="false" customHeight="false" outlineLevel="0" collapsed="false">
      <c r="A4756" s="2" t="s">
        <v>355</v>
      </c>
      <c r="B4756" s="2" t="s">
        <v>356</v>
      </c>
      <c r="C4756" s="2" t="s">
        <v>32</v>
      </c>
      <c r="D4756" s="3" t="n">
        <v>46246</v>
      </c>
      <c r="E4756" s="2" t="str">
        <f aca="false">TEXT(D4756,"dddd")</f>
        <v>Wednesday</v>
      </c>
      <c r="F4756" s="2" t="s">
        <v>457</v>
      </c>
      <c r="G4756" s="2" t="s">
        <v>458</v>
      </c>
      <c r="H4756" s="2" t="s">
        <v>459</v>
      </c>
      <c r="I4756" s="2" t="n">
        <f aca="false">IF(F4756="Present",9,IF(F4756="Half Day",4,0))</f>
        <v>9</v>
      </c>
      <c r="J4756" s="2"/>
      <c r="K4756" s="2"/>
    </row>
    <row r="4757" customFormat="false" ht="15" hidden="false" customHeight="false" outlineLevel="0" collapsed="false">
      <c r="A4757" s="2" t="s">
        <v>355</v>
      </c>
      <c r="B4757" s="2" t="s">
        <v>356</v>
      </c>
      <c r="C4757" s="2" t="s">
        <v>32</v>
      </c>
      <c r="D4757" s="3" t="n">
        <v>46247</v>
      </c>
      <c r="E4757" s="2" t="str">
        <f aca="false">TEXT(D4757,"dddd")</f>
        <v>Thursday</v>
      </c>
      <c r="F4757" s="2" t="s">
        <v>461</v>
      </c>
      <c r="G4757" s="2"/>
      <c r="H4757" s="2"/>
      <c r="I4757" s="2" t="n">
        <f aca="false">IF(F4757="Present",9,IF(F4757="Half Day",4,0))</f>
        <v>0</v>
      </c>
      <c r="J4757" s="2"/>
      <c r="K4757" s="2" t="s">
        <v>462</v>
      </c>
    </row>
    <row r="4758" customFormat="false" ht="15" hidden="false" customHeight="false" outlineLevel="0" collapsed="false">
      <c r="A4758" s="2" t="s">
        <v>355</v>
      </c>
      <c r="B4758" s="2" t="s">
        <v>356</v>
      </c>
      <c r="C4758" s="2" t="s">
        <v>32</v>
      </c>
      <c r="D4758" s="3" t="n">
        <v>46248</v>
      </c>
      <c r="E4758" s="2" t="str">
        <f aca="false">TEXT(D4758,"dddd")</f>
        <v>Friday</v>
      </c>
      <c r="F4758" s="2" t="s">
        <v>457</v>
      </c>
      <c r="G4758" s="2" t="s">
        <v>458</v>
      </c>
      <c r="H4758" s="2" t="s">
        <v>459</v>
      </c>
      <c r="I4758" s="2" t="n">
        <f aca="false">IF(F4758="Present",9,IF(F4758="Half Day",4,0))</f>
        <v>9</v>
      </c>
      <c r="J4758" s="2"/>
      <c r="K4758" s="2"/>
    </row>
    <row r="4759" customFormat="false" ht="15" hidden="false" customHeight="false" outlineLevel="0" collapsed="false">
      <c r="A4759" s="2" t="s">
        <v>355</v>
      </c>
      <c r="B4759" s="2" t="s">
        <v>356</v>
      </c>
      <c r="C4759" s="2" t="s">
        <v>32</v>
      </c>
      <c r="D4759" s="3" t="n">
        <v>46249</v>
      </c>
      <c r="E4759" s="2" t="str">
        <f aca="false">TEXT(D4759,"dddd")</f>
        <v>Saturday</v>
      </c>
      <c r="F4759" s="2" t="s">
        <v>457</v>
      </c>
      <c r="G4759" s="2" t="s">
        <v>458</v>
      </c>
      <c r="H4759" s="2" t="s">
        <v>459</v>
      </c>
      <c r="I4759" s="2" t="n">
        <f aca="false">IF(F4759="Present",9,IF(F4759="Half Day",4,0))</f>
        <v>9</v>
      </c>
      <c r="J4759" s="2"/>
      <c r="K4759" s="2"/>
    </row>
    <row r="4760" customFormat="false" ht="15" hidden="false" customHeight="false" outlineLevel="0" collapsed="false">
      <c r="A4760" s="2" t="s">
        <v>355</v>
      </c>
      <c r="B4760" s="2" t="s">
        <v>356</v>
      </c>
      <c r="C4760" s="2" t="s">
        <v>32</v>
      </c>
      <c r="D4760" s="3" t="n">
        <v>46250</v>
      </c>
      <c r="E4760" s="2" t="str">
        <f aca="false">TEXT(D4760,"dddd")</f>
        <v>Sunday</v>
      </c>
      <c r="F4760" s="2" t="s">
        <v>460</v>
      </c>
      <c r="G4760" s="2"/>
      <c r="H4760" s="2"/>
      <c r="I4760" s="2" t="n">
        <f aca="false">IF(F4760="Present",9,IF(F4760="Half Day",4,0))</f>
        <v>0</v>
      </c>
      <c r="J4760" s="2"/>
      <c r="K4760" s="2" t="s">
        <v>460</v>
      </c>
    </row>
    <row r="4761" customFormat="false" ht="15" hidden="false" customHeight="false" outlineLevel="0" collapsed="false">
      <c r="A4761" s="2" t="s">
        <v>355</v>
      </c>
      <c r="B4761" s="2" t="s">
        <v>356</v>
      </c>
      <c r="C4761" s="2" t="s">
        <v>32</v>
      </c>
      <c r="D4761" s="3" t="n">
        <v>46251</v>
      </c>
      <c r="E4761" s="2" t="str">
        <f aca="false">TEXT(D4761,"dddd")</f>
        <v>Monday</v>
      </c>
      <c r="F4761" s="2" t="s">
        <v>457</v>
      </c>
      <c r="G4761" s="2" t="s">
        <v>458</v>
      </c>
      <c r="H4761" s="2" t="s">
        <v>459</v>
      </c>
      <c r="I4761" s="2" t="n">
        <f aca="false">IF(F4761="Present",9,IF(F4761="Half Day",4,0))</f>
        <v>9</v>
      </c>
      <c r="J4761" s="2"/>
      <c r="K4761" s="2"/>
    </row>
    <row r="4762" customFormat="false" ht="15" hidden="false" customHeight="false" outlineLevel="0" collapsed="false">
      <c r="A4762" s="2" t="s">
        <v>355</v>
      </c>
      <c r="B4762" s="2" t="s">
        <v>356</v>
      </c>
      <c r="C4762" s="2" t="s">
        <v>32</v>
      </c>
      <c r="D4762" s="3" t="n">
        <v>46252</v>
      </c>
      <c r="E4762" s="2" t="str">
        <f aca="false">TEXT(D4762,"dddd")</f>
        <v>Tuesday</v>
      </c>
      <c r="F4762" s="2" t="s">
        <v>457</v>
      </c>
      <c r="G4762" s="2" t="s">
        <v>458</v>
      </c>
      <c r="H4762" s="2" t="s">
        <v>459</v>
      </c>
      <c r="I4762" s="2" t="n">
        <f aca="false">IF(F4762="Present",9,IF(F4762="Half Day",4,0))</f>
        <v>9</v>
      </c>
      <c r="J4762" s="2"/>
      <c r="K4762" s="2"/>
    </row>
    <row r="4763" customFormat="false" ht="15" hidden="false" customHeight="false" outlineLevel="0" collapsed="false">
      <c r="A4763" s="2" t="s">
        <v>355</v>
      </c>
      <c r="B4763" s="2" t="s">
        <v>356</v>
      </c>
      <c r="C4763" s="2" t="s">
        <v>32</v>
      </c>
      <c r="D4763" s="3" t="n">
        <v>46253</v>
      </c>
      <c r="E4763" s="2" t="str">
        <f aca="false">TEXT(D4763,"dddd")</f>
        <v>Wednesday</v>
      </c>
      <c r="F4763" s="2" t="s">
        <v>457</v>
      </c>
      <c r="G4763" s="2" t="s">
        <v>458</v>
      </c>
      <c r="H4763" s="2" t="s">
        <v>459</v>
      </c>
      <c r="I4763" s="2" t="n">
        <f aca="false">IF(F4763="Present",9,IF(F4763="Half Day",4,0))</f>
        <v>9</v>
      </c>
      <c r="J4763" s="2"/>
      <c r="K4763" s="2"/>
    </row>
    <row r="4764" customFormat="false" ht="15" hidden="false" customHeight="false" outlineLevel="0" collapsed="false">
      <c r="A4764" s="2" t="s">
        <v>355</v>
      </c>
      <c r="B4764" s="2" t="s">
        <v>356</v>
      </c>
      <c r="C4764" s="2" t="s">
        <v>32</v>
      </c>
      <c r="D4764" s="3" t="n">
        <v>46254</v>
      </c>
      <c r="E4764" s="2" t="str">
        <f aca="false">TEXT(D4764,"dddd")</f>
        <v>Thursday</v>
      </c>
      <c r="F4764" s="2" t="s">
        <v>466</v>
      </c>
      <c r="G4764" s="2" t="s">
        <v>458</v>
      </c>
      <c r="H4764" s="2" t="s">
        <v>467</v>
      </c>
      <c r="I4764" s="2" t="n">
        <f aca="false">IF(F4764="Present",9,IF(F4764="Half Day",4,0))</f>
        <v>4</v>
      </c>
      <c r="J4764" s="2"/>
      <c r="K4764" s="2" t="s">
        <v>466</v>
      </c>
    </row>
    <row r="4765" customFormat="false" ht="15" hidden="false" customHeight="false" outlineLevel="0" collapsed="false">
      <c r="A4765" s="2" t="s">
        <v>355</v>
      </c>
      <c r="B4765" s="2" t="s">
        <v>356</v>
      </c>
      <c r="C4765" s="2" t="s">
        <v>32</v>
      </c>
      <c r="D4765" s="3" t="n">
        <v>46255</v>
      </c>
      <c r="E4765" s="2" t="str">
        <f aca="false">TEXT(D4765,"dddd")</f>
        <v>Friday</v>
      </c>
      <c r="F4765" s="2" t="s">
        <v>457</v>
      </c>
      <c r="G4765" s="2" t="s">
        <v>458</v>
      </c>
      <c r="H4765" s="2" t="s">
        <v>459</v>
      </c>
      <c r="I4765" s="2" t="n">
        <f aca="false">IF(F4765="Present",9,IF(F4765="Half Day",4,0))</f>
        <v>9</v>
      </c>
      <c r="J4765" s="2"/>
      <c r="K4765" s="2"/>
    </row>
    <row r="4766" customFormat="false" ht="15" hidden="false" customHeight="false" outlineLevel="0" collapsed="false">
      <c r="A4766" s="2" t="s">
        <v>355</v>
      </c>
      <c r="B4766" s="2" t="s">
        <v>356</v>
      </c>
      <c r="C4766" s="2" t="s">
        <v>32</v>
      </c>
      <c r="D4766" s="3" t="n">
        <v>46256</v>
      </c>
      <c r="E4766" s="2" t="str">
        <f aca="false">TEXT(D4766,"dddd")</f>
        <v>Saturday</v>
      </c>
      <c r="F4766" s="2" t="s">
        <v>461</v>
      </c>
      <c r="G4766" s="2"/>
      <c r="H4766" s="2"/>
      <c r="I4766" s="2" t="n">
        <f aca="false">IF(F4766="Present",9,IF(F4766="Half Day",4,0))</f>
        <v>0</v>
      </c>
      <c r="J4766" s="2"/>
      <c r="K4766" s="2" t="s">
        <v>462</v>
      </c>
    </row>
    <row r="4767" customFormat="false" ht="15" hidden="false" customHeight="false" outlineLevel="0" collapsed="false">
      <c r="A4767" s="2" t="s">
        <v>355</v>
      </c>
      <c r="B4767" s="2" t="s">
        <v>356</v>
      </c>
      <c r="C4767" s="2" t="s">
        <v>32</v>
      </c>
      <c r="D4767" s="3" t="n">
        <v>46257</v>
      </c>
      <c r="E4767" s="2" t="str">
        <f aca="false">TEXT(D4767,"dddd")</f>
        <v>Sunday</v>
      </c>
      <c r="F4767" s="2" t="s">
        <v>460</v>
      </c>
      <c r="G4767" s="2"/>
      <c r="H4767" s="2"/>
      <c r="I4767" s="2" t="n">
        <f aca="false">IF(F4767="Present",9,IF(F4767="Half Day",4,0))</f>
        <v>0</v>
      </c>
      <c r="J4767" s="2"/>
      <c r="K4767" s="2" t="s">
        <v>460</v>
      </c>
    </row>
    <row r="4768" customFormat="false" ht="15" hidden="false" customHeight="false" outlineLevel="0" collapsed="false">
      <c r="A4768" s="2" t="s">
        <v>355</v>
      </c>
      <c r="B4768" s="2" t="s">
        <v>356</v>
      </c>
      <c r="C4768" s="2" t="s">
        <v>32</v>
      </c>
      <c r="D4768" s="3" t="n">
        <v>46258</v>
      </c>
      <c r="E4768" s="2" t="str">
        <f aca="false">TEXT(D4768,"dddd")</f>
        <v>Monday</v>
      </c>
      <c r="F4768" s="2" t="s">
        <v>457</v>
      </c>
      <c r="G4768" s="2" t="s">
        <v>458</v>
      </c>
      <c r="H4768" s="2" t="s">
        <v>459</v>
      </c>
      <c r="I4768" s="2" t="n">
        <f aca="false">IF(F4768="Present",9,IF(F4768="Half Day",4,0))</f>
        <v>9</v>
      </c>
      <c r="J4768" s="2"/>
      <c r="K4768" s="2"/>
    </row>
    <row r="4769" customFormat="false" ht="15" hidden="false" customHeight="false" outlineLevel="0" collapsed="false">
      <c r="A4769" s="2" t="s">
        <v>355</v>
      </c>
      <c r="B4769" s="2" t="s">
        <v>356</v>
      </c>
      <c r="C4769" s="2" t="s">
        <v>32</v>
      </c>
      <c r="D4769" s="3" t="n">
        <v>46259</v>
      </c>
      <c r="E4769" s="2" t="str">
        <f aca="false">TEXT(D4769,"dddd")</f>
        <v>Tuesday</v>
      </c>
      <c r="F4769" s="2" t="s">
        <v>461</v>
      </c>
      <c r="G4769" s="2"/>
      <c r="H4769" s="2"/>
      <c r="I4769" s="2" t="n">
        <f aca="false">IF(F4769="Present",9,IF(F4769="Half Day",4,0))</f>
        <v>0</v>
      </c>
      <c r="J4769" s="2"/>
      <c r="K4769" s="2" t="s">
        <v>462</v>
      </c>
    </row>
    <row r="4770" customFormat="false" ht="15" hidden="false" customHeight="false" outlineLevel="0" collapsed="false">
      <c r="A4770" s="2" t="s">
        <v>355</v>
      </c>
      <c r="B4770" s="2" t="s">
        <v>356</v>
      </c>
      <c r="C4770" s="2" t="s">
        <v>32</v>
      </c>
      <c r="D4770" s="3" t="n">
        <v>46260</v>
      </c>
      <c r="E4770" s="2" t="str">
        <f aca="false">TEXT(D4770,"dddd")</f>
        <v>Wednesday</v>
      </c>
      <c r="F4770" s="2" t="s">
        <v>457</v>
      </c>
      <c r="G4770" s="2" t="s">
        <v>458</v>
      </c>
      <c r="H4770" s="2" t="s">
        <v>459</v>
      </c>
      <c r="I4770" s="2" t="n">
        <f aca="false">IF(F4770="Present",9,IF(F4770="Half Day",4,0))</f>
        <v>9</v>
      </c>
      <c r="J4770" s="2"/>
      <c r="K4770" s="2"/>
    </row>
    <row r="4771" customFormat="false" ht="15" hidden="false" customHeight="false" outlineLevel="0" collapsed="false">
      <c r="A4771" s="2" t="s">
        <v>355</v>
      </c>
      <c r="B4771" s="2" t="s">
        <v>356</v>
      </c>
      <c r="C4771" s="2" t="s">
        <v>32</v>
      </c>
      <c r="D4771" s="3" t="n">
        <v>46261</v>
      </c>
      <c r="E4771" s="2" t="str">
        <f aca="false">TEXT(D4771,"dddd")</f>
        <v>Thursday</v>
      </c>
      <c r="F4771" s="2" t="s">
        <v>457</v>
      </c>
      <c r="G4771" s="2" t="s">
        <v>458</v>
      </c>
      <c r="H4771" s="2" t="s">
        <v>459</v>
      </c>
      <c r="I4771" s="2" t="n">
        <f aca="false">IF(F4771="Present",9,IF(F4771="Half Day",4,0))</f>
        <v>9</v>
      </c>
      <c r="J4771" s="2"/>
      <c r="K4771" s="2"/>
    </row>
    <row r="4772" customFormat="false" ht="15" hidden="false" customHeight="false" outlineLevel="0" collapsed="false">
      <c r="A4772" s="2" t="s">
        <v>355</v>
      </c>
      <c r="B4772" s="2" t="s">
        <v>356</v>
      </c>
      <c r="C4772" s="2" t="s">
        <v>32</v>
      </c>
      <c r="D4772" s="3" t="n">
        <v>46262</v>
      </c>
      <c r="E4772" s="2" t="str">
        <f aca="false">TEXT(D4772,"dddd")</f>
        <v>Friday</v>
      </c>
      <c r="F4772" s="2" t="s">
        <v>457</v>
      </c>
      <c r="G4772" s="2" t="s">
        <v>458</v>
      </c>
      <c r="H4772" s="2" t="s">
        <v>459</v>
      </c>
      <c r="I4772" s="2" t="n">
        <f aca="false">IF(F4772="Present",9,IF(F4772="Half Day",4,0))</f>
        <v>9</v>
      </c>
      <c r="J4772" s="2"/>
      <c r="K4772" s="2"/>
    </row>
    <row r="4773" customFormat="false" ht="15" hidden="false" customHeight="false" outlineLevel="0" collapsed="false">
      <c r="A4773" s="2" t="s">
        <v>355</v>
      </c>
      <c r="B4773" s="2" t="s">
        <v>356</v>
      </c>
      <c r="C4773" s="2" t="s">
        <v>32</v>
      </c>
      <c r="D4773" s="3" t="n">
        <v>46263</v>
      </c>
      <c r="E4773" s="2" t="str">
        <f aca="false">TEXT(D4773,"dddd")</f>
        <v>Saturday</v>
      </c>
      <c r="F4773" s="2" t="s">
        <v>457</v>
      </c>
      <c r="G4773" s="2" t="s">
        <v>458</v>
      </c>
      <c r="H4773" s="2" t="s">
        <v>459</v>
      </c>
      <c r="I4773" s="2" t="n">
        <f aca="false">IF(F4773="Present",9,IF(F4773="Half Day",4,0))</f>
        <v>9</v>
      </c>
      <c r="J4773" s="2"/>
      <c r="K4773" s="2"/>
    </row>
    <row r="4774" customFormat="false" ht="15" hidden="false" customHeight="false" outlineLevel="0" collapsed="false">
      <c r="A4774" s="2" t="s">
        <v>355</v>
      </c>
      <c r="B4774" s="2" t="s">
        <v>356</v>
      </c>
      <c r="C4774" s="2" t="s">
        <v>32</v>
      </c>
      <c r="D4774" s="3" t="n">
        <v>46264</v>
      </c>
      <c r="E4774" s="2" t="str">
        <f aca="false">TEXT(D4774,"dddd")</f>
        <v>Sunday</v>
      </c>
      <c r="F4774" s="2" t="s">
        <v>460</v>
      </c>
      <c r="G4774" s="2"/>
      <c r="H4774" s="2"/>
      <c r="I4774" s="2" t="n">
        <f aca="false">IF(F4774="Present",9,IF(F4774="Half Day",4,0))</f>
        <v>0</v>
      </c>
      <c r="J4774" s="2"/>
      <c r="K4774" s="2" t="s">
        <v>460</v>
      </c>
    </row>
    <row r="4775" customFormat="false" ht="15" hidden="false" customHeight="false" outlineLevel="0" collapsed="false">
      <c r="A4775" s="2" t="s">
        <v>355</v>
      </c>
      <c r="B4775" s="2" t="s">
        <v>356</v>
      </c>
      <c r="C4775" s="2" t="s">
        <v>32</v>
      </c>
      <c r="D4775" s="3" t="n">
        <v>46265</v>
      </c>
      <c r="E4775" s="2" t="str">
        <f aca="false">TEXT(D4775,"dddd")</f>
        <v>Monday</v>
      </c>
      <c r="F4775" s="2" t="s">
        <v>457</v>
      </c>
      <c r="G4775" s="2" t="s">
        <v>458</v>
      </c>
      <c r="H4775" s="2" t="s">
        <v>459</v>
      </c>
      <c r="I4775" s="2" t="n">
        <f aca="false">IF(F4775="Present",9,IF(F4775="Half Day",4,0))</f>
        <v>9</v>
      </c>
      <c r="J4775" s="2"/>
      <c r="K4775" s="2"/>
    </row>
    <row r="4776" customFormat="false" ht="15" hidden="false" customHeight="false" outlineLevel="0" collapsed="false">
      <c r="A4776" s="2" t="s">
        <v>357</v>
      </c>
      <c r="B4776" s="2" t="s">
        <v>358</v>
      </c>
      <c r="C4776" s="2" t="s">
        <v>36</v>
      </c>
      <c r="D4776" s="3" t="n">
        <v>46235</v>
      </c>
      <c r="E4776" s="2" t="str">
        <f aca="false">TEXT(D4776,"dddd")</f>
        <v>Saturday</v>
      </c>
      <c r="F4776" s="2" t="s">
        <v>457</v>
      </c>
      <c r="G4776" s="2" t="s">
        <v>458</v>
      </c>
      <c r="H4776" s="2" t="s">
        <v>459</v>
      </c>
      <c r="I4776" s="2" t="n">
        <f aca="false">IF(F4776="Present",9,IF(F4776="Half Day",4,0))</f>
        <v>9</v>
      </c>
      <c r="J4776" s="2"/>
      <c r="K4776" s="2"/>
    </row>
    <row r="4777" customFormat="false" ht="15" hidden="false" customHeight="false" outlineLevel="0" collapsed="false">
      <c r="A4777" s="2" t="s">
        <v>357</v>
      </c>
      <c r="B4777" s="2" t="s">
        <v>358</v>
      </c>
      <c r="C4777" s="2" t="s">
        <v>36</v>
      </c>
      <c r="D4777" s="3" t="n">
        <v>46236</v>
      </c>
      <c r="E4777" s="2" t="str">
        <f aca="false">TEXT(D4777,"dddd")</f>
        <v>Sunday</v>
      </c>
      <c r="F4777" s="2" t="s">
        <v>460</v>
      </c>
      <c r="G4777" s="2"/>
      <c r="H4777" s="2"/>
      <c r="I4777" s="2" t="n">
        <f aca="false">IF(F4777="Present",9,IF(F4777="Half Day",4,0))</f>
        <v>0</v>
      </c>
      <c r="J4777" s="2"/>
      <c r="K4777" s="2" t="s">
        <v>460</v>
      </c>
    </row>
    <row r="4778" customFormat="false" ht="15" hidden="false" customHeight="false" outlineLevel="0" collapsed="false">
      <c r="A4778" s="2" t="s">
        <v>357</v>
      </c>
      <c r="B4778" s="2" t="s">
        <v>358</v>
      </c>
      <c r="C4778" s="2" t="s">
        <v>36</v>
      </c>
      <c r="D4778" s="3" t="n">
        <v>46237</v>
      </c>
      <c r="E4778" s="2" t="str">
        <f aca="false">TEXT(D4778,"dddd")</f>
        <v>Monday</v>
      </c>
      <c r="F4778" s="2" t="s">
        <v>463</v>
      </c>
      <c r="G4778" s="2"/>
      <c r="H4778" s="2"/>
      <c r="I4778" s="2" t="n">
        <f aca="false">IF(F4778="Present",9,IF(F4778="Half Day",4,0))</f>
        <v>0</v>
      </c>
      <c r="J4778" s="2" t="s">
        <v>472</v>
      </c>
      <c r="K4778" s="2" t="s">
        <v>473</v>
      </c>
    </row>
    <row r="4779" customFormat="false" ht="15" hidden="false" customHeight="false" outlineLevel="0" collapsed="false">
      <c r="A4779" s="2" t="s">
        <v>357</v>
      </c>
      <c r="B4779" s="2" t="s">
        <v>358</v>
      </c>
      <c r="C4779" s="2" t="s">
        <v>36</v>
      </c>
      <c r="D4779" s="3" t="n">
        <v>46238</v>
      </c>
      <c r="E4779" s="2" t="str">
        <f aca="false">TEXT(D4779,"dddd")</f>
        <v>Tuesday</v>
      </c>
      <c r="F4779" s="2" t="s">
        <v>457</v>
      </c>
      <c r="G4779" s="2" t="s">
        <v>458</v>
      </c>
      <c r="H4779" s="2" t="s">
        <v>459</v>
      </c>
      <c r="I4779" s="2" t="n">
        <f aca="false">IF(F4779="Present",9,IF(F4779="Half Day",4,0))</f>
        <v>9</v>
      </c>
      <c r="J4779" s="2"/>
      <c r="K4779" s="2"/>
    </row>
    <row r="4780" customFormat="false" ht="15" hidden="false" customHeight="false" outlineLevel="0" collapsed="false">
      <c r="A4780" s="2" t="s">
        <v>357</v>
      </c>
      <c r="B4780" s="2" t="s">
        <v>358</v>
      </c>
      <c r="C4780" s="2" t="s">
        <v>36</v>
      </c>
      <c r="D4780" s="3" t="n">
        <v>46239</v>
      </c>
      <c r="E4780" s="2" t="str">
        <f aca="false">TEXT(D4780,"dddd")</f>
        <v>Wednesday</v>
      </c>
      <c r="F4780" s="2" t="s">
        <v>457</v>
      </c>
      <c r="G4780" s="2" t="s">
        <v>458</v>
      </c>
      <c r="H4780" s="2" t="s">
        <v>459</v>
      </c>
      <c r="I4780" s="2" t="n">
        <f aca="false">IF(F4780="Present",9,IF(F4780="Half Day",4,0))</f>
        <v>9</v>
      </c>
      <c r="J4780" s="2"/>
      <c r="K4780" s="2"/>
    </row>
    <row r="4781" customFormat="false" ht="15" hidden="false" customHeight="false" outlineLevel="0" collapsed="false">
      <c r="A4781" s="2" t="s">
        <v>357</v>
      </c>
      <c r="B4781" s="2" t="s">
        <v>358</v>
      </c>
      <c r="C4781" s="2" t="s">
        <v>36</v>
      </c>
      <c r="D4781" s="3" t="n">
        <v>46240</v>
      </c>
      <c r="E4781" s="2" t="str">
        <f aca="false">TEXT(D4781,"dddd")</f>
        <v>Thursday</v>
      </c>
      <c r="F4781" s="2" t="s">
        <v>457</v>
      </c>
      <c r="G4781" s="2" t="s">
        <v>458</v>
      </c>
      <c r="H4781" s="2" t="s">
        <v>459</v>
      </c>
      <c r="I4781" s="2" t="n">
        <f aca="false">IF(F4781="Present",9,IF(F4781="Half Day",4,0))</f>
        <v>9</v>
      </c>
      <c r="J4781" s="2"/>
      <c r="K4781" s="2"/>
    </row>
    <row r="4782" customFormat="false" ht="15" hidden="false" customHeight="false" outlineLevel="0" collapsed="false">
      <c r="A4782" s="2" t="s">
        <v>357</v>
      </c>
      <c r="B4782" s="2" t="s">
        <v>358</v>
      </c>
      <c r="C4782" s="2" t="s">
        <v>36</v>
      </c>
      <c r="D4782" s="3" t="n">
        <v>46241</v>
      </c>
      <c r="E4782" s="2" t="str">
        <f aca="false">TEXT(D4782,"dddd")</f>
        <v>Friday</v>
      </c>
      <c r="F4782" s="2" t="s">
        <v>457</v>
      </c>
      <c r="G4782" s="2" t="s">
        <v>458</v>
      </c>
      <c r="H4782" s="2" t="s">
        <v>459</v>
      </c>
      <c r="I4782" s="2" t="n">
        <f aca="false">IF(F4782="Present",9,IF(F4782="Half Day",4,0))</f>
        <v>9</v>
      </c>
      <c r="J4782" s="2"/>
      <c r="K4782" s="2"/>
    </row>
    <row r="4783" customFormat="false" ht="15" hidden="false" customHeight="false" outlineLevel="0" collapsed="false">
      <c r="A4783" s="2" t="s">
        <v>357</v>
      </c>
      <c r="B4783" s="2" t="s">
        <v>358</v>
      </c>
      <c r="C4783" s="2" t="s">
        <v>36</v>
      </c>
      <c r="D4783" s="3" t="n">
        <v>46242</v>
      </c>
      <c r="E4783" s="2" t="str">
        <f aca="false">TEXT(D4783,"dddd")</f>
        <v>Saturday</v>
      </c>
      <c r="F4783" s="2" t="s">
        <v>457</v>
      </c>
      <c r="G4783" s="2" t="s">
        <v>458</v>
      </c>
      <c r="H4783" s="2" t="s">
        <v>459</v>
      </c>
      <c r="I4783" s="2" t="n">
        <f aca="false">IF(F4783="Present",9,IF(F4783="Half Day",4,0))</f>
        <v>9</v>
      </c>
      <c r="J4783" s="2"/>
      <c r="K4783" s="2"/>
    </row>
    <row r="4784" customFormat="false" ht="15" hidden="false" customHeight="false" outlineLevel="0" collapsed="false">
      <c r="A4784" s="2" t="s">
        <v>357</v>
      </c>
      <c r="B4784" s="2" t="s">
        <v>358</v>
      </c>
      <c r="C4784" s="2" t="s">
        <v>36</v>
      </c>
      <c r="D4784" s="3" t="n">
        <v>46243</v>
      </c>
      <c r="E4784" s="2" t="str">
        <f aca="false">TEXT(D4784,"dddd")</f>
        <v>Sunday</v>
      </c>
      <c r="F4784" s="2" t="s">
        <v>460</v>
      </c>
      <c r="G4784" s="2"/>
      <c r="H4784" s="2"/>
      <c r="I4784" s="2" t="n">
        <f aca="false">IF(F4784="Present",9,IF(F4784="Half Day",4,0))</f>
        <v>0</v>
      </c>
      <c r="J4784" s="2"/>
      <c r="K4784" s="2" t="s">
        <v>460</v>
      </c>
    </row>
    <row r="4785" customFormat="false" ht="15" hidden="false" customHeight="false" outlineLevel="0" collapsed="false">
      <c r="A4785" s="2" t="s">
        <v>357</v>
      </c>
      <c r="B4785" s="2" t="s">
        <v>358</v>
      </c>
      <c r="C4785" s="2" t="s">
        <v>36</v>
      </c>
      <c r="D4785" s="3" t="n">
        <v>46244</v>
      </c>
      <c r="E4785" s="2" t="str">
        <f aca="false">TEXT(D4785,"dddd")</f>
        <v>Monday</v>
      </c>
      <c r="F4785" s="2" t="s">
        <v>457</v>
      </c>
      <c r="G4785" s="2" t="s">
        <v>458</v>
      </c>
      <c r="H4785" s="2" t="s">
        <v>459</v>
      </c>
      <c r="I4785" s="2" t="n">
        <f aca="false">IF(F4785="Present",9,IF(F4785="Half Day",4,0))</f>
        <v>9</v>
      </c>
      <c r="J4785" s="2"/>
      <c r="K4785" s="2"/>
    </row>
    <row r="4786" customFormat="false" ht="15" hidden="false" customHeight="false" outlineLevel="0" collapsed="false">
      <c r="A4786" s="2" t="s">
        <v>357</v>
      </c>
      <c r="B4786" s="2" t="s">
        <v>358</v>
      </c>
      <c r="C4786" s="2" t="s">
        <v>36</v>
      </c>
      <c r="D4786" s="3" t="n">
        <v>46245</v>
      </c>
      <c r="E4786" s="2" t="str">
        <f aca="false">TEXT(D4786,"dddd")</f>
        <v>Tuesday</v>
      </c>
      <c r="F4786" s="2" t="s">
        <v>457</v>
      </c>
      <c r="G4786" s="2" t="s">
        <v>458</v>
      </c>
      <c r="H4786" s="2" t="s">
        <v>459</v>
      </c>
      <c r="I4786" s="2" t="n">
        <f aca="false">IF(F4786="Present",9,IF(F4786="Half Day",4,0))</f>
        <v>9</v>
      </c>
      <c r="J4786" s="2"/>
      <c r="K4786" s="2"/>
    </row>
    <row r="4787" customFormat="false" ht="15" hidden="false" customHeight="false" outlineLevel="0" collapsed="false">
      <c r="A4787" s="2" t="s">
        <v>357</v>
      </c>
      <c r="B4787" s="2" t="s">
        <v>358</v>
      </c>
      <c r="C4787" s="2" t="s">
        <v>36</v>
      </c>
      <c r="D4787" s="3" t="n">
        <v>46246</v>
      </c>
      <c r="E4787" s="2" t="str">
        <f aca="false">TEXT(D4787,"dddd")</f>
        <v>Wednesday</v>
      </c>
      <c r="F4787" s="2" t="s">
        <v>457</v>
      </c>
      <c r="G4787" s="2" t="s">
        <v>458</v>
      </c>
      <c r="H4787" s="2" t="s">
        <v>459</v>
      </c>
      <c r="I4787" s="2" t="n">
        <f aca="false">IF(F4787="Present",9,IF(F4787="Half Day",4,0))</f>
        <v>9</v>
      </c>
      <c r="J4787" s="2"/>
      <c r="K4787" s="2"/>
    </row>
    <row r="4788" customFormat="false" ht="15" hidden="false" customHeight="false" outlineLevel="0" collapsed="false">
      <c r="A4788" s="2" t="s">
        <v>357</v>
      </c>
      <c r="B4788" s="2" t="s">
        <v>358</v>
      </c>
      <c r="C4788" s="2" t="s">
        <v>36</v>
      </c>
      <c r="D4788" s="3" t="n">
        <v>46247</v>
      </c>
      <c r="E4788" s="2" t="str">
        <f aca="false">TEXT(D4788,"dddd")</f>
        <v>Thursday</v>
      </c>
      <c r="F4788" s="2" t="s">
        <v>457</v>
      </c>
      <c r="G4788" s="2" t="s">
        <v>458</v>
      </c>
      <c r="H4788" s="2" t="s">
        <v>459</v>
      </c>
      <c r="I4788" s="2" t="n">
        <f aca="false">IF(F4788="Present",9,IF(F4788="Half Day",4,0))</f>
        <v>9</v>
      </c>
      <c r="J4788" s="2"/>
      <c r="K4788" s="2"/>
    </row>
    <row r="4789" customFormat="false" ht="15" hidden="false" customHeight="false" outlineLevel="0" collapsed="false">
      <c r="A4789" s="2" t="s">
        <v>357</v>
      </c>
      <c r="B4789" s="2" t="s">
        <v>358</v>
      </c>
      <c r="C4789" s="2" t="s">
        <v>36</v>
      </c>
      <c r="D4789" s="3" t="n">
        <v>46248</v>
      </c>
      <c r="E4789" s="2" t="str">
        <f aca="false">TEXT(D4789,"dddd")</f>
        <v>Friday</v>
      </c>
      <c r="F4789" s="2" t="s">
        <v>457</v>
      </c>
      <c r="G4789" s="2" t="s">
        <v>458</v>
      </c>
      <c r="H4789" s="2" t="s">
        <v>459</v>
      </c>
      <c r="I4789" s="2" t="n">
        <f aca="false">IF(F4789="Present",9,IF(F4789="Half Day",4,0))</f>
        <v>9</v>
      </c>
      <c r="J4789" s="2"/>
      <c r="K4789" s="2"/>
    </row>
    <row r="4790" customFormat="false" ht="15" hidden="false" customHeight="false" outlineLevel="0" collapsed="false">
      <c r="A4790" s="2" t="s">
        <v>357</v>
      </c>
      <c r="B4790" s="2" t="s">
        <v>358</v>
      </c>
      <c r="C4790" s="2" t="s">
        <v>36</v>
      </c>
      <c r="D4790" s="3" t="n">
        <v>46249</v>
      </c>
      <c r="E4790" s="2" t="str">
        <f aca="false">TEXT(D4790,"dddd")</f>
        <v>Saturday</v>
      </c>
      <c r="F4790" s="2" t="s">
        <v>461</v>
      </c>
      <c r="G4790" s="2"/>
      <c r="H4790" s="2"/>
      <c r="I4790" s="2" t="n">
        <f aca="false">IF(F4790="Present",9,IF(F4790="Half Day",4,0))</f>
        <v>0</v>
      </c>
      <c r="J4790" s="2"/>
      <c r="K4790" s="2" t="s">
        <v>462</v>
      </c>
    </row>
    <row r="4791" customFormat="false" ht="15" hidden="false" customHeight="false" outlineLevel="0" collapsed="false">
      <c r="A4791" s="2" t="s">
        <v>357</v>
      </c>
      <c r="B4791" s="2" t="s">
        <v>358</v>
      </c>
      <c r="C4791" s="2" t="s">
        <v>36</v>
      </c>
      <c r="D4791" s="3" t="n">
        <v>46250</v>
      </c>
      <c r="E4791" s="2" t="str">
        <f aca="false">TEXT(D4791,"dddd")</f>
        <v>Sunday</v>
      </c>
      <c r="F4791" s="2" t="s">
        <v>460</v>
      </c>
      <c r="G4791" s="2"/>
      <c r="H4791" s="2"/>
      <c r="I4791" s="2" t="n">
        <f aca="false">IF(F4791="Present",9,IF(F4791="Half Day",4,0))</f>
        <v>0</v>
      </c>
      <c r="J4791" s="2"/>
      <c r="K4791" s="2" t="s">
        <v>460</v>
      </c>
    </row>
    <row r="4792" customFormat="false" ht="15" hidden="false" customHeight="false" outlineLevel="0" collapsed="false">
      <c r="A4792" s="2" t="s">
        <v>357</v>
      </c>
      <c r="B4792" s="2" t="s">
        <v>358</v>
      </c>
      <c r="C4792" s="2" t="s">
        <v>36</v>
      </c>
      <c r="D4792" s="3" t="n">
        <v>46251</v>
      </c>
      <c r="E4792" s="2" t="str">
        <f aca="false">TEXT(D4792,"dddd")</f>
        <v>Monday</v>
      </c>
      <c r="F4792" s="2" t="s">
        <v>466</v>
      </c>
      <c r="G4792" s="2" t="s">
        <v>458</v>
      </c>
      <c r="H4792" s="2" t="s">
        <v>467</v>
      </c>
      <c r="I4792" s="2" t="n">
        <f aca="false">IF(F4792="Present",9,IF(F4792="Half Day",4,0))</f>
        <v>4</v>
      </c>
      <c r="J4792" s="2"/>
      <c r="K4792" s="2" t="s">
        <v>466</v>
      </c>
    </row>
    <row r="4793" customFormat="false" ht="15" hidden="false" customHeight="false" outlineLevel="0" collapsed="false">
      <c r="A4793" s="2" t="s">
        <v>357</v>
      </c>
      <c r="B4793" s="2" t="s">
        <v>358</v>
      </c>
      <c r="C4793" s="2" t="s">
        <v>36</v>
      </c>
      <c r="D4793" s="3" t="n">
        <v>46252</v>
      </c>
      <c r="E4793" s="2" t="str">
        <f aca="false">TEXT(D4793,"dddd")</f>
        <v>Tuesday</v>
      </c>
      <c r="F4793" s="2" t="s">
        <v>457</v>
      </c>
      <c r="G4793" s="2" t="s">
        <v>458</v>
      </c>
      <c r="H4793" s="2" t="s">
        <v>459</v>
      </c>
      <c r="I4793" s="2" t="n">
        <f aca="false">IF(F4793="Present",9,IF(F4793="Half Day",4,0))</f>
        <v>9</v>
      </c>
      <c r="J4793" s="2"/>
      <c r="K4793" s="2"/>
    </row>
    <row r="4794" customFormat="false" ht="15" hidden="false" customHeight="false" outlineLevel="0" collapsed="false">
      <c r="A4794" s="2" t="s">
        <v>357</v>
      </c>
      <c r="B4794" s="2" t="s">
        <v>358</v>
      </c>
      <c r="C4794" s="2" t="s">
        <v>36</v>
      </c>
      <c r="D4794" s="3" t="n">
        <v>46253</v>
      </c>
      <c r="E4794" s="2" t="str">
        <f aca="false">TEXT(D4794,"dddd")</f>
        <v>Wednesday</v>
      </c>
      <c r="F4794" s="2" t="s">
        <v>461</v>
      </c>
      <c r="G4794" s="2"/>
      <c r="H4794" s="2"/>
      <c r="I4794" s="2" t="n">
        <f aca="false">IF(F4794="Present",9,IF(F4794="Half Day",4,0))</f>
        <v>0</v>
      </c>
      <c r="J4794" s="2"/>
      <c r="K4794" s="2" t="s">
        <v>462</v>
      </c>
    </row>
    <row r="4795" customFormat="false" ht="15" hidden="false" customHeight="false" outlineLevel="0" collapsed="false">
      <c r="A4795" s="2" t="s">
        <v>357</v>
      </c>
      <c r="B4795" s="2" t="s">
        <v>358</v>
      </c>
      <c r="C4795" s="2" t="s">
        <v>36</v>
      </c>
      <c r="D4795" s="3" t="n">
        <v>46254</v>
      </c>
      <c r="E4795" s="2" t="str">
        <f aca="false">TEXT(D4795,"dddd")</f>
        <v>Thursday</v>
      </c>
      <c r="F4795" s="2" t="s">
        <v>457</v>
      </c>
      <c r="G4795" s="2" t="s">
        <v>458</v>
      </c>
      <c r="H4795" s="2" t="s">
        <v>459</v>
      </c>
      <c r="I4795" s="2" t="n">
        <f aca="false">IF(F4795="Present",9,IF(F4795="Half Day",4,0))</f>
        <v>9</v>
      </c>
      <c r="J4795" s="2"/>
      <c r="K4795" s="2"/>
    </row>
    <row r="4796" customFormat="false" ht="15" hidden="false" customHeight="false" outlineLevel="0" collapsed="false">
      <c r="A4796" s="2" t="s">
        <v>357</v>
      </c>
      <c r="B4796" s="2" t="s">
        <v>358</v>
      </c>
      <c r="C4796" s="2" t="s">
        <v>36</v>
      </c>
      <c r="D4796" s="3" t="n">
        <v>46255</v>
      </c>
      <c r="E4796" s="2" t="str">
        <f aca="false">TEXT(D4796,"dddd")</f>
        <v>Friday</v>
      </c>
      <c r="F4796" s="2" t="s">
        <v>457</v>
      </c>
      <c r="G4796" s="2" t="s">
        <v>458</v>
      </c>
      <c r="H4796" s="2" t="s">
        <v>459</v>
      </c>
      <c r="I4796" s="2" t="n">
        <f aca="false">IF(F4796="Present",9,IF(F4796="Half Day",4,0))</f>
        <v>9</v>
      </c>
      <c r="J4796" s="2"/>
      <c r="K4796" s="2"/>
    </row>
    <row r="4797" customFormat="false" ht="15" hidden="false" customHeight="false" outlineLevel="0" collapsed="false">
      <c r="A4797" s="2" t="s">
        <v>357</v>
      </c>
      <c r="B4797" s="2" t="s">
        <v>358</v>
      </c>
      <c r="C4797" s="2" t="s">
        <v>36</v>
      </c>
      <c r="D4797" s="3" t="n">
        <v>46256</v>
      </c>
      <c r="E4797" s="2" t="str">
        <f aca="false">TEXT(D4797,"dddd")</f>
        <v>Saturday</v>
      </c>
      <c r="F4797" s="2" t="s">
        <v>457</v>
      </c>
      <c r="G4797" s="2" t="s">
        <v>458</v>
      </c>
      <c r="H4797" s="2" t="s">
        <v>459</v>
      </c>
      <c r="I4797" s="2" t="n">
        <f aca="false">IF(F4797="Present",9,IF(F4797="Half Day",4,0))</f>
        <v>9</v>
      </c>
      <c r="J4797" s="2"/>
      <c r="K4797" s="2"/>
    </row>
    <row r="4798" customFormat="false" ht="15" hidden="false" customHeight="false" outlineLevel="0" collapsed="false">
      <c r="A4798" s="2" t="s">
        <v>357</v>
      </c>
      <c r="B4798" s="2" t="s">
        <v>358</v>
      </c>
      <c r="C4798" s="2" t="s">
        <v>36</v>
      </c>
      <c r="D4798" s="3" t="n">
        <v>46257</v>
      </c>
      <c r="E4798" s="2" t="str">
        <f aca="false">TEXT(D4798,"dddd")</f>
        <v>Sunday</v>
      </c>
      <c r="F4798" s="2" t="s">
        <v>460</v>
      </c>
      <c r="G4798" s="2"/>
      <c r="H4798" s="2"/>
      <c r="I4798" s="2" t="n">
        <f aca="false">IF(F4798="Present",9,IF(F4798="Half Day",4,0))</f>
        <v>0</v>
      </c>
      <c r="J4798" s="2"/>
      <c r="K4798" s="2" t="s">
        <v>460</v>
      </c>
    </row>
    <row r="4799" customFormat="false" ht="15" hidden="false" customHeight="false" outlineLevel="0" collapsed="false">
      <c r="A4799" s="2" t="s">
        <v>357</v>
      </c>
      <c r="B4799" s="2" t="s">
        <v>358</v>
      </c>
      <c r="C4799" s="2" t="s">
        <v>36</v>
      </c>
      <c r="D4799" s="3" t="n">
        <v>46258</v>
      </c>
      <c r="E4799" s="2" t="str">
        <f aca="false">TEXT(D4799,"dddd")</f>
        <v>Monday</v>
      </c>
      <c r="F4799" s="2" t="s">
        <v>457</v>
      </c>
      <c r="G4799" s="2" t="s">
        <v>458</v>
      </c>
      <c r="H4799" s="2" t="s">
        <v>459</v>
      </c>
      <c r="I4799" s="2" t="n">
        <f aca="false">IF(F4799="Present",9,IF(F4799="Half Day",4,0))</f>
        <v>9</v>
      </c>
      <c r="J4799" s="2"/>
      <c r="K4799" s="2"/>
    </row>
    <row r="4800" customFormat="false" ht="15" hidden="false" customHeight="false" outlineLevel="0" collapsed="false">
      <c r="A4800" s="2" t="s">
        <v>357</v>
      </c>
      <c r="B4800" s="2" t="s">
        <v>358</v>
      </c>
      <c r="C4800" s="2" t="s">
        <v>36</v>
      </c>
      <c r="D4800" s="3" t="n">
        <v>46259</v>
      </c>
      <c r="E4800" s="2" t="str">
        <f aca="false">TEXT(D4800,"dddd")</f>
        <v>Tuesday</v>
      </c>
      <c r="F4800" s="2" t="s">
        <v>457</v>
      </c>
      <c r="G4800" s="2" t="s">
        <v>458</v>
      </c>
      <c r="H4800" s="2" t="s">
        <v>459</v>
      </c>
      <c r="I4800" s="2" t="n">
        <f aca="false">IF(F4800="Present",9,IF(F4800="Half Day",4,0))</f>
        <v>9</v>
      </c>
      <c r="J4800" s="2"/>
      <c r="K4800" s="2"/>
    </row>
    <row r="4801" customFormat="false" ht="15" hidden="false" customHeight="false" outlineLevel="0" collapsed="false">
      <c r="A4801" s="2" t="s">
        <v>357</v>
      </c>
      <c r="B4801" s="2" t="s">
        <v>358</v>
      </c>
      <c r="C4801" s="2" t="s">
        <v>36</v>
      </c>
      <c r="D4801" s="3" t="n">
        <v>46260</v>
      </c>
      <c r="E4801" s="2" t="str">
        <f aca="false">TEXT(D4801,"dddd")</f>
        <v>Wednesday</v>
      </c>
      <c r="F4801" s="2" t="s">
        <v>457</v>
      </c>
      <c r="G4801" s="2" t="s">
        <v>458</v>
      </c>
      <c r="H4801" s="2" t="s">
        <v>459</v>
      </c>
      <c r="I4801" s="2" t="n">
        <f aca="false">IF(F4801="Present",9,IF(F4801="Half Day",4,0))</f>
        <v>9</v>
      </c>
      <c r="J4801" s="2"/>
      <c r="K4801" s="2"/>
    </row>
    <row r="4802" customFormat="false" ht="15" hidden="false" customHeight="false" outlineLevel="0" collapsed="false">
      <c r="A4802" s="2" t="s">
        <v>357</v>
      </c>
      <c r="B4802" s="2" t="s">
        <v>358</v>
      </c>
      <c r="C4802" s="2" t="s">
        <v>36</v>
      </c>
      <c r="D4802" s="3" t="n">
        <v>46261</v>
      </c>
      <c r="E4802" s="2" t="str">
        <f aca="false">TEXT(D4802,"dddd")</f>
        <v>Thursday</v>
      </c>
      <c r="F4802" s="2" t="s">
        <v>461</v>
      </c>
      <c r="G4802" s="2"/>
      <c r="H4802" s="2"/>
      <c r="I4802" s="2" t="n">
        <f aca="false">IF(F4802="Present",9,IF(F4802="Half Day",4,0))</f>
        <v>0</v>
      </c>
      <c r="J4802" s="2"/>
      <c r="K4802" s="2" t="s">
        <v>462</v>
      </c>
    </row>
    <row r="4803" customFormat="false" ht="15" hidden="false" customHeight="false" outlineLevel="0" collapsed="false">
      <c r="A4803" s="2" t="s">
        <v>357</v>
      </c>
      <c r="B4803" s="2" t="s">
        <v>358</v>
      </c>
      <c r="C4803" s="2" t="s">
        <v>36</v>
      </c>
      <c r="D4803" s="3" t="n">
        <v>46262</v>
      </c>
      <c r="E4803" s="2" t="str">
        <f aca="false">TEXT(D4803,"dddd")</f>
        <v>Friday</v>
      </c>
      <c r="F4803" s="2" t="s">
        <v>466</v>
      </c>
      <c r="G4803" s="2" t="s">
        <v>458</v>
      </c>
      <c r="H4803" s="2" t="s">
        <v>467</v>
      </c>
      <c r="I4803" s="2" t="n">
        <f aca="false">IF(F4803="Present",9,IF(F4803="Half Day",4,0))</f>
        <v>4</v>
      </c>
      <c r="J4803" s="2"/>
      <c r="K4803" s="2" t="s">
        <v>466</v>
      </c>
    </row>
    <row r="4804" customFormat="false" ht="15" hidden="false" customHeight="false" outlineLevel="0" collapsed="false">
      <c r="A4804" s="2" t="s">
        <v>357</v>
      </c>
      <c r="B4804" s="2" t="s">
        <v>358</v>
      </c>
      <c r="C4804" s="2" t="s">
        <v>36</v>
      </c>
      <c r="D4804" s="3" t="n">
        <v>46263</v>
      </c>
      <c r="E4804" s="2" t="str">
        <f aca="false">TEXT(D4804,"dddd")</f>
        <v>Saturday</v>
      </c>
      <c r="F4804" s="2" t="s">
        <v>457</v>
      </c>
      <c r="G4804" s="2" t="s">
        <v>458</v>
      </c>
      <c r="H4804" s="2" t="s">
        <v>459</v>
      </c>
      <c r="I4804" s="2" t="n">
        <f aca="false">IF(F4804="Present",9,IF(F4804="Half Day",4,0))</f>
        <v>9</v>
      </c>
      <c r="J4804" s="2"/>
      <c r="K4804" s="2"/>
    </row>
    <row r="4805" customFormat="false" ht="15" hidden="false" customHeight="false" outlineLevel="0" collapsed="false">
      <c r="A4805" s="2" t="s">
        <v>357</v>
      </c>
      <c r="B4805" s="2" t="s">
        <v>358</v>
      </c>
      <c r="C4805" s="2" t="s">
        <v>36</v>
      </c>
      <c r="D4805" s="3" t="n">
        <v>46264</v>
      </c>
      <c r="E4805" s="2" t="str">
        <f aca="false">TEXT(D4805,"dddd")</f>
        <v>Sunday</v>
      </c>
      <c r="F4805" s="2" t="s">
        <v>460</v>
      </c>
      <c r="G4805" s="2"/>
      <c r="H4805" s="2"/>
      <c r="I4805" s="2" t="n">
        <f aca="false">IF(F4805="Present",9,IF(F4805="Half Day",4,0))</f>
        <v>0</v>
      </c>
      <c r="J4805" s="2"/>
      <c r="K4805" s="2" t="s">
        <v>460</v>
      </c>
    </row>
    <row r="4806" customFormat="false" ht="15" hidden="false" customHeight="false" outlineLevel="0" collapsed="false">
      <c r="A4806" s="2" t="s">
        <v>357</v>
      </c>
      <c r="B4806" s="2" t="s">
        <v>358</v>
      </c>
      <c r="C4806" s="2" t="s">
        <v>36</v>
      </c>
      <c r="D4806" s="3" t="n">
        <v>46265</v>
      </c>
      <c r="E4806" s="2" t="str">
        <f aca="false">TEXT(D4806,"dddd")</f>
        <v>Monday</v>
      </c>
      <c r="F4806" s="2" t="s">
        <v>457</v>
      </c>
      <c r="G4806" s="2" t="s">
        <v>458</v>
      </c>
      <c r="H4806" s="2" t="s">
        <v>459</v>
      </c>
      <c r="I4806" s="2" t="n">
        <f aca="false">IF(F4806="Present",9,IF(F4806="Half Day",4,0))</f>
        <v>9</v>
      </c>
      <c r="J4806" s="2"/>
      <c r="K4806" s="2"/>
    </row>
    <row r="4807" customFormat="false" ht="15" hidden="false" customHeight="false" outlineLevel="0" collapsed="false">
      <c r="A4807" s="2" t="s">
        <v>359</v>
      </c>
      <c r="B4807" s="2" t="s">
        <v>360</v>
      </c>
      <c r="C4807" s="2" t="s">
        <v>41</v>
      </c>
      <c r="D4807" s="3" t="n">
        <v>46235</v>
      </c>
      <c r="E4807" s="2" t="str">
        <f aca="false">TEXT(D4807,"dddd")</f>
        <v>Saturday</v>
      </c>
      <c r="F4807" s="2" t="s">
        <v>457</v>
      </c>
      <c r="G4807" s="2" t="s">
        <v>458</v>
      </c>
      <c r="H4807" s="2" t="s">
        <v>459</v>
      </c>
      <c r="I4807" s="2" t="n">
        <f aca="false">IF(F4807="Present",9,IF(F4807="Half Day",4,0))</f>
        <v>9</v>
      </c>
      <c r="J4807" s="2"/>
      <c r="K4807" s="2"/>
    </row>
    <row r="4808" customFormat="false" ht="15" hidden="false" customHeight="false" outlineLevel="0" collapsed="false">
      <c r="A4808" s="2" t="s">
        <v>359</v>
      </c>
      <c r="B4808" s="2" t="s">
        <v>360</v>
      </c>
      <c r="C4808" s="2" t="s">
        <v>41</v>
      </c>
      <c r="D4808" s="3" t="n">
        <v>46236</v>
      </c>
      <c r="E4808" s="2" t="str">
        <f aca="false">TEXT(D4808,"dddd")</f>
        <v>Sunday</v>
      </c>
      <c r="F4808" s="2" t="s">
        <v>460</v>
      </c>
      <c r="G4808" s="2"/>
      <c r="H4808" s="2"/>
      <c r="I4808" s="2" t="n">
        <f aca="false">IF(F4808="Present",9,IF(F4808="Half Day",4,0))</f>
        <v>0</v>
      </c>
      <c r="J4808" s="2"/>
      <c r="K4808" s="2" t="s">
        <v>460</v>
      </c>
    </row>
    <row r="4809" customFormat="false" ht="15" hidden="false" customHeight="false" outlineLevel="0" collapsed="false">
      <c r="A4809" s="2" t="s">
        <v>359</v>
      </c>
      <c r="B4809" s="2" t="s">
        <v>360</v>
      </c>
      <c r="C4809" s="2" t="s">
        <v>41</v>
      </c>
      <c r="D4809" s="3" t="n">
        <v>46237</v>
      </c>
      <c r="E4809" s="2" t="str">
        <f aca="false">TEXT(D4809,"dddd")</f>
        <v>Monday</v>
      </c>
      <c r="F4809" s="2" t="s">
        <v>457</v>
      </c>
      <c r="G4809" s="2" t="s">
        <v>458</v>
      </c>
      <c r="H4809" s="2" t="s">
        <v>459</v>
      </c>
      <c r="I4809" s="2" t="n">
        <f aca="false">IF(F4809="Present",9,IF(F4809="Half Day",4,0))</f>
        <v>9</v>
      </c>
      <c r="J4809" s="2"/>
      <c r="K4809" s="2"/>
    </row>
    <row r="4810" customFormat="false" ht="15" hidden="false" customHeight="false" outlineLevel="0" collapsed="false">
      <c r="A4810" s="2" t="s">
        <v>359</v>
      </c>
      <c r="B4810" s="2" t="s">
        <v>360</v>
      </c>
      <c r="C4810" s="2" t="s">
        <v>41</v>
      </c>
      <c r="D4810" s="3" t="n">
        <v>46238</v>
      </c>
      <c r="E4810" s="2" t="str">
        <f aca="false">TEXT(D4810,"dddd")</f>
        <v>Tuesday</v>
      </c>
      <c r="F4810" s="2" t="s">
        <v>463</v>
      </c>
      <c r="G4810" s="2"/>
      <c r="H4810" s="2"/>
      <c r="I4810" s="2" t="n">
        <f aca="false">IF(F4810="Present",9,IF(F4810="Half Day",4,0))</f>
        <v>0</v>
      </c>
      <c r="J4810" s="2" t="s">
        <v>474</v>
      </c>
      <c r="K4810" s="2" t="s">
        <v>475</v>
      </c>
    </row>
    <row r="4811" customFormat="false" ht="15" hidden="false" customHeight="false" outlineLevel="0" collapsed="false">
      <c r="A4811" s="2" t="s">
        <v>359</v>
      </c>
      <c r="B4811" s="2" t="s">
        <v>360</v>
      </c>
      <c r="C4811" s="2" t="s">
        <v>41</v>
      </c>
      <c r="D4811" s="3" t="n">
        <v>46239</v>
      </c>
      <c r="E4811" s="2" t="str">
        <f aca="false">TEXT(D4811,"dddd")</f>
        <v>Wednesday</v>
      </c>
      <c r="F4811" s="2" t="s">
        <v>457</v>
      </c>
      <c r="G4811" s="2" t="s">
        <v>458</v>
      </c>
      <c r="H4811" s="2" t="s">
        <v>459</v>
      </c>
      <c r="I4811" s="2" t="n">
        <f aca="false">IF(F4811="Present",9,IF(F4811="Half Day",4,0))</f>
        <v>9</v>
      </c>
      <c r="J4811" s="2"/>
      <c r="K4811" s="2"/>
    </row>
    <row r="4812" customFormat="false" ht="15" hidden="false" customHeight="false" outlineLevel="0" collapsed="false">
      <c r="A4812" s="2" t="s">
        <v>359</v>
      </c>
      <c r="B4812" s="2" t="s">
        <v>360</v>
      </c>
      <c r="C4812" s="2" t="s">
        <v>41</v>
      </c>
      <c r="D4812" s="3" t="n">
        <v>46240</v>
      </c>
      <c r="E4812" s="2" t="str">
        <f aca="false">TEXT(D4812,"dddd")</f>
        <v>Thursday</v>
      </c>
      <c r="F4812" s="2" t="s">
        <v>457</v>
      </c>
      <c r="G4812" s="2" t="s">
        <v>458</v>
      </c>
      <c r="H4812" s="2" t="s">
        <v>459</v>
      </c>
      <c r="I4812" s="2" t="n">
        <f aca="false">IF(F4812="Present",9,IF(F4812="Half Day",4,0))</f>
        <v>9</v>
      </c>
      <c r="J4812" s="2"/>
      <c r="K4812" s="2"/>
    </row>
    <row r="4813" customFormat="false" ht="15" hidden="false" customHeight="false" outlineLevel="0" collapsed="false">
      <c r="A4813" s="2" t="s">
        <v>359</v>
      </c>
      <c r="B4813" s="2" t="s">
        <v>360</v>
      </c>
      <c r="C4813" s="2" t="s">
        <v>41</v>
      </c>
      <c r="D4813" s="3" t="n">
        <v>46241</v>
      </c>
      <c r="E4813" s="2" t="str">
        <f aca="false">TEXT(D4813,"dddd")</f>
        <v>Friday</v>
      </c>
      <c r="F4813" s="2" t="s">
        <v>457</v>
      </c>
      <c r="G4813" s="2" t="s">
        <v>458</v>
      </c>
      <c r="H4813" s="2" t="s">
        <v>459</v>
      </c>
      <c r="I4813" s="2" t="n">
        <f aca="false">IF(F4813="Present",9,IF(F4813="Half Day",4,0))</f>
        <v>9</v>
      </c>
      <c r="J4813" s="2"/>
      <c r="K4813" s="2"/>
    </row>
    <row r="4814" customFormat="false" ht="15" hidden="false" customHeight="false" outlineLevel="0" collapsed="false">
      <c r="A4814" s="2" t="s">
        <v>359</v>
      </c>
      <c r="B4814" s="2" t="s">
        <v>360</v>
      </c>
      <c r="C4814" s="2" t="s">
        <v>41</v>
      </c>
      <c r="D4814" s="3" t="n">
        <v>46242</v>
      </c>
      <c r="E4814" s="2" t="str">
        <f aca="false">TEXT(D4814,"dddd")</f>
        <v>Saturday</v>
      </c>
      <c r="F4814" s="2" t="s">
        <v>457</v>
      </c>
      <c r="G4814" s="2" t="s">
        <v>458</v>
      </c>
      <c r="H4814" s="2" t="s">
        <v>459</v>
      </c>
      <c r="I4814" s="2" t="n">
        <f aca="false">IF(F4814="Present",9,IF(F4814="Half Day",4,0))</f>
        <v>9</v>
      </c>
      <c r="J4814" s="2"/>
      <c r="K4814" s="2"/>
    </row>
    <row r="4815" customFormat="false" ht="15" hidden="false" customHeight="false" outlineLevel="0" collapsed="false">
      <c r="A4815" s="2" t="s">
        <v>359</v>
      </c>
      <c r="B4815" s="2" t="s">
        <v>360</v>
      </c>
      <c r="C4815" s="2" t="s">
        <v>41</v>
      </c>
      <c r="D4815" s="3" t="n">
        <v>46243</v>
      </c>
      <c r="E4815" s="2" t="str">
        <f aca="false">TEXT(D4815,"dddd")</f>
        <v>Sunday</v>
      </c>
      <c r="F4815" s="2" t="s">
        <v>460</v>
      </c>
      <c r="G4815" s="2"/>
      <c r="H4815" s="2"/>
      <c r="I4815" s="2" t="n">
        <f aca="false">IF(F4815="Present",9,IF(F4815="Half Day",4,0))</f>
        <v>0</v>
      </c>
      <c r="J4815" s="2"/>
      <c r="K4815" s="2" t="s">
        <v>460</v>
      </c>
    </row>
    <row r="4816" customFormat="false" ht="15" hidden="false" customHeight="false" outlineLevel="0" collapsed="false">
      <c r="A4816" s="2" t="s">
        <v>359</v>
      </c>
      <c r="B4816" s="2" t="s">
        <v>360</v>
      </c>
      <c r="C4816" s="2" t="s">
        <v>41</v>
      </c>
      <c r="D4816" s="3" t="n">
        <v>46244</v>
      </c>
      <c r="E4816" s="2" t="str">
        <f aca="false">TEXT(D4816,"dddd")</f>
        <v>Monday</v>
      </c>
      <c r="F4816" s="2" t="s">
        <v>457</v>
      </c>
      <c r="G4816" s="2" t="s">
        <v>458</v>
      </c>
      <c r="H4816" s="2" t="s">
        <v>459</v>
      </c>
      <c r="I4816" s="2" t="n">
        <f aca="false">IF(F4816="Present",9,IF(F4816="Half Day",4,0))</f>
        <v>9</v>
      </c>
      <c r="J4816" s="2"/>
      <c r="K4816" s="2"/>
    </row>
    <row r="4817" customFormat="false" ht="15" hidden="false" customHeight="false" outlineLevel="0" collapsed="false">
      <c r="A4817" s="2" t="s">
        <v>359</v>
      </c>
      <c r="B4817" s="2" t="s">
        <v>360</v>
      </c>
      <c r="C4817" s="2" t="s">
        <v>41</v>
      </c>
      <c r="D4817" s="3" t="n">
        <v>46245</v>
      </c>
      <c r="E4817" s="2" t="str">
        <f aca="false">TEXT(D4817,"dddd")</f>
        <v>Tuesday</v>
      </c>
      <c r="F4817" s="2" t="s">
        <v>457</v>
      </c>
      <c r="G4817" s="2" t="s">
        <v>458</v>
      </c>
      <c r="H4817" s="2" t="s">
        <v>459</v>
      </c>
      <c r="I4817" s="2" t="n">
        <f aca="false">IF(F4817="Present",9,IF(F4817="Half Day",4,0))</f>
        <v>9</v>
      </c>
      <c r="J4817" s="2"/>
      <c r="K4817" s="2"/>
    </row>
    <row r="4818" customFormat="false" ht="15" hidden="false" customHeight="false" outlineLevel="0" collapsed="false">
      <c r="A4818" s="2" t="s">
        <v>359</v>
      </c>
      <c r="B4818" s="2" t="s">
        <v>360</v>
      </c>
      <c r="C4818" s="2" t="s">
        <v>41</v>
      </c>
      <c r="D4818" s="3" t="n">
        <v>46246</v>
      </c>
      <c r="E4818" s="2" t="str">
        <f aca="false">TEXT(D4818,"dddd")</f>
        <v>Wednesday</v>
      </c>
      <c r="F4818" s="2" t="s">
        <v>457</v>
      </c>
      <c r="G4818" s="2" t="s">
        <v>458</v>
      </c>
      <c r="H4818" s="2" t="s">
        <v>459</v>
      </c>
      <c r="I4818" s="2" t="n">
        <f aca="false">IF(F4818="Present",9,IF(F4818="Half Day",4,0))</f>
        <v>9</v>
      </c>
      <c r="J4818" s="2"/>
      <c r="K4818" s="2"/>
    </row>
    <row r="4819" customFormat="false" ht="15" hidden="false" customHeight="false" outlineLevel="0" collapsed="false">
      <c r="A4819" s="2" t="s">
        <v>359</v>
      </c>
      <c r="B4819" s="2" t="s">
        <v>360</v>
      </c>
      <c r="C4819" s="2" t="s">
        <v>41</v>
      </c>
      <c r="D4819" s="3" t="n">
        <v>46247</v>
      </c>
      <c r="E4819" s="2" t="str">
        <f aca="false">TEXT(D4819,"dddd")</f>
        <v>Thursday</v>
      </c>
      <c r="F4819" s="2" t="s">
        <v>457</v>
      </c>
      <c r="G4819" s="2" t="s">
        <v>458</v>
      </c>
      <c r="H4819" s="2" t="s">
        <v>459</v>
      </c>
      <c r="I4819" s="2" t="n">
        <f aca="false">IF(F4819="Present",9,IF(F4819="Half Day",4,0))</f>
        <v>9</v>
      </c>
      <c r="J4819" s="2"/>
      <c r="K4819" s="2"/>
    </row>
    <row r="4820" customFormat="false" ht="15" hidden="false" customHeight="false" outlineLevel="0" collapsed="false">
      <c r="A4820" s="2" t="s">
        <v>359</v>
      </c>
      <c r="B4820" s="2" t="s">
        <v>360</v>
      </c>
      <c r="C4820" s="2" t="s">
        <v>41</v>
      </c>
      <c r="D4820" s="3" t="n">
        <v>46248</v>
      </c>
      <c r="E4820" s="2" t="str">
        <f aca="false">TEXT(D4820,"dddd")</f>
        <v>Friday</v>
      </c>
      <c r="F4820" s="2" t="s">
        <v>461</v>
      </c>
      <c r="G4820" s="2"/>
      <c r="H4820" s="2"/>
      <c r="I4820" s="2" t="n">
        <f aca="false">IF(F4820="Present",9,IF(F4820="Half Day",4,0))</f>
        <v>0</v>
      </c>
      <c r="J4820" s="2"/>
      <c r="K4820" s="2" t="s">
        <v>462</v>
      </c>
    </row>
    <row r="4821" customFormat="false" ht="15" hidden="false" customHeight="false" outlineLevel="0" collapsed="false">
      <c r="A4821" s="2" t="s">
        <v>359</v>
      </c>
      <c r="B4821" s="2" t="s">
        <v>360</v>
      </c>
      <c r="C4821" s="2" t="s">
        <v>41</v>
      </c>
      <c r="D4821" s="3" t="n">
        <v>46249</v>
      </c>
      <c r="E4821" s="2" t="str">
        <f aca="false">TEXT(D4821,"dddd")</f>
        <v>Saturday</v>
      </c>
      <c r="F4821" s="2" t="s">
        <v>457</v>
      </c>
      <c r="G4821" s="2" t="s">
        <v>458</v>
      </c>
      <c r="H4821" s="2" t="s">
        <v>459</v>
      </c>
      <c r="I4821" s="2" t="n">
        <f aca="false">IF(F4821="Present",9,IF(F4821="Half Day",4,0))</f>
        <v>9</v>
      </c>
      <c r="J4821" s="2"/>
      <c r="K4821" s="2"/>
    </row>
    <row r="4822" customFormat="false" ht="15" hidden="false" customHeight="false" outlineLevel="0" collapsed="false">
      <c r="A4822" s="2" t="s">
        <v>359</v>
      </c>
      <c r="B4822" s="2" t="s">
        <v>360</v>
      </c>
      <c r="C4822" s="2" t="s">
        <v>41</v>
      </c>
      <c r="D4822" s="3" t="n">
        <v>46250</v>
      </c>
      <c r="E4822" s="2" t="str">
        <f aca="false">TEXT(D4822,"dddd")</f>
        <v>Sunday</v>
      </c>
      <c r="F4822" s="2" t="s">
        <v>460</v>
      </c>
      <c r="G4822" s="2"/>
      <c r="H4822" s="2"/>
      <c r="I4822" s="2" t="n">
        <f aca="false">IF(F4822="Present",9,IF(F4822="Half Day",4,0))</f>
        <v>0</v>
      </c>
      <c r="J4822" s="2"/>
      <c r="K4822" s="2" t="s">
        <v>460</v>
      </c>
    </row>
    <row r="4823" customFormat="false" ht="15" hidden="false" customHeight="false" outlineLevel="0" collapsed="false">
      <c r="A4823" s="2" t="s">
        <v>359</v>
      </c>
      <c r="B4823" s="2" t="s">
        <v>360</v>
      </c>
      <c r="C4823" s="2" t="s">
        <v>41</v>
      </c>
      <c r="D4823" s="3" t="n">
        <v>46251</v>
      </c>
      <c r="E4823" s="2" t="str">
        <f aca="false">TEXT(D4823,"dddd")</f>
        <v>Monday</v>
      </c>
      <c r="F4823" s="2" t="s">
        <v>457</v>
      </c>
      <c r="G4823" s="2" t="s">
        <v>458</v>
      </c>
      <c r="H4823" s="2" t="s">
        <v>459</v>
      </c>
      <c r="I4823" s="2" t="n">
        <f aca="false">IF(F4823="Present",9,IF(F4823="Half Day",4,0))</f>
        <v>9</v>
      </c>
      <c r="J4823" s="2"/>
      <c r="K4823" s="2"/>
    </row>
    <row r="4824" customFormat="false" ht="15" hidden="false" customHeight="false" outlineLevel="0" collapsed="false">
      <c r="A4824" s="2" t="s">
        <v>359</v>
      </c>
      <c r="B4824" s="2" t="s">
        <v>360</v>
      </c>
      <c r="C4824" s="2" t="s">
        <v>41</v>
      </c>
      <c r="D4824" s="3" t="n">
        <v>46252</v>
      </c>
      <c r="E4824" s="2" t="str">
        <f aca="false">TEXT(D4824,"dddd")</f>
        <v>Tuesday</v>
      </c>
      <c r="F4824" s="2" t="s">
        <v>457</v>
      </c>
      <c r="G4824" s="2" t="s">
        <v>458</v>
      </c>
      <c r="H4824" s="2" t="s">
        <v>459</v>
      </c>
      <c r="I4824" s="2" t="n">
        <f aca="false">IF(F4824="Present",9,IF(F4824="Half Day",4,0))</f>
        <v>9</v>
      </c>
      <c r="J4824" s="2"/>
      <c r="K4824" s="2"/>
    </row>
    <row r="4825" customFormat="false" ht="15" hidden="false" customHeight="false" outlineLevel="0" collapsed="false">
      <c r="A4825" s="2" t="s">
        <v>359</v>
      </c>
      <c r="B4825" s="2" t="s">
        <v>360</v>
      </c>
      <c r="C4825" s="2" t="s">
        <v>41</v>
      </c>
      <c r="D4825" s="3" t="n">
        <v>46253</v>
      </c>
      <c r="E4825" s="2" t="str">
        <f aca="false">TEXT(D4825,"dddd")</f>
        <v>Wednesday</v>
      </c>
      <c r="F4825" s="2" t="s">
        <v>457</v>
      </c>
      <c r="G4825" s="2" t="s">
        <v>458</v>
      </c>
      <c r="H4825" s="2" t="s">
        <v>459</v>
      </c>
      <c r="I4825" s="2" t="n">
        <f aca="false">IF(F4825="Present",9,IF(F4825="Half Day",4,0))</f>
        <v>9</v>
      </c>
      <c r="J4825" s="2"/>
      <c r="K4825" s="2"/>
    </row>
    <row r="4826" customFormat="false" ht="15" hidden="false" customHeight="false" outlineLevel="0" collapsed="false">
      <c r="A4826" s="2" t="s">
        <v>359</v>
      </c>
      <c r="B4826" s="2" t="s">
        <v>360</v>
      </c>
      <c r="C4826" s="2" t="s">
        <v>41</v>
      </c>
      <c r="D4826" s="3" t="n">
        <v>46254</v>
      </c>
      <c r="E4826" s="2" t="str">
        <f aca="false">TEXT(D4826,"dddd")</f>
        <v>Thursday</v>
      </c>
      <c r="F4826" s="2" t="s">
        <v>457</v>
      </c>
      <c r="G4826" s="2" t="s">
        <v>458</v>
      </c>
      <c r="H4826" s="2" t="s">
        <v>459</v>
      </c>
      <c r="I4826" s="2" t="n">
        <f aca="false">IF(F4826="Present",9,IF(F4826="Half Day",4,0))</f>
        <v>9</v>
      </c>
      <c r="J4826" s="2"/>
      <c r="K4826" s="2"/>
    </row>
    <row r="4827" customFormat="false" ht="15" hidden="false" customHeight="false" outlineLevel="0" collapsed="false">
      <c r="A4827" s="2" t="s">
        <v>359</v>
      </c>
      <c r="B4827" s="2" t="s">
        <v>360</v>
      </c>
      <c r="C4827" s="2" t="s">
        <v>41</v>
      </c>
      <c r="D4827" s="3" t="n">
        <v>46255</v>
      </c>
      <c r="E4827" s="2" t="str">
        <f aca="false">TEXT(D4827,"dddd")</f>
        <v>Friday</v>
      </c>
      <c r="F4827" s="2" t="s">
        <v>457</v>
      </c>
      <c r="G4827" s="2" t="s">
        <v>458</v>
      </c>
      <c r="H4827" s="2" t="s">
        <v>459</v>
      </c>
      <c r="I4827" s="2" t="n">
        <f aca="false">IF(F4827="Present",9,IF(F4827="Half Day",4,0))</f>
        <v>9</v>
      </c>
      <c r="J4827" s="2"/>
      <c r="K4827" s="2"/>
    </row>
    <row r="4828" customFormat="false" ht="15" hidden="false" customHeight="false" outlineLevel="0" collapsed="false">
      <c r="A4828" s="2" t="s">
        <v>359</v>
      </c>
      <c r="B4828" s="2" t="s">
        <v>360</v>
      </c>
      <c r="C4828" s="2" t="s">
        <v>41</v>
      </c>
      <c r="D4828" s="3" t="n">
        <v>46256</v>
      </c>
      <c r="E4828" s="2" t="str">
        <f aca="false">TEXT(D4828,"dddd")</f>
        <v>Saturday</v>
      </c>
      <c r="F4828" s="2" t="s">
        <v>457</v>
      </c>
      <c r="G4828" s="2" t="s">
        <v>458</v>
      </c>
      <c r="H4828" s="2" t="s">
        <v>459</v>
      </c>
      <c r="I4828" s="2" t="n">
        <f aca="false">IF(F4828="Present",9,IF(F4828="Half Day",4,0))</f>
        <v>9</v>
      </c>
      <c r="J4828" s="2"/>
      <c r="K4828" s="2"/>
    </row>
    <row r="4829" customFormat="false" ht="15" hidden="false" customHeight="false" outlineLevel="0" collapsed="false">
      <c r="A4829" s="2" t="s">
        <v>359</v>
      </c>
      <c r="B4829" s="2" t="s">
        <v>360</v>
      </c>
      <c r="C4829" s="2" t="s">
        <v>41</v>
      </c>
      <c r="D4829" s="3" t="n">
        <v>46257</v>
      </c>
      <c r="E4829" s="2" t="str">
        <f aca="false">TEXT(D4829,"dddd")</f>
        <v>Sunday</v>
      </c>
      <c r="F4829" s="2" t="s">
        <v>460</v>
      </c>
      <c r="G4829" s="2"/>
      <c r="H4829" s="2"/>
      <c r="I4829" s="2" t="n">
        <f aca="false">IF(F4829="Present",9,IF(F4829="Half Day",4,0))</f>
        <v>0</v>
      </c>
      <c r="J4829" s="2"/>
      <c r="K4829" s="2" t="s">
        <v>460</v>
      </c>
    </row>
    <row r="4830" customFormat="false" ht="15" hidden="false" customHeight="false" outlineLevel="0" collapsed="false">
      <c r="A4830" s="2" t="s">
        <v>359</v>
      </c>
      <c r="B4830" s="2" t="s">
        <v>360</v>
      </c>
      <c r="C4830" s="2" t="s">
        <v>41</v>
      </c>
      <c r="D4830" s="3" t="n">
        <v>46258</v>
      </c>
      <c r="E4830" s="2" t="str">
        <f aca="false">TEXT(D4830,"dddd")</f>
        <v>Monday</v>
      </c>
      <c r="F4830" s="2" t="s">
        <v>461</v>
      </c>
      <c r="G4830" s="2"/>
      <c r="H4830" s="2"/>
      <c r="I4830" s="2" t="n">
        <f aca="false">IF(F4830="Present",9,IF(F4830="Half Day",4,0))</f>
        <v>0</v>
      </c>
      <c r="J4830" s="2"/>
      <c r="K4830" s="2" t="s">
        <v>462</v>
      </c>
    </row>
    <row r="4831" customFormat="false" ht="15" hidden="false" customHeight="false" outlineLevel="0" collapsed="false">
      <c r="A4831" s="2" t="s">
        <v>359</v>
      </c>
      <c r="B4831" s="2" t="s">
        <v>360</v>
      </c>
      <c r="C4831" s="2" t="s">
        <v>41</v>
      </c>
      <c r="D4831" s="3" t="n">
        <v>46259</v>
      </c>
      <c r="E4831" s="2" t="str">
        <f aca="false">TEXT(D4831,"dddd")</f>
        <v>Tuesday</v>
      </c>
      <c r="F4831" s="2" t="s">
        <v>461</v>
      </c>
      <c r="G4831" s="2"/>
      <c r="H4831" s="2"/>
      <c r="I4831" s="2" t="n">
        <f aca="false">IF(F4831="Present",9,IF(F4831="Half Day",4,0))</f>
        <v>0</v>
      </c>
      <c r="J4831" s="2"/>
      <c r="K4831" s="2" t="s">
        <v>462</v>
      </c>
    </row>
    <row r="4832" customFormat="false" ht="15" hidden="false" customHeight="false" outlineLevel="0" collapsed="false">
      <c r="A4832" s="2" t="s">
        <v>359</v>
      </c>
      <c r="B4832" s="2" t="s">
        <v>360</v>
      </c>
      <c r="C4832" s="2" t="s">
        <v>41</v>
      </c>
      <c r="D4832" s="3" t="n">
        <v>46260</v>
      </c>
      <c r="E4832" s="2" t="str">
        <f aca="false">TEXT(D4832,"dddd")</f>
        <v>Wednesday</v>
      </c>
      <c r="F4832" s="2" t="s">
        <v>461</v>
      </c>
      <c r="G4832" s="2"/>
      <c r="H4832" s="2"/>
      <c r="I4832" s="2" t="n">
        <f aca="false">IF(F4832="Present",9,IF(F4832="Half Day",4,0))</f>
        <v>0</v>
      </c>
      <c r="J4832" s="2"/>
      <c r="K4832" s="2" t="s">
        <v>462</v>
      </c>
    </row>
    <row r="4833" customFormat="false" ht="15" hidden="false" customHeight="false" outlineLevel="0" collapsed="false">
      <c r="A4833" s="2" t="s">
        <v>359</v>
      </c>
      <c r="B4833" s="2" t="s">
        <v>360</v>
      </c>
      <c r="C4833" s="2" t="s">
        <v>41</v>
      </c>
      <c r="D4833" s="3" t="n">
        <v>46261</v>
      </c>
      <c r="E4833" s="2" t="str">
        <f aca="false">TEXT(D4833,"dddd")</f>
        <v>Thursday</v>
      </c>
      <c r="F4833" s="2" t="s">
        <v>457</v>
      </c>
      <c r="G4833" s="2" t="s">
        <v>458</v>
      </c>
      <c r="H4833" s="2" t="s">
        <v>459</v>
      </c>
      <c r="I4833" s="2" t="n">
        <f aca="false">IF(F4833="Present",9,IF(F4833="Half Day",4,0))</f>
        <v>9</v>
      </c>
      <c r="J4833" s="2"/>
      <c r="K4833" s="2"/>
    </row>
    <row r="4834" customFormat="false" ht="15" hidden="false" customHeight="false" outlineLevel="0" collapsed="false">
      <c r="A4834" s="2" t="s">
        <v>359</v>
      </c>
      <c r="B4834" s="2" t="s">
        <v>360</v>
      </c>
      <c r="C4834" s="2" t="s">
        <v>41</v>
      </c>
      <c r="D4834" s="3" t="n">
        <v>46262</v>
      </c>
      <c r="E4834" s="2" t="str">
        <f aca="false">TEXT(D4834,"dddd")</f>
        <v>Friday</v>
      </c>
      <c r="F4834" s="2" t="s">
        <v>463</v>
      </c>
      <c r="G4834" s="2"/>
      <c r="H4834" s="2"/>
      <c r="I4834" s="2" t="n">
        <f aca="false">IF(F4834="Present",9,IF(F4834="Half Day",4,0))</f>
        <v>0</v>
      </c>
      <c r="J4834" s="2" t="s">
        <v>468</v>
      </c>
      <c r="K4834" s="2" t="s">
        <v>469</v>
      </c>
    </row>
    <row r="4835" customFormat="false" ht="15" hidden="false" customHeight="false" outlineLevel="0" collapsed="false">
      <c r="A4835" s="2" t="s">
        <v>359</v>
      </c>
      <c r="B4835" s="2" t="s">
        <v>360</v>
      </c>
      <c r="C4835" s="2" t="s">
        <v>41</v>
      </c>
      <c r="D4835" s="3" t="n">
        <v>46263</v>
      </c>
      <c r="E4835" s="2" t="str">
        <f aca="false">TEXT(D4835,"dddd")</f>
        <v>Saturday</v>
      </c>
      <c r="F4835" s="2" t="s">
        <v>457</v>
      </c>
      <c r="G4835" s="2" t="s">
        <v>458</v>
      </c>
      <c r="H4835" s="2" t="s">
        <v>459</v>
      </c>
      <c r="I4835" s="2" t="n">
        <f aca="false">IF(F4835="Present",9,IF(F4835="Half Day",4,0))</f>
        <v>9</v>
      </c>
      <c r="J4835" s="2"/>
      <c r="K4835" s="2"/>
    </row>
    <row r="4836" customFormat="false" ht="15" hidden="false" customHeight="false" outlineLevel="0" collapsed="false">
      <c r="A4836" s="2" t="s">
        <v>359</v>
      </c>
      <c r="B4836" s="2" t="s">
        <v>360</v>
      </c>
      <c r="C4836" s="2" t="s">
        <v>41</v>
      </c>
      <c r="D4836" s="3" t="n">
        <v>46264</v>
      </c>
      <c r="E4836" s="2" t="str">
        <f aca="false">TEXT(D4836,"dddd")</f>
        <v>Sunday</v>
      </c>
      <c r="F4836" s="2" t="s">
        <v>460</v>
      </c>
      <c r="G4836" s="2"/>
      <c r="H4836" s="2"/>
      <c r="I4836" s="2" t="n">
        <f aca="false">IF(F4836="Present",9,IF(F4836="Half Day",4,0))</f>
        <v>0</v>
      </c>
      <c r="J4836" s="2"/>
      <c r="K4836" s="2" t="s">
        <v>460</v>
      </c>
    </row>
    <row r="4837" customFormat="false" ht="15" hidden="false" customHeight="false" outlineLevel="0" collapsed="false">
      <c r="A4837" s="2" t="s">
        <v>359</v>
      </c>
      <c r="B4837" s="2" t="s">
        <v>360</v>
      </c>
      <c r="C4837" s="2" t="s">
        <v>41</v>
      </c>
      <c r="D4837" s="3" t="n">
        <v>46265</v>
      </c>
      <c r="E4837" s="2" t="str">
        <f aca="false">TEXT(D4837,"dddd")</f>
        <v>Monday</v>
      </c>
      <c r="F4837" s="2" t="s">
        <v>461</v>
      </c>
      <c r="G4837" s="2"/>
      <c r="H4837" s="2"/>
      <c r="I4837" s="2" t="n">
        <f aca="false">IF(F4837="Present",9,IF(F4837="Half Day",4,0))</f>
        <v>0</v>
      </c>
      <c r="J4837" s="2"/>
      <c r="K4837" s="2" t="s">
        <v>462</v>
      </c>
    </row>
    <row r="4838" customFormat="false" ht="15" hidden="false" customHeight="false" outlineLevel="0" collapsed="false">
      <c r="A4838" s="2" t="s">
        <v>361</v>
      </c>
      <c r="B4838" s="2" t="s">
        <v>362</v>
      </c>
      <c r="C4838" s="2" t="s">
        <v>45</v>
      </c>
      <c r="D4838" s="3" t="n">
        <v>46235</v>
      </c>
      <c r="E4838" s="2" t="str">
        <f aca="false">TEXT(D4838,"dddd")</f>
        <v>Saturday</v>
      </c>
      <c r="F4838" s="2" t="s">
        <v>457</v>
      </c>
      <c r="G4838" s="2" t="s">
        <v>458</v>
      </c>
      <c r="H4838" s="2" t="s">
        <v>459</v>
      </c>
      <c r="I4838" s="2" t="n">
        <f aca="false">IF(F4838="Present",9,IF(F4838="Half Day",4,0))</f>
        <v>9</v>
      </c>
      <c r="J4838" s="2"/>
      <c r="K4838" s="2"/>
    </row>
    <row r="4839" customFormat="false" ht="15" hidden="false" customHeight="false" outlineLevel="0" collapsed="false">
      <c r="A4839" s="2" t="s">
        <v>361</v>
      </c>
      <c r="B4839" s="2" t="s">
        <v>362</v>
      </c>
      <c r="C4839" s="2" t="s">
        <v>45</v>
      </c>
      <c r="D4839" s="3" t="n">
        <v>46236</v>
      </c>
      <c r="E4839" s="2" t="str">
        <f aca="false">TEXT(D4839,"dddd")</f>
        <v>Sunday</v>
      </c>
      <c r="F4839" s="2" t="s">
        <v>460</v>
      </c>
      <c r="G4839" s="2"/>
      <c r="H4839" s="2"/>
      <c r="I4839" s="2" t="n">
        <f aca="false">IF(F4839="Present",9,IF(F4839="Half Day",4,0))</f>
        <v>0</v>
      </c>
      <c r="J4839" s="2"/>
      <c r="K4839" s="2" t="s">
        <v>460</v>
      </c>
    </row>
    <row r="4840" customFormat="false" ht="15" hidden="false" customHeight="false" outlineLevel="0" collapsed="false">
      <c r="A4840" s="2" t="s">
        <v>361</v>
      </c>
      <c r="B4840" s="2" t="s">
        <v>362</v>
      </c>
      <c r="C4840" s="2" t="s">
        <v>45</v>
      </c>
      <c r="D4840" s="3" t="n">
        <v>46237</v>
      </c>
      <c r="E4840" s="2" t="str">
        <f aca="false">TEXT(D4840,"dddd")</f>
        <v>Monday</v>
      </c>
      <c r="F4840" s="2" t="s">
        <v>457</v>
      </c>
      <c r="G4840" s="2" t="s">
        <v>458</v>
      </c>
      <c r="H4840" s="2" t="s">
        <v>459</v>
      </c>
      <c r="I4840" s="2" t="n">
        <f aca="false">IF(F4840="Present",9,IF(F4840="Half Day",4,0))</f>
        <v>9</v>
      </c>
      <c r="J4840" s="2"/>
      <c r="K4840" s="2"/>
    </row>
    <row r="4841" customFormat="false" ht="15" hidden="false" customHeight="false" outlineLevel="0" collapsed="false">
      <c r="A4841" s="2" t="s">
        <v>361</v>
      </c>
      <c r="B4841" s="2" t="s">
        <v>362</v>
      </c>
      <c r="C4841" s="2" t="s">
        <v>45</v>
      </c>
      <c r="D4841" s="3" t="n">
        <v>46238</v>
      </c>
      <c r="E4841" s="2" t="str">
        <f aca="false">TEXT(D4841,"dddd")</f>
        <v>Tuesday</v>
      </c>
      <c r="F4841" s="2" t="s">
        <v>461</v>
      </c>
      <c r="G4841" s="2"/>
      <c r="H4841" s="2"/>
      <c r="I4841" s="2" t="n">
        <f aca="false">IF(F4841="Present",9,IF(F4841="Half Day",4,0))</f>
        <v>0</v>
      </c>
      <c r="J4841" s="2"/>
      <c r="K4841" s="2" t="s">
        <v>462</v>
      </c>
    </row>
    <row r="4842" customFormat="false" ht="15" hidden="false" customHeight="false" outlineLevel="0" collapsed="false">
      <c r="A4842" s="2" t="s">
        <v>361</v>
      </c>
      <c r="B4842" s="2" t="s">
        <v>362</v>
      </c>
      <c r="C4842" s="2" t="s">
        <v>45</v>
      </c>
      <c r="D4842" s="3" t="n">
        <v>46239</v>
      </c>
      <c r="E4842" s="2" t="str">
        <f aca="false">TEXT(D4842,"dddd")</f>
        <v>Wednesday</v>
      </c>
      <c r="F4842" s="2" t="s">
        <v>457</v>
      </c>
      <c r="G4842" s="2" t="s">
        <v>458</v>
      </c>
      <c r="H4842" s="2" t="s">
        <v>459</v>
      </c>
      <c r="I4842" s="2" t="n">
        <f aca="false">IF(F4842="Present",9,IF(F4842="Half Day",4,0))</f>
        <v>9</v>
      </c>
      <c r="J4842" s="2"/>
      <c r="K4842" s="2"/>
    </row>
    <row r="4843" customFormat="false" ht="15" hidden="false" customHeight="false" outlineLevel="0" collapsed="false">
      <c r="A4843" s="2" t="s">
        <v>361</v>
      </c>
      <c r="B4843" s="2" t="s">
        <v>362</v>
      </c>
      <c r="C4843" s="2" t="s">
        <v>45</v>
      </c>
      <c r="D4843" s="3" t="n">
        <v>46240</v>
      </c>
      <c r="E4843" s="2" t="str">
        <f aca="false">TEXT(D4843,"dddd")</f>
        <v>Thursday</v>
      </c>
      <c r="F4843" s="2" t="s">
        <v>457</v>
      </c>
      <c r="G4843" s="2" t="s">
        <v>458</v>
      </c>
      <c r="H4843" s="2" t="s">
        <v>459</v>
      </c>
      <c r="I4843" s="2" t="n">
        <f aca="false">IF(F4843="Present",9,IF(F4843="Half Day",4,0))</f>
        <v>9</v>
      </c>
      <c r="J4843" s="2"/>
      <c r="K4843" s="2"/>
    </row>
    <row r="4844" customFormat="false" ht="15" hidden="false" customHeight="false" outlineLevel="0" collapsed="false">
      <c r="A4844" s="2" t="s">
        <v>361</v>
      </c>
      <c r="B4844" s="2" t="s">
        <v>362</v>
      </c>
      <c r="C4844" s="2" t="s">
        <v>45</v>
      </c>
      <c r="D4844" s="3" t="n">
        <v>46241</v>
      </c>
      <c r="E4844" s="2" t="str">
        <f aca="false">TEXT(D4844,"dddd")</f>
        <v>Friday</v>
      </c>
      <c r="F4844" s="2" t="s">
        <v>457</v>
      </c>
      <c r="G4844" s="2" t="s">
        <v>458</v>
      </c>
      <c r="H4844" s="2" t="s">
        <v>459</v>
      </c>
      <c r="I4844" s="2" t="n">
        <f aca="false">IF(F4844="Present",9,IF(F4844="Half Day",4,0))</f>
        <v>9</v>
      </c>
      <c r="J4844" s="2"/>
      <c r="K4844" s="2"/>
    </row>
    <row r="4845" customFormat="false" ht="15" hidden="false" customHeight="false" outlineLevel="0" collapsed="false">
      <c r="A4845" s="2" t="s">
        <v>361</v>
      </c>
      <c r="B4845" s="2" t="s">
        <v>362</v>
      </c>
      <c r="C4845" s="2" t="s">
        <v>45</v>
      </c>
      <c r="D4845" s="3" t="n">
        <v>46242</v>
      </c>
      <c r="E4845" s="2" t="str">
        <f aca="false">TEXT(D4845,"dddd")</f>
        <v>Saturday</v>
      </c>
      <c r="F4845" s="2" t="s">
        <v>457</v>
      </c>
      <c r="G4845" s="2" t="s">
        <v>458</v>
      </c>
      <c r="H4845" s="2" t="s">
        <v>459</v>
      </c>
      <c r="I4845" s="2" t="n">
        <f aca="false">IF(F4845="Present",9,IF(F4845="Half Day",4,0))</f>
        <v>9</v>
      </c>
      <c r="J4845" s="2"/>
      <c r="K4845" s="2"/>
    </row>
    <row r="4846" customFormat="false" ht="15" hidden="false" customHeight="false" outlineLevel="0" collapsed="false">
      <c r="A4846" s="2" t="s">
        <v>361</v>
      </c>
      <c r="B4846" s="2" t="s">
        <v>362</v>
      </c>
      <c r="C4846" s="2" t="s">
        <v>45</v>
      </c>
      <c r="D4846" s="3" t="n">
        <v>46243</v>
      </c>
      <c r="E4846" s="2" t="str">
        <f aca="false">TEXT(D4846,"dddd")</f>
        <v>Sunday</v>
      </c>
      <c r="F4846" s="2" t="s">
        <v>460</v>
      </c>
      <c r="G4846" s="2"/>
      <c r="H4846" s="2"/>
      <c r="I4846" s="2" t="n">
        <f aca="false">IF(F4846="Present",9,IF(F4846="Half Day",4,0))</f>
        <v>0</v>
      </c>
      <c r="J4846" s="2"/>
      <c r="K4846" s="2" t="s">
        <v>460</v>
      </c>
    </row>
    <row r="4847" customFormat="false" ht="15" hidden="false" customHeight="false" outlineLevel="0" collapsed="false">
      <c r="A4847" s="2" t="s">
        <v>361</v>
      </c>
      <c r="B4847" s="2" t="s">
        <v>362</v>
      </c>
      <c r="C4847" s="2" t="s">
        <v>45</v>
      </c>
      <c r="D4847" s="3" t="n">
        <v>46244</v>
      </c>
      <c r="E4847" s="2" t="str">
        <f aca="false">TEXT(D4847,"dddd")</f>
        <v>Monday</v>
      </c>
      <c r="F4847" s="2" t="s">
        <v>457</v>
      </c>
      <c r="G4847" s="2" t="s">
        <v>458</v>
      </c>
      <c r="H4847" s="2" t="s">
        <v>459</v>
      </c>
      <c r="I4847" s="2" t="n">
        <f aca="false">IF(F4847="Present",9,IF(F4847="Half Day",4,0))</f>
        <v>9</v>
      </c>
      <c r="J4847" s="2"/>
      <c r="K4847" s="2"/>
    </row>
    <row r="4848" customFormat="false" ht="15" hidden="false" customHeight="false" outlineLevel="0" collapsed="false">
      <c r="A4848" s="2" t="s">
        <v>361</v>
      </c>
      <c r="B4848" s="2" t="s">
        <v>362</v>
      </c>
      <c r="C4848" s="2" t="s">
        <v>45</v>
      </c>
      <c r="D4848" s="3" t="n">
        <v>46245</v>
      </c>
      <c r="E4848" s="2" t="str">
        <f aca="false">TEXT(D4848,"dddd")</f>
        <v>Tuesday</v>
      </c>
      <c r="F4848" s="2" t="s">
        <v>457</v>
      </c>
      <c r="G4848" s="2" t="s">
        <v>458</v>
      </c>
      <c r="H4848" s="2" t="s">
        <v>459</v>
      </c>
      <c r="I4848" s="2" t="n">
        <f aca="false">IF(F4848="Present",9,IF(F4848="Half Day",4,0))</f>
        <v>9</v>
      </c>
      <c r="J4848" s="2"/>
      <c r="K4848" s="2"/>
    </row>
    <row r="4849" customFormat="false" ht="15" hidden="false" customHeight="false" outlineLevel="0" collapsed="false">
      <c r="A4849" s="2" t="s">
        <v>361</v>
      </c>
      <c r="B4849" s="2" t="s">
        <v>362</v>
      </c>
      <c r="C4849" s="2" t="s">
        <v>45</v>
      </c>
      <c r="D4849" s="3" t="n">
        <v>46246</v>
      </c>
      <c r="E4849" s="2" t="str">
        <f aca="false">TEXT(D4849,"dddd")</f>
        <v>Wednesday</v>
      </c>
      <c r="F4849" s="2" t="s">
        <v>457</v>
      </c>
      <c r="G4849" s="2" t="s">
        <v>458</v>
      </c>
      <c r="H4849" s="2" t="s">
        <v>459</v>
      </c>
      <c r="I4849" s="2" t="n">
        <f aca="false">IF(F4849="Present",9,IF(F4849="Half Day",4,0))</f>
        <v>9</v>
      </c>
      <c r="J4849" s="2"/>
      <c r="K4849" s="2"/>
    </row>
    <row r="4850" customFormat="false" ht="15" hidden="false" customHeight="false" outlineLevel="0" collapsed="false">
      <c r="A4850" s="2" t="s">
        <v>361</v>
      </c>
      <c r="B4850" s="2" t="s">
        <v>362</v>
      </c>
      <c r="C4850" s="2" t="s">
        <v>45</v>
      </c>
      <c r="D4850" s="3" t="n">
        <v>46247</v>
      </c>
      <c r="E4850" s="2" t="str">
        <f aca="false">TEXT(D4850,"dddd")</f>
        <v>Thursday</v>
      </c>
      <c r="F4850" s="2" t="s">
        <v>457</v>
      </c>
      <c r="G4850" s="2" t="s">
        <v>458</v>
      </c>
      <c r="H4850" s="2" t="s">
        <v>459</v>
      </c>
      <c r="I4850" s="2" t="n">
        <f aca="false">IF(F4850="Present",9,IF(F4850="Half Day",4,0))</f>
        <v>9</v>
      </c>
      <c r="J4850" s="2"/>
      <c r="K4850" s="2"/>
    </row>
    <row r="4851" customFormat="false" ht="15" hidden="false" customHeight="false" outlineLevel="0" collapsed="false">
      <c r="A4851" s="2" t="s">
        <v>361</v>
      </c>
      <c r="B4851" s="2" t="s">
        <v>362</v>
      </c>
      <c r="C4851" s="2" t="s">
        <v>45</v>
      </c>
      <c r="D4851" s="3" t="n">
        <v>46248</v>
      </c>
      <c r="E4851" s="2" t="str">
        <f aca="false">TEXT(D4851,"dddd")</f>
        <v>Friday</v>
      </c>
      <c r="F4851" s="2" t="s">
        <v>457</v>
      </c>
      <c r="G4851" s="2" t="s">
        <v>458</v>
      </c>
      <c r="H4851" s="2" t="s">
        <v>459</v>
      </c>
      <c r="I4851" s="2" t="n">
        <f aca="false">IF(F4851="Present",9,IF(F4851="Half Day",4,0))</f>
        <v>9</v>
      </c>
      <c r="J4851" s="2"/>
      <c r="K4851" s="2"/>
    </row>
    <row r="4852" customFormat="false" ht="15" hidden="false" customHeight="false" outlineLevel="0" collapsed="false">
      <c r="A4852" s="2" t="s">
        <v>361</v>
      </c>
      <c r="B4852" s="2" t="s">
        <v>362</v>
      </c>
      <c r="C4852" s="2" t="s">
        <v>45</v>
      </c>
      <c r="D4852" s="3" t="n">
        <v>46249</v>
      </c>
      <c r="E4852" s="2" t="str">
        <f aca="false">TEXT(D4852,"dddd")</f>
        <v>Saturday</v>
      </c>
      <c r="F4852" s="2" t="s">
        <v>457</v>
      </c>
      <c r="G4852" s="2" t="s">
        <v>458</v>
      </c>
      <c r="H4852" s="2" t="s">
        <v>459</v>
      </c>
      <c r="I4852" s="2" t="n">
        <f aca="false">IF(F4852="Present",9,IF(F4852="Half Day",4,0))</f>
        <v>9</v>
      </c>
      <c r="J4852" s="2"/>
      <c r="K4852" s="2"/>
    </row>
    <row r="4853" customFormat="false" ht="15" hidden="false" customHeight="false" outlineLevel="0" collapsed="false">
      <c r="A4853" s="2" t="s">
        <v>361</v>
      </c>
      <c r="B4853" s="2" t="s">
        <v>362</v>
      </c>
      <c r="C4853" s="2" t="s">
        <v>45</v>
      </c>
      <c r="D4853" s="3" t="n">
        <v>46250</v>
      </c>
      <c r="E4853" s="2" t="str">
        <f aca="false">TEXT(D4853,"dddd")</f>
        <v>Sunday</v>
      </c>
      <c r="F4853" s="2" t="s">
        <v>460</v>
      </c>
      <c r="G4853" s="2"/>
      <c r="H4853" s="2"/>
      <c r="I4853" s="2" t="n">
        <f aca="false">IF(F4853="Present",9,IF(F4853="Half Day",4,0))</f>
        <v>0</v>
      </c>
      <c r="J4853" s="2"/>
      <c r="K4853" s="2" t="s">
        <v>460</v>
      </c>
    </row>
    <row r="4854" customFormat="false" ht="15" hidden="false" customHeight="false" outlineLevel="0" collapsed="false">
      <c r="A4854" s="2" t="s">
        <v>361</v>
      </c>
      <c r="B4854" s="2" t="s">
        <v>362</v>
      </c>
      <c r="C4854" s="2" t="s">
        <v>45</v>
      </c>
      <c r="D4854" s="3" t="n">
        <v>46251</v>
      </c>
      <c r="E4854" s="2" t="str">
        <f aca="false">TEXT(D4854,"dddd")</f>
        <v>Monday</v>
      </c>
      <c r="F4854" s="2" t="s">
        <v>457</v>
      </c>
      <c r="G4854" s="2" t="s">
        <v>458</v>
      </c>
      <c r="H4854" s="2" t="s">
        <v>459</v>
      </c>
      <c r="I4854" s="2" t="n">
        <f aca="false">IF(F4854="Present",9,IF(F4854="Half Day",4,0))</f>
        <v>9</v>
      </c>
      <c r="J4854" s="2"/>
      <c r="K4854" s="2"/>
    </row>
    <row r="4855" customFormat="false" ht="15" hidden="false" customHeight="false" outlineLevel="0" collapsed="false">
      <c r="A4855" s="2" t="s">
        <v>361</v>
      </c>
      <c r="B4855" s="2" t="s">
        <v>362</v>
      </c>
      <c r="C4855" s="2" t="s">
        <v>45</v>
      </c>
      <c r="D4855" s="3" t="n">
        <v>46252</v>
      </c>
      <c r="E4855" s="2" t="str">
        <f aca="false">TEXT(D4855,"dddd")</f>
        <v>Tuesday</v>
      </c>
      <c r="F4855" s="2" t="s">
        <v>457</v>
      </c>
      <c r="G4855" s="2" t="s">
        <v>458</v>
      </c>
      <c r="H4855" s="2" t="s">
        <v>459</v>
      </c>
      <c r="I4855" s="2" t="n">
        <f aca="false">IF(F4855="Present",9,IF(F4855="Half Day",4,0))</f>
        <v>9</v>
      </c>
      <c r="J4855" s="2"/>
      <c r="K4855" s="2"/>
    </row>
    <row r="4856" customFormat="false" ht="15" hidden="false" customHeight="false" outlineLevel="0" collapsed="false">
      <c r="A4856" s="2" t="s">
        <v>361</v>
      </c>
      <c r="B4856" s="2" t="s">
        <v>362</v>
      </c>
      <c r="C4856" s="2" t="s">
        <v>45</v>
      </c>
      <c r="D4856" s="3" t="n">
        <v>46253</v>
      </c>
      <c r="E4856" s="2" t="str">
        <f aca="false">TEXT(D4856,"dddd")</f>
        <v>Wednesday</v>
      </c>
      <c r="F4856" s="2" t="s">
        <v>457</v>
      </c>
      <c r="G4856" s="2" t="s">
        <v>458</v>
      </c>
      <c r="H4856" s="2" t="s">
        <v>459</v>
      </c>
      <c r="I4856" s="2" t="n">
        <f aca="false">IF(F4856="Present",9,IF(F4856="Half Day",4,0))</f>
        <v>9</v>
      </c>
      <c r="J4856" s="2"/>
      <c r="K4856" s="2"/>
    </row>
    <row r="4857" customFormat="false" ht="15" hidden="false" customHeight="false" outlineLevel="0" collapsed="false">
      <c r="A4857" s="2" t="s">
        <v>361</v>
      </c>
      <c r="B4857" s="2" t="s">
        <v>362</v>
      </c>
      <c r="C4857" s="2" t="s">
        <v>45</v>
      </c>
      <c r="D4857" s="3" t="n">
        <v>46254</v>
      </c>
      <c r="E4857" s="2" t="str">
        <f aca="false">TEXT(D4857,"dddd")</f>
        <v>Thursday</v>
      </c>
      <c r="F4857" s="2" t="s">
        <v>457</v>
      </c>
      <c r="G4857" s="2" t="s">
        <v>458</v>
      </c>
      <c r="H4857" s="2" t="s">
        <v>459</v>
      </c>
      <c r="I4857" s="2" t="n">
        <f aca="false">IF(F4857="Present",9,IF(F4857="Half Day",4,0))</f>
        <v>9</v>
      </c>
      <c r="J4857" s="2"/>
      <c r="K4857" s="2"/>
    </row>
    <row r="4858" customFormat="false" ht="15" hidden="false" customHeight="false" outlineLevel="0" collapsed="false">
      <c r="A4858" s="2" t="s">
        <v>361</v>
      </c>
      <c r="B4858" s="2" t="s">
        <v>362</v>
      </c>
      <c r="C4858" s="2" t="s">
        <v>45</v>
      </c>
      <c r="D4858" s="3" t="n">
        <v>46255</v>
      </c>
      <c r="E4858" s="2" t="str">
        <f aca="false">TEXT(D4858,"dddd")</f>
        <v>Friday</v>
      </c>
      <c r="F4858" s="2" t="s">
        <v>457</v>
      </c>
      <c r="G4858" s="2" t="s">
        <v>458</v>
      </c>
      <c r="H4858" s="2" t="s">
        <v>459</v>
      </c>
      <c r="I4858" s="2" t="n">
        <f aca="false">IF(F4858="Present",9,IF(F4858="Half Day",4,0))</f>
        <v>9</v>
      </c>
      <c r="J4858" s="2"/>
      <c r="K4858" s="2"/>
    </row>
    <row r="4859" customFormat="false" ht="15" hidden="false" customHeight="false" outlineLevel="0" collapsed="false">
      <c r="A4859" s="2" t="s">
        <v>361</v>
      </c>
      <c r="B4859" s="2" t="s">
        <v>362</v>
      </c>
      <c r="C4859" s="2" t="s">
        <v>45</v>
      </c>
      <c r="D4859" s="3" t="n">
        <v>46256</v>
      </c>
      <c r="E4859" s="2" t="str">
        <f aca="false">TEXT(D4859,"dddd")</f>
        <v>Saturday</v>
      </c>
      <c r="F4859" s="2" t="s">
        <v>457</v>
      </c>
      <c r="G4859" s="2" t="s">
        <v>458</v>
      </c>
      <c r="H4859" s="2" t="s">
        <v>459</v>
      </c>
      <c r="I4859" s="2" t="n">
        <f aca="false">IF(F4859="Present",9,IF(F4859="Half Day",4,0))</f>
        <v>9</v>
      </c>
      <c r="J4859" s="2"/>
      <c r="K4859" s="2"/>
    </row>
    <row r="4860" customFormat="false" ht="15" hidden="false" customHeight="false" outlineLevel="0" collapsed="false">
      <c r="A4860" s="2" t="s">
        <v>361</v>
      </c>
      <c r="B4860" s="2" t="s">
        <v>362</v>
      </c>
      <c r="C4860" s="2" t="s">
        <v>45</v>
      </c>
      <c r="D4860" s="3" t="n">
        <v>46257</v>
      </c>
      <c r="E4860" s="2" t="str">
        <f aca="false">TEXT(D4860,"dddd")</f>
        <v>Sunday</v>
      </c>
      <c r="F4860" s="2" t="s">
        <v>460</v>
      </c>
      <c r="G4860" s="2"/>
      <c r="H4860" s="2"/>
      <c r="I4860" s="2" t="n">
        <f aca="false">IF(F4860="Present",9,IF(F4860="Half Day",4,0))</f>
        <v>0</v>
      </c>
      <c r="J4860" s="2"/>
      <c r="K4860" s="2" t="s">
        <v>460</v>
      </c>
    </row>
    <row r="4861" customFormat="false" ht="15" hidden="false" customHeight="false" outlineLevel="0" collapsed="false">
      <c r="A4861" s="2" t="s">
        <v>361</v>
      </c>
      <c r="B4861" s="2" t="s">
        <v>362</v>
      </c>
      <c r="C4861" s="2" t="s">
        <v>45</v>
      </c>
      <c r="D4861" s="3" t="n">
        <v>46258</v>
      </c>
      <c r="E4861" s="2" t="str">
        <f aca="false">TEXT(D4861,"dddd")</f>
        <v>Monday</v>
      </c>
      <c r="F4861" s="2" t="s">
        <v>457</v>
      </c>
      <c r="G4861" s="2" t="s">
        <v>458</v>
      </c>
      <c r="H4861" s="2" t="s">
        <v>459</v>
      </c>
      <c r="I4861" s="2" t="n">
        <f aca="false">IF(F4861="Present",9,IF(F4861="Half Day",4,0))</f>
        <v>9</v>
      </c>
      <c r="J4861" s="2"/>
      <c r="K4861" s="2"/>
    </row>
    <row r="4862" customFormat="false" ht="15" hidden="false" customHeight="false" outlineLevel="0" collapsed="false">
      <c r="A4862" s="2" t="s">
        <v>361</v>
      </c>
      <c r="B4862" s="2" t="s">
        <v>362</v>
      </c>
      <c r="C4862" s="2" t="s">
        <v>45</v>
      </c>
      <c r="D4862" s="3" t="n">
        <v>46259</v>
      </c>
      <c r="E4862" s="2" t="str">
        <f aca="false">TEXT(D4862,"dddd")</f>
        <v>Tuesday</v>
      </c>
      <c r="F4862" s="2" t="s">
        <v>457</v>
      </c>
      <c r="G4862" s="2" t="s">
        <v>458</v>
      </c>
      <c r="H4862" s="2" t="s">
        <v>459</v>
      </c>
      <c r="I4862" s="2" t="n">
        <f aca="false">IF(F4862="Present",9,IF(F4862="Half Day",4,0))</f>
        <v>9</v>
      </c>
      <c r="J4862" s="2"/>
      <c r="K4862" s="2"/>
    </row>
    <row r="4863" customFormat="false" ht="15" hidden="false" customHeight="false" outlineLevel="0" collapsed="false">
      <c r="A4863" s="2" t="s">
        <v>361</v>
      </c>
      <c r="B4863" s="2" t="s">
        <v>362</v>
      </c>
      <c r="C4863" s="2" t="s">
        <v>45</v>
      </c>
      <c r="D4863" s="3" t="n">
        <v>46260</v>
      </c>
      <c r="E4863" s="2" t="str">
        <f aca="false">TEXT(D4863,"dddd")</f>
        <v>Wednesday</v>
      </c>
      <c r="F4863" s="2" t="s">
        <v>457</v>
      </c>
      <c r="G4863" s="2" t="s">
        <v>458</v>
      </c>
      <c r="H4863" s="2" t="s">
        <v>459</v>
      </c>
      <c r="I4863" s="2" t="n">
        <f aca="false">IF(F4863="Present",9,IF(F4863="Half Day",4,0))</f>
        <v>9</v>
      </c>
      <c r="J4863" s="2"/>
      <c r="K4863" s="2"/>
    </row>
    <row r="4864" customFormat="false" ht="15" hidden="false" customHeight="false" outlineLevel="0" collapsed="false">
      <c r="A4864" s="2" t="s">
        <v>361</v>
      </c>
      <c r="B4864" s="2" t="s">
        <v>362</v>
      </c>
      <c r="C4864" s="2" t="s">
        <v>45</v>
      </c>
      <c r="D4864" s="3" t="n">
        <v>46261</v>
      </c>
      <c r="E4864" s="2" t="str">
        <f aca="false">TEXT(D4864,"dddd")</f>
        <v>Thursday</v>
      </c>
      <c r="F4864" s="2" t="s">
        <v>463</v>
      </c>
      <c r="G4864" s="2"/>
      <c r="H4864" s="2"/>
      <c r="I4864" s="2" t="n">
        <f aca="false">IF(F4864="Present",9,IF(F4864="Half Day",4,0))</f>
        <v>0</v>
      </c>
      <c r="J4864" s="2" t="s">
        <v>468</v>
      </c>
      <c r="K4864" s="2" t="s">
        <v>469</v>
      </c>
    </row>
    <row r="4865" customFormat="false" ht="15" hidden="false" customHeight="false" outlineLevel="0" collapsed="false">
      <c r="A4865" s="2" t="s">
        <v>361</v>
      </c>
      <c r="B4865" s="2" t="s">
        <v>362</v>
      </c>
      <c r="C4865" s="2" t="s">
        <v>45</v>
      </c>
      <c r="D4865" s="3" t="n">
        <v>46262</v>
      </c>
      <c r="E4865" s="2" t="str">
        <f aca="false">TEXT(D4865,"dddd")</f>
        <v>Friday</v>
      </c>
      <c r="F4865" s="2" t="s">
        <v>457</v>
      </c>
      <c r="G4865" s="2" t="s">
        <v>458</v>
      </c>
      <c r="H4865" s="2" t="s">
        <v>459</v>
      </c>
      <c r="I4865" s="2" t="n">
        <f aca="false">IF(F4865="Present",9,IF(F4865="Half Day",4,0))</f>
        <v>9</v>
      </c>
      <c r="J4865" s="2"/>
      <c r="K4865" s="2"/>
    </row>
    <row r="4866" customFormat="false" ht="15" hidden="false" customHeight="false" outlineLevel="0" collapsed="false">
      <c r="A4866" s="2" t="s">
        <v>361</v>
      </c>
      <c r="B4866" s="2" t="s">
        <v>362</v>
      </c>
      <c r="C4866" s="2" t="s">
        <v>45</v>
      </c>
      <c r="D4866" s="3" t="n">
        <v>46263</v>
      </c>
      <c r="E4866" s="2" t="str">
        <f aca="false">TEXT(D4866,"dddd")</f>
        <v>Saturday</v>
      </c>
      <c r="F4866" s="2" t="s">
        <v>457</v>
      </c>
      <c r="G4866" s="2" t="s">
        <v>458</v>
      </c>
      <c r="H4866" s="2" t="s">
        <v>459</v>
      </c>
      <c r="I4866" s="2" t="n">
        <f aca="false">IF(F4866="Present",9,IF(F4866="Half Day",4,0))</f>
        <v>9</v>
      </c>
      <c r="J4866" s="2"/>
      <c r="K4866" s="2"/>
    </row>
    <row r="4867" customFormat="false" ht="15" hidden="false" customHeight="false" outlineLevel="0" collapsed="false">
      <c r="A4867" s="2" t="s">
        <v>361</v>
      </c>
      <c r="B4867" s="2" t="s">
        <v>362</v>
      </c>
      <c r="C4867" s="2" t="s">
        <v>45</v>
      </c>
      <c r="D4867" s="3" t="n">
        <v>46264</v>
      </c>
      <c r="E4867" s="2" t="str">
        <f aca="false">TEXT(D4867,"dddd")</f>
        <v>Sunday</v>
      </c>
      <c r="F4867" s="2" t="s">
        <v>460</v>
      </c>
      <c r="G4867" s="2"/>
      <c r="H4867" s="2"/>
      <c r="I4867" s="2" t="n">
        <f aca="false">IF(F4867="Present",9,IF(F4867="Half Day",4,0))</f>
        <v>0</v>
      </c>
      <c r="J4867" s="2"/>
      <c r="K4867" s="2" t="s">
        <v>460</v>
      </c>
    </row>
    <row r="4868" customFormat="false" ht="15" hidden="false" customHeight="false" outlineLevel="0" collapsed="false">
      <c r="A4868" s="2" t="s">
        <v>361</v>
      </c>
      <c r="B4868" s="2" t="s">
        <v>362</v>
      </c>
      <c r="C4868" s="2" t="s">
        <v>45</v>
      </c>
      <c r="D4868" s="3" t="n">
        <v>46265</v>
      </c>
      <c r="E4868" s="2" t="str">
        <f aca="false">TEXT(D4868,"dddd")</f>
        <v>Monday</v>
      </c>
      <c r="F4868" s="2" t="s">
        <v>461</v>
      </c>
      <c r="G4868" s="2"/>
      <c r="H4868" s="2"/>
      <c r="I4868" s="2" t="n">
        <f aca="false">IF(F4868="Present",9,IF(F4868="Half Day",4,0))</f>
        <v>0</v>
      </c>
      <c r="J4868" s="2"/>
      <c r="K4868" s="2" t="s">
        <v>462</v>
      </c>
    </row>
    <row r="4869" customFormat="false" ht="15" hidden="false" customHeight="false" outlineLevel="0" collapsed="false">
      <c r="A4869" s="2" t="s">
        <v>363</v>
      </c>
      <c r="B4869" s="2" t="s">
        <v>364</v>
      </c>
      <c r="C4869" s="2" t="s">
        <v>49</v>
      </c>
      <c r="D4869" s="3" t="n">
        <v>46235</v>
      </c>
      <c r="E4869" s="2" t="str">
        <f aca="false">TEXT(D4869,"dddd")</f>
        <v>Saturday</v>
      </c>
      <c r="F4869" s="2" t="s">
        <v>457</v>
      </c>
      <c r="G4869" s="2" t="s">
        <v>458</v>
      </c>
      <c r="H4869" s="2" t="s">
        <v>459</v>
      </c>
      <c r="I4869" s="2" t="n">
        <f aca="false">IF(F4869="Present",9,IF(F4869="Half Day",4,0))</f>
        <v>9</v>
      </c>
      <c r="J4869" s="2"/>
      <c r="K4869" s="2"/>
    </row>
    <row r="4870" customFormat="false" ht="15" hidden="false" customHeight="false" outlineLevel="0" collapsed="false">
      <c r="A4870" s="2" t="s">
        <v>363</v>
      </c>
      <c r="B4870" s="2" t="s">
        <v>364</v>
      </c>
      <c r="C4870" s="2" t="s">
        <v>49</v>
      </c>
      <c r="D4870" s="3" t="n">
        <v>46236</v>
      </c>
      <c r="E4870" s="2" t="str">
        <f aca="false">TEXT(D4870,"dddd")</f>
        <v>Sunday</v>
      </c>
      <c r="F4870" s="2" t="s">
        <v>460</v>
      </c>
      <c r="G4870" s="2"/>
      <c r="H4870" s="2"/>
      <c r="I4870" s="2" t="n">
        <f aca="false">IF(F4870="Present",9,IF(F4870="Half Day",4,0))</f>
        <v>0</v>
      </c>
      <c r="J4870" s="2"/>
      <c r="K4870" s="2" t="s">
        <v>460</v>
      </c>
    </row>
    <row r="4871" customFormat="false" ht="15" hidden="false" customHeight="false" outlineLevel="0" collapsed="false">
      <c r="A4871" s="2" t="s">
        <v>363</v>
      </c>
      <c r="B4871" s="2" t="s">
        <v>364</v>
      </c>
      <c r="C4871" s="2" t="s">
        <v>49</v>
      </c>
      <c r="D4871" s="3" t="n">
        <v>46237</v>
      </c>
      <c r="E4871" s="2" t="str">
        <f aca="false">TEXT(D4871,"dddd")</f>
        <v>Monday</v>
      </c>
      <c r="F4871" s="2" t="s">
        <v>457</v>
      </c>
      <c r="G4871" s="2" t="s">
        <v>458</v>
      </c>
      <c r="H4871" s="2" t="s">
        <v>459</v>
      </c>
      <c r="I4871" s="2" t="n">
        <f aca="false">IF(F4871="Present",9,IF(F4871="Half Day",4,0))</f>
        <v>9</v>
      </c>
      <c r="J4871" s="2"/>
      <c r="K4871" s="2"/>
    </row>
    <row r="4872" customFormat="false" ht="15" hidden="false" customHeight="false" outlineLevel="0" collapsed="false">
      <c r="A4872" s="2" t="s">
        <v>363</v>
      </c>
      <c r="B4872" s="2" t="s">
        <v>364</v>
      </c>
      <c r="C4872" s="2" t="s">
        <v>49</v>
      </c>
      <c r="D4872" s="3" t="n">
        <v>46238</v>
      </c>
      <c r="E4872" s="2" t="str">
        <f aca="false">TEXT(D4872,"dddd")</f>
        <v>Tuesday</v>
      </c>
      <c r="F4872" s="2" t="s">
        <v>457</v>
      </c>
      <c r="G4872" s="2" t="s">
        <v>458</v>
      </c>
      <c r="H4872" s="2" t="s">
        <v>459</v>
      </c>
      <c r="I4872" s="2" t="n">
        <f aca="false">IF(F4872="Present",9,IF(F4872="Half Day",4,0))</f>
        <v>9</v>
      </c>
      <c r="J4872" s="2"/>
      <c r="K4872" s="2"/>
    </row>
    <row r="4873" customFormat="false" ht="15" hidden="false" customHeight="false" outlineLevel="0" collapsed="false">
      <c r="A4873" s="2" t="s">
        <v>363</v>
      </c>
      <c r="B4873" s="2" t="s">
        <v>364</v>
      </c>
      <c r="C4873" s="2" t="s">
        <v>49</v>
      </c>
      <c r="D4873" s="3" t="n">
        <v>46239</v>
      </c>
      <c r="E4873" s="2" t="str">
        <f aca="false">TEXT(D4873,"dddd")</f>
        <v>Wednesday</v>
      </c>
      <c r="F4873" s="2" t="s">
        <v>457</v>
      </c>
      <c r="G4873" s="2" t="s">
        <v>458</v>
      </c>
      <c r="H4873" s="2" t="s">
        <v>459</v>
      </c>
      <c r="I4873" s="2" t="n">
        <f aca="false">IF(F4873="Present",9,IF(F4873="Half Day",4,0))</f>
        <v>9</v>
      </c>
      <c r="J4873" s="2"/>
      <c r="K4873" s="2"/>
    </row>
    <row r="4874" customFormat="false" ht="15" hidden="false" customHeight="false" outlineLevel="0" collapsed="false">
      <c r="A4874" s="2" t="s">
        <v>363</v>
      </c>
      <c r="B4874" s="2" t="s">
        <v>364</v>
      </c>
      <c r="C4874" s="2" t="s">
        <v>49</v>
      </c>
      <c r="D4874" s="3" t="n">
        <v>46240</v>
      </c>
      <c r="E4874" s="2" t="str">
        <f aca="false">TEXT(D4874,"dddd")</f>
        <v>Thursday</v>
      </c>
      <c r="F4874" s="2" t="s">
        <v>457</v>
      </c>
      <c r="G4874" s="2" t="s">
        <v>458</v>
      </c>
      <c r="H4874" s="2" t="s">
        <v>459</v>
      </c>
      <c r="I4874" s="2" t="n">
        <f aca="false">IF(F4874="Present",9,IF(F4874="Half Day",4,0))</f>
        <v>9</v>
      </c>
      <c r="J4874" s="2"/>
      <c r="K4874" s="2"/>
    </row>
    <row r="4875" customFormat="false" ht="15" hidden="false" customHeight="false" outlineLevel="0" collapsed="false">
      <c r="A4875" s="2" t="s">
        <v>363</v>
      </c>
      <c r="B4875" s="2" t="s">
        <v>364</v>
      </c>
      <c r="C4875" s="2" t="s">
        <v>49</v>
      </c>
      <c r="D4875" s="3" t="n">
        <v>46241</v>
      </c>
      <c r="E4875" s="2" t="str">
        <f aca="false">TEXT(D4875,"dddd")</f>
        <v>Friday</v>
      </c>
      <c r="F4875" s="2" t="s">
        <v>457</v>
      </c>
      <c r="G4875" s="2" t="s">
        <v>458</v>
      </c>
      <c r="H4875" s="2" t="s">
        <v>459</v>
      </c>
      <c r="I4875" s="2" t="n">
        <f aca="false">IF(F4875="Present",9,IF(F4875="Half Day",4,0))</f>
        <v>9</v>
      </c>
      <c r="J4875" s="2"/>
      <c r="K4875" s="2"/>
    </row>
    <row r="4876" customFormat="false" ht="15" hidden="false" customHeight="false" outlineLevel="0" collapsed="false">
      <c r="A4876" s="2" t="s">
        <v>363</v>
      </c>
      <c r="B4876" s="2" t="s">
        <v>364</v>
      </c>
      <c r="C4876" s="2" t="s">
        <v>49</v>
      </c>
      <c r="D4876" s="3" t="n">
        <v>46242</v>
      </c>
      <c r="E4876" s="2" t="str">
        <f aca="false">TEXT(D4876,"dddd")</f>
        <v>Saturday</v>
      </c>
      <c r="F4876" s="2" t="s">
        <v>457</v>
      </c>
      <c r="G4876" s="2" t="s">
        <v>458</v>
      </c>
      <c r="H4876" s="2" t="s">
        <v>459</v>
      </c>
      <c r="I4876" s="2" t="n">
        <f aca="false">IF(F4876="Present",9,IF(F4876="Half Day",4,0))</f>
        <v>9</v>
      </c>
      <c r="J4876" s="2"/>
      <c r="K4876" s="2"/>
    </row>
    <row r="4877" customFormat="false" ht="15" hidden="false" customHeight="false" outlineLevel="0" collapsed="false">
      <c r="A4877" s="2" t="s">
        <v>363</v>
      </c>
      <c r="B4877" s="2" t="s">
        <v>364</v>
      </c>
      <c r="C4877" s="2" t="s">
        <v>49</v>
      </c>
      <c r="D4877" s="3" t="n">
        <v>46243</v>
      </c>
      <c r="E4877" s="2" t="str">
        <f aca="false">TEXT(D4877,"dddd")</f>
        <v>Sunday</v>
      </c>
      <c r="F4877" s="2" t="s">
        <v>460</v>
      </c>
      <c r="G4877" s="2"/>
      <c r="H4877" s="2"/>
      <c r="I4877" s="2" t="n">
        <f aca="false">IF(F4877="Present",9,IF(F4877="Half Day",4,0))</f>
        <v>0</v>
      </c>
      <c r="J4877" s="2"/>
      <c r="K4877" s="2" t="s">
        <v>460</v>
      </c>
    </row>
    <row r="4878" customFormat="false" ht="15" hidden="false" customHeight="false" outlineLevel="0" collapsed="false">
      <c r="A4878" s="2" t="s">
        <v>363</v>
      </c>
      <c r="B4878" s="2" t="s">
        <v>364</v>
      </c>
      <c r="C4878" s="2" t="s">
        <v>49</v>
      </c>
      <c r="D4878" s="3" t="n">
        <v>46244</v>
      </c>
      <c r="E4878" s="2" t="str">
        <f aca="false">TEXT(D4878,"dddd")</f>
        <v>Monday</v>
      </c>
      <c r="F4878" s="2" t="s">
        <v>457</v>
      </c>
      <c r="G4878" s="2" t="s">
        <v>458</v>
      </c>
      <c r="H4878" s="2" t="s">
        <v>459</v>
      </c>
      <c r="I4878" s="2" t="n">
        <f aca="false">IF(F4878="Present",9,IF(F4878="Half Day",4,0))</f>
        <v>9</v>
      </c>
      <c r="J4878" s="2"/>
      <c r="K4878" s="2"/>
    </row>
    <row r="4879" customFormat="false" ht="15" hidden="false" customHeight="false" outlineLevel="0" collapsed="false">
      <c r="A4879" s="2" t="s">
        <v>363</v>
      </c>
      <c r="B4879" s="2" t="s">
        <v>364</v>
      </c>
      <c r="C4879" s="2" t="s">
        <v>49</v>
      </c>
      <c r="D4879" s="3" t="n">
        <v>46245</v>
      </c>
      <c r="E4879" s="2" t="str">
        <f aca="false">TEXT(D4879,"dddd")</f>
        <v>Tuesday</v>
      </c>
      <c r="F4879" s="2" t="s">
        <v>457</v>
      </c>
      <c r="G4879" s="2" t="s">
        <v>458</v>
      </c>
      <c r="H4879" s="2" t="s">
        <v>459</v>
      </c>
      <c r="I4879" s="2" t="n">
        <f aca="false">IF(F4879="Present",9,IF(F4879="Half Day",4,0))</f>
        <v>9</v>
      </c>
      <c r="J4879" s="2"/>
      <c r="K4879" s="2"/>
    </row>
    <row r="4880" customFormat="false" ht="15" hidden="false" customHeight="false" outlineLevel="0" collapsed="false">
      <c r="A4880" s="2" t="s">
        <v>363</v>
      </c>
      <c r="B4880" s="2" t="s">
        <v>364</v>
      </c>
      <c r="C4880" s="2" t="s">
        <v>49</v>
      </c>
      <c r="D4880" s="3" t="n">
        <v>46246</v>
      </c>
      <c r="E4880" s="2" t="str">
        <f aca="false">TEXT(D4880,"dddd")</f>
        <v>Wednesday</v>
      </c>
      <c r="F4880" s="2" t="s">
        <v>457</v>
      </c>
      <c r="G4880" s="2" t="s">
        <v>458</v>
      </c>
      <c r="H4880" s="2" t="s">
        <v>459</v>
      </c>
      <c r="I4880" s="2" t="n">
        <f aca="false">IF(F4880="Present",9,IF(F4880="Half Day",4,0))</f>
        <v>9</v>
      </c>
      <c r="J4880" s="2"/>
      <c r="K4880" s="2"/>
    </row>
    <row r="4881" customFormat="false" ht="15" hidden="false" customHeight="false" outlineLevel="0" collapsed="false">
      <c r="A4881" s="2" t="s">
        <v>363</v>
      </c>
      <c r="B4881" s="2" t="s">
        <v>364</v>
      </c>
      <c r="C4881" s="2" t="s">
        <v>49</v>
      </c>
      <c r="D4881" s="3" t="n">
        <v>46247</v>
      </c>
      <c r="E4881" s="2" t="str">
        <f aca="false">TEXT(D4881,"dddd")</f>
        <v>Thursday</v>
      </c>
      <c r="F4881" s="2" t="s">
        <v>457</v>
      </c>
      <c r="G4881" s="2" t="s">
        <v>458</v>
      </c>
      <c r="H4881" s="2" t="s">
        <v>459</v>
      </c>
      <c r="I4881" s="2" t="n">
        <f aca="false">IF(F4881="Present",9,IF(F4881="Half Day",4,0))</f>
        <v>9</v>
      </c>
      <c r="J4881" s="2"/>
      <c r="K4881" s="2"/>
    </row>
    <row r="4882" customFormat="false" ht="15" hidden="false" customHeight="false" outlineLevel="0" collapsed="false">
      <c r="A4882" s="2" t="s">
        <v>363</v>
      </c>
      <c r="B4882" s="2" t="s">
        <v>364</v>
      </c>
      <c r="C4882" s="2" t="s">
        <v>49</v>
      </c>
      <c r="D4882" s="3" t="n">
        <v>46248</v>
      </c>
      <c r="E4882" s="2" t="str">
        <f aca="false">TEXT(D4882,"dddd")</f>
        <v>Friday</v>
      </c>
      <c r="F4882" s="2" t="s">
        <v>457</v>
      </c>
      <c r="G4882" s="2" t="s">
        <v>458</v>
      </c>
      <c r="H4882" s="2" t="s">
        <v>459</v>
      </c>
      <c r="I4882" s="2" t="n">
        <f aca="false">IF(F4882="Present",9,IF(F4882="Half Day",4,0))</f>
        <v>9</v>
      </c>
      <c r="J4882" s="2"/>
      <c r="K4882" s="2"/>
    </row>
    <row r="4883" customFormat="false" ht="15" hidden="false" customHeight="false" outlineLevel="0" collapsed="false">
      <c r="A4883" s="2" t="s">
        <v>363</v>
      </c>
      <c r="B4883" s="2" t="s">
        <v>364</v>
      </c>
      <c r="C4883" s="2" t="s">
        <v>49</v>
      </c>
      <c r="D4883" s="3" t="n">
        <v>46249</v>
      </c>
      <c r="E4883" s="2" t="str">
        <f aca="false">TEXT(D4883,"dddd")</f>
        <v>Saturday</v>
      </c>
      <c r="F4883" s="2" t="s">
        <v>457</v>
      </c>
      <c r="G4883" s="2" t="s">
        <v>458</v>
      </c>
      <c r="H4883" s="2" t="s">
        <v>459</v>
      </c>
      <c r="I4883" s="2" t="n">
        <f aca="false">IF(F4883="Present",9,IF(F4883="Half Day",4,0))</f>
        <v>9</v>
      </c>
      <c r="J4883" s="2"/>
      <c r="K4883" s="2"/>
    </row>
    <row r="4884" customFormat="false" ht="15" hidden="false" customHeight="false" outlineLevel="0" collapsed="false">
      <c r="A4884" s="2" t="s">
        <v>363</v>
      </c>
      <c r="B4884" s="2" t="s">
        <v>364</v>
      </c>
      <c r="C4884" s="2" t="s">
        <v>49</v>
      </c>
      <c r="D4884" s="3" t="n">
        <v>46250</v>
      </c>
      <c r="E4884" s="2" t="str">
        <f aca="false">TEXT(D4884,"dddd")</f>
        <v>Sunday</v>
      </c>
      <c r="F4884" s="2" t="s">
        <v>460</v>
      </c>
      <c r="G4884" s="2"/>
      <c r="H4884" s="2"/>
      <c r="I4884" s="2" t="n">
        <f aca="false">IF(F4884="Present",9,IF(F4884="Half Day",4,0))</f>
        <v>0</v>
      </c>
      <c r="J4884" s="2"/>
      <c r="K4884" s="2" t="s">
        <v>460</v>
      </c>
    </row>
    <row r="4885" customFormat="false" ht="15" hidden="false" customHeight="false" outlineLevel="0" collapsed="false">
      <c r="A4885" s="2" t="s">
        <v>363</v>
      </c>
      <c r="B4885" s="2" t="s">
        <v>364</v>
      </c>
      <c r="C4885" s="2" t="s">
        <v>49</v>
      </c>
      <c r="D4885" s="3" t="n">
        <v>46251</v>
      </c>
      <c r="E4885" s="2" t="str">
        <f aca="false">TEXT(D4885,"dddd")</f>
        <v>Monday</v>
      </c>
      <c r="F4885" s="2" t="s">
        <v>457</v>
      </c>
      <c r="G4885" s="2" t="s">
        <v>458</v>
      </c>
      <c r="H4885" s="2" t="s">
        <v>459</v>
      </c>
      <c r="I4885" s="2" t="n">
        <f aca="false">IF(F4885="Present",9,IF(F4885="Half Day",4,0))</f>
        <v>9</v>
      </c>
      <c r="J4885" s="2"/>
      <c r="K4885" s="2"/>
    </row>
    <row r="4886" customFormat="false" ht="15" hidden="false" customHeight="false" outlineLevel="0" collapsed="false">
      <c r="A4886" s="2" t="s">
        <v>363</v>
      </c>
      <c r="B4886" s="2" t="s">
        <v>364</v>
      </c>
      <c r="C4886" s="2" t="s">
        <v>49</v>
      </c>
      <c r="D4886" s="3" t="n">
        <v>46252</v>
      </c>
      <c r="E4886" s="2" t="str">
        <f aca="false">TEXT(D4886,"dddd")</f>
        <v>Tuesday</v>
      </c>
      <c r="F4886" s="2" t="s">
        <v>457</v>
      </c>
      <c r="G4886" s="2" t="s">
        <v>458</v>
      </c>
      <c r="H4886" s="2" t="s">
        <v>459</v>
      </c>
      <c r="I4886" s="2" t="n">
        <f aca="false">IF(F4886="Present",9,IF(F4886="Half Day",4,0))</f>
        <v>9</v>
      </c>
      <c r="J4886" s="2"/>
      <c r="K4886" s="2"/>
    </row>
    <row r="4887" customFormat="false" ht="15" hidden="false" customHeight="false" outlineLevel="0" collapsed="false">
      <c r="A4887" s="2" t="s">
        <v>363</v>
      </c>
      <c r="B4887" s="2" t="s">
        <v>364</v>
      </c>
      <c r="C4887" s="2" t="s">
        <v>49</v>
      </c>
      <c r="D4887" s="3" t="n">
        <v>46253</v>
      </c>
      <c r="E4887" s="2" t="str">
        <f aca="false">TEXT(D4887,"dddd")</f>
        <v>Wednesday</v>
      </c>
      <c r="F4887" s="2" t="s">
        <v>457</v>
      </c>
      <c r="G4887" s="2" t="s">
        <v>458</v>
      </c>
      <c r="H4887" s="2" t="s">
        <v>459</v>
      </c>
      <c r="I4887" s="2" t="n">
        <f aca="false">IF(F4887="Present",9,IF(F4887="Half Day",4,0))</f>
        <v>9</v>
      </c>
      <c r="J4887" s="2"/>
      <c r="K4887" s="2"/>
    </row>
    <row r="4888" customFormat="false" ht="15" hidden="false" customHeight="false" outlineLevel="0" collapsed="false">
      <c r="A4888" s="2" t="s">
        <v>363</v>
      </c>
      <c r="B4888" s="2" t="s">
        <v>364</v>
      </c>
      <c r="C4888" s="2" t="s">
        <v>49</v>
      </c>
      <c r="D4888" s="3" t="n">
        <v>46254</v>
      </c>
      <c r="E4888" s="2" t="str">
        <f aca="false">TEXT(D4888,"dddd")</f>
        <v>Thursday</v>
      </c>
      <c r="F4888" s="2" t="s">
        <v>457</v>
      </c>
      <c r="G4888" s="2" t="s">
        <v>458</v>
      </c>
      <c r="H4888" s="2" t="s">
        <v>459</v>
      </c>
      <c r="I4888" s="2" t="n">
        <f aca="false">IF(F4888="Present",9,IF(F4888="Half Day",4,0))</f>
        <v>9</v>
      </c>
      <c r="J4888" s="2"/>
      <c r="K4888" s="2"/>
    </row>
    <row r="4889" customFormat="false" ht="15" hidden="false" customHeight="false" outlineLevel="0" collapsed="false">
      <c r="A4889" s="2" t="s">
        <v>363</v>
      </c>
      <c r="B4889" s="2" t="s">
        <v>364</v>
      </c>
      <c r="C4889" s="2" t="s">
        <v>49</v>
      </c>
      <c r="D4889" s="3" t="n">
        <v>46255</v>
      </c>
      <c r="E4889" s="2" t="str">
        <f aca="false">TEXT(D4889,"dddd")</f>
        <v>Friday</v>
      </c>
      <c r="F4889" s="2" t="s">
        <v>457</v>
      </c>
      <c r="G4889" s="2" t="s">
        <v>458</v>
      </c>
      <c r="H4889" s="2" t="s">
        <v>459</v>
      </c>
      <c r="I4889" s="2" t="n">
        <f aca="false">IF(F4889="Present",9,IF(F4889="Half Day",4,0))</f>
        <v>9</v>
      </c>
      <c r="J4889" s="2"/>
      <c r="K4889" s="2"/>
    </row>
    <row r="4890" customFormat="false" ht="15" hidden="false" customHeight="false" outlineLevel="0" collapsed="false">
      <c r="A4890" s="2" t="s">
        <v>363</v>
      </c>
      <c r="B4890" s="2" t="s">
        <v>364</v>
      </c>
      <c r="C4890" s="2" t="s">
        <v>49</v>
      </c>
      <c r="D4890" s="3" t="n">
        <v>46256</v>
      </c>
      <c r="E4890" s="2" t="str">
        <f aca="false">TEXT(D4890,"dddd")</f>
        <v>Saturday</v>
      </c>
      <c r="F4890" s="2" t="s">
        <v>457</v>
      </c>
      <c r="G4890" s="2" t="s">
        <v>458</v>
      </c>
      <c r="H4890" s="2" t="s">
        <v>459</v>
      </c>
      <c r="I4890" s="2" t="n">
        <f aca="false">IF(F4890="Present",9,IF(F4890="Half Day",4,0))</f>
        <v>9</v>
      </c>
      <c r="J4890" s="2"/>
      <c r="K4890" s="2"/>
    </row>
    <row r="4891" customFormat="false" ht="15" hidden="false" customHeight="false" outlineLevel="0" collapsed="false">
      <c r="A4891" s="2" t="s">
        <v>363</v>
      </c>
      <c r="B4891" s="2" t="s">
        <v>364</v>
      </c>
      <c r="C4891" s="2" t="s">
        <v>49</v>
      </c>
      <c r="D4891" s="3" t="n">
        <v>46257</v>
      </c>
      <c r="E4891" s="2" t="str">
        <f aca="false">TEXT(D4891,"dddd")</f>
        <v>Sunday</v>
      </c>
      <c r="F4891" s="2" t="s">
        <v>460</v>
      </c>
      <c r="G4891" s="2"/>
      <c r="H4891" s="2"/>
      <c r="I4891" s="2" t="n">
        <f aca="false">IF(F4891="Present",9,IF(F4891="Half Day",4,0))</f>
        <v>0</v>
      </c>
      <c r="J4891" s="2"/>
      <c r="K4891" s="2" t="s">
        <v>460</v>
      </c>
    </row>
    <row r="4892" customFormat="false" ht="15" hidden="false" customHeight="false" outlineLevel="0" collapsed="false">
      <c r="A4892" s="2" t="s">
        <v>363</v>
      </c>
      <c r="B4892" s="2" t="s">
        <v>364</v>
      </c>
      <c r="C4892" s="2" t="s">
        <v>49</v>
      </c>
      <c r="D4892" s="3" t="n">
        <v>46258</v>
      </c>
      <c r="E4892" s="2" t="str">
        <f aca="false">TEXT(D4892,"dddd")</f>
        <v>Monday</v>
      </c>
      <c r="F4892" s="2" t="s">
        <v>457</v>
      </c>
      <c r="G4892" s="2" t="s">
        <v>458</v>
      </c>
      <c r="H4892" s="2" t="s">
        <v>459</v>
      </c>
      <c r="I4892" s="2" t="n">
        <f aca="false">IF(F4892="Present",9,IF(F4892="Half Day",4,0))</f>
        <v>9</v>
      </c>
      <c r="J4892" s="2"/>
      <c r="K4892" s="2"/>
    </row>
    <row r="4893" customFormat="false" ht="15" hidden="false" customHeight="false" outlineLevel="0" collapsed="false">
      <c r="A4893" s="2" t="s">
        <v>363</v>
      </c>
      <c r="B4893" s="2" t="s">
        <v>364</v>
      </c>
      <c r="C4893" s="2" t="s">
        <v>49</v>
      </c>
      <c r="D4893" s="3" t="n">
        <v>46259</v>
      </c>
      <c r="E4893" s="2" t="str">
        <f aca="false">TEXT(D4893,"dddd")</f>
        <v>Tuesday</v>
      </c>
      <c r="F4893" s="2" t="s">
        <v>457</v>
      </c>
      <c r="G4893" s="2" t="s">
        <v>458</v>
      </c>
      <c r="H4893" s="2" t="s">
        <v>459</v>
      </c>
      <c r="I4893" s="2" t="n">
        <f aca="false">IF(F4893="Present",9,IF(F4893="Half Day",4,0))</f>
        <v>9</v>
      </c>
      <c r="J4893" s="2"/>
      <c r="K4893" s="2"/>
    </row>
    <row r="4894" customFormat="false" ht="15" hidden="false" customHeight="false" outlineLevel="0" collapsed="false">
      <c r="A4894" s="2" t="s">
        <v>363</v>
      </c>
      <c r="B4894" s="2" t="s">
        <v>364</v>
      </c>
      <c r="C4894" s="2" t="s">
        <v>49</v>
      </c>
      <c r="D4894" s="3" t="n">
        <v>46260</v>
      </c>
      <c r="E4894" s="2" t="str">
        <f aca="false">TEXT(D4894,"dddd")</f>
        <v>Wednesday</v>
      </c>
      <c r="F4894" s="2" t="s">
        <v>457</v>
      </c>
      <c r="G4894" s="2" t="s">
        <v>458</v>
      </c>
      <c r="H4894" s="2" t="s">
        <v>459</v>
      </c>
      <c r="I4894" s="2" t="n">
        <f aca="false">IF(F4894="Present",9,IF(F4894="Half Day",4,0))</f>
        <v>9</v>
      </c>
      <c r="J4894" s="2"/>
      <c r="K4894" s="2"/>
    </row>
    <row r="4895" customFormat="false" ht="15" hidden="false" customHeight="false" outlineLevel="0" collapsed="false">
      <c r="A4895" s="2" t="s">
        <v>363</v>
      </c>
      <c r="B4895" s="2" t="s">
        <v>364</v>
      </c>
      <c r="C4895" s="2" t="s">
        <v>49</v>
      </c>
      <c r="D4895" s="3" t="n">
        <v>46261</v>
      </c>
      <c r="E4895" s="2" t="str">
        <f aca="false">TEXT(D4895,"dddd")</f>
        <v>Thursday</v>
      </c>
      <c r="F4895" s="2" t="s">
        <v>457</v>
      </c>
      <c r="G4895" s="2" t="s">
        <v>458</v>
      </c>
      <c r="H4895" s="2" t="s">
        <v>459</v>
      </c>
      <c r="I4895" s="2" t="n">
        <f aca="false">IF(F4895="Present",9,IF(F4895="Half Day",4,0))</f>
        <v>9</v>
      </c>
      <c r="J4895" s="2"/>
      <c r="K4895" s="2"/>
    </row>
    <row r="4896" customFormat="false" ht="15" hidden="false" customHeight="false" outlineLevel="0" collapsed="false">
      <c r="A4896" s="2" t="s">
        <v>363</v>
      </c>
      <c r="B4896" s="2" t="s">
        <v>364</v>
      </c>
      <c r="C4896" s="2" t="s">
        <v>49</v>
      </c>
      <c r="D4896" s="3" t="n">
        <v>46262</v>
      </c>
      <c r="E4896" s="2" t="str">
        <f aca="false">TEXT(D4896,"dddd")</f>
        <v>Friday</v>
      </c>
      <c r="F4896" s="2" t="s">
        <v>457</v>
      </c>
      <c r="G4896" s="2" t="s">
        <v>458</v>
      </c>
      <c r="H4896" s="2" t="s">
        <v>459</v>
      </c>
      <c r="I4896" s="2" t="n">
        <f aca="false">IF(F4896="Present",9,IF(F4896="Half Day",4,0))</f>
        <v>9</v>
      </c>
      <c r="J4896" s="2"/>
      <c r="K4896" s="2"/>
    </row>
    <row r="4897" customFormat="false" ht="15" hidden="false" customHeight="false" outlineLevel="0" collapsed="false">
      <c r="A4897" s="2" t="s">
        <v>363</v>
      </c>
      <c r="B4897" s="2" t="s">
        <v>364</v>
      </c>
      <c r="C4897" s="2" t="s">
        <v>49</v>
      </c>
      <c r="D4897" s="3" t="n">
        <v>46263</v>
      </c>
      <c r="E4897" s="2" t="str">
        <f aca="false">TEXT(D4897,"dddd")</f>
        <v>Saturday</v>
      </c>
      <c r="F4897" s="2" t="s">
        <v>457</v>
      </c>
      <c r="G4897" s="2" t="s">
        <v>458</v>
      </c>
      <c r="H4897" s="2" t="s">
        <v>459</v>
      </c>
      <c r="I4897" s="2" t="n">
        <f aca="false">IF(F4897="Present",9,IF(F4897="Half Day",4,0))</f>
        <v>9</v>
      </c>
      <c r="J4897" s="2"/>
      <c r="K4897" s="2"/>
    </row>
    <row r="4898" customFormat="false" ht="15" hidden="false" customHeight="false" outlineLevel="0" collapsed="false">
      <c r="A4898" s="2" t="s">
        <v>363</v>
      </c>
      <c r="B4898" s="2" t="s">
        <v>364</v>
      </c>
      <c r="C4898" s="2" t="s">
        <v>49</v>
      </c>
      <c r="D4898" s="3" t="n">
        <v>46264</v>
      </c>
      <c r="E4898" s="2" t="str">
        <f aca="false">TEXT(D4898,"dddd")</f>
        <v>Sunday</v>
      </c>
      <c r="F4898" s="2" t="s">
        <v>460</v>
      </c>
      <c r="G4898" s="2"/>
      <c r="H4898" s="2"/>
      <c r="I4898" s="2" t="n">
        <f aca="false">IF(F4898="Present",9,IF(F4898="Half Day",4,0))</f>
        <v>0</v>
      </c>
      <c r="J4898" s="2"/>
      <c r="K4898" s="2" t="s">
        <v>460</v>
      </c>
    </row>
    <row r="4899" customFormat="false" ht="15" hidden="false" customHeight="false" outlineLevel="0" collapsed="false">
      <c r="A4899" s="2" t="s">
        <v>363</v>
      </c>
      <c r="B4899" s="2" t="s">
        <v>364</v>
      </c>
      <c r="C4899" s="2" t="s">
        <v>49</v>
      </c>
      <c r="D4899" s="3" t="n">
        <v>46265</v>
      </c>
      <c r="E4899" s="2" t="str">
        <f aca="false">TEXT(D4899,"dddd")</f>
        <v>Monday</v>
      </c>
      <c r="F4899" s="2" t="s">
        <v>457</v>
      </c>
      <c r="G4899" s="2" t="s">
        <v>458</v>
      </c>
      <c r="H4899" s="2" t="s">
        <v>459</v>
      </c>
      <c r="I4899" s="2" t="n">
        <f aca="false">IF(F4899="Present",9,IF(F4899="Half Day",4,0))</f>
        <v>9</v>
      </c>
      <c r="J4899" s="2"/>
      <c r="K4899" s="2"/>
    </row>
    <row r="4900" customFormat="false" ht="15" hidden="false" customHeight="false" outlineLevel="0" collapsed="false">
      <c r="A4900" s="2" t="s">
        <v>365</v>
      </c>
      <c r="B4900" s="2" t="s">
        <v>366</v>
      </c>
      <c r="C4900" s="2" t="s">
        <v>53</v>
      </c>
      <c r="D4900" s="3" t="n">
        <v>46235</v>
      </c>
      <c r="E4900" s="2" t="str">
        <f aca="false">TEXT(D4900,"dddd")</f>
        <v>Saturday</v>
      </c>
      <c r="F4900" s="2" t="s">
        <v>457</v>
      </c>
      <c r="G4900" s="2" t="s">
        <v>458</v>
      </c>
      <c r="H4900" s="2" t="s">
        <v>459</v>
      </c>
      <c r="I4900" s="2" t="n">
        <f aca="false">IF(F4900="Present",9,IF(F4900="Half Day",4,0))</f>
        <v>9</v>
      </c>
      <c r="J4900" s="2"/>
      <c r="K4900" s="2"/>
    </row>
    <row r="4901" customFormat="false" ht="15" hidden="false" customHeight="false" outlineLevel="0" collapsed="false">
      <c r="A4901" s="2" t="s">
        <v>365</v>
      </c>
      <c r="B4901" s="2" t="s">
        <v>366</v>
      </c>
      <c r="C4901" s="2" t="s">
        <v>53</v>
      </c>
      <c r="D4901" s="3" t="n">
        <v>46236</v>
      </c>
      <c r="E4901" s="2" t="str">
        <f aca="false">TEXT(D4901,"dddd")</f>
        <v>Sunday</v>
      </c>
      <c r="F4901" s="2" t="s">
        <v>460</v>
      </c>
      <c r="G4901" s="2"/>
      <c r="H4901" s="2"/>
      <c r="I4901" s="2" t="n">
        <f aca="false">IF(F4901="Present",9,IF(F4901="Half Day",4,0))</f>
        <v>0</v>
      </c>
      <c r="J4901" s="2"/>
      <c r="K4901" s="2" t="s">
        <v>460</v>
      </c>
    </row>
    <row r="4902" customFormat="false" ht="15" hidden="false" customHeight="false" outlineLevel="0" collapsed="false">
      <c r="A4902" s="2" t="s">
        <v>365</v>
      </c>
      <c r="B4902" s="2" t="s">
        <v>366</v>
      </c>
      <c r="C4902" s="2" t="s">
        <v>53</v>
      </c>
      <c r="D4902" s="3" t="n">
        <v>46237</v>
      </c>
      <c r="E4902" s="2" t="str">
        <f aca="false">TEXT(D4902,"dddd")</f>
        <v>Monday</v>
      </c>
      <c r="F4902" s="2" t="s">
        <v>457</v>
      </c>
      <c r="G4902" s="2" t="s">
        <v>458</v>
      </c>
      <c r="H4902" s="2" t="s">
        <v>459</v>
      </c>
      <c r="I4902" s="2" t="n">
        <f aca="false">IF(F4902="Present",9,IF(F4902="Half Day",4,0))</f>
        <v>9</v>
      </c>
      <c r="J4902" s="2"/>
      <c r="K4902" s="2"/>
    </row>
    <row r="4903" customFormat="false" ht="15" hidden="false" customHeight="false" outlineLevel="0" collapsed="false">
      <c r="A4903" s="2" t="s">
        <v>365</v>
      </c>
      <c r="B4903" s="2" t="s">
        <v>366</v>
      </c>
      <c r="C4903" s="2" t="s">
        <v>53</v>
      </c>
      <c r="D4903" s="3" t="n">
        <v>46238</v>
      </c>
      <c r="E4903" s="2" t="str">
        <f aca="false">TEXT(D4903,"dddd")</f>
        <v>Tuesday</v>
      </c>
      <c r="F4903" s="2" t="s">
        <v>461</v>
      </c>
      <c r="G4903" s="2"/>
      <c r="H4903" s="2"/>
      <c r="I4903" s="2" t="n">
        <f aca="false">IF(F4903="Present",9,IF(F4903="Half Day",4,0))</f>
        <v>0</v>
      </c>
      <c r="J4903" s="2"/>
      <c r="K4903" s="2" t="s">
        <v>462</v>
      </c>
    </row>
    <row r="4904" customFormat="false" ht="15" hidden="false" customHeight="false" outlineLevel="0" collapsed="false">
      <c r="A4904" s="2" t="s">
        <v>365</v>
      </c>
      <c r="B4904" s="2" t="s">
        <v>366</v>
      </c>
      <c r="C4904" s="2" t="s">
        <v>53</v>
      </c>
      <c r="D4904" s="3" t="n">
        <v>46239</v>
      </c>
      <c r="E4904" s="2" t="str">
        <f aca="false">TEXT(D4904,"dddd")</f>
        <v>Wednesday</v>
      </c>
      <c r="F4904" s="2" t="s">
        <v>457</v>
      </c>
      <c r="G4904" s="2" t="s">
        <v>458</v>
      </c>
      <c r="H4904" s="2" t="s">
        <v>459</v>
      </c>
      <c r="I4904" s="2" t="n">
        <f aca="false">IF(F4904="Present",9,IF(F4904="Half Day",4,0))</f>
        <v>9</v>
      </c>
      <c r="J4904" s="2"/>
      <c r="K4904" s="2"/>
    </row>
    <row r="4905" customFormat="false" ht="15" hidden="false" customHeight="false" outlineLevel="0" collapsed="false">
      <c r="A4905" s="2" t="s">
        <v>365</v>
      </c>
      <c r="B4905" s="2" t="s">
        <v>366</v>
      </c>
      <c r="C4905" s="2" t="s">
        <v>53</v>
      </c>
      <c r="D4905" s="3" t="n">
        <v>46240</v>
      </c>
      <c r="E4905" s="2" t="str">
        <f aca="false">TEXT(D4905,"dddd")</f>
        <v>Thursday</v>
      </c>
      <c r="F4905" s="2" t="s">
        <v>457</v>
      </c>
      <c r="G4905" s="2" t="s">
        <v>458</v>
      </c>
      <c r="H4905" s="2" t="s">
        <v>459</v>
      </c>
      <c r="I4905" s="2" t="n">
        <f aca="false">IF(F4905="Present",9,IF(F4905="Half Day",4,0))</f>
        <v>9</v>
      </c>
      <c r="J4905" s="2"/>
      <c r="K4905" s="2"/>
    </row>
    <row r="4906" customFormat="false" ht="15" hidden="false" customHeight="false" outlineLevel="0" collapsed="false">
      <c r="A4906" s="2" t="s">
        <v>365</v>
      </c>
      <c r="B4906" s="2" t="s">
        <v>366</v>
      </c>
      <c r="C4906" s="2" t="s">
        <v>53</v>
      </c>
      <c r="D4906" s="3" t="n">
        <v>46241</v>
      </c>
      <c r="E4906" s="2" t="str">
        <f aca="false">TEXT(D4906,"dddd")</f>
        <v>Friday</v>
      </c>
      <c r="F4906" s="2" t="s">
        <v>463</v>
      </c>
      <c r="G4906" s="2"/>
      <c r="H4906" s="2"/>
      <c r="I4906" s="2" t="n">
        <f aca="false">IF(F4906="Present",9,IF(F4906="Half Day",4,0))</f>
        <v>0</v>
      </c>
      <c r="J4906" s="2" t="s">
        <v>468</v>
      </c>
      <c r="K4906" s="2" t="s">
        <v>469</v>
      </c>
    </row>
    <row r="4907" customFormat="false" ht="15" hidden="false" customHeight="false" outlineLevel="0" collapsed="false">
      <c r="A4907" s="2" t="s">
        <v>365</v>
      </c>
      <c r="B4907" s="2" t="s">
        <v>366</v>
      </c>
      <c r="C4907" s="2" t="s">
        <v>53</v>
      </c>
      <c r="D4907" s="3" t="n">
        <v>46242</v>
      </c>
      <c r="E4907" s="2" t="str">
        <f aca="false">TEXT(D4907,"dddd")</f>
        <v>Saturday</v>
      </c>
      <c r="F4907" s="2" t="s">
        <v>457</v>
      </c>
      <c r="G4907" s="2" t="s">
        <v>458</v>
      </c>
      <c r="H4907" s="2" t="s">
        <v>459</v>
      </c>
      <c r="I4907" s="2" t="n">
        <f aca="false">IF(F4907="Present",9,IF(F4907="Half Day",4,0))</f>
        <v>9</v>
      </c>
      <c r="J4907" s="2"/>
      <c r="K4907" s="2"/>
    </row>
    <row r="4908" customFormat="false" ht="15" hidden="false" customHeight="false" outlineLevel="0" collapsed="false">
      <c r="A4908" s="2" t="s">
        <v>365</v>
      </c>
      <c r="B4908" s="2" t="s">
        <v>366</v>
      </c>
      <c r="C4908" s="2" t="s">
        <v>53</v>
      </c>
      <c r="D4908" s="3" t="n">
        <v>46243</v>
      </c>
      <c r="E4908" s="2" t="str">
        <f aca="false">TEXT(D4908,"dddd")</f>
        <v>Sunday</v>
      </c>
      <c r="F4908" s="2" t="s">
        <v>460</v>
      </c>
      <c r="G4908" s="2"/>
      <c r="H4908" s="2"/>
      <c r="I4908" s="2" t="n">
        <f aca="false">IF(F4908="Present",9,IF(F4908="Half Day",4,0))</f>
        <v>0</v>
      </c>
      <c r="J4908" s="2"/>
      <c r="K4908" s="2" t="s">
        <v>460</v>
      </c>
    </row>
    <row r="4909" customFormat="false" ht="15" hidden="false" customHeight="false" outlineLevel="0" collapsed="false">
      <c r="A4909" s="2" t="s">
        <v>365</v>
      </c>
      <c r="B4909" s="2" t="s">
        <v>366</v>
      </c>
      <c r="C4909" s="2" t="s">
        <v>53</v>
      </c>
      <c r="D4909" s="3" t="n">
        <v>46244</v>
      </c>
      <c r="E4909" s="2" t="str">
        <f aca="false">TEXT(D4909,"dddd")</f>
        <v>Monday</v>
      </c>
      <c r="F4909" s="2" t="s">
        <v>457</v>
      </c>
      <c r="G4909" s="2" t="s">
        <v>458</v>
      </c>
      <c r="H4909" s="2" t="s">
        <v>459</v>
      </c>
      <c r="I4909" s="2" t="n">
        <f aca="false">IF(F4909="Present",9,IF(F4909="Half Day",4,0))</f>
        <v>9</v>
      </c>
      <c r="J4909" s="2"/>
      <c r="K4909" s="2"/>
    </row>
    <row r="4910" customFormat="false" ht="15" hidden="false" customHeight="false" outlineLevel="0" collapsed="false">
      <c r="A4910" s="2" t="s">
        <v>365</v>
      </c>
      <c r="B4910" s="2" t="s">
        <v>366</v>
      </c>
      <c r="C4910" s="2" t="s">
        <v>53</v>
      </c>
      <c r="D4910" s="3" t="n">
        <v>46245</v>
      </c>
      <c r="E4910" s="2" t="str">
        <f aca="false">TEXT(D4910,"dddd")</f>
        <v>Tuesday</v>
      </c>
      <c r="F4910" s="2" t="s">
        <v>457</v>
      </c>
      <c r="G4910" s="2" t="s">
        <v>458</v>
      </c>
      <c r="H4910" s="2" t="s">
        <v>459</v>
      </c>
      <c r="I4910" s="2" t="n">
        <f aca="false">IF(F4910="Present",9,IF(F4910="Half Day",4,0))</f>
        <v>9</v>
      </c>
      <c r="J4910" s="2"/>
      <c r="K4910" s="2"/>
    </row>
    <row r="4911" customFormat="false" ht="15" hidden="false" customHeight="false" outlineLevel="0" collapsed="false">
      <c r="A4911" s="2" t="s">
        <v>365</v>
      </c>
      <c r="B4911" s="2" t="s">
        <v>366</v>
      </c>
      <c r="C4911" s="2" t="s">
        <v>53</v>
      </c>
      <c r="D4911" s="3" t="n">
        <v>46246</v>
      </c>
      <c r="E4911" s="2" t="str">
        <f aca="false">TEXT(D4911,"dddd")</f>
        <v>Wednesday</v>
      </c>
      <c r="F4911" s="2" t="s">
        <v>461</v>
      </c>
      <c r="G4911" s="2"/>
      <c r="H4911" s="2"/>
      <c r="I4911" s="2" t="n">
        <f aca="false">IF(F4911="Present",9,IF(F4911="Half Day",4,0))</f>
        <v>0</v>
      </c>
      <c r="J4911" s="2"/>
      <c r="K4911" s="2" t="s">
        <v>462</v>
      </c>
    </row>
    <row r="4912" customFormat="false" ht="15" hidden="false" customHeight="false" outlineLevel="0" collapsed="false">
      <c r="A4912" s="2" t="s">
        <v>365</v>
      </c>
      <c r="B4912" s="2" t="s">
        <v>366</v>
      </c>
      <c r="C4912" s="2" t="s">
        <v>53</v>
      </c>
      <c r="D4912" s="3" t="n">
        <v>46247</v>
      </c>
      <c r="E4912" s="2" t="str">
        <f aca="false">TEXT(D4912,"dddd")</f>
        <v>Thursday</v>
      </c>
      <c r="F4912" s="2" t="s">
        <v>457</v>
      </c>
      <c r="G4912" s="2" t="s">
        <v>458</v>
      </c>
      <c r="H4912" s="2" t="s">
        <v>459</v>
      </c>
      <c r="I4912" s="2" t="n">
        <f aca="false">IF(F4912="Present",9,IF(F4912="Half Day",4,0))</f>
        <v>9</v>
      </c>
      <c r="J4912" s="2"/>
      <c r="K4912" s="2"/>
    </row>
    <row r="4913" customFormat="false" ht="15" hidden="false" customHeight="false" outlineLevel="0" collapsed="false">
      <c r="A4913" s="2" t="s">
        <v>365</v>
      </c>
      <c r="B4913" s="2" t="s">
        <v>366</v>
      </c>
      <c r="C4913" s="2" t="s">
        <v>53</v>
      </c>
      <c r="D4913" s="3" t="n">
        <v>46248</v>
      </c>
      <c r="E4913" s="2" t="str">
        <f aca="false">TEXT(D4913,"dddd")</f>
        <v>Friday</v>
      </c>
      <c r="F4913" s="2" t="s">
        <v>457</v>
      </c>
      <c r="G4913" s="2" t="s">
        <v>458</v>
      </c>
      <c r="H4913" s="2" t="s">
        <v>459</v>
      </c>
      <c r="I4913" s="2" t="n">
        <f aca="false">IF(F4913="Present",9,IF(F4913="Half Day",4,0))</f>
        <v>9</v>
      </c>
      <c r="J4913" s="2"/>
      <c r="K4913" s="2"/>
    </row>
    <row r="4914" customFormat="false" ht="15" hidden="false" customHeight="false" outlineLevel="0" collapsed="false">
      <c r="A4914" s="2" t="s">
        <v>365</v>
      </c>
      <c r="B4914" s="2" t="s">
        <v>366</v>
      </c>
      <c r="C4914" s="2" t="s">
        <v>53</v>
      </c>
      <c r="D4914" s="3" t="n">
        <v>46249</v>
      </c>
      <c r="E4914" s="2" t="str">
        <f aca="false">TEXT(D4914,"dddd")</f>
        <v>Saturday</v>
      </c>
      <c r="F4914" s="2" t="s">
        <v>457</v>
      </c>
      <c r="G4914" s="2" t="s">
        <v>458</v>
      </c>
      <c r="H4914" s="2" t="s">
        <v>459</v>
      </c>
      <c r="I4914" s="2" t="n">
        <f aca="false">IF(F4914="Present",9,IF(F4914="Half Day",4,0))</f>
        <v>9</v>
      </c>
      <c r="J4914" s="2"/>
      <c r="K4914" s="2"/>
    </row>
    <row r="4915" customFormat="false" ht="15" hidden="false" customHeight="false" outlineLevel="0" collapsed="false">
      <c r="A4915" s="2" t="s">
        <v>365</v>
      </c>
      <c r="B4915" s="2" t="s">
        <v>366</v>
      </c>
      <c r="C4915" s="2" t="s">
        <v>53</v>
      </c>
      <c r="D4915" s="3" t="n">
        <v>46250</v>
      </c>
      <c r="E4915" s="2" t="str">
        <f aca="false">TEXT(D4915,"dddd")</f>
        <v>Sunday</v>
      </c>
      <c r="F4915" s="2" t="s">
        <v>460</v>
      </c>
      <c r="G4915" s="2"/>
      <c r="H4915" s="2"/>
      <c r="I4915" s="2" t="n">
        <f aca="false">IF(F4915="Present",9,IF(F4915="Half Day",4,0))</f>
        <v>0</v>
      </c>
      <c r="J4915" s="2"/>
      <c r="K4915" s="2" t="s">
        <v>460</v>
      </c>
    </row>
    <row r="4916" customFormat="false" ht="15" hidden="false" customHeight="false" outlineLevel="0" collapsed="false">
      <c r="A4916" s="2" t="s">
        <v>365</v>
      </c>
      <c r="B4916" s="2" t="s">
        <v>366</v>
      </c>
      <c r="C4916" s="2" t="s">
        <v>53</v>
      </c>
      <c r="D4916" s="3" t="n">
        <v>46251</v>
      </c>
      <c r="E4916" s="2" t="str">
        <f aca="false">TEXT(D4916,"dddd")</f>
        <v>Monday</v>
      </c>
      <c r="F4916" s="2" t="s">
        <v>457</v>
      </c>
      <c r="G4916" s="2" t="s">
        <v>458</v>
      </c>
      <c r="H4916" s="2" t="s">
        <v>459</v>
      </c>
      <c r="I4916" s="2" t="n">
        <f aca="false">IF(F4916="Present",9,IF(F4916="Half Day",4,0))</f>
        <v>9</v>
      </c>
      <c r="J4916" s="2"/>
      <c r="K4916" s="2"/>
    </row>
    <row r="4917" customFormat="false" ht="15" hidden="false" customHeight="false" outlineLevel="0" collapsed="false">
      <c r="A4917" s="2" t="s">
        <v>365</v>
      </c>
      <c r="B4917" s="2" t="s">
        <v>366</v>
      </c>
      <c r="C4917" s="2" t="s">
        <v>53</v>
      </c>
      <c r="D4917" s="3" t="n">
        <v>46252</v>
      </c>
      <c r="E4917" s="2" t="str">
        <f aca="false">TEXT(D4917,"dddd")</f>
        <v>Tuesday</v>
      </c>
      <c r="F4917" s="2" t="s">
        <v>457</v>
      </c>
      <c r="G4917" s="2" t="s">
        <v>458</v>
      </c>
      <c r="H4917" s="2" t="s">
        <v>459</v>
      </c>
      <c r="I4917" s="2" t="n">
        <f aca="false">IF(F4917="Present",9,IF(F4917="Half Day",4,0))</f>
        <v>9</v>
      </c>
      <c r="J4917" s="2"/>
      <c r="K4917" s="2"/>
    </row>
    <row r="4918" customFormat="false" ht="15" hidden="false" customHeight="false" outlineLevel="0" collapsed="false">
      <c r="A4918" s="2" t="s">
        <v>365</v>
      </c>
      <c r="B4918" s="2" t="s">
        <v>366</v>
      </c>
      <c r="C4918" s="2" t="s">
        <v>53</v>
      </c>
      <c r="D4918" s="3" t="n">
        <v>46253</v>
      </c>
      <c r="E4918" s="2" t="str">
        <f aca="false">TEXT(D4918,"dddd")</f>
        <v>Wednesday</v>
      </c>
      <c r="F4918" s="2" t="s">
        <v>457</v>
      </c>
      <c r="G4918" s="2" t="s">
        <v>458</v>
      </c>
      <c r="H4918" s="2" t="s">
        <v>459</v>
      </c>
      <c r="I4918" s="2" t="n">
        <f aca="false">IF(F4918="Present",9,IF(F4918="Half Day",4,0))</f>
        <v>9</v>
      </c>
      <c r="J4918" s="2"/>
      <c r="K4918" s="2"/>
    </row>
    <row r="4919" customFormat="false" ht="15" hidden="false" customHeight="false" outlineLevel="0" collapsed="false">
      <c r="A4919" s="2" t="s">
        <v>365</v>
      </c>
      <c r="B4919" s="2" t="s">
        <v>366</v>
      </c>
      <c r="C4919" s="2" t="s">
        <v>53</v>
      </c>
      <c r="D4919" s="3" t="n">
        <v>46254</v>
      </c>
      <c r="E4919" s="2" t="str">
        <f aca="false">TEXT(D4919,"dddd")</f>
        <v>Thursday</v>
      </c>
      <c r="F4919" s="2" t="s">
        <v>457</v>
      </c>
      <c r="G4919" s="2" t="s">
        <v>458</v>
      </c>
      <c r="H4919" s="2" t="s">
        <v>459</v>
      </c>
      <c r="I4919" s="2" t="n">
        <f aca="false">IF(F4919="Present",9,IF(F4919="Half Day",4,0))</f>
        <v>9</v>
      </c>
      <c r="J4919" s="2"/>
      <c r="K4919" s="2"/>
    </row>
    <row r="4920" customFormat="false" ht="15" hidden="false" customHeight="false" outlineLevel="0" collapsed="false">
      <c r="A4920" s="2" t="s">
        <v>365</v>
      </c>
      <c r="B4920" s="2" t="s">
        <v>366</v>
      </c>
      <c r="C4920" s="2" t="s">
        <v>53</v>
      </c>
      <c r="D4920" s="3" t="n">
        <v>46255</v>
      </c>
      <c r="E4920" s="2" t="str">
        <f aca="false">TEXT(D4920,"dddd")</f>
        <v>Friday</v>
      </c>
      <c r="F4920" s="2" t="s">
        <v>457</v>
      </c>
      <c r="G4920" s="2" t="s">
        <v>458</v>
      </c>
      <c r="H4920" s="2" t="s">
        <v>459</v>
      </c>
      <c r="I4920" s="2" t="n">
        <f aca="false">IF(F4920="Present",9,IF(F4920="Half Day",4,0))</f>
        <v>9</v>
      </c>
      <c r="J4920" s="2"/>
      <c r="K4920" s="2"/>
    </row>
    <row r="4921" customFormat="false" ht="15" hidden="false" customHeight="false" outlineLevel="0" collapsed="false">
      <c r="A4921" s="2" t="s">
        <v>365</v>
      </c>
      <c r="B4921" s="2" t="s">
        <v>366</v>
      </c>
      <c r="C4921" s="2" t="s">
        <v>53</v>
      </c>
      <c r="D4921" s="3" t="n">
        <v>46256</v>
      </c>
      <c r="E4921" s="2" t="str">
        <f aca="false">TEXT(D4921,"dddd")</f>
        <v>Saturday</v>
      </c>
      <c r="F4921" s="2" t="s">
        <v>457</v>
      </c>
      <c r="G4921" s="2" t="s">
        <v>458</v>
      </c>
      <c r="H4921" s="2" t="s">
        <v>459</v>
      </c>
      <c r="I4921" s="2" t="n">
        <f aca="false">IF(F4921="Present",9,IF(F4921="Half Day",4,0))</f>
        <v>9</v>
      </c>
      <c r="J4921" s="2"/>
      <c r="K4921" s="2"/>
    </row>
    <row r="4922" customFormat="false" ht="15" hidden="false" customHeight="false" outlineLevel="0" collapsed="false">
      <c r="A4922" s="2" t="s">
        <v>365</v>
      </c>
      <c r="B4922" s="2" t="s">
        <v>366</v>
      </c>
      <c r="C4922" s="2" t="s">
        <v>53</v>
      </c>
      <c r="D4922" s="3" t="n">
        <v>46257</v>
      </c>
      <c r="E4922" s="2" t="str">
        <f aca="false">TEXT(D4922,"dddd")</f>
        <v>Sunday</v>
      </c>
      <c r="F4922" s="2" t="s">
        <v>460</v>
      </c>
      <c r="G4922" s="2"/>
      <c r="H4922" s="2"/>
      <c r="I4922" s="2" t="n">
        <f aca="false">IF(F4922="Present",9,IF(F4922="Half Day",4,0))</f>
        <v>0</v>
      </c>
      <c r="J4922" s="2"/>
      <c r="K4922" s="2" t="s">
        <v>460</v>
      </c>
    </row>
    <row r="4923" customFormat="false" ht="15" hidden="false" customHeight="false" outlineLevel="0" collapsed="false">
      <c r="A4923" s="2" t="s">
        <v>365</v>
      </c>
      <c r="B4923" s="2" t="s">
        <v>366</v>
      </c>
      <c r="C4923" s="2" t="s">
        <v>53</v>
      </c>
      <c r="D4923" s="3" t="n">
        <v>46258</v>
      </c>
      <c r="E4923" s="2" t="str">
        <f aca="false">TEXT(D4923,"dddd")</f>
        <v>Monday</v>
      </c>
      <c r="F4923" s="2" t="s">
        <v>457</v>
      </c>
      <c r="G4923" s="2" t="s">
        <v>458</v>
      </c>
      <c r="H4923" s="2" t="s">
        <v>459</v>
      </c>
      <c r="I4923" s="2" t="n">
        <f aca="false">IF(F4923="Present",9,IF(F4923="Half Day",4,0))</f>
        <v>9</v>
      </c>
      <c r="J4923" s="2"/>
      <c r="K4923" s="2"/>
    </row>
    <row r="4924" customFormat="false" ht="15" hidden="false" customHeight="false" outlineLevel="0" collapsed="false">
      <c r="A4924" s="2" t="s">
        <v>365</v>
      </c>
      <c r="B4924" s="2" t="s">
        <v>366</v>
      </c>
      <c r="C4924" s="2" t="s">
        <v>53</v>
      </c>
      <c r="D4924" s="3" t="n">
        <v>46259</v>
      </c>
      <c r="E4924" s="2" t="str">
        <f aca="false">TEXT(D4924,"dddd")</f>
        <v>Tuesday</v>
      </c>
      <c r="F4924" s="2" t="s">
        <v>457</v>
      </c>
      <c r="G4924" s="2" t="s">
        <v>458</v>
      </c>
      <c r="H4924" s="2" t="s">
        <v>459</v>
      </c>
      <c r="I4924" s="2" t="n">
        <f aca="false">IF(F4924="Present",9,IF(F4924="Half Day",4,0))</f>
        <v>9</v>
      </c>
      <c r="J4924" s="2"/>
      <c r="K4924" s="2"/>
    </row>
    <row r="4925" customFormat="false" ht="15" hidden="false" customHeight="false" outlineLevel="0" collapsed="false">
      <c r="A4925" s="2" t="s">
        <v>365</v>
      </c>
      <c r="B4925" s="2" t="s">
        <v>366</v>
      </c>
      <c r="C4925" s="2" t="s">
        <v>53</v>
      </c>
      <c r="D4925" s="3" t="n">
        <v>46260</v>
      </c>
      <c r="E4925" s="2" t="str">
        <f aca="false">TEXT(D4925,"dddd")</f>
        <v>Wednesday</v>
      </c>
      <c r="F4925" s="2" t="s">
        <v>457</v>
      </c>
      <c r="G4925" s="2" t="s">
        <v>458</v>
      </c>
      <c r="H4925" s="2" t="s">
        <v>459</v>
      </c>
      <c r="I4925" s="2" t="n">
        <f aca="false">IF(F4925="Present",9,IF(F4925="Half Day",4,0))</f>
        <v>9</v>
      </c>
      <c r="J4925" s="2"/>
      <c r="K4925" s="2"/>
    </row>
    <row r="4926" customFormat="false" ht="15" hidden="false" customHeight="false" outlineLevel="0" collapsed="false">
      <c r="A4926" s="2" t="s">
        <v>365</v>
      </c>
      <c r="B4926" s="2" t="s">
        <v>366</v>
      </c>
      <c r="C4926" s="2" t="s">
        <v>53</v>
      </c>
      <c r="D4926" s="3" t="n">
        <v>46261</v>
      </c>
      <c r="E4926" s="2" t="str">
        <f aca="false">TEXT(D4926,"dddd")</f>
        <v>Thursday</v>
      </c>
      <c r="F4926" s="2" t="s">
        <v>461</v>
      </c>
      <c r="G4926" s="2"/>
      <c r="H4926" s="2"/>
      <c r="I4926" s="2" t="n">
        <f aca="false">IF(F4926="Present",9,IF(F4926="Half Day",4,0))</f>
        <v>0</v>
      </c>
      <c r="J4926" s="2"/>
      <c r="K4926" s="2" t="s">
        <v>462</v>
      </c>
    </row>
    <row r="4927" customFormat="false" ht="15" hidden="false" customHeight="false" outlineLevel="0" collapsed="false">
      <c r="A4927" s="2" t="s">
        <v>365</v>
      </c>
      <c r="B4927" s="2" t="s">
        <v>366</v>
      </c>
      <c r="C4927" s="2" t="s">
        <v>53</v>
      </c>
      <c r="D4927" s="3" t="n">
        <v>46262</v>
      </c>
      <c r="E4927" s="2" t="str">
        <f aca="false">TEXT(D4927,"dddd")</f>
        <v>Friday</v>
      </c>
      <c r="F4927" s="2" t="s">
        <v>457</v>
      </c>
      <c r="G4927" s="2" t="s">
        <v>458</v>
      </c>
      <c r="H4927" s="2" t="s">
        <v>459</v>
      </c>
      <c r="I4927" s="2" t="n">
        <f aca="false">IF(F4927="Present",9,IF(F4927="Half Day",4,0))</f>
        <v>9</v>
      </c>
      <c r="J4927" s="2"/>
      <c r="K4927" s="2"/>
    </row>
    <row r="4928" customFormat="false" ht="15" hidden="false" customHeight="false" outlineLevel="0" collapsed="false">
      <c r="A4928" s="2" t="s">
        <v>365</v>
      </c>
      <c r="B4928" s="2" t="s">
        <v>366</v>
      </c>
      <c r="C4928" s="2" t="s">
        <v>53</v>
      </c>
      <c r="D4928" s="3" t="n">
        <v>46263</v>
      </c>
      <c r="E4928" s="2" t="str">
        <f aca="false">TEXT(D4928,"dddd")</f>
        <v>Saturday</v>
      </c>
      <c r="F4928" s="2" t="s">
        <v>463</v>
      </c>
      <c r="G4928" s="2"/>
      <c r="H4928" s="2"/>
      <c r="I4928" s="2" t="n">
        <f aca="false">IF(F4928="Present",9,IF(F4928="Half Day",4,0))</f>
        <v>0</v>
      </c>
      <c r="J4928" s="2" t="s">
        <v>470</v>
      </c>
      <c r="K4928" s="2" t="s">
        <v>471</v>
      </c>
    </row>
    <row r="4929" customFormat="false" ht="15" hidden="false" customHeight="false" outlineLevel="0" collapsed="false">
      <c r="A4929" s="2" t="s">
        <v>365</v>
      </c>
      <c r="B4929" s="2" t="s">
        <v>366</v>
      </c>
      <c r="C4929" s="2" t="s">
        <v>53</v>
      </c>
      <c r="D4929" s="3" t="n">
        <v>46264</v>
      </c>
      <c r="E4929" s="2" t="str">
        <f aca="false">TEXT(D4929,"dddd")</f>
        <v>Sunday</v>
      </c>
      <c r="F4929" s="2" t="s">
        <v>460</v>
      </c>
      <c r="G4929" s="2"/>
      <c r="H4929" s="2"/>
      <c r="I4929" s="2" t="n">
        <f aca="false">IF(F4929="Present",9,IF(F4929="Half Day",4,0))</f>
        <v>0</v>
      </c>
      <c r="J4929" s="2"/>
      <c r="K4929" s="2" t="s">
        <v>460</v>
      </c>
    </row>
    <row r="4930" customFormat="false" ht="15" hidden="false" customHeight="false" outlineLevel="0" collapsed="false">
      <c r="A4930" s="2" t="s">
        <v>365</v>
      </c>
      <c r="B4930" s="2" t="s">
        <v>366</v>
      </c>
      <c r="C4930" s="2" t="s">
        <v>53</v>
      </c>
      <c r="D4930" s="3" t="n">
        <v>46265</v>
      </c>
      <c r="E4930" s="2" t="str">
        <f aca="false">TEXT(D4930,"dddd")</f>
        <v>Monday</v>
      </c>
      <c r="F4930" s="2" t="s">
        <v>457</v>
      </c>
      <c r="G4930" s="2" t="s">
        <v>458</v>
      </c>
      <c r="H4930" s="2" t="s">
        <v>459</v>
      </c>
      <c r="I4930" s="2" t="n">
        <f aca="false">IF(F4930="Present",9,IF(F4930="Half Day",4,0))</f>
        <v>9</v>
      </c>
      <c r="J4930" s="2"/>
      <c r="K4930" s="2"/>
    </row>
    <row r="4931" customFormat="false" ht="15" hidden="false" customHeight="false" outlineLevel="0" collapsed="false">
      <c r="A4931" s="2" t="s">
        <v>367</v>
      </c>
      <c r="B4931" s="2" t="s">
        <v>368</v>
      </c>
      <c r="C4931" s="2" t="s">
        <v>57</v>
      </c>
      <c r="D4931" s="3" t="n">
        <v>46235</v>
      </c>
      <c r="E4931" s="2" t="str">
        <f aca="false">TEXT(D4931,"dddd")</f>
        <v>Saturday</v>
      </c>
      <c r="F4931" s="2" t="s">
        <v>457</v>
      </c>
      <c r="G4931" s="2" t="s">
        <v>458</v>
      </c>
      <c r="H4931" s="2" t="s">
        <v>459</v>
      </c>
      <c r="I4931" s="2" t="n">
        <f aca="false">IF(F4931="Present",9,IF(F4931="Half Day",4,0))</f>
        <v>9</v>
      </c>
      <c r="J4931" s="2"/>
      <c r="K4931" s="2"/>
    </row>
    <row r="4932" customFormat="false" ht="15" hidden="false" customHeight="false" outlineLevel="0" collapsed="false">
      <c r="A4932" s="2" t="s">
        <v>367</v>
      </c>
      <c r="B4932" s="2" t="s">
        <v>368</v>
      </c>
      <c r="C4932" s="2" t="s">
        <v>57</v>
      </c>
      <c r="D4932" s="3" t="n">
        <v>46236</v>
      </c>
      <c r="E4932" s="2" t="str">
        <f aca="false">TEXT(D4932,"dddd")</f>
        <v>Sunday</v>
      </c>
      <c r="F4932" s="2" t="s">
        <v>460</v>
      </c>
      <c r="G4932" s="2"/>
      <c r="H4932" s="2"/>
      <c r="I4932" s="2" t="n">
        <f aca="false">IF(F4932="Present",9,IF(F4932="Half Day",4,0))</f>
        <v>0</v>
      </c>
      <c r="J4932" s="2"/>
      <c r="K4932" s="2" t="s">
        <v>460</v>
      </c>
    </row>
    <row r="4933" customFormat="false" ht="15" hidden="false" customHeight="false" outlineLevel="0" collapsed="false">
      <c r="A4933" s="2" t="s">
        <v>367</v>
      </c>
      <c r="B4933" s="2" t="s">
        <v>368</v>
      </c>
      <c r="C4933" s="2" t="s">
        <v>57</v>
      </c>
      <c r="D4933" s="3" t="n">
        <v>46237</v>
      </c>
      <c r="E4933" s="2" t="str">
        <f aca="false">TEXT(D4933,"dddd")</f>
        <v>Monday</v>
      </c>
      <c r="F4933" s="2" t="s">
        <v>457</v>
      </c>
      <c r="G4933" s="2" t="s">
        <v>458</v>
      </c>
      <c r="H4933" s="2" t="s">
        <v>459</v>
      </c>
      <c r="I4933" s="2" t="n">
        <f aca="false">IF(F4933="Present",9,IF(F4933="Half Day",4,0))</f>
        <v>9</v>
      </c>
      <c r="J4933" s="2"/>
      <c r="K4933" s="2"/>
    </row>
    <row r="4934" customFormat="false" ht="15" hidden="false" customHeight="false" outlineLevel="0" collapsed="false">
      <c r="A4934" s="2" t="s">
        <v>367</v>
      </c>
      <c r="B4934" s="2" t="s">
        <v>368</v>
      </c>
      <c r="C4934" s="2" t="s">
        <v>57</v>
      </c>
      <c r="D4934" s="3" t="n">
        <v>46238</v>
      </c>
      <c r="E4934" s="2" t="str">
        <f aca="false">TEXT(D4934,"dddd")</f>
        <v>Tuesday</v>
      </c>
      <c r="F4934" s="2" t="s">
        <v>457</v>
      </c>
      <c r="G4934" s="2" t="s">
        <v>458</v>
      </c>
      <c r="H4934" s="2" t="s">
        <v>459</v>
      </c>
      <c r="I4934" s="2" t="n">
        <f aca="false">IF(F4934="Present",9,IF(F4934="Half Day",4,0))</f>
        <v>9</v>
      </c>
      <c r="J4934" s="2"/>
      <c r="K4934" s="2"/>
    </row>
    <row r="4935" customFormat="false" ht="15" hidden="false" customHeight="false" outlineLevel="0" collapsed="false">
      <c r="A4935" s="2" t="s">
        <v>367</v>
      </c>
      <c r="B4935" s="2" t="s">
        <v>368</v>
      </c>
      <c r="C4935" s="2" t="s">
        <v>57</v>
      </c>
      <c r="D4935" s="3" t="n">
        <v>46239</v>
      </c>
      <c r="E4935" s="2" t="str">
        <f aca="false">TEXT(D4935,"dddd")</f>
        <v>Wednesday</v>
      </c>
      <c r="F4935" s="2" t="s">
        <v>457</v>
      </c>
      <c r="G4935" s="2" t="s">
        <v>458</v>
      </c>
      <c r="H4935" s="2" t="s">
        <v>459</v>
      </c>
      <c r="I4935" s="2" t="n">
        <f aca="false">IF(F4935="Present",9,IF(F4935="Half Day",4,0))</f>
        <v>9</v>
      </c>
      <c r="J4935" s="2"/>
      <c r="K4935" s="2"/>
    </row>
    <row r="4936" customFormat="false" ht="15" hidden="false" customHeight="false" outlineLevel="0" collapsed="false">
      <c r="A4936" s="2" t="s">
        <v>367</v>
      </c>
      <c r="B4936" s="2" t="s">
        <v>368</v>
      </c>
      <c r="C4936" s="2" t="s">
        <v>57</v>
      </c>
      <c r="D4936" s="3" t="n">
        <v>46240</v>
      </c>
      <c r="E4936" s="2" t="str">
        <f aca="false">TEXT(D4936,"dddd")</f>
        <v>Thursday</v>
      </c>
      <c r="F4936" s="2" t="s">
        <v>457</v>
      </c>
      <c r="G4936" s="2" t="s">
        <v>458</v>
      </c>
      <c r="H4936" s="2" t="s">
        <v>459</v>
      </c>
      <c r="I4936" s="2" t="n">
        <f aca="false">IF(F4936="Present",9,IF(F4936="Half Day",4,0))</f>
        <v>9</v>
      </c>
      <c r="J4936" s="2"/>
      <c r="K4936" s="2"/>
    </row>
    <row r="4937" customFormat="false" ht="15" hidden="false" customHeight="false" outlineLevel="0" collapsed="false">
      <c r="A4937" s="2" t="s">
        <v>367</v>
      </c>
      <c r="B4937" s="2" t="s">
        <v>368</v>
      </c>
      <c r="C4937" s="2" t="s">
        <v>57</v>
      </c>
      <c r="D4937" s="3" t="n">
        <v>46241</v>
      </c>
      <c r="E4937" s="2" t="str">
        <f aca="false">TEXT(D4937,"dddd")</f>
        <v>Friday</v>
      </c>
      <c r="F4937" s="2" t="s">
        <v>457</v>
      </c>
      <c r="G4937" s="2" t="s">
        <v>458</v>
      </c>
      <c r="H4937" s="2" t="s">
        <v>459</v>
      </c>
      <c r="I4937" s="2" t="n">
        <f aca="false">IF(F4937="Present",9,IF(F4937="Half Day",4,0))</f>
        <v>9</v>
      </c>
      <c r="J4937" s="2"/>
      <c r="K4937" s="2"/>
    </row>
    <row r="4938" customFormat="false" ht="15" hidden="false" customHeight="false" outlineLevel="0" collapsed="false">
      <c r="A4938" s="2" t="s">
        <v>367</v>
      </c>
      <c r="B4938" s="2" t="s">
        <v>368</v>
      </c>
      <c r="C4938" s="2" t="s">
        <v>57</v>
      </c>
      <c r="D4938" s="3" t="n">
        <v>46242</v>
      </c>
      <c r="E4938" s="2" t="str">
        <f aca="false">TEXT(D4938,"dddd")</f>
        <v>Saturday</v>
      </c>
      <c r="F4938" s="2" t="s">
        <v>457</v>
      </c>
      <c r="G4938" s="2" t="s">
        <v>458</v>
      </c>
      <c r="H4938" s="2" t="s">
        <v>459</v>
      </c>
      <c r="I4938" s="2" t="n">
        <f aca="false">IF(F4938="Present",9,IF(F4938="Half Day",4,0))</f>
        <v>9</v>
      </c>
      <c r="J4938" s="2"/>
      <c r="K4938" s="2"/>
    </row>
    <row r="4939" customFormat="false" ht="15" hidden="false" customHeight="false" outlineLevel="0" collapsed="false">
      <c r="A4939" s="2" t="s">
        <v>367</v>
      </c>
      <c r="B4939" s="2" t="s">
        <v>368</v>
      </c>
      <c r="C4939" s="2" t="s">
        <v>57</v>
      </c>
      <c r="D4939" s="3" t="n">
        <v>46243</v>
      </c>
      <c r="E4939" s="2" t="str">
        <f aca="false">TEXT(D4939,"dddd")</f>
        <v>Sunday</v>
      </c>
      <c r="F4939" s="2" t="s">
        <v>460</v>
      </c>
      <c r="G4939" s="2"/>
      <c r="H4939" s="2"/>
      <c r="I4939" s="2" t="n">
        <f aca="false">IF(F4939="Present",9,IF(F4939="Half Day",4,0))</f>
        <v>0</v>
      </c>
      <c r="J4939" s="2"/>
      <c r="K4939" s="2" t="s">
        <v>460</v>
      </c>
    </row>
    <row r="4940" customFormat="false" ht="15" hidden="false" customHeight="false" outlineLevel="0" collapsed="false">
      <c r="A4940" s="2" t="s">
        <v>367</v>
      </c>
      <c r="B4940" s="2" t="s">
        <v>368</v>
      </c>
      <c r="C4940" s="2" t="s">
        <v>57</v>
      </c>
      <c r="D4940" s="3" t="n">
        <v>46244</v>
      </c>
      <c r="E4940" s="2" t="str">
        <f aca="false">TEXT(D4940,"dddd")</f>
        <v>Monday</v>
      </c>
      <c r="F4940" s="2" t="s">
        <v>457</v>
      </c>
      <c r="G4940" s="2" t="s">
        <v>458</v>
      </c>
      <c r="H4940" s="2" t="s">
        <v>459</v>
      </c>
      <c r="I4940" s="2" t="n">
        <f aca="false">IF(F4940="Present",9,IF(F4940="Half Day",4,0))</f>
        <v>9</v>
      </c>
      <c r="J4940" s="2"/>
      <c r="K4940" s="2"/>
    </row>
    <row r="4941" customFormat="false" ht="15" hidden="false" customHeight="false" outlineLevel="0" collapsed="false">
      <c r="A4941" s="2" t="s">
        <v>367</v>
      </c>
      <c r="B4941" s="2" t="s">
        <v>368</v>
      </c>
      <c r="C4941" s="2" t="s">
        <v>57</v>
      </c>
      <c r="D4941" s="3" t="n">
        <v>46245</v>
      </c>
      <c r="E4941" s="2" t="str">
        <f aca="false">TEXT(D4941,"dddd")</f>
        <v>Tuesday</v>
      </c>
      <c r="F4941" s="2" t="s">
        <v>457</v>
      </c>
      <c r="G4941" s="2" t="s">
        <v>458</v>
      </c>
      <c r="H4941" s="2" t="s">
        <v>459</v>
      </c>
      <c r="I4941" s="2" t="n">
        <f aca="false">IF(F4941="Present",9,IF(F4941="Half Day",4,0))</f>
        <v>9</v>
      </c>
      <c r="J4941" s="2"/>
      <c r="K4941" s="2"/>
    </row>
    <row r="4942" customFormat="false" ht="15" hidden="false" customHeight="false" outlineLevel="0" collapsed="false">
      <c r="A4942" s="2" t="s">
        <v>367</v>
      </c>
      <c r="B4942" s="2" t="s">
        <v>368</v>
      </c>
      <c r="C4942" s="2" t="s">
        <v>57</v>
      </c>
      <c r="D4942" s="3" t="n">
        <v>46246</v>
      </c>
      <c r="E4942" s="2" t="str">
        <f aca="false">TEXT(D4942,"dddd")</f>
        <v>Wednesday</v>
      </c>
      <c r="F4942" s="2" t="s">
        <v>457</v>
      </c>
      <c r="G4942" s="2" t="s">
        <v>458</v>
      </c>
      <c r="H4942" s="2" t="s">
        <v>459</v>
      </c>
      <c r="I4942" s="2" t="n">
        <f aca="false">IF(F4942="Present",9,IF(F4942="Half Day",4,0))</f>
        <v>9</v>
      </c>
      <c r="J4942" s="2"/>
      <c r="K4942" s="2"/>
    </row>
    <row r="4943" customFormat="false" ht="15" hidden="false" customHeight="false" outlineLevel="0" collapsed="false">
      <c r="A4943" s="2" t="s">
        <v>367</v>
      </c>
      <c r="B4943" s="2" t="s">
        <v>368</v>
      </c>
      <c r="C4943" s="2" t="s">
        <v>57</v>
      </c>
      <c r="D4943" s="3" t="n">
        <v>46247</v>
      </c>
      <c r="E4943" s="2" t="str">
        <f aca="false">TEXT(D4943,"dddd")</f>
        <v>Thursday</v>
      </c>
      <c r="F4943" s="2" t="s">
        <v>457</v>
      </c>
      <c r="G4943" s="2" t="s">
        <v>458</v>
      </c>
      <c r="H4943" s="2" t="s">
        <v>459</v>
      </c>
      <c r="I4943" s="2" t="n">
        <f aca="false">IF(F4943="Present",9,IF(F4943="Half Day",4,0))</f>
        <v>9</v>
      </c>
      <c r="J4943" s="2"/>
      <c r="K4943" s="2"/>
    </row>
    <row r="4944" customFormat="false" ht="15" hidden="false" customHeight="false" outlineLevel="0" collapsed="false">
      <c r="A4944" s="2" t="s">
        <v>367</v>
      </c>
      <c r="B4944" s="2" t="s">
        <v>368</v>
      </c>
      <c r="C4944" s="2" t="s">
        <v>57</v>
      </c>
      <c r="D4944" s="3" t="n">
        <v>46248</v>
      </c>
      <c r="E4944" s="2" t="str">
        <f aca="false">TEXT(D4944,"dddd")</f>
        <v>Friday</v>
      </c>
      <c r="F4944" s="2" t="s">
        <v>457</v>
      </c>
      <c r="G4944" s="2" t="s">
        <v>458</v>
      </c>
      <c r="H4944" s="2" t="s">
        <v>459</v>
      </c>
      <c r="I4944" s="2" t="n">
        <f aca="false">IF(F4944="Present",9,IF(F4944="Half Day",4,0))</f>
        <v>9</v>
      </c>
      <c r="J4944" s="2"/>
      <c r="K4944" s="2"/>
    </row>
    <row r="4945" customFormat="false" ht="15" hidden="false" customHeight="false" outlineLevel="0" collapsed="false">
      <c r="A4945" s="2" t="s">
        <v>367</v>
      </c>
      <c r="B4945" s="2" t="s">
        <v>368</v>
      </c>
      <c r="C4945" s="2" t="s">
        <v>57</v>
      </c>
      <c r="D4945" s="3" t="n">
        <v>46249</v>
      </c>
      <c r="E4945" s="2" t="str">
        <f aca="false">TEXT(D4945,"dddd")</f>
        <v>Saturday</v>
      </c>
      <c r="F4945" s="2" t="s">
        <v>457</v>
      </c>
      <c r="G4945" s="2" t="s">
        <v>458</v>
      </c>
      <c r="H4945" s="2" t="s">
        <v>459</v>
      </c>
      <c r="I4945" s="2" t="n">
        <f aca="false">IF(F4945="Present",9,IF(F4945="Half Day",4,0))</f>
        <v>9</v>
      </c>
      <c r="J4945" s="2"/>
      <c r="K4945" s="2"/>
    </row>
    <row r="4946" customFormat="false" ht="15" hidden="false" customHeight="false" outlineLevel="0" collapsed="false">
      <c r="A4946" s="2" t="s">
        <v>367</v>
      </c>
      <c r="B4946" s="2" t="s">
        <v>368</v>
      </c>
      <c r="C4946" s="2" t="s">
        <v>57</v>
      </c>
      <c r="D4946" s="3" t="n">
        <v>46250</v>
      </c>
      <c r="E4946" s="2" t="str">
        <f aca="false">TEXT(D4946,"dddd")</f>
        <v>Sunday</v>
      </c>
      <c r="F4946" s="2" t="s">
        <v>460</v>
      </c>
      <c r="G4946" s="2"/>
      <c r="H4946" s="2"/>
      <c r="I4946" s="2" t="n">
        <f aca="false">IF(F4946="Present",9,IF(F4946="Half Day",4,0))</f>
        <v>0</v>
      </c>
      <c r="J4946" s="2"/>
      <c r="K4946" s="2" t="s">
        <v>460</v>
      </c>
    </row>
    <row r="4947" customFormat="false" ht="15" hidden="false" customHeight="false" outlineLevel="0" collapsed="false">
      <c r="A4947" s="2" t="s">
        <v>367</v>
      </c>
      <c r="B4947" s="2" t="s">
        <v>368</v>
      </c>
      <c r="C4947" s="2" t="s">
        <v>57</v>
      </c>
      <c r="D4947" s="3" t="n">
        <v>46251</v>
      </c>
      <c r="E4947" s="2" t="str">
        <f aca="false">TEXT(D4947,"dddd")</f>
        <v>Monday</v>
      </c>
      <c r="F4947" s="2" t="s">
        <v>457</v>
      </c>
      <c r="G4947" s="2" t="s">
        <v>458</v>
      </c>
      <c r="H4947" s="2" t="s">
        <v>459</v>
      </c>
      <c r="I4947" s="2" t="n">
        <f aca="false">IF(F4947="Present",9,IF(F4947="Half Day",4,0))</f>
        <v>9</v>
      </c>
      <c r="J4947" s="2"/>
      <c r="K4947" s="2"/>
    </row>
    <row r="4948" customFormat="false" ht="15" hidden="false" customHeight="false" outlineLevel="0" collapsed="false">
      <c r="A4948" s="2" t="s">
        <v>367</v>
      </c>
      <c r="B4948" s="2" t="s">
        <v>368</v>
      </c>
      <c r="C4948" s="2" t="s">
        <v>57</v>
      </c>
      <c r="D4948" s="3" t="n">
        <v>46252</v>
      </c>
      <c r="E4948" s="2" t="str">
        <f aca="false">TEXT(D4948,"dddd")</f>
        <v>Tuesday</v>
      </c>
      <c r="F4948" s="2" t="s">
        <v>457</v>
      </c>
      <c r="G4948" s="2" t="s">
        <v>458</v>
      </c>
      <c r="H4948" s="2" t="s">
        <v>459</v>
      </c>
      <c r="I4948" s="2" t="n">
        <f aca="false">IF(F4948="Present",9,IF(F4948="Half Day",4,0))</f>
        <v>9</v>
      </c>
      <c r="J4948" s="2"/>
      <c r="K4948" s="2"/>
    </row>
    <row r="4949" customFormat="false" ht="15" hidden="false" customHeight="false" outlineLevel="0" collapsed="false">
      <c r="A4949" s="2" t="s">
        <v>367</v>
      </c>
      <c r="B4949" s="2" t="s">
        <v>368</v>
      </c>
      <c r="C4949" s="2" t="s">
        <v>57</v>
      </c>
      <c r="D4949" s="3" t="n">
        <v>46253</v>
      </c>
      <c r="E4949" s="2" t="str">
        <f aca="false">TEXT(D4949,"dddd")</f>
        <v>Wednesday</v>
      </c>
      <c r="F4949" s="2" t="s">
        <v>457</v>
      </c>
      <c r="G4949" s="2" t="s">
        <v>458</v>
      </c>
      <c r="H4949" s="2" t="s">
        <v>459</v>
      </c>
      <c r="I4949" s="2" t="n">
        <f aca="false">IF(F4949="Present",9,IF(F4949="Half Day",4,0))</f>
        <v>9</v>
      </c>
      <c r="J4949" s="2"/>
      <c r="K4949" s="2"/>
    </row>
    <row r="4950" customFormat="false" ht="15" hidden="false" customHeight="false" outlineLevel="0" collapsed="false">
      <c r="A4950" s="2" t="s">
        <v>367</v>
      </c>
      <c r="B4950" s="2" t="s">
        <v>368</v>
      </c>
      <c r="C4950" s="2" t="s">
        <v>57</v>
      </c>
      <c r="D4950" s="3" t="n">
        <v>46254</v>
      </c>
      <c r="E4950" s="2" t="str">
        <f aca="false">TEXT(D4950,"dddd")</f>
        <v>Thursday</v>
      </c>
      <c r="F4950" s="2" t="s">
        <v>466</v>
      </c>
      <c r="G4950" s="2" t="s">
        <v>458</v>
      </c>
      <c r="H4950" s="2" t="s">
        <v>467</v>
      </c>
      <c r="I4950" s="2" t="n">
        <f aca="false">IF(F4950="Present",9,IF(F4950="Half Day",4,0))</f>
        <v>4</v>
      </c>
      <c r="J4950" s="2"/>
      <c r="K4950" s="2" t="s">
        <v>466</v>
      </c>
    </row>
    <row r="4951" customFormat="false" ht="15" hidden="false" customHeight="false" outlineLevel="0" collapsed="false">
      <c r="A4951" s="2" t="s">
        <v>367</v>
      </c>
      <c r="B4951" s="2" t="s">
        <v>368</v>
      </c>
      <c r="C4951" s="2" t="s">
        <v>57</v>
      </c>
      <c r="D4951" s="3" t="n">
        <v>46255</v>
      </c>
      <c r="E4951" s="2" t="str">
        <f aca="false">TEXT(D4951,"dddd")</f>
        <v>Friday</v>
      </c>
      <c r="F4951" s="2" t="s">
        <v>457</v>
      </c>
      <c r="G4951" s="2" t="s">
        <v>458</v>
      </c>
      <c r="H4951" s="2" t="s">
        <v>459</v>
      </c>
      <c r="I4951" s="2" t="n">
        <f aca="false">IF(F4951="Present",9,IF(F4951="Half Day",4,0))</f>
        <v>9</v>
      </c>
      <c r="J4951" s="2"/>
      <c r="K4951" s="2"/>
    </row>
    <row r="4952" customFormat="false" ht="15" hidden="false" customHeight="false" outlineLevel="0" collapsed="false">
      <c r="A4952" s="2" t="s">
        <v>367</v>
      </c>
      <c r="B4952" s="2" t="s">
        <v>368</v>
      </c>
      <c r="C4952" s="2" t="s">
        <v>57</v>
      </c>
      <c r="D4952" s="3" t="n">
        <v>46256</v>
      </c>
      <c r="E4952" s="2" t="str">
        <f aca="false">TEXT(D4952,"dddd")</f>
        <v>Saturday</v>
      </c>
      <c r="F4952" s="2" t="s">
        <v>457</v>
      </c>
      <c r="G4952" s="2" t="s">
        <v>458</v>
      </c>
      <c r="H4952" s="2" t="s">
        <v>459</v>
      </c>
      <c r="I4952" s="2" t="n">
        <f aca="false">IF(F4952="Present",9,IF(F4952="Half Day",4,0))</f>
        <v>9</v>
      </c>
      <c r="J4952" s="2"/>
      <c r="K4952" s="2"/>
    </row>
    <row r="4953" customFormat="false" ht="15" hidden="false" customHeight="false" outlineLevel="0" collapsed="false">
      <c r="A4953" s="2" t="s">
        <v>367</v>
      </c>
      <c r="B4953" s="2" t="s">
        <v>368</v>
      </c>
      <c r="C4953" s="2" t="s">
        <v>57</v>
      </c>
      <c r="D4953" s="3" t="n">
        <v>46257</v>
      </c>
      <c r="E4953" s="2" t="str">
        <f aca="false">TEXT(D4953,"dddd")</f>
        <v>Sunday</v>
      </c>
      <c r="F4953" s="2" t="s">
        <v>460</v>
      </c>
      <c r="G4953" s="2"/>
      <c r="H4953" s="2"/>
      <c r="I4953" s="2" t="n">
        <f aca="false">IF(F4953="Present",9,IF(F4953="Half Day",4,0))</f>
        <v>0</v>
      </c>
      <c r="J4953" s="2"/>
      <c r="K4953" s="2" t="s">
        <v>460</v>
      </c>
    </row>
    <row r="4954" customFormat="false" ht="15" hidden="false" customHeight="false" outlineLevel="0" collapsed="false">
      <c r="A4954" s="2" t="s">
        <v>367</v>
      </c>
      <c r="B4954" s="2" t="s">
        <v>368</v>
      </c>
      <c r="C4954" s="2" t="s">
        <v>57</v>
      </c>
      <c r="D4954" s="3" t="n">
        <v>46258</v>
      </c>
      <c r="E4954" s="2" t="str">
        <f aca="false">TEXT(D4954,"dddd")</f>
        <v>Monday</v>
      </c>
      <c r="F4954" s="2" t="s">
        <v>466</v>
      </c>
      <c r="G4954" s="2" t="s">
        <v>458</v>
      </c>
      <c r="H4954" s="2" t="s">
        <v>467</v>
      </c>
      <c r="I4954" s="2" t="n">
        <f aca="false">IF(F4954="Present",9,IF(F4954="Half Day",4,0))</f>
        <v>4</v>
      </c>
      <c r="J4954" s="2"/>
      <c r="K4954" s="2" t="s">
        <v>466</v>
      </c>
    </row>
    <row r="4955" customFormat="false" ht="15" hidden="false" customHeight="false" outlineLevel="0" collapsed="false">
      <c r="A4955" s="2" t="s">
        <v>367</v>
      </c>
      <c r="B4955" s="2" t="s">
        <v>368</v>
      </c>
      <c r="C4955" s="2" t="s">
        <v>57</v>
      </c>
      <c r="D4955" s="3" t="n">
        <v>46259</v>
      </c>
      <c r="E4955" s="2" t="str">
        <f aca="false">TEXT(D4955,"dddd")</f>
        <v>Tuesday</v>
      </c>
      <c r="F4955" s="2" t="s">
        <v>457</v>
      </c>
      <c r="G4955" s="2" t="s">
        <v>458</v>
      </c>
      <c r="H4955" s="2" t="s">
        <v>459</v>
      </c>
      <c r="I4955" s="2" t="n">
        <f aca="false">IF(F4955="Present",9,IF(F4955="Half Day",4,0))</f>
        <v>9</v>
      </c>
      <c r="J4955" s="2"/>
      <c r="K4955" s="2"/>
    </row>
    <row r="4956" customFormat="false" ht="15" hidden="false" customHeight="false" outlineLevel="0" collapsed="false">
      <c r="A4956" s="2" t="s">
        <v>367</v>
      </c>
      <c r="B4956" s="2" t="s">
        <v>368</v>
      </c>
      <c r="C4956" s="2" t="s">
        <v>57</v>
      </c>
      <c r="D4956" s="3" t="n">
        <v>46260</v>
      </c>
      <c r="E4956" s="2" t="str">
        <f aca="false">TEXT(D4956,"dddd")</f>
        <v>Wednesday</v>
      </c>
      <c r="F4956" s="2" t="s">
        <v>457</v>
      </c>
      <c r="G4956" s="2" t="s">
        <v>458</v>
      </c>
      <c r="H4956" s="2" t="s">
        <v>459</v>
      </c>
      <c r="I4956" s="2" t="n">
        <f aca="false">IF(F4956="Present",9,IF(F4956="Half Day",4,0))</f>
        <v>9</v>
      </c>
      <c r="J4956" s="2"/>
      <c r="K4956" s="2"/>
    </row>
    <row r="4957" customFormat="false" ht="15" hidden="false" customHeight="false" outlineLevel="0" collapsed="false">
      <c r="A4957" s="2" t="s">
        <v>367</v>
      </c>
      <c r="B4957" s="2" t="s">
        <v>368</v>
      </c>
      <c r="C4957" s="2" t="s">
        <v>57</v>
      </c>
      <c r="D4957" s="3" t="n">
        <v>46261</v>
      </c>
      <c r="E4957" s="2" t="str">
        <f aca="false">TEXT(D4957,"dddd")</f>
        <v>Thursday</v>
      </c>
      <c r="F4957" s="2" t="s">
        <v>457</v>
      </c>
      <c r="G4957" s="2" t="s">
        <v>458</v>
      </c>
      <c r="H4957" s="2" t="s">
        <v>459</v>
      </c>
      <c r="I4957" s="2" t="n">
        <f aca="false">IF(F4957="Present",9,IF(F4957="Half Day",4,0))</f>
        <v>9</v>
      </c>
      <c r="J4957" s="2"/>
      <c r="K4957" s="2"/>
    </row>
    <row r="4958" customFormat="false" ht="15" hidden="false" customHeight="false" outlineLevel="0" collapsed="false">
      <c r="A4958" s="2" t="s">
        <v>367</v>
      </c>
      <c r="B4958" s="2" t="s">
        <v>368</v>
      </c>
      <c r="C4958" s="2" t="s">
        <v>57</v>
      </c>
      <c r="D4958" s="3" t="n">
        <v>46262</v>
      </c>
      <c r="E4958" s="2" t="str">
        <f aca="false">TEXT(D4958,"dddd")</f>
        <v>Friday</v>
      </c>
      <c r="F4958" s="2" t="s">
        <v>457</v>
      </c>
      <c r="G4958" s="2" t="s">
        <v>458</v>
      </c>
      <c r="H4958" s="2" t="s">
        <v>459</v>
      </c>
      <c r="I4958" s="2" t="n">
        <f aca="false">IF(F4958="Present",9,IF(F4958="Half Day",4,0))</f>
        <v>9</v>
      </c>
      <c r="J4958" s="2"/>
      <c r="K4958" s="2"/>
    </row>
    <row r="4959" customFormat="false" ht="15" hidden="false" customHeight="false" outlineLevel="0" collapsed="false">
      <c r="A4959" s="2" t="s">
        <v>367</v>
      </c>
      <c r="B4959" s="2" t="s">
        <v>368</v>
      </c>
      <c r="C4959" s="2" t="s">
        <v>57</v>
      </c>
      <c r="D4959" s="3" t="n">
        <v>46263</v>
      </c>
      <c r="E4959" s="2" t="str">
        <f aca="false">TEXT(D4959,"dddd")</f>
        <v>Saturday</v>
      </c>
      <c r="F4959" s="2" t="s">
        <v>457</v>
      </c>
      <c r="G4959" s="2" t="s">
        <v>458</v>
      </c>
      <c r="H4959" s="2" t="s">
        <v>459</v>
      </c>
      <c r="I4959" s="2" t="n">
        <f aca="false">IF(F4959="Present",9,IF(F4959="Half Day",4,0))</f>
        <v>9</v>
      </c>
      <c r="J4959" s="2"/>
      <c r="K4959" s="2"/>
    </row>
    <row r="4960" customFormat="false" ht="15" hidden="false" customHeight="false" outlineLevel="0" collapsed="false">
      <c r="A4960" s="2" t="s">
        <v>367</v>
      </c>
      <c r="B4960" s="2" t="s">
        <v>368</v>
      </c>
      <c r="C4960" s="2" t="s">
        <v>57</v>
      </c>
      <c r="D4960" s="3" t="n">
        <v>46264</v>
      </c>
      <c r="E4960" s="2" t="str">
        <f aca="false">TEXT(D4960,"dddd")</f>
        <v>Sunday</v>
      </c>
      <c r="F4960" s="2" t="s">
        <v>460</v>
      </c>
      <c r="G4960" s="2"/>
      <c r="H4960" s="2"/>
      <c r="I4960" s="2" t="n">
        <f aca="false">IF(F4960="Present",9,IF(F4960="Half Day",4,0))</f>
        <v>0</v>
      </c>
      <c r="J4960" s="2"/>
      <c r="K4960" s="2" t="s">
        <v>460</v>
      </c>
    </row>
    <row r="4961" customFormat="false" ht="15" hidden="false" customHeight="false" outlineLevel="0" collapsed="false">
      <c r="A4961" s="2" t="s">
        <v>367</v>
      </c>
      <c r="B4961" s="2" t="s">
        <v>368</v>
      </c>
      <c r="C4961" s="2" t="s">
        <v>57</v>
      </c>
      <c r="D4961" s="3" t="n">
        <v>46265</v>
      </c>
      <c r="E4961" s="2" t="str">
        <f aca="false">TEXT(D4961,"dddd")</f>
        <v>Monday</v>
      </c>
      <c r="F4961" s="2" t="s">
        <v>457</v>
      </c>
      <c r="G4961" s="2" t="s">
        <v>458</v>
      </c>
      <c r="H4961" s="2" t="s">
        <v>459</v>
      </c>
      <c r="I4961" s="2" t="n">
        <f aca="false">IF(F4961="Present",9,IF(F4961="Half Day",4,0))</f>
        <v>9</v>
      </c>
      <c r="J4961" s="2"/>
      <c r="K4961" s="2"/>
    </row>
    <row r="4962" customFormat="false" ht="15" hidden="false" customHeight="false" outlineLevel="0" collapsed="false">
      <c r="A4962" s="2" t="s">
        <v>369</v>
      </c>
      <c r="B4962" s="2" t="s">
        <v>370</v>
      </c>
      <c r="C4962" s="2" t="s">
        <v>17</v>
      </c>
      <c r="D4962" s="3" t="n">
        <v>46235</v>
      </c>
      <c r="E4962" s="2" t="str">
        <f aca="false">TEXT(D4962,"dddd")</f>
        <v>Saturday</v>
      </c>
      <c r="F4962" s="2" t="s">
        <v>457</v>
      </c>
      <c r="G4962" s="2" t="s">
        <v>458</v>
      </c>
      <c r="H4962" s="2" t="s">
        <v>459</v>
      </c>
      <c r="I4962" s="2" t="n">
        <f aca="false">IF(F4962="Present",9,IF(F4962="Half Day",4,0))</f>
        <v>9</v>
      </c>
      <c r="J4962" s="2"/>
      <c r="K4962" s="2"/>
    </row>
    <row r="4963" customFormat="false" ht="15" hidden="false" customHeight="false" outlineLevel="0" collapsed="false">
      <c r="A4963" s="2" t="s">
        <v>369</v>
      </c>
      <c r="B4963" s="2" t="s">
        <v>370</v>
      </c>
      <c r="C4963" s="2" t="s">
        <v>17</v>
      </c>
      <c r="D4963" s="3" t="n">
        <v>46236</v>
      </c>
      <c r="E4963" s="2" t="str">
        <f aca="false">TEXT(D4963,"dddd")</f>
        <v>Sunday</v>
      </c>
      <c r="F4963" s="2" t="s">
        <v>460</v>
      </c>
      <c r="G4963" s="2"/>
      <c r="H4963" s="2"/>
      <c r="I4963" s="2" t="n">
        <f aca="false">IF(F4963="Present",9,IF(F4963="Half Day",4,0))</f>
        <v>0</v>
      </c>
      <c r="J4963" s="2"/>
      <c r="K4963" s="2" t="s">
        <v>460</v>
      </c>
    </row>
    <row r="4964" customFormat="false" ht="15" hidden="false" customHeight="false" outlineLevel="0" collapsed="false">
      <c r="A4964" s="2" t="s">
        <v>369</v>
      </c>
      <c r="B4964" s="2" t="s">
        <v>370</v>
      </c>
      <c r="C4964" s="2" t="s">
        <v>17</v>
      </c>
      <c r="D4964" s="3" t="n">
        <v>46237</v>
      </c>
      <c r="E4964" s="2" t="str">
        <f aca="false">TEXT(D4964,"dddd")</f>
        <v>Monday</v>
      </c>
      <c r="F4964" s="2" t="s">
        <v>457</v>
      </c>
      <c r="G4964" s="2" t="s">
        <v>458</v>
      </c>
      <c r="H4964" s="2" t="s">
        <v>459</v>
      </c>
      <c r="I4964" s="2" t="n">
        <f aca="false">IF(F4964="Present",9,IF(F4964="Half Day",4,0))</f>
        <v>9</v>
      </c>
      <c r="J4964" s="2"/>
      <c r="K4964" s="2"/>
    </row>
    <row r="4965" customFormat="false" ht="15" hidden="false" customHeight="false" outlineLevel="0" collapsed="false">
      <c r="A4965" s="2" t="s">
        <v>369</v>
      </c>
      <c r="B4965" s="2" t="s">
        <v>370</v>
      </c>
      <c r="C4965" s="2" t="s">
        <v>17</v>
      </c>
      <c r="D4965" s="3" t="n">
        <v>46238</v>
      </c>
      <c r="E4965" s="2" t="str">
        <f aca="false">TEXT(D4965,"dddd")</f>
        <v>Tuesday</v>
      </c>
      <c r="F4965" s="2" t="s">
        <v>457</v>
      </c>
      <c r="G4965" s="2" t="s">
        <v>458</v>
      </c>
      <c r="H4965" s="2" t="s">
        <v>459</v>
      </c>
      <c r="I4965" s="2" t="n">
        <f aca="false">IF(F4965="Present",9,IF(F4965="Half Day",4,0))</f>
        <v>9</v>
      </c>
      <c r="J4965" s="2"/>
      <c r="K4965" s="2"/>
    </row>
    <row r="4966" customFormat="false" ht="15" hidden="false" customHeight="false" outlineLevel="0" collapsed="false">
      <c r="A4966" s="2" t="s">
        <v>369</v>
      </c>
      <c r="B4966" s="2" t="s">
        <v>370</v>
      </c>
      <c r="C4966" s="2" t="s">
        <v>17</v>
      </c>
      <c r="D4966" s="3" t="n">
        <v>46239</v>
      </c>
      <c r="E4966" s="2" t="str">
        <f aca="false">TEXT(D4966,"dddd")</f>
        <v>Wednesday</v>
      </c>
      <c r="F4966" s="2" t="s">
        <v>457</v>
      </c>
      <c r="G4966" s="2" t="s">
        <v>458</v>
      </c>
      <c r="H4966" s="2" t="s">
        <v>459</v>
      </c>
      <c r="I4966" s="2" t="n">
        <f aca="false">IF(F4966="Present",9,IF(F4966="Half Day",4,0))</f>
        <v>9</v>
      </c>
      <c r="J4966" s="2"/>
      <c r="K4966" s="2"/>
    </row>
    <row r="4967" customFormat="false" ht="15" hidden="false" customHeight="false" outlineLevel="0" collapsed="false">
      <c r="A4967" s="2" t="s">
        <v>369</v>
      </c>
      <c r="B4967" s="2" t="s">
        <v>370</v>
      </c>
      <c r="C4967" s="2" t="s">
        <v>17</v>
      </c>
      <c r="D4967" s="3" t="n">
        <v>46240</v>
      </c>
      <c r="E4967" s="2" t="str">
        <f aca="false">TEXT(D4967,"dddd")</f>
        <v>Thursday</v>
      </c>
      <c r="F4967" s="2" t="s">
        <v>457</v>
      </c>
      <c r="G4967" s="2" t="s">
        <v>458</v>
      </c>
      <c r="H4967" s="2" t="s">
        <v>459</v>
      </c>
      <c r="I4967" s="2" t="n">
        <f aca="false">IF(F4967="Present",9,IF(F4967="Half Day",4,0))</f>
        <v>9</v>
      </c>
      <c r="J4967" s="2"/>
      <c r="K4967" s="2"/>
    </row>
    <row r="4968" customFormat="false" ht="15" hidden="false" customHeight="false" outlineLevel="0" collapsed="false">
      <c r="A4968" s="2" t="s">
        <v>369</v>
      </c>
      <c r="B4968" s="2" t="s">
        <v>370</v>
      </c>
      <c r="C4968" s="2" t="s">
        <v>17</v>
      </c>
      <c r="D4968" s="3" t="n">
        <v>46241</v>
      </c>
      <c r="E4968" s="2" t="str">
        <f aca="false">TEXT(D4968,"dddd")</f>
        <v>Friday</v>
      </c>
      <c r="F4968" s="2" t="s">
        <v>457</v>
      </c>
      <c r="G4968" s="2" t="s">
        <v>458</v>
      </c>
      <c r="H4968" s="2" t="s">
        <v>459</v>
      </c>
      <c r="I4968" s="2" t="n">
        <f aca="false">IF(F4968="Present",9,IF(F4968="Half Day",4,0))</f>
        <v>9</v>
      </c>
      <c r="J4968" s="2"/>
      <c r="K4968" s="2"/>
    </row>
    <row r="4969" customFormat="false" ht="15" hidden="false" customHeight="false" outlineLevel="0" collapsed="false">
      <c r="A4969" s="2" t="s">
        <v>369</v>
      </c>
      <c r="B4969" s="2" t="s">
        <v>370</v>
      </c>
      <c r="C4969" s="2" t="s">
        <v>17</v>
      </c>
      <c r="D4969" s="3" t="n">
        <v>46242</v>
      </c>
      <c r="E4969" s="2" t="str">
        <f aca="false">TEXT(D4969,"dddd")</f>
        <v>Saturday</v>
      </c>
      <c r="F4969" s="2" t="s">
        <v>457</v>
      </c>
      <c r="G4969" s="2" t="s">
        <v>458</v>
      </c>
      <c r="H4969" s="2" t="s">
        <v>459</v>
      </c>
      <c r="I4969" s="2" t="n">
        <f aca="false">IF(F4969="Present",9,IF(F4969="Half Day",4,0))</f>
        <v>9</v>
      </c>
      <c r="J4969" s="2"/>
      <c r="K4969" s="2"/>
    </row>
    <row r="4970" customFormat="false" ht="15" hidden="false" customHeight="false" outlineLevel="0" collapsed="false">
      <c r="A4970" s="2" t="s">
        <v>369</v>
      </c>
      <c r="B4970" s="2" t="s">
        <v>370</v>
      </c>
      <c r="C4970" s="2" t="s">
        <v>17</v>
      </c>
      <c r="D4970" s="3" t="n">
        <v>46243</v>
      </c>
      <c r="E4970" s="2" t="str">
        <f aca="false">TEXT(D4970,"dddd")</f>
        <v>Sunday</v>
      </c>
      <c r="F4970" s="2" t="s">
        <v>460</v>
      </c>
      <c r="G4970" s="2"/>
      <c r="H4970" s="2"/>
      <c r="I4970" s="2" t="n">
        <f aca="false">IF(F4970="Present",9,IF(F4970="Half Day",4,0))</f>
        <v>0</v>
      </c>
      <c r="J4970" s="2"/>
      <c r="K4970" s="2" t="s">
        <v>460</v>
      </c>
    </row>
    <row r="4971" customFormat="false" ht="15" hidden="false" customHeight="false" outlineLevel="0" collapsed="false">
      <c r="A4971" s="2" t="s">
        <v>369</v>
      </c>
      <c r="B4971" s="2" t="s">
        <v>370</v>
      </c>
      <c r="C4971" s="2" t="s">
        <v>17</v>
      </c>
      <c r="D4971" s="3" t="n">
        <v>46244</v>
      </c>
      <c r="E4971" s="2" t="str">
        <f aca="false">TEXT(D4971,"dddd")</f>
        <v>Monday</v>
      </c>
      <c r="F4971" s="2" t="s">
        <v>457</v>
      </c>
      <c r="G4971" s="2" t="s">
        <v>458</v>
      </c>
      <c r="H4971" s="2" t="s">
        <v>459</v>
      </c>
      <c r="I4971" s="2" t="n">
        <f aca="false">IF(F4971="Present",9,IF(F4971="Half Day",4,0))</f>
        <v>9</v>
      </c>
      <c r="J4971" s="2"/>
      <c r="K4971" s="2"/>
    </row>
    <row r="4972" customFormat="false" ht="15" hidden="false" customHeight="false" outlineLevel="0" collapsed="false">
      <c r="A4972" s="2" t="s">
        <v>369</v>
      </c>
      <c r="B4972" s="2" t="s">
        <v>370</v>
      </c>
      <c r="C4972" s="2" t="s">
        <v>17</v>
      </c>
      <c r="D4972" s="3" t="n">
        <v>46245</v>
      </c>
      <c r="E4972" s="2" t="str">
        <f aca="false">TEXT(D4972,"dddd")</f>
        <v>Tuesday</v>
      </c>
      <c r="F4972" s="2" t="s">
        <v>457</v>
      </c>
      <c r="G4972" s="2" t="s">
        <v>458</v>
      </c>
      <c r="H4972" s="2" t="s">
        <v>459</v>
      </c>
      <c r="I4972" s="2" t="n">
        <f aca="false">IF(F4972="Present",9,IF(F4972="Half Day",4,0))</f>
        <v>9</v>
      </c>
      <c r="J4972" s="2"/>
      <c r="K4972" s="2"/>
    </row>
    <row r="4973" customFormat="false" ht="15" hidden="false" customHeight="false" outlineLevel="0" collapsed="false">
      <c r="A4973" s="2" t="s">
        <v>369</v>
      </c>
      <c r="B4973" s="2" t="s">
        <v>370</v>
      </c>
      <c r="C4973" s="2" t="s">
        <v>17</v>
      </c>
      <c r="D4973" s="3" t="n">
        <v>46246</v>
      </c>
      <c r="E4973" s="2" t="str">
        <f aca="false">TEXT(D4973,"dddd")</f>
        <v>Wednesday</v>
      </c>
      <c r="F4973" s="2" t="s">
        <v>457</v>
      </c>
      <c r="G4973" s="2" t="s">
        <v>458</v>
      </c>
      <c r="H4973" s="2" t="s">
        <v>459</v>
      </c>
      <c r="I4973" s="2" t="n">
        <f aca="false">IF(F4973="Present",9,IF(F4973="Half Day",4,0))</f>
        <v>9</v>
      </c>
      <c r="J4973" s="2"/>
      <c r="K4973" s="2"/>
    </row>
    <row r="4974" customFormat="false" ht="15" hidden="false" customHeight="false" outlineLevel="0" collapsed="false">
      <c r="A4974" s="2" t="s">
        <v>369</v>
      </c>
      <c r="B4974" s="2" t="s">
        <v>370</v>
      </c>
      <c r="C4974" s="2" t="s">
        <v>17</v>
      </c>
      <c r="D4974" s="3" t="n">
        <v>46247</v>
      </c>
      <c r="E4974" s="2" t="str">
        <f aca="false">TEXT(D4974,"dddd")</f>
        <v>Thursday</v>
      </c>
      <c r="F4974" s="2" t="s">
        <v>457</v>
      </c>
      <c r="G4974" s="2" t="s">
        <v>458</v>
      </c>
      <c r="H4974" s="2" t="s">
        <v>459</v>
      </c>
      <c r="I4974" s="2" t="n">
        <f aca="false">IF(F4974="Present",9,IF(F4974="Half Day",4,0))</f>
        <v>9</v>
      </c>
      <c r="J4974" s="2"/>
      <c r="K4974" s="2"/>
    </row>
    <row r="4975" customFormat="false" ht="15" hidden="false" customHeight="false" outlineLevel="0" collapsed="false">
      <c r="A4975" s="2" t="s">
        <v>369</v>
      </c>
      <c r="B4975" s="2" t="s">
        <v>370</v>
      </c>
      <c r="C4975" s="2" t="s">
        <v>17</v>
      </c>
      <c r="D4975" s="3" t="n">
        <v>46248</v>
      </c>
      <c r="E4975" s="2" t="str">
        <f aca="false">TEXT(D4975,"dddd")</f>
        <v>Friday</v>
      </c>
      <c r="F4975" s="2" t="s">
        <v>457</v>
      </c>
      <c r="G4975" s="2" t="s">
        <v>458</v>
      </c>
      <c r="H4975" s="2" t="s">
        <v>459</v>
      </c>
      <c r="I4975" s="2" t="n">
        <f aca="false">IF(F4975="Present",9,IF(F4975="Half Day",4,0))</f>
        <v>9</v>
      </c>
      <c r="J4975" s="2"/>
      <c r="K4975" s="2"/>
    </row>
    <row r="4976" customFormat="false" ht="15" hidden="false" customHeight="false" outlineLevel="0" collapsed="false">
      <c r="A4976" s="2" t="s">
        <v>369</v>
      </c>
      <c r="B4976" s="2" t="s">
        <v>370</v>
      </c>
      <c r="C4976" s="2" t="s">
        <v>17</v>
      </c>
      <c r="D4976" s="3" t="n">
        <v>46249</v>
      </c>
      <c r="E4976" s="2" t="str">
        <f aca="false">TEXT(D4976,"dddd")</f>
        <v>Saturday</v>
      </c>
      <c r="F4976" s="2" t="s">
        <v>463</v>
      </c>
      <c r="G4976" s="2"/>
      <c r="H4976" s="2"/>
      <c r="I4976" s="2" t="n">
        <f aca="false">IF(F4976="Present",9,IF(F4976="Half Day",4,0))</f>
        <v>0</v>
      </c>
      <c r="J4976" s="2" t="s">
        <v>472</v>
      </c>
      <c r="K4976" s="2" t="s">
        <v>473</v>
      </c>
    </row>
    <row r="4977" customFormat="false" ht="15" hidden="false" customHeight="false" outlineLevel="0" collapsed="false">
      <c r="A4977" s="2" t="s">
        <v>369</v>
      </c>
      <c r="B4977" s="2" t="s">
        <v>370</v>
      </c>
      <c r="C4977" s="2" t="s">
        <v>17</v>
      </c>
      <c r="D4977" s="3" t="n">
        <v>46250</v>
      </c>
      <c r="E4977" s="2" t="str">
        <f aca="false">TEXT(D4977,"dddd")</f>
        <v>Sunday</v>
      </c>
      <c r="F4977" s="2" t="s">
        <v>460</v>
      </c>
      <c r="G4977" s="2"/>
      <c r="H4977" s="2"/>
      <c r="I4977" s="2" t="n">
        <f aca="false">IF(F4977="Present",9,IF(F4977="Half Day",4,0))</f>
        <v>0</v>
      </c>
      <c r="J4977" s="2"/>
      <c r="K4977" s="2" t="s">
        <v>460</v>
      </c>
    </row>
    <row r="4978" customFormat="false" ht="15" hidden="false" customHeight="false" outlineLevel="0" collapsed="false">
      <c r="A4978" s="2" t="s">
        <v>369</v>
      </c>
      <c r="B4978" s="2" t="s">
        <v>370</v>
      </c>
      <c r="C4978" s="2" t="s">
        <v>17</v>
      </c>
      <c r="D4978" s="3" t="n">
        <v>46251</v>
      </c>
      <c r="E4978" s="2" t="str">
        <f aca="false">TEXT(D4978,"dddd")</f>
        <v>Monday</v>
      </c>
      <c r="F4978" s="2" t="s">
        <v>457</v>
      </c>
      <c r="G4978" s="2" t="s">
        <v>458</v>
      </c>
      <c r="H4978" s="2" t="s">
        <v>459</v>
      </c>
      <c r="I4978" s="2" t="n">
        <f aca="false">IF(F4978="Present",9,IF(F4978="Half Day",4,0))</f>
        <v>9</v>
      </c>
      <c r="J4978" s="2"/>
      <c r="K4978" s="2"/>
    </row>
    <row r="4979" customFormat="false" ht="15" hidden="false" customHeight="false" outlineLevel="0" collapsed="false">
      <c r="A4979" s="2" t="s">
        <v>369</v>
      </c>
      <c r="B4979" s="2" t="s">
        <v>370</v>
      </c>
      <c r="C4979" s="2" t="s">
        <v>17</v>
      </c>
      <c r="D4979" s="3" t="n">
        <v>46252</v>
      </c>
      <c r="E4979" s="2" t="str">
        <f aca="false">TEXT(D4979,"dddd")</f>
        <v>Tuesday</v>
      </c>
      <c r="F4979" s="2" t="s">
        <v>461</v>
      </c>
      <c r="G4979" s="2"/>
      <c r="H4979" s="2"/>
      <c r="I4979" s="2" t="n">
        <f aca="false">IF(F4979="Present",9,IF(F4979="Half Day",4,0))</f>
        <v>0</v>
      </c>
      <c r="J4979" s="2"/>
      <c r="K4979" s="2" t="s">
        <v>462</v>
      </c>
    </row>
    <row r="4980" customFormat="false" ht="15" hidden="false" customHeight="false" outlineLevel="0" collapsed="false">
      <c r="A4980" s="2" t="s">
        <v>369</v>
      </c>
      <c r="B4980" s="2" t="s">
        <v>370</v>
      </c>
      <c r="C4980" s="2" t="s">
        <v>17</v>
      </c>
      <c r="D4980" s="3" t="n">
        <v>46253</v>
      </c>
      <c r="E4980" s="2" t="str">
        <f aca="false">TEXT(D4980,"dddd")</f>
        <v>Wednesday</v>
      </c>
      <c r="F4980" s="2" t="s">
        <v>457</v>
      </c>
      <c r="G4980" s="2" t="s">
        <v>458</v>
      </c>
      <c r="H4980" s="2" t="s">
        <v>459</v>
      </c>
      <c r="I4980" s="2" t="n">
        <f aca="false">IF(F4980="Present",9,IF(F4980="Half Day",4,0))</f>
        <v>9</v>
      </c>
      <c r="J4980" s="2"/>
      <c r="K4980" s="2"/>
    </row>
    <row r="4981" customFormat="false" ht="15" hidden="false" customHeight="false" outlineLevel="0" collapsed="false">
      <c r="A4981" s="2" t="s">
        <v>369</v>
      </c>
      <c r="B4981" s="2" t="s">
        <v>370</v>
      </c>
      <c r="C4981" s="2" t="s">
        <v>17</v>
      </c>
      <c r="D4981" s="3" t="n">
        <v>46254</v>
      </c>
      <c r="E4981" s="2" t="str">
        <f aca="false">TEXT(D4981,"dddd")</f>
        <v>Thursday</v>
      </c>
      <c r="F4981" s="2" t="s">
        <v>457</v>
      </c>
      <c r="G4981" s="2" t="s">
        <v>458</v>
      </c>
      <c r="H4981" s="2" t="s">
        <v>459</v>
      </c>
      <c r="I4981" s="2" t="n">
        <f aca="false">IF(F4981="Present",9,IF(F4981="Half Day",4,0))</f>
        <v>9</v>
      </c>
      <c r="J4981" s="2"/>
      <c r="K4981" s="2"/>
    </row>
    <row r="4982" customFormat="false" ht="15" hidden="false" customHeight="false" outlineLevel="0" collapsed="false">
      <c r="A4982" s="2" t="s">
        <v>369</v>
      </c>
      <c r="B4982" s="2" t="s">
        <v>370</v>
      </c>
      <c r="C4982" s="2" t="s">
        <v>17</v>
      </c>
      <c r="D4982" s="3" t="n">
        <v>46255</v>
      </c>
      <c r="E4982" s="2" t="str">
        <f aca="false">TEXT(D4982,"dddd")</f>
        <v>Friday</v>
      </c>
      <c r="F4982" s="2" t="s">
        <v>457</v>
      </c>
      <c r="G4982" s="2" t="s">
        <v>458</v>
      </c>
      <c r="H4982" s="2" t="s">
        <v>459</v>
      </c>
      <c r="I4982" s="2" t="n">
        <f aca="false">IF(F4982="Present",9,IF(F4982="Half Day",4,0))</f>
        <v>9</v>
      </c>
      <c r="J4982" s="2"/>
      <c r="K4982" s="2"/>
    </row>
    <row r="4983" customFormat="false" ht="15" hidden="false" customHeight="false" outlineLevel="0" collapsed="false">
      <c r="A4983" s="2" t="s">
        <v>369</v>
      </c>
      <c r="B4983" s="2" t="s">
        <v>370</v>
      </c>
      <c r="C4983" s="2" t="s">
        <v>17</v>
      </c>
      <c r="D4983" s="3" t="n">
        <v>46256</v>
      </c>
      <c r="E4983" s="2" t="str">
        <f aca="false">TEXT(D4983,"dddd")</f>
        <v>Saturday</v>
      </c>
      <c r="F4983" s="2" t="s">
        <v>461</v>
      </c>
      <c r="G4983" s="2"/>
      <c r="H4983" s="2"/>
      <c r="I4983" s="2" t="n">
        <f aca="false">IF(F4983="Present",9,IF(F4983="Half Day",4,0))</f>
        <v>0</v>
      </c>
      <c r="J4983" s="2"/>
      <c r="K4983" s="2" t="s">
        <v>462</v>
      </c>
    </row>
    <row r="4984" customFormat="false" ht="15" hidden="false" customHeight="false" outlineLevel="0" collapsed="false">
      <c r="A4984" s="2" t="s">
        <v>369</v>
      </c>
      <c r="B4984" s="2" t="s">
        <v>370</v>
      </c>
      <c r="C4984" s="2" t="s">
        <v>17</v>
      </c>
      <c r="D4984" s="3" t="n">
        <v>46257</v>
      </c>
      <c r="E4984" s="2" t="str">
        <f aca="false">TEXT(D4984,"dddd")</f>
        <v>Sunday</v>
      </c>
      <c r="F4984" s="2" t="s">
        <v>460</v>
      </c>
      <c r="G4984" s="2"/>
      <c r="H4984" s="2"/>
      <c r="I4984" s="2" t="n">
        <f aca="false">IF(F4984="Present",9,IF(F4984="Half Day",4,0))</f>
        <v>0</v>
      </c>
      <c r="J4984" s="2"/>
      <c r="K4984" s="2" t="s">
        <v>460</v>
      </c>
    </row>
    <row r="4985" customFormat="false" ht="15" hidden="false" customHeight="false" outlineLevel="0" collapsed="false">
      <c r="A4985" s="2" t="s">
        <v>369</v>
      </c>
      <c r="B4985" s="2" t="s">
        <v>370</v>
      </c>
      <c r="C4985" s="2" t="s">
        <v>17</v>
      </c>
      <c r="D4985" s="3" t="n">
        <v>46258</v>
      </c>
      <c r="E4985" s="2" t="str">
        <f aca="false">TEXT(D4985,"dddd")</f>
        <v>Monday</v>
      </c>
      <c r="F4985" s="2" t="s">
        <v>457</v>
      </c>
      <c r="G4985" s="2" t="s">
        <v>458</v>
      </c>
      <c r="H4985" s="2" t="s">
        <v>459</v>
      </c>
      <c r="I4985" s="2" t="n">
        <f aca="false">IF(F4985="Present",9,IF(F4985="Half Day",4,0))</f>
        <v>9</v>
      </c>
      <c r="J4985" s="2"/>
      <c r="K4985" s="2"/>
    </row>
    <row r="4986" customFormat="false" ht="15" hidden="false" customHeight="false" outlineLevel="0" collapsed="false">
      <c r="A4986" s="2" t="s">
        <v>369</v>
      </c>
      <c r="B4986" s="2" t="s">
        <v>370</v>
      </c>
      <c r="C4986" s="2" t="s">
        <v>17</v>
      </c>
      <c r="D4986" s="3" t="n">
        <v>46259</v>
      </c>
      <c r="E4986" s="2" t="str">
        <f aca="false">TEXT(D4986,"dddd")</f>
        <v>Tuesday</v>
      </c>
      <c r="F4986" s="2" t="s">
        <v>463</v>
      </c>
      <c r="G4986" s="2"/>
      <c r="H4986" s="2"/>
      <c r="I4986" s="2" t="n">
        <f aca="false">IF(F4986="Present",9,IF(F4986="Half Day",4,0))</f>
        <v>0</v>
      </c>
      <c r="J4986" s="2" t="s">
        <v>474</v>
      </c>
      <c r="K4986" s="2" t="s">
        <v>475</v>
      </c>
    </row>
    <row r="4987" customFormat="false" ht="15" hidden="false" customHeight="false" outlineLevel="0" collapsed="false">
      <c r="A4987" s="2" t="s">
        <v>369</v>
      </c>
      <c r="B4987" s="2" t="s">
        <v>370</v>
      </c>
      <c r="C4987" s="2" t="s">
        <v>17</v>
      </c>
      <c r="D4987" s="3" t="n">
        <v>46260</v>
      </c>
      <c r="E4987" s="2" t="str">
        <f aca="false">TEXT(D4987,"dddd")</f>
        <v>Wednesday</v>
      </c>
      <c r="F4987" s="2" t="s">
        <v>457</v>
      </c>
      <c r="G4987" s="2" t="s">
        <v>458</v>
      </c>
      <c r="H4987" s="2" t="s">
        <v>459</v>
      </c>
      <c r="I4987" s="2" t="n">
        <f aca="false">IF(F4987="Present",9,IF(F4987="Half Day",4,0))</f>
        <v>9</v>
      </c>
      <c r="J4987" s="2"/>
      <c r="K4987" s="2"/>
    </row>
    <row r="4988" customFormat="false" ht="15" hidden="false" customHeight="false" outlineLevel="0" collapsed="false">
      <c r="A4988" s="2" t="s">
        <v>369</v>
      </c>
      <c r="B4988" s="2" t="s">
        <v>370</v>
      </c>
      <c r="C4988" s="2" t="s">
        <v>17</v>
      </c>
      <c r="D4988" s="3" t="n">
        <v>46261</v>
      </c>
      <c r="E4988" s="2" t="str">
        <f aca="false">TEXT(D4988,"dddd")</f>
        <v>Thursday</v>
      </c>
      <c r="F4988" s="2" t="s">
        <v>461</v>
      </c>
      <c r="G4988" s="2"/>
      <c r="H4988" s="2"/>
      <c r="I4988" s="2" t="n">
        <f aca="false">IF(F4988="Present",9,IF(F4988="Half Day",4,0))</f>
        <v>0</v>
      </c>
      <c r="J4988" s="2"/>
      <c r="K4988" s="2" t="s">
        <v>462</v>
      </c>
    </row>
    <row r="4989" customFormat="false" ht="15" hidden="false" customHeight="false" outlineLevel="0" collapsed="false">
      <c r="A4989" s="2" t="s">
        <v>369</v>
      </c>
      <c r="B4989" s="2" t="s">
        <v>370</v>
      </c>
      <c r="C4989" s="2" t="s">
        <v>17</v>
      </c>
      <c r="D4989" s="3" t="n">
        <v>46262</v>
      </c>
      <c r="E4989" s="2" t="str">
        <f aca="false">TEXT(D4989,"dddd")</f>
        <v>Friday</v>
      </c>
      <c r="F4989" s="2" t="s">
        <v>457</v>
      </c>
      <c r="G4989" s="2" t="s">
        <v>458</v>
      </c>
      <c r="H4989" s="2" t="s">
        <v>459</v>
      </c>
      <c r="I4989" s="2" t="n">
        <f aca="false">IF(F4989="Present",9,IF(F4989="Half Day",4,0))</f>
        <v>9</v>
      </c>
      <c r="J4989" s="2"/>
      <c r="K4989" s="2"/>
    </row>
    <row r="4990" customFormat="false" ht="15" hidden="false" customHeight="false" outlineLevel="0" collapsed="false">
      <c r="A4990" s="2" t="s">
        <v>369</v>
      </c>
      <c r="B4990" s="2" t="s">
        <v>370</v>
      </c>
      <c r="C4990" s="2" t="s">
        <v>17</v>
      </c>
      <c r="D4990" s="3" t="n">
        <v>46263</v>
      </c>
      <c r="E4990" s="2" t="str">
        <f aca="false">TEXT(D4990,"dddd")</f>
        <v>Saturday</v>
      </c>
      <c r="F4990" s="2" t="s">
        <v>457</v>
      </c>
      <c r="G4990" s="2" t="s">
        <v>458</v>
      </c>
      <c r="H4990" s="2" t="s">
        <v>459</v>
      </c>
      <c r="I4990" s="2" t="n">
        <f aca="false">IF(F4990="Present",9,IF(F4990="Half Day",4,0))</f>
        <v>9</v>
      </c>
      <c r="J4990" s="2"/>
      <c r="K4990" s="2"/>
    </row>
    <row r="4991" customFormat="false" ht="15" hidden="false" customHeight="false" outlineLevel="0" collapsed="false">
      <c r="A4991" s="2" t="s">
        <v>369</v>
      </c>
      <c r="B4991" s="2" t="s">
        <v>370</v>
      </c>
      <c r="C4991" s="2" t="s">
        <v>17</v>
      </c>
      <c r="D4991" s="3" t="n">
        <v>46264</v>
      </c>
      <c r="E4991" s="2" t="str">
        <f aca="false">TEXT(D4991,"dddd")</f>
        <v>Sunday</v>
      </c>
      <c r="F4991" s="2" t="s">
        <v>460</v>
      </c>
      <c r="G4991" s="2"/>
      <c r="H4991" s="2"/>
      <c r="I4991" s="2" t="n">
        <f aca="false">IF(F4991="Present",9,IF(F4991="Half Day",4,0))</f>
        <v>0</v>
      </c>
      <c r="J4991" s="2"/>
      <c r="K4991" s="2" t="s">
        <v>460</v>
      </c>
    </row>
    <row r="4992" customFormat="false" ht="15" hidden="false" customHeight="false" outlineLevel="0" collapsed="false">
      <c r="A4992" s="2" t="s">
        <v>369</v>
      </c>
      <c r="B4992" s="2" t="s">
        <v>370</v>
      </c>
      <c r="C4992" s="2" t="s">
        <v>17</v>
      </c>
      <c r="D4992" s="3" t="n">
        <v>46265</v>
      </c>
      <c r="E4992" s="2" t="str">
        <f aca="false">TEXT(D4992,"dddd")</f>
        <v>Monday</v>
      </c>
      <c r="F4992" s="2" t="s">
        <v>457</v>
      </c>
      <c r="G4992" s="2" t="s">
        <v>458</v>
      </c>
      <c r="H4992" s="2" t="s">
        <v>459</v>
      </c>
      <c r="I4992" s="2" t="n">
        <f aca="false">IF(F4992="Present",9,IF(F4992="Half Day",4,0))</f>
        <v>9</v>
      </c>
      <c r="J4992" s="2"/>
      <c r="K4992" s="2"/>
    </row>
    <row r="4993" customFormat="false" ht="15" hidden="false" customHeight="false" outlineLevel="0" collapsed="false">
      <c r="A4993" s="2" t="s">
        <v>371</v>
      </c>
      <c r="B4993" s="2" t="s">
        <v>372</v>
      </c>
      <c r="C4993" s="2" t="s">
        <v>24</v>
      </c>
      <c r="D4993" s="3" t="n">
        <v>46235</v>
      </c>
      <c r="E4993" s="2" t="str">
        <f aca="false">TEXT(D4993,"dddd")</f>
        <v>Saturday</v>
      </c>
      <c r="F4993" s="2" t="s">
        <v>457</v>
      </c>
      <c r="G4993" s="2" t="s">
        <v>458</v>
      </c>
      <c r="H4993" s="2" t="s">
        <v>459</v>
      </c>
      <c r="I4993" s="2" t="n">
        <f aca="false">IF(F4993="Present",9,IF(F4993="Half Day",4,0))</f>
        <v>9</v>
      </c>
      <c r="J4993" s="2"/>
      <c r="K4993" s="2"/>
    </row>
    <row r="4994" customFormat="false" ht="15" hidden="false" customHeight="false" outlineLevel="0" collapsed="false">
      <c r="A4994" s="2" t="s">
        <v>371</v>
      </c>
      <c r="B4994" s="2" t="s">
        <v>372</v>
      </c>
      <c r="C4994" s="2" t="s">
        <v>24</v>
      </c>
      <c r="D4994" s="3" t="n">
        <v>46236</v>
      </c>
      <c r="E4994" s="2" t="str">
        <f aca="false">TEXT(D4994,"dddd")</f>
        <v>Sunday</v>
      </c>
      <c r="F4994" s="2" t="s">
        <v>460</v>
      </c>
      <c r="G4994" s="2"/>
      <c r="H4994" s="2"/>
      <c r="I4994" s="2" t="n">
        <f aca="false">IF(F4994="Present",9,IF(F4994="Half Day",4,0))</f>
        <v>0</v>
      </c>
      <c r="J4994" s="2"/>
      <c r="K4994" s="2" t="s">
        <v>460</v>
      </c>
    </row>
    <row r="4995" customFormat="false" ht="15" hidden="false" customHeight="false" outlineLevel="0" collapsed="false">
      <c r="A4995" s="2" t="s">
        <v>371</v>
      </c>
      <c r="B4995" s="2" t="s">
        <v>372</v>
      </c>
      <c r="C4995" s="2" t="s">
        <v>24</v>
      </c>
      <c r="D4995" s="3" t="n">
        <v>46237</v>
      </c>
      <c r="E4995" s="2" t="str">
        <f aca="false">TEXT(D4995,"dddd")</f>
        <v>Monday</v>
      </c>
      <c r="F4995" s="2" t="s">
        <v>457</v>
      </c>
      <c r="G4995" s="2" t="s">
        <v>458</v>
      </c>
      <c r="H4995" s="2" t="s">
        <v>459</v>
      </c>
      <c r="I4995" s="2" t="n">
        <f aca="false">IF(F4995="Present",9,IF(F4995="Half Day",4,0))</f>
        <v>9</v>
      </c>
      <c r="J4995" s="2"/>
      <c r="K4995" s="2"/>
    </row>
    <row r="4996" customFormat="false" ht="15" hidden="false" customHeight="false" outlineLevel="0" collapsed="false">
      <c r="A4996" s="2" t="s">
        <v>371</v>
      </c>
      <c r="B4996" s="2" t="s">
        <v>372</v>
      </c>
      <c r="C4996" s="2" t="s">
        <v>24</v>
      </c>
      <c r="D4996" s="3" t="n">
        <v>46238</v>
      </c>
      <c r="E4996" s="2" t="str">
        <f aca="false">TEXT(D4996,"dddd")</f>
        <v>Tuesday</v>
      </c>
      <c r="F4996" s="2" t="s">
        <v>457</v>
      </c>
      <c r="G4996" s="2" t="s">
        <v>458</v>
      </c>
      <c r="H4996" s="2" t="s">
        <v>459</v>
      </c>
      <c r="I4996" s="2" t="n">
        <f aca="false">IF(F4996="Present",9,IF(F4996="Half Day",4,0))</f>
        <v>9</v>
      </c>
      <c r="J4996" s="2"/>
      <c r="K4996" s="2"/>
    </row>
    <row r="4997" customFormat="false" ht="15" hidden="false" customHeight="false" outlineLevel="0" collapsed="false">
      <c r="A4997" s="2" t="s">
        <v>371</v>
      </c>
      <c r="B4997" s="2" t="s">
        <v>372</v>
      </c>
      <c r="C4997" s="2" t="s">
        <v>24</v>
      </c>
      <c r="D4997" s="3" t="n">
        <v>46239</v>
      </c>
      <c r="E4997" s="2" t="str">
        <f aca="false">TEXT(D4997,"dddd")</f>
        <v>Wednesday</v>
      </c>
      <c r="F4997" s="2" t="s">
        <v>457</v>
      </c>
      <c r="G4997" s="2" t="s">
        <v>458</v>
      </c>
      <c r="H4997" s="2" t="s">
        <v>459</v>
      </c>
      <c r="I4997" s="2" t="n">
        <f aca="false">IF(F4997="Present",9,IF(F4997="Half Day",4,0))</f>
        <v>9</v>
      </c>
      <c r="J4997" s="2"/>
      <c r="K4997" s="2"/>
    </row>
    <row r="4998" customFormat="false" ht="15" hidden="false" customHeight="false" outlineLevel="0" collapsed="false">
      <c r="A4998" s="2" t="s">
        <v>371</v>
      </c>
      <c r="B4998" s="2" t="s">
        <v>372</v>
      </c>
      <c r="C4998" s="2" t="s">
        <v>24</v>
      </c>
      <c r="D4998" s="3" t="n">
        <v>46240</v>
      </c>
      <c r="E4998" s="2" t="str">
        <f aca="false">TEXT(D4998,"dddd")</f>
        <v>Thursday</v>
      </c>
      <c r="F4998" s="2" t="s">
        <v>457</v>
      </c>
      <c r="G4998" s="2" t="s">
        <v>458</v>
      </c>
      <c r="H4998" s="2" t="s">
        <v>459</v>
      </c>
      <c r="I4998" s="2" t="n">
        <f aca="false">IF(F4998="Present",9,IF(F4998="Half Day",4,0))</f>
        <v>9</v>
      </c>
      <c r="J4998" s="2"/>
      <c r="K4998" s="2"/>
    </row>
    <row r="4999" customFormat="false" ht="15" hidden="false" customHeight="false" outlineLevel="0" collapsed="false">
      <c r="A4999" s="2" t="s">
        <v>371</v>
      </c>
      <c r="B4999" s="2" t="s">
        <v>372</v>
      </c>
      <c r="C4999" s="2" t="s">
        <v>24</v>
      </c>
      <c r="D4999" s="3" t="n">
        <v>46241</v>
      </c>
      <c r="E4999" s="2" t="str">
        <f aca="false">TEXT(D4999,"dddd")</f>
        <v>Friday</v>
      </c>
      <c r="F4999" s="2" t="s">
        <v>457</v>
      </c>
      <c r="G4999" s="2" t="s">
        <v>458</v>
      </c>
      <c r="H4999" s="2" t="s">
        <v>459</v>
      </c>
      <c r="I4999" s="2" t="n">
        <f aca="false">IF(F4999="Present",9,IF(F4999="Half Day",4,0))</f>
        <v>9</v>
      </c>
      <c r="J4999" s="2"/>
      <c r="K4999" s="2"/>
    </row>
    <row r="5000" customFormat="false" ht="15" hidden="false" customHeight="false" outlineLevel="0" collapsed="false">
      <c r="A5000" s="2" t="s">
        <v>371</v>
      </c>
      <c r="B5000" s="2" t="s">
        <v>372</v>
      </c>
      <c r="C5000" s="2" t="s">
        <v>24</v>
      </c>
      <c r="D5000" s="3" t="n">
        <v>46242</v>
      </c>
      <c r="E5000" s="2" t="str">
        <f aca="false">TEXT(D5000,"dddd")</f>
        <v>Saturday</v>
      </c>
      <c r="F5000" s="2" t="s">
        <v>457</v>
      </c>
      <c r="G5000" s="2" t="s">
        <v>458</v>
      </c>
      <c r="H5000" s="2" t="s">
        <v>459</v>
      </c>
      <c r="I5000" s="2" t="n">
        <f aca="false">IF(F5000="Present",9,IF(F5000="Half Day",4,0))</f>
        <v>9</v>
      </c>
      <c r="J5000" s="2"/>
      <c r="K5000" s="2"/>
    </row>
    <row r="5001" customFormat="false" ht="15" hidden="false" customHeight="false" outlineLevel="0" collapsed="false">
      <c r="A5001" s="2" t="s">
        <v>371</v>
      </c>
      <c r="B5001" s="2" t="s">
        <v>372</v>
      </c>
      <c r="C5001" s="2" t="s">
        <v>24</v>
      </c>
      <c r="D5001" s="3" t="n">
        <v>46243</v>
      </c>
      <c r="E5001" s="2" t="str">
        <f aca="false">TEXT(D5001,"dddd")</f>
        <v>Sunday</v>
      </c>
      <c r="F5001" s="2" t="s">
        <v>460</v>
      </c>
      <c r="G5001" s="2"/>
      <c r="H5001" s="2"/>
      <c r="I5001" s="2" t="n">
        <f aca="false">IF(F5001="Present",9,IF(F5001="Half Day",4,0))</f>
        <v>0</v>
      </c>
      <c r="J5001" s="2"/>
      <c r="K5001" s="2" t="s">
        <v>460</v>
      </c>
    </row>
    <row r="5002" customFormat="false" ht="15" hidden="false" customHeight="false" outlineLevel="0" collapsed="false">
      <c r="A5002" s="2" t="s">
        <v>371</v>
      </c>
      <c r="B5002" s="2" t="s">
        <v>372</v>
      </c>
      <c r="C5002" s="2" t="s">
        <v>24</v>
      </c>
      <c r="D5002" s="3" t="n">
        <v>46244</v>
      </c>
      <c r="E5002" s="2" t="str">
        <f aca="false">TEXT(D5002,"dddd")</f>
        <v>Monday</v>
      </c>
      <c r="F5002" s="2" t="s">
        <v>457</v>
      </c>
      <c r="G5002" s="2" t="s">
        <v>458</v>
      </c>
      <c r="H5002" s="2" t="s">
        <v>459</v>
      </c>
      <c r="I5002" s="2" t="n">
        <f aca="false">IF(F5002="Present",9,IF(F5002="Half Day",4,0))</f>
        <v>9</v>
      </c>
      <c r="J5002" s="2"/>
      <c r="K5002" s="2"/>
    </row>
    <row r="5003" customFormat="false" ht="15" hidden="false" customHeight="false" outlineLevel="0" collapsed="false">
      <c r="A5003" s="2" t="s">
        <v>371</v>
      </c>
      <c r="B5003" s="2" t="s">
        <v>372</v>
      </c>
      <c r="C5003" s="2" t="s">
        <v>24</v>
      </c>
      <c r="D5003" s="3" t="n">
        <v>46245</v>
      </c>
      <c r="E5003" s="2" t="str">
        <f aca="false">TEXT(D5003,"dddd")</f>
        <v>Tuesday</v>
      </c>
      <c r="F5003" s="2" t="s">
        <v>457</v>
      </c>
      <c r="G5003" s="2" t="s">
        <v>458</v>
      </c>
      <c r="H5003" s="2" t="s">
        <v>459</v>
      </c>
      <c r="I5003" s="2" t="n">
        <f aca="false">IF(F5003="Present",9,IF(F5003="Half Day",4,0))</f>
        <v>9</v>
      </c>
      <c r="J5003" s="2"/>
      <c r="K5003" s="2"/>
    </row>
    <row r="5004" customFormat="false" ht="15" hidden="false" customHeight="false" outlineLevel="0" collapsed="false">
      <c r="A5004" s="2" t="s">
        <v>371</v>
      </c>
      <c r="B5004" s="2" t="s">
        <v>372</v>
      </c>
      <c r="C5004" s="2" t="s">
        <v>24</v>
      </c>
      <c r="D5004" s="3" t="n">
        <v>46246</v>
      </c>
      <c r="E5004" s="2" t="str">
        <f aca="false">TEXT(D5004,"dddd")</f>
        <v>Wednesday</v>
      </c>
      <c r="F5004" s="2" t="s">
        <v>457</v>
      </c>
      <c r="G5004" s="2" t="s">
        <v>458</v>
      </c>
      <c r="H5004" s="2" t="s">
        <v>459</v>
      </c>
      <c r="I5004" s="2" t="n">
        <f aca="false">IF(F5004="Present",9,IF(F5004="Half Day",4,0))</f>
        <v>9</v>
      </c>
      <c r="J5004" s="2"/>
      <c r="K5004" s="2"/>
    </row>
    <row r="5005" customFormat="false" ht="15" hidden="false" customHeight="false" outlineLevel="0" collapsed="false">
      <c r="A5005" s="2" t="s">
        <v>371</v>
      </c>
      <c r="B5005" s="2" t="s">
        <v>372</v>
      </c>
      <c r="C5005" s="2" t="s">
        <v>24</v>
      </c>
      <c r="D5005" s="3" t="n">
        <v>46247</v>
      </c>
      <c r="E5005" s="2" t="str">
        <f aca="false">TEXT(D5005,"dddd")</f>
        <v>Thursday</v>
      </c>
      <c r="F5005" s="2" t="s">
        <v>457</v>
      </c>
      <c r="G5005" s="2" t="s">
        <v>458</v>
      </c>
      <c r="H5005" s="2" t="s">
        <v>459</v>
      </c>
      <c r="I5005" s="2" t="n">
        <f aca="false">IF(F5005="Present",9,IF(F5005="Half Day",4,0))</f>
        <v>9</v>
      </c>
      <c r="J5005" s="2"/>
      <c r="K5005" s="2"/>
    </row>
    <row r="5006" customFormat="false" ht="15" hidden="false" customHeight="false" outlineLevel="0" collapsed="false">
      <c r="A5006" s="2" t="s">
        <v>371</v>
      </c>
      <c r="B5006" s="2" t="s">
        <v>372</v>
      </c>
      <c r="C5006" s="2" t="s">
        <v>24</v>
      </c>
      <c r="D5006" s="3" t="n">
        <v>46248</v>
      </c>
      <c r="E5006" s="2" t="str">
        <f aca="false">TEXT(D5006,"dddd")</f>
        <v>Friday</v>
      </c>
      <c r="F5006" s="2" t="s">
        <v>457</v>
      </c>
      <c r="G5006" s="2" t="s">
        <v>458</v>
      </c>
      <c r="H5006" s="2" t="s">
        <v>459</v>
      </c>
      <c r="I5006" s="2" t="n">
        <f aca="false">IF(F5006="Present",9,IF(F5006="Half Day",4,0))</f>
        <v>9</v>
      </c>
      <c r="J5006" s="2"/>
      <c r="K5006" s="2"/>
    </row>
    <row r="5007" customFormat="false" ht="15" hidden="false" customHeight="false" outlineLevel="0" collapsed="false">
      <c r="A5007" s="2" t="s">
        <v>371</v>
      </c>
      <c r="B5007" s="2" t="s">
        <v>372</v>
      </c>
      <c r="C5007" s="2" t="s">
        <v>24</v>
      </c>
      <c r="D5007" s="3" t="n">
        <v>46249</v>
      </c>
      <c r="E5007" s="2" t="str">
        <f aca="false">TEXT(D5007,"dddd")</f>
        <v>Saturday</v>
      </c>
      <c r="F5007" s="2" t="s">
        <v>457</v>
      </c>
      <c r="G5007" s="2" t="s">
        <v>458</v>
      </c>
      <c r="H5007" s="2" t="s">
        <v>459</v>
      </c>
      <c r="I5007" s="2" t="n">
        <f aca="false">IF(F5007="Present",9,IF(F5007="Half Day",4,0))</f>
        <v>9</v>
      </c>
      <c r="J5007" s="2"/>
      <c r="K5007" s="2"/>
    </row>
    <row r="5008" customFormat="false" ht="15" hidden="false" customHeight="false" outlineLevel="0" collapsed="false">
      <c r="A5008" s="2" t="s">
        <v>371</v>
      </c>
      <c r="B5008" s="2" t="s">
        <v>372</v>
      </c>
      <c r="C5008" s="2" t="s">
        <v>24</v>
      </c>
      <c r="D5008" s="3" t="n">
        <v>46250</v>
      </c>
      <c r="E5008" s="2" t="str">
        <f aca="false">TEXT(D5008,"dddd")</f>
        <v>Sunday</v>
      </c>
      <c r="F5008" s="2" t="s">
        <v>460</v>
      </c>
      <c r="G5008" s="2"/>
      <c r="H5008" s="2"/>
      <c r="I5008" s="2" t="n">
        <f aca="false">IF(F5008="Present",9,IF(F5008="Half Day",4,0))</f>
        <v>0</v>
      </c>
      <c r="J5008" s="2"/>
      <c r="K5008" s="2" t="s">
        <v>460</v>
      </c>
    </row>
    <row r="5009" customFormat="false" ht="15" hidden="false" customHeight="false" outlineLevel="0" collapsed="false">
      <c r="A5009" s="2" t="s">
        <v>371</v>
      </c>
      <c r="B5009" s="2" t="s">
        <v>372</v>
      </c>
      <c r="C5009" s="2" t="s">
        <v>24</v>
      </c>
      <c r="D5009" s="3" t="n">
        <v>46251</v>
      </c>
      <c r="E5009" s="2" t="str">
        <f aca="false">TEXT(D5009,"dddd")</f>
        <v>Monday</v>
      </c>
      <c r="F5009" s="2" t="s">
        <v>457</v>
      </c>
      <c r="G5009" s="2" t="s">
        <v>458</v>
      </c>
      <c r="H5009" s="2" t="s">
        <v>459</v>
      </c>
      <c r="I5009" s="2" t="n">
        <f aca="false">IF(F5009="Present",9,IF(F5009="Half Day",4,0))</f>
        <v>9</v>
      </c>
      <c r="J5009" s="2"/>
      <c r="K5009" s="2"/>
    </row>
    <row r="5010" customFormat="false" ht="15" hidden="false" customHeight="false" outlineLevel="0" collapsed="false">
      <c r="A5010" s="2" t="s">
        <v>371</v>
      </c>
      <c r="B5010" s="2" t="s">
        <v>372</v>
      </c>
      <c r="C5010" s="2" t="s">
        <v>24</v>
      </c>
      <c r="D5010" s="3" t="n">
        <v>46252</v>
      </c>
      <c r="E5010" s="2" t="str">
        <f aca="false">TEXT(D5010,"dddd")</f>
        <v>Tuesday</v>
      </c>
      <c r="F5010" s="2" t="s">
        <v>457</v>
      </c>
      <c r="G5010" s="2" t="s">
        <v>458</v>
      </c>
      <c r="H5010" s="2" t="s">
        <v>459</v>
      </c>
      <c r="I5010" s="2" t="n">
        <f aca="false">IF(F5010="Present",9,IF(F5010="Half Day",4,0))</f>
        <v>9</v>
      </c>
      <c r="J5010" s="2"/>
      <c r="K5010" s="2"/>
    </row>
    <row r="5011" customFormat="false" ht="15" hidden="false" customHeight="false" outlineLevel="0" collapsed="false">
      <c r="A5011" s="2" t="s">
        <v>371</v>
      </c>
      <c r="B5011" s="2" t="s">
        <v>372</v>
      </c>
      <c r="C5011" s="2" t="s">
        <v>24</v>
      </c>
      <c r="D5011" s="3" t="n">
        <v>46253</v>
      </c>
      <c r="E5011" s="2" t="str">
        <f aca="false">TEXT(D5011,"dddd")</f>
        <v>Wednesday</v>
      </c>
      <c r="F5011" s="2" t="s">
        <v>457</v>
      </c>
      <c r="G5011" s="2" t="s">
        <v>458</v>
      </c>
      <c r="H5011" s="2" t="s">
        <v>459</v>
      </c>
      <c r="I5011" s="2" t="n">
        <f aca="false">IF(F5011="Present",9,IF(F5011="Half Day",4,0))</f>
        <v>9</v>
      </c>
      <c r="J5011" s="2"/>
      <c r="K5011" s="2"/>
    </row>
    <row r="5012" customFormat="false" ht="15" hidden="false" customHeight="false" outlineLevel="0" collapsed="false">
      <c r="A5012" s="2" t="s">
        <v>371</v>
      </c>
      <c r="B5012" s="2" t="s">
        <v>372</v>
      </c>
      <c r="C5012" s="2" t="s">
        <v>24</v>
      </c>
      <c r="D5012" s="3" t="n">
        <v>46254</v>
      </c>
      <c r="E5012" s="2" t="str">
        <f aca="false">TEXT(D5012,"dddd")</f>
        <v>Thursday</v>
      </c>
      <c r="F5012" s="2" t="s">
        <v>457</v>
      </c>
      <c r="G5012" s="2" t="s">
        <v>458</v>
      </c>
      <c r="H5012" s="2" t="s">
        <v>459</v>
      </c>
      <c r="I5012" s="2" t="n">
        <f aca="false">IF(F5012="Present",9,IF(F5012="Half Day",4,0))</f>
        <v>9</v>
      </c>
      <c r="J5012" s="2"/>
      <c r="K5012" s="2"/>
    </row>
    <row r="5013" customFormat="false" ht="15" hidden="false" customHeight="false" outlineLevel="0" collapsed="false">
      <c r="A5013" s="2" t="s">
        <v>371</v>
      </c>
      <c r="B5013" s="2" t="s">
        <v>372</v>
      </c>
      <c r="C5013" s="2" t="s">
        <v>24</v>
      </c>
      <c r="D5013" s="3" t="n">
        <v>46255</v>
      </c>
      <c r="E5013" s="2" t="str">
        <f aca="false">TEXT(D5013,"dddd")</f>
        <v>Friday</v>
      </c>
      <c r="F5013" s="2" t="s">
        <v>457</v>
      </c>
      <c r="G5013" s="2" t="s">
        <v>458</v>
      </c>
      <c r="H5013" s="2" t="s">
        <v>459</v>
      </c>
      <c r="I5013" s="2" t="n">
        <f aca="false">IF(F5013="Present",9,IF(F5013="Half Day",4,0))</f>
        <v>9</v>
      </c>
      <c r="J5013" s="2"/>
      <c r="K5013" s="2"/>
    </row>
    <row r="5014" customFormat="false" ht="15" hidden="false" customHeight="false" outlineLevel="0" collapsed="false">
      <c r="A5014" s="2" t="s">
        <v>371</v>
      </c>
      <c r="B5014" s="2" t="s">
        <v>372</v>
      </c>
      <c r="C5014" s="2" t="s">
        <v>24</v>
      </c>
      <c r="D5014" s="3" t="n">
        <v>46256</v>
      </c>
      <c r="E5014" s="2" t="str">
        <f aca="false">TEXT(D5014,"dddd")</f>
        <v>Saturday</v>
      </c>
      <c r="F5014" s="2" t="s">
        <v>457</v>
      </c>
      <c r="G5014" s="2" t="s">
        <v>458</v>
      </c>
      <c r="H5014" s="2" t="s">
        <v>459</v>
      </c>
      <c r="I5014" s="2" t="n">
        <f aca="false">IF(F5014="Present",9,IF(F5014="Half Day",4,0))</f>
        <v>9</v>
      </c>
      <c r="J5014" s="2"/>
      <c r="K5014" s="2"/>
    </row>
    <row r="5015" customFormat="false" ht="15" hidden="false" customHeight="false" outlineLevel="0" collapsed="false">
      <c r="A5015" s="2" t="s">
        <v>371</v>
      </c>
      <c r="B5015" s="2" t="s">
        <v>372</v>
      </c>
      <c r="C5015" s="2" t="s">
        <v>24</v>
      </c>
      <c r="D5015" s="3" t="n">
        <v>46257</v>
      </c>
      <c r="E5015" s="2" t="str">
        <f aca="false">TEXT(D5015,"dddd")</f>
        <v>Sunday</v>
      </c>
      <c r="F5015" s="2" t="s">
        <v>460</v>
      </c>
      <c r="G5015" s="2"/>
      <c r="H5015" s="2"/>
      <c r="I5015" s="2" t="n">
        <f aca="false">IF(F5015="Present",9,IF(F5015="Half Day",4,0))</f>
        <v>0</v>
      </c>
      <c r="J5015" s="2"/>
      <c r="K5015" s="2" t="s">
        <v>460</v>
      </c>
    </row>
    <row r="5016" customFormat="false" ht="15" hidden="false" customHeight="false" outlineLevel="0" collapsed="false">
      <c r="A5016" s="2" t="s">
        <v>371</v>
      </c>
      <c r="B5016" s="2" t="s">
        <v>372</v>
      </c>
      <c r="C5016" s="2" t="s">
        <v>24</v>
      </c>
      <c r="D5016" s="3" t="n">
        <v>46258</v>
      </c>
      <c r="E5016" s="2" t="str">
        <f aca="false">TEXT(D5016,"dddd")</f>
        <v>Monday</v>
      </c>
      <c r="F5016" s="2" t="s">
        <v>457</v>
      </c>
      <c r="G5016" s="2" t="s">
        <v>458</v>
      </c>
      <c r="H5016" s="2" t="s">
        <v>459</v>
      </c>
      <c r="I5016" s="2" t="n">
        <f aca="false">IF(F5016="Present",9,IF(F5016="Half Day",4,0))</f>
        <v>9</v>
      </c>
      <c r="J5016" s="2"/>
      <c r="K5016" s="2"/>
    </row>
    <row r="5017" customFormat="false" ht="15" hidden="false" customHeight="false" outlineLevel="0" collapsed="false">
      <c r="A5017" s="2" t="s">
        <v>371</v>
      </c>
      <c r="B5017" s="2" t="s">
        <v>372</v>
      </c>
      <c r="C5017" s="2" t="s">
        <v>24</v>
      </c>
      <c r="D5017" s="3" t="n">
        <v>46259</v>
      </c>
      <c r="E5017" s="2" t="str">
        <f aca="false">TEXT(D5017,"dddd")</f>
        <v>Tuesday</v>
      </c>
      <c r="F5017" s="2" t="s">
        <v>457</v>
      </c>
      <c r="G5017" s="2" t="s">
        <v>458</v>
      </c>
      <c r="H5017" s="2" t="s">
        <v>459</v>
      </c>
      <c r="I5017" s="2" t="n">
        <f aca="false">IF(F5017="Present",9,IF(F5017="Half Day",4,0))</f>
        <v>9</v>
      </c>
      <c r="J5017" s="2"/>
      <c r="K5017" s="2"/>
    </row>
    <row r="5018" customFormat="false" ht="15" hidden="false" customHeight="false" outlineLevel="0" collapsed="false">
      <c r="A5018" s="2" t="s">
        <v>371</v>
      </c>
      <c r="B5018" s="2" t="s">
        <v>372</v>
      </c>
      <c r="C5018" s="2" t="s">
        <v>24</v>
      </c>
      <c r="D5018" s="3" t="n">
        <v>46260</v>
      </c>
      <c r="E5018" s="2" t="str">
        <f aca="false">TEXT(D5018,"dddd")</f>
        <v>Wednesday</v>
      </c>
      <c r="F5018" s="2" t="s">
        <v>457</v>
      </c>
      <c r="G5018" s="2" t="s">
        <v>458</v>
      </c>
      <c r="H5018" s="2" t="s">
        <v>459</v>
      </c>
      <c r="I5018" s="2" t="n">
        <f aca="false">IF(F5018="Present",9,IF(F5018="Half Day",4,0))</f>
        <v>9</v>
      </c>
      <c r="J5018" s="2"/>
      <c r="K5018" s="2"/>
    </row>
    <row r="5019" customFormat="false" ht="15" hidden="false" customHeight="false" outlineLevel="0" collapsed="false">
      <c r="A5019" s="2" t="s">
        <v>371</v>
      </c>
      <c r="B5019" s="2" t="s">
        <v>372</v>
      </c>
      <c r="C5019" s="2" t="s">
        <v>24</v>
      </c>
      <c r="D5019" s="3" t="n">
        <v>46261</v>
      </c>
      <c r="E5019" s="2" t="str">
        <f aca="false">TEXT(D5019,"dddd")</f>
        <v>Thursday</v>
      </c>
      <c r="F5019" s="2" t="s">
        <v>457</v>
      </c>
      <c r="G5019" s="2" t="s">
        <v>458</v>
      </c>
      <c r="H5019" s="2" t="s">
        <v>459</v>
      </c>
      <c r="I5019" s="2" t="n">
        <f aca="false">IF(F5019="Present",9,IF(F5019="Half Day",4,0))</f>
        <v>9</v>
      </c>
      <c r="J5019" s="2"/>
      <c r="K5019" s="2"/>
    </row>
    <row r="5020" customFormat="false" ht="15" hidden="false" customHeight="false" outlineLevel="0" collapsed="false">
      <c r="A5020" s="2" t="s">
        <v>371</v>
      </c>
      <c r="B5020" s="2" t="s">
        <v>372</v>
      </c>
      <c r="C5020" s="2" t="s">
        <v>24</v>
      </c>
      <c r="D5020" s="3" t="n">
        <v>46262</v>
      </c>
      <c r="E5020" s="2" t="str">
        <f aca="false">TEXT(D5020,"dddd")</f>
        <v>Friday</v>
      </c>
      <c r="F5020" s="2" t="s">
        <v>457</v>
      </c>
      <c r="G5020" s="2" t="s">
        <v>458</v>
      </c>
      <c r="H5020" s="2" t="s">
        <v>459</v>
      </c>
      <c r="I5020" s="2" t="n">
        <f aca="false">IF(F5020="Present",9,IF(F5020="Half Day",4,0))</f>
        <v>9</v>
      </c>
      <c r="J5020" s="2"/>
      <c r="K5020" s="2"/>
    </row>
    <row r="5021" customFormat="false" ht="15" hidden="false" customHeight="false" outlineLevel="0" collapsed="false">
      <c r="A5021" s="2" t="s">
        <v>371</v>
      </c>
      <c r="B5021" s="2" t="s">
        <v>372</v>
      </c>
      <c r="C5021" s="2" t="s">
        <v>24</v>
      </c>
      <c r="D5021" s="3" t="n">
        <v>46263</v>
      </c>
      <c r="E5021" s="2" t="str">
        <f aca="false">TEXT(D5021,"dddd")</f>
        <v>Saturday</v>
      </c>
      <c r="F5021" s="2" t="s">
        <v>457</v>
      </c>
      <c r="G5021" s="2" t="s">
        <v>458</v>
      </c>
      <c r="H5021" s="2" t="s">
        <v>459</v>
      </c>
      <c r="I5021" s="2" t="n">
        <f aca="false">IF(F5021="Present",9,IF(F5021="Half Day",4,0))</f>
        <v>9</v>
      </c>
      <c r="J5021" s="2"/>
      <c r="K5021" s="2"/>
    </row>
    <row r="5022" customFormat="false" ht="15" hidden="false" customHeight="false" outlineLevel="0" collapsed="false">
      <c r="A5022" s="2" t="s">
        <v>371</v>
      </c>
      <c r="B5022" s="2" t="s">
        <v>372</v>
      </c>
      <c r="C5022" s="2" t="s">
        <v>24</v>
      </c>
      <c r="D5022" s="3" t="n">
        <v>46264</v>
      </c>
      <c r="E5022" s="2" t="str">
        <f aca="false">TEXT(D5022,"dddd")</f>
        <v>Sunday</v>
      </c>
      <c r="F5022" s="2" t="s">
        <v>460</v>
      </c>
      <c r="G5022" s="2"/>
      <c r="H5022" s="2"/>
      <c r="I5022" s="2" t="n">
        <f aca="false">IF(F5022="Present",9,IF(F5022="Half Day",4,0))</f>
        <v>0</v>
      </c>
      <c r="J5022" s="2"/>
      <c r="K5022" s="2" t="s">
        <v>460</v>
      </c>
    </row>
    <row r="5023" customFormat="false" ht="15" hidden="false" customHeight="false" outlineLevel="0" collapsed="false">
      <c r="A5023" s="2" t="s">
        <v>371</v>
      </c>
      <c r="B5023" s="2" t="s">
        <v>372</v>
      </c>
      <c r="C5023" s="2" t="s">
        <v>24</v>
      </c>
      <c r="D5023" s="3" t="n">
        <v>46265</v>
      </c>
      <c r="E5023" s="2" t="str">
        <f aca="false">TEXT(D5023,"dddd")</f>
        <v>Monday</v>
      </c>
      <c r="F5023" s="2" t="s">
        <v>457</v>
      </c>
      <c r="G5023" s="2" t="s">
        <v>458</v>
      </c>
      <c r="H5023" s="2" t="s">
        <v>459</v>
      </c>
      <c r="I5023" s="2" t="n">
        <f aca="false">IF(F5023="Present",9,IF(F5023="Half Day",4,0))</f>
        <v>9</v>
      </c>
      <c r="J5023" s="2"/>
      <c r="K5023" s="2"/>
    </row>
    <row r="5024" customFormat="false" ht="15" hidden="false" customHeight="false" outlineLevel="0" collapsed="false">
      <c r="A5024" s="2" t="s">
        <v>373</v>
      </c>
      <c r="B5024" s="2" t="s">
        <v>374</v>
      </c>
      <c r="C5024" s="2" t="s">
        <v>28</v>
      </c>
      <c r="D5024" s="3" t="n">
        <v>46235</v>
      </c>
      <c r="E5024" s="2" t="str">
        <f aca="false">TEXT(D5024,"dddd")</f>
        <v>Saturday</v>
      </c>
      <c r="F5024" s="2" t="s">
        <v>461</v>
      </c>
      <c r="G5024" s="2"/>
      <c r="H5024" s="2"/>
      <c r="I5024" s="2" t="n">
        <f aca="false">IF(F5024="Present",9,IF(F5024="Half Day",4,0))</f>
        <v>0</v>
      </c>
      <c r="J5024" s="2"/>
      <c r="K5024" s="2" t="s">
        <v>462</v>
      </c>
    </row>
    <row r="5025" customFormat="false" ht="15" hidden="false" customHeight="false" outlineLevel="0" collapsed="false">
      <c r="A5025" s="2" t="s">
        <v>373</v>
      </c>
      <c r="B5025" s="2" t="s">
        <v>374</v>
      </c>
      <c r="C5025" s="2" t="s">
        <v>28</v>
      </c>
      <c r="D5025" s="3" t="n">
        <v>46236</v>
      </c>
      <c r="E5025" s="2" t="str">
        <f aca="false">TEXT(D5025,"dddd")</f>
        <v>Sunday</v>
      </c>
      <c r="F5025" s="2" t="s">
        <v>460</v>
      </c>
      <c r="G5025" s="2"/>
      <c r="H5025" s="2"/>
      <c r="I5025" s="2" t="n">
        <f aca="false">IF(F5025="Present",9,IF(F5025="Half Day",4,0))</f>
        <v>0</v>
      </c>
      <c r="J5025" s="2"/>
      <c r="K5025" s="2" t="s">
        <v>460</v>
      </c>
    </row>
    <row r="5026" customFormat="false" ht="15" hidden="false" customHeight="false" outlineLevel="0" collapsed="false">
      <c r="A5026" s="2" t="s">
        <v>373</v>
      </c>
      <c r="B5026" s="2" t="s">
        <v>374</v>
      </c>
      <c r="C5026" s="2" t="s">
        <v>28</v>
      </c>
      <c r="D5026" s="3" t="n">
        <v>46237</v>
      </c>
      <c r="E5026" s="2" t="str">
        <f aca="false">TEXT(D5026,"dddd")</f>
        <v>Monday</v>
      </c>
      <c r="F5026" s="2" t="s">
        <v>461</v>
      </c>
      <c r="G5026" s="2"/>
      <c r="H5026" s="2"/>
      <c r="I5026" s="2" t="n">
        <f aca="false">IF(F5026="Present",9,IF(F5026="Half Day",4,0))</f>
        <v>0</v>
      </c>
      <c r="J5026" s="2"/>
      <c r="K5026" s="2" t="s">
        <v>462</v>
      </c>
    </row>
    <row r="5027" customFormat="false" ht="15" hidden="false" customHeight="false" outlineLevel="0" collapsed="false">
      <c r="A5027" s="2" t="s">
        <v>373</v>
      </c>
      <c r="B5027" s="2" t="s">
        <v>374</v>
      </c>
      <c r="C5027" s="2" t="s">
        <v>28</v>
      </c>
      <c r="D5027" s="3" t="n">
        <v>46238</v>
      </c>
      <c r="E5027" s="2" t="str">
        <f aca="false">TEXT(D5027,"dddd")</f>
        <v>Tuesday</v>
      </c>
      <c r="F5027" s="2" t="s">
        <v>457</v>
      </c>
      <c r="G5027" s="2" t="s">
        <v>458</v>
      </c>
      <c r="H5027" s="2" t="s">
        <v>459</v>
      </c>
      <c r="I5027" s="2" t="n">
        <f aca="false">IF(F5027="Present",9,IF(F5027="Half Day",4,0))</f>
        <v>9</v>
      </c>
      <c r="J5027" s="2"/>
      <c r="K5027" s="2"/>
    </row>
    <row r="5028" customFormat="false" ht="15" hidden="false" customHeight="false" outlineLevel="0" collapsed="false">
      <c r="A5028" s="2" t="s">
        <v>373</v>
      </c>
      <c r="B5028" s="2" t="s">
        <v>374</v>
      </c>
      <c r="C5028" s="2" t="s">
        <v>28</v>
      </c>
      <c r="D5028" s="3" t="n">
        <v>46239</v>
      </c>
      <c r="E5028" s="2" t="str">
        <f aca="false">TEXT(D5028,"dddd")</f>
        <v>Wednesday</v>
      </c>
      <c r="F5028" s="2" t="s">
        <v>463</v>
      </c>
      <c r="G5028" s="2"/>
      <c r="H5028" s="2"/>
      <c r="I5028" s="2" t="n">
        <f aca="false">IF(F5028="Present",9,IF(F5028="Half Day",4,0))</f>
        <v>0</v>
      </c>
      <c r="J5028" s="2" t="s">
        <v>468</v>
      </c>
      <c r="K5028" s="2" t="s">
        <v>469</v>
      </c>
    </row>
    <row r="5029" customFormat="false" ht="15" hidden="false" customHeight="false" outlineLevel="0" collapsed="false">
      <c r="A5029" s="2" t="s">
        <v>373</v>
      </c>
      <c r="B5029" s="2" t="s">
        <v>374</v>
      </c>
      <c r="C5029" s="2" t="s">
        <v>28</v>
      </c>
      <c r="D5029" s="3" t="n">
        <v>46240</v>
      </c>
      <c r="E5029" s="2" t="str">
        <f aca="false">TEXT(D5029,"dddd")</f>
        <v>Thursday</v>
      </c>
      <c r="F5029" s="2" t="s">
        <v>461</v>
      </c>
      <c r="G5029" s="2"/>
      <c r="H5029" s="2"/>
      <c r="I5029" s="2" t="n">
        <f aca="false">IF(F5029="Present",9,IF(F5029="Half Day",4,0))</f>
        <v>0</v>
      </c>
      <c r="J5029" s="2"/>
      <c r="K5029" s="2" t="s">
        <v>462</v>
      </c>
    </row>
    <row r="5030" customFormat="false" ht="15" hidden="false" customHeight="false" outlineLevel="0" collapsed="false">
      <c r="A5030" s="2" t="s">
        <v>373</v>
      </c>
      <c r="B5030" s="2" t="s">
        <v>374</v>
      </c>
      <c r="C5030" s="2" t="s">
        <v>28</v>
      </c>
      <c r="D5030" s="3" t="n">
        <v>46241</v>
      </c>
      <c r="E5030" s="2" t="str">
        <f aca="false">TEXT(D5030,"dddd")</f>
        <v>Friday</v>
      </c>
      <c r="F5030" s="2" t="s">
        <v>457</v>
      </c>
      <c r="G5030" s="2" t="s">
        <v>458</v>
      </c>
      <c r="H5030" s="2" t="s">
        <v>459</v>
      </c>
      <c r="I5030" s="2" t="n">
        <f aca="false">IF(F5030="Present",9,IF(F5030="Half Day",4,0))</f>
        <v>9</v>
      </c>
      <c r="J5030" s="2"/>
      <c r="K5030" s="2"/>
    </row>
    <row r="5031" customFormat="false" ht="15" hidden="false" customHeight="false" outlineLevel="0" collapsed="false">
      <c r="A5031" s="2" t="s">
        <v>373</v>
      </c>
      <c r="B5031" s="2" t="s">
        <v>374</v>
      </c>
      <c r="C5031" s="2" t="s">
        <v>28</v>
      </c>
      <c r="D5031" s="3" t="n">
        <v>46242</v>
      </c>
      <c r="E5031" s="2" t="str">
        <f aca="false">TEXT(D5031,"dddd")</f>
        <v>Saturday</v>
      </c>
      <c r="F5031" s="2" t="s">
        <v>461</v>
      </c>
      <c r="G5031" s="2"/>
      <c r="H5031" s="2"/>
      <c r="I5031" s="2" t="n">
        <f aca="false">IF(F5031="Present",9,IF(F5031="Half Day",4,0))</f>
        <v>0</v>
      </c>
      <c r="J5031" s="2"/>
      <c r="K5031" s="2" t="s">
        <v>462</v>
      </c>
    </row>
    <row r="5032" customFormat="false" ht="15" hidden="false" customHeight="false" outlineLevel="0" collapsed="false">
      <c r="A5032" s="2" t="s">
        <v>373</v>
      </c>
      <c r="B5032" s="2" t="s">
        <v>374</v>
      </c>
      <c r="C5032" s="2" t="s">
        <v>28</v>
      </c>
      <c r="D5032" s="3" t="n">
        <v>46243</v>
      </c>
      <c r="E5032" s="2" t="str">
        <f aca="false">TEXT(D5032,"dddd")</f>
        <v>Sunday</v>
      </c>
      <c r="F5032" s="2" t="s">
        <v>460</v>
      </c>
      <c r="G5032" s="2"/>
      <c r="H5032" s="2"/>
      <c r="I5032" s="2" t="n">
        <f aca="false">IF(F5032="Present",9,IF(F5032="Half Day",4,0))</f>
        <v>0</v>
      </c>
      <c r="J5032" s="2"/>
      <c r="K5032" s="2" t="s">
        <v>460</v>
      </c>
    </row>
    <row r="5033" customFormat="false" ht="15" hidden="false" customHeight="false" outlineLevel="0" collapsed="false">
      <c r="A5033" s="2" t="s">
        <v>373</v>
      </c>
      <c r="B5033" s="2" t="s">
        <v>374</v>
      </c>
      <c r="C5033" s="2" t="s">
        <v>28</v>
      </c>
      <c r="D5033" s="3" t="n">
        <v>46244</v>
      </c>
      <c r="E5033" s="2" t="str">
        <f aca="false">TEXT(D5033,"dddd")</f>
        <v>Monday</v>
      </c>
      <c r="F5033" s="2" t="s">
        <v>457</v>
      </c>
      <c r="G5033" s="2" t="s">
        <v>458</v>
      </c>
      <c r="H5033" s="2" t="s">
        <v>459</v>
      </c>
      <c r="I5033" s="2" t="n">
        <f aca="false">IF(F5033="Present",9,IF(F5033="Half Day",4,0))</f>
        <v>9</v>
      </c>
      <c r="J5033" s="2"/>
      <c r="K5033" s="2"/>
    </row>
    <row r="5034" customFormat="false" ht="15" hidden="false" customHeight="false" outlineLevel="0" collapsed="false">
      <c r="A5034" s="2" t="s">
        <v>373</v>
      </c>
      <c r="B5034" s="2" t="s">
        <v>374</v>
      </c>
      <c r="C5034" s="2" t="s">
        <v>28</v>
      </c>
      <c r="D5034" s="3" t="n">
        <v>46245</v>
      </c>
      <c r="E5034" s="2" t="str">
        <f aca="false">TEXT(D5034,"dddd")</f>
        <v>Tuesday</v>
      </c>
      <c r="F5034" s="2" t="s">
        <v>457</v>
      </c>
      <c r="G5034" s="2" t="s">
        <v>458</v>
      </c>
      <c r="H5034" s="2" t="s">
        <v>459</v>
      </c>
      <c r="I5034" s="2" t="n">
        <f aca="false">IF(F5034="Present",9,IF(F5034="Half Day",4,0))</f>
        <v>9</v>
      </c>
      <c r="J5034" s="2"/>
      <c r="K5034" s="2"/>
    </row>
    <row r="5035" customFormat="false" ht="15" hidden="false" customHeight="false" outlineLevel="0" collapsed="false">
      <c r="A5035" s="2" t="s">
        <v>373</v>
      </c>
      <c r="B5035" s="2" t="s">
        <v>374</v>
      </c>
      <c r="C5035" s="2" t="s">
        <v>28</v>
      </c>
      <c r="D5035" s="3" t="n">
        <v>46246</v>
      </c>
      <c r="E5035" s="2" t="str">
        <f aca="false">TEXT(D5035,"dddd")</f>
        <v>Wednesday</v>
      </c>
      <c r="F5035" s="2" t="s">
        <v>461</v>
      </c>
      <c r="G5035" s="2"/>
      <c r="H5035" s="2"/>
      <c r="I5035" s="2" t="n">
        <f aca="false">IF(F5035="Present",9,IF(F5035="Half Day",4,0))</f>
        <v>0</v>
      </c>
      <c r="J5035" s="2"/>
      <c r="K5035" s="2" t="s">
        <v>462</v>
      </c>
    </row>
    <row r="5036" customFormat="false" ht="15" hidden="false" customHeight="false" outlineLevel="0" collapsed="false">
      <c r="A5036" s="2" t="s">
        <v>373</v>
      </c>
      <c r="B5036" s="2" t="s">
        <v>374</v>
      </c>
      <c r="C5036" s="2" t="s">
        <v>28</v>
      </c>
      <c r="D5036" s="3" t="n">
        <v>46247</v>
      </c>
      <c r="E5036" s="2" t="str">
        <f aca="false">TEXT(D5036,"dddd")</f>
        <v>Thursday</v>
      </c>
      <c r="F5036" s="2" t="s">
        <v>457</v>
      </c>
      <c r="G5036" s="2" t="s">
        <v>458</v>
      </c>
      <c r="H5036" s="2" t="s">
        <v>459</v>
      </c>
      <c r="I5036" s="2" t="n">
        <f aca="false">IF(F5036="Present",9,IF(F5036="Half Day",4,0))</f>
        <v>9</v>
      </c>
      <c r="J5036" s="2"/>
      <c r="K5036" s="2"/>
    </row>
    <row r="5037" customFormat="false" ht="15" hidden="false" customHeight="false" outlineLevel="0" collapsed="false">
      <c r="A5037" s="2" t="s">
        <v>373</v>
      </c>
      <c r="B5037" s="2" t="s">
        <v>374</v>
      </c>
      <c r="C5037" s="2" t="s">
        <v>28</v>
      </c>
      <c r="D5037" s="3" t="n">
        <v>46248</v>
      </c>
      <c r="E5037" s="2" t="str">
        <f aca="false">TEXT(D5037,"dddd")</f>
        <v>Friday</v>
      </c>
      <c r="F5037" s="2" t="s">
        <v>461</v>
      </c>
      <c r="G5037" s="2"/>
      <c r="H5037" s="2"/>
      <c r="I5037" s="2" t="n">
        <f aca="false">IF(F5037="Present",9,IF(F5037="Half Day",4,0))</f>
        <v>0</v>
      </c>
      <c r="J5037" s="2"/>
      <c r="K5037" s="2" t="s">
        <v>462</v>
      </c>
    </row>
    <row r="5038" customFormat="false" ht="15" hidden="false" customHeight="false" outlineLevel="0" collapsed="false">
      <c r="A5038" s="2" t="s">
        <v>373</v>
      </c>
      <c r="B5038" s="2" t="s">
        <v>374</v>
      </c>
      <c r="C5038" s="2" t="s">
        <v>28</v>
      </c>
      <c r="D5038" s="3" t="n">
        <v>46249</v>
      </c>
      <c r="E5038" s="2" t="str">
        <f aca="false">TEXT(D5038,"dddd")</f>
        <v>Saturday</v>
      </c>
      <c r="F5038" s="2" t="s">
        <v>457</v>
      </c>
      <c r="G5038" s="2" t="s">
        <v>458</v>
      </c>
      <c r="H5038" s="2" t="s">
        <v>459</v>
      </c>
      <c r="I5038" s="2" t="n">
        <f aca="false">IF(F5038="Present",9,IF(F5038="Half Day",4,0))</f>
        <v>9</v>
      </c>
      <c r="J5038" s="2"/>
      <c r="K5038" s="2"/>
    </row>
    <row r="5039" customFormat="false" ht="15" hidden="false" customHeight="false" outlineLevel="0" collapsed="false">
      <c r="A5039" s="2" t="s">
        <v>373</v>
      </c>
      <c r="B5039" s="2" t="s">
        <v>374</v>
      </c>
      <c r="C5039" s="2" t="s">
        <v>28</v>
      </c>
      <c r="D5039" s="3" t="n">
        <v>46250</v>
      </c>
      <c r="E5039" s="2" t="str">
        <f aca="false">TEXT(D5039,"dddd")</f>
        <v>Sunday</v>
      </c>
      <c r="F5039" s="2" t="s">
        <v>460</v>
      </c>
      <c r="G5039" s="2"/>
      <c r="H5039" s="2"/>
      <c r="I5039" s="2" t="n">
        <f aca="false">IF(F5039="Present",9,IF(F5039="Half Day",4,0))</f>
        <v>0</v>
      </c>
      <c r="J5039" s="2"/>
      <c r="K5039" s="2" t="s">
        <v>460</v>
      </c>
    </row>
    <row r="5040" customFormat="false" ht="15" hidden="false" customHeight="false" outlineLevel="0" collapsed="false">
      <c r="A5040" s="2" t="s">
        <v>373</v>
      </c>
      <c r="B5040" s="2" t="s">
        <v>374</v>
      </c>
      <c r="C5040" s="2" t="s">
        <v>28</v>
      </c>
      <c r="D5040" s="3" t="n">
        <v>46251</v>
      </c>
      <c r="E5040" s="2" t="str">
        <f aca="false">TEXT(D5040,"dddd")</f>
        <v>Monday</v>
      </c>
      <c r="F5040" s="2" t="s">
        <v>457</v>
      </c>
      <c r="G5040" s="2" t="s">
        <v>458</v>
      </c>
      <c r="H5040" s="2" t="s">
        <v>459</v>
      </c>
      <c r="I5040" s="2" t="n">
        <f aca="false">IF(F5040="Present",9,IF(F5040="Half Day",4,0))</f>
        <v>9</v>
      </c>
      <c r="J5040" s="2"/>
      <c r="K5040" s="2"/>
    </row>
    <row r="5041" customFormat="false" ht="15" hidden="false" customHeight="false" outlineLevel="0" collapsed="false">
      <c r="A5041" s="2" t="s">
        <v>373</v>
      </c>
      <c r="B5041" s="2" t="s">
        <v>374</v>
      </c>
      <c r="C5041" s="2" t="s">
        <v>28</v>
      </c>
      <c r="D5041" s="3" t="n">
        <v>46252</v>
      </c>
      <c r="E5041" s="2" t="str">
        <f aca="false">TEXT(D5041,"dddd")</f>
        <v>Tuesday</v>
      </c>
      <c r="F5041" s="2" t="s">
        <v>457</v>
      </c>
      <c r="G5041" s="2" t="s">
        <v>458</v>
      </c>
      <c r="H5041" s="2" t="s">
        <v>459</v>
      </c>
      <c r="I5041" s="2" t="n">
        <f aca="false">IF(F5041="Present",9,IF(F5041="Half Day",4,0))</f>
        <v>9</v>
      </c>
      <c r="J5041" s="2"/>
      <c r="K5041" s="2"/>
    </row>
    <row r="5042" customFormat="false" ht="15" hidden="false" customHeight="false" outlineLevel="0" collapsed="false">
      <c r="A5042" s="2" t="s">
        <v>373</v>
      </c>
      <c r="B5042" s="2" t="s">
        <v>374</v>
      </c>
      <c r="C5042" s="2" t="s">
        <v>28</v>
      </c>
      <c r="D5042" s="3" t="n">
        <v>46253</v>
      </c>
      <c r="E5042" s="2" t="str">
        <f aca="false">TEXT(D5042,"dddd")</f>
        <v>Wednesday</v>
      </c>
      <c r="F5042" s="2" t="s">
        <v>457</v>
      </c>
      <c r="G5042" s="2" t="s">
        <v>458</v>
      </c>
      <c r="H5042" s="2" t="s">
        <v>459</v>
      </c>
      <c r="I5042" s="2" t="n">
        <f aca="false">IF(F5042="Present",9,IF(F5042="Half Day",4,0))</f>
        <v>9</v>
      </c>
      <c r="J5042" s="2"/>
      <c r="K5042" s="2"/>
    </row>
    <row r="5043" customFormat="false" ht="15" hidden="false" customHeight="false" outlineLevel="0" collapsed="false">
      <c r="A5043" s="2" t="s">
        <v>373</v>
      </c>
      <c r="B5043" s="2" t="s">
        <v>374</v>
      </c>
      <c r="C5043" s="2" t="s">
        <v>28</v>
      </c>
      <c r="D5043" s="3" t="n">
        <v>46254</v>
      </c>
      <c r="E5043" s="2" t="str">
        <f aca="false">TEXT(D5043,"dddd")</f>
        <v>Thursday</v>
      </c>
      <c r="F5043" s="2" t="s">
        <v>457</v>
      </c>
      <c r="G5043" s="2" t="s">
        <v>458</v>
      </c>
      <c r="H5043" s="2" t="s">
        <v>459</v>
      </c>
      <c r="I5043" s="2" t="n">
        <f aca="false">IF(F5043="Present",9,IF(F5043="Half Day",4,0))</f>
        <v>9</v>
      </c>
      <c r="J5043" s="2"/>
      <c r="K5043" s="2"/>
    </row>
    <row r="5044" customFormat="false" ht="15" hidden="false" customHeight="false" outlineLevel="0" collapsed="false">
      <c r="A5044" s="2" t="s">
        <v>373</v>
      </c>
      <c r="B5044" s="2" t="s">
        <v>374</v>
      </c>
      <c r="C5044" s="2" t="s">
        <v>28</v>
      </c>
      <c r="D5044" s="3" t="n">
        <v>46255</v>
      </c>
      <c r="E5044" s="2" t="str">
        <f aca="false">TEXT(D5044,"dddd")</f>
        <v>Friday</v>
      </c>
      <c r="F5044" s="2" t="s">
        <v>457</v>
      </c>
      <c r="G5044" s="2" t="s">
        <v>458</v>
      </c>
      <c r="H5044" s="2" t="s">
        <v>459</v>
      </c>
      <c r="I5044" s="2" t="n">
        <f aca="false">IF(F5044="Present",9,IF(F5044="Half Day",4,0))</f>
        <v>9</v>
      </c>
      <c r="J5044" s="2"/>
      <c r="K5044" s="2"/>
    </row>
    <row r="5045" customFormat="false" ht="15" hidden="false" customHeight="false" outlineLevel="0" collapsed="false">
      <c r="A5045" s="2" t="s">
        <v>373</v>
      </c>
      <c r="B5045" s="2" t="s">
        <v>374</v>
      </c>
      <c r="C5045" s="2" t="s">
        <v>28</v>
      </c>
      <c r="D5045" s="3" t="n">
        <v>46256</v>
      </c>
      <c r="E5045" s="2" t="str">
        <f aca="false">TEXT(D5045,"dddd")</f>
        <v>Saturday</v>
      </c>
      <c r="F5045" s="2" t="s">
        <v>457</v>
      </c>
      <c r="G5045" s="2" t="s">
        <v>458</v>
      </c>
      <c r="H5045" s="2" t="s">
        <v>459</v>
      </c>
      <c r="I5045" s="2" t="n">
        <f aca="false">IF(F5045="Present",9,IF(F5045="Half Day",4,0))</f>
        <v>9</v>
      </c>
      <c r="J5045" s="2"/>
      <c r="K5045" s="2"/>
    </row>
    <row r="5046" customFormat="false" ht="15" hidden="false" customHeight="false" outlineLevel="0" collapsed="false">
      <c r="A5046" s="2" t="s">
        <v>373</v>
      </c>
      <c r="B5046" s="2" t="s">
        <v>374</v>
      </c>
      <c r="C5046" s="2" t="s">
        <v>28</v>
      </c>
      <c r="D5046" s="3" t="n">
        <v>46257</v>
      </c>
      <c r="E5046" s="2" t="str">
        <f aca="false">TEXT(D5046,"dddd")</f>
        <v>Sunday</v>
      </c>
      <c r="F5046" s="2" t="s">
        <v>460</v>
      </c>
      <c r="G5046" s="2"/>
      <c r="H5046" s="2"/>
      <c r="I5046" s="2" t="n">
        <f aca="false">IF(F5046="Present",9,IF(F5046="Half Day",4,0))</f>
        <v>0</v>
      </c>
      <c r="J5046" s="2"/>
      <c r="K5046" s="2" t="s">
        <v>460</v>
      </c>
    </row>
    <row r="5047" customFormat="false" ht="15" hidden="false" customHeight="false" outlineLevel="0" collapsed="false">
      <c r="A5047" s="2" t="s">
        <v>373</v>
      </c>
      <c r="B5047" s="2" t="s">
        <v>374</v>
      </c>
      <c r="C5047" s="2" t="s">
        <v>28</v>
      </c>
      <c r="D5047" s="3" t="n">
        <v>46258</v>
      </c>
      <c r="E5047" s="2" t="str">
        <f aca="false">TEXT(D5047,"dddd")</f>
        <v>Monday</v>
      </c>
      <c r="F5047" s="2" t="s">
        <v>457</v>
      </c>
      <c r="G5047" s="2" t="s">
        <v>458</v>
      </c>
      <c r="H5047" s="2" t="s">
        <v>459</v>
      </c>
      <c r="I5047" s="2" t="n">
        <f aca="false">IF(F5047="Present",9,IF(F5047="Half Day",4,0))</f>
        <v>9</v>
      </c>
      <c r="J5047" s="2"/>
      <c r="K5047" s="2"/>
    </row>
    <row r="5048" customFormat="false" ht="15" hidden="false" customHeight="false" outlineLevel="0" collapsed="false">
      <c r="A5048" s="2" t="s">
        <v>373</v>
      </c>
      <c r="B5048" s="2" t="s">
        <v>374</v>
      </c>
      <c r="C5048" s="2" t="s">
        <v>28</v>
      </c>
      <c r="D5048" s="3" t="n">
        <v>46259</v>
      </c>
      <c r="E5048" s="2" t="str">
        <f aca="false">TEXT(D5048,"dddd")</f>
        <v>Tuesday</v>
      </c>
      <c r="F5048" s="2" t="s">
        <v>457</v>
      </c>
      <c r="G5048" s="2" t="s">
        <v>458</v>
      </c>
      <c r="H5048" s="2" t="s">
        <v>459</v>
      </c>
      <c r="I5048" s="2" t="n">
        <f aca="false">IF(F5048="Present",9,IF(F5048="Half Day",4,0))</f>
        <v>9</v>
      </c>
      <c r="J5048" s="2"/>
      <c r="K5048" s="2"/>
    </row>
    <row r="5049" customFormat="false" ht="15" hidden="false" customHeight="false" outlineLevel="0" collapsed="false">
      <c r="A5049" s="2" t="s">
        <v>373</v>
      </c>
      <c r="B5049" s="2" t="s">
        <v>374</v>
      </c>
      <c r="C5049" s="2" t="s">
        <v>28</v>
      </c>
      <c r="D5049" s="3" t="n">
        <v>46260</v>
      </c>
      <c r="E5049" s="2" t="str">
        <f aca="false">TEXT(D5049,"dddd")</f>
        <v>Wednesday</v>
      </c>
      <c r="F5049" s="2" t="s">
        <v>461</v>
      </c>
      <c r="G5049" s="2"/>
      <c r="H5049" s="2"/>
      <c r="I5049" s="2" t="n">
        <f aca="false">IF(F5049="Present",9,IF(F5049="Half Day",4,0))</f>
        <v>0</v>
      </c>
      <c r="J5049" s="2"/>
      <c r="K5049" s="2" t="s">
        <v>462</v>
      </c>
    </row>
    <row r="5050" customFormat="false" ht="15" hidden="false" customHeight="false" outlineLevel="0" collapsed="false">
      <c r="A5050" s="2" t="s">
        <v>373</v>
      </c>
      <c r="B5050" s="2" t="s">
        <v>374</v>
      </c>
      <c r="C5050" s="2" t="s">
        <v>28</v>
      </c>
      <c r="D5050" s="3" t="n">
        <v>46261</v>
      </c>
      <c r="E5050" s="2" t="str">
        <f aca="false">TEXT(D5050,"dddd")</f>
        <v>Thursday</v>
      </c>
      <c r="F5050" s="2" t="s">
        <v>461</v>
      </c>
      <c r="G5050" s="2"/>
      <c r="H5050" s="2"/>
      <c r="I5050" s="2" t="n">
        <f aca="false">IF(F5050="Present",9,IF(F5050="Half Day",4,0))</f>
        <v>0</v>
      </c>
      <c r="J5050" s="2"/>
      <c r="K5050" s="2" t="s">
        <v>462</v>
      </c>
    </row>
    <row r="5051" customFormat="false" ht="15" hidden="false" customHeight="false" outlineLevel="0" collapsed="false">
      <c r="A5051" s="2" t="s">
        <v>373</v>
      </c>
      <c r="B5051" s="2" t="s">
        <v>374</v>
      </c>
      <c r="C5051" s="2" t="s">
        <v>28</v>
      </c>
      <c r="D5051" s="3" t="n">
        <v>46262</v>
      </c>
      <c r="E5051" s="2" t="str">
        <f aca="false">TEXT(D5051,"dddd")</f>
        <v>Friday</v>
      </c>
      <c r="F5051" s="2" t="s">
        <v>457</v>
      </c>
      <c r="G5051" s="2" t="s">
        <v>458</v>
      </c>
      <c r="H5051" s="2" t="s">
        <v>459</v>
      </c>
      <c r="I5051" s="2" t="n">
        <f aca="false">IF(F5051="Present",9,IF(F5051="Half Day",4,0))</f>
        <v>9</v>
      </c>
      <c r="J5051" s="2"/>
      <c r="K5051" s="2"/>
    </row>
    <row r="5052" customFormat="false" ht="15" hidden="false" customHeight="false" outlineLevel="0" collapsed="false">
      <c r="A5052" s="2" t="s">
        <v>373</v>
      </c>
      <c r="B5052" s="2" t="s">
        <v>374</v>
      </c>
      <c r="C5052" s="2" t="s">
        <v>28</v>
      </c>
      <c r="D5052" s="3" t="n">
        <v>46263</v>
      </c>
      <c r="E5052" s="2" t="str">
        <f aca="false">TEXT(D5052,"dddd")</f>
        <v>Saturday</v>
      </c>
      <c r="F5052" s="2" t="s">
        <v>457</v>
      </c>
      <c r="G5052" s="2" t="s">
        <v>458</v>
      </c>
      <c r="H5052" s="2" t="s">
        <v>459</v>
      </c>
      <c r="I5052" s="2" t="n">
        <f aca="false">IF(F5052="Present",9,IF(F5052="Half Day",4,0))</f>
        <v>9</v>
      </c>
      <c r="J5052" s="2"/>
      <c r="K5052" s="2"/>
    </row>
    <row r="5053" customFormat="false" ht="15" hidden="false" customHeight="false" outlineLevel="0" collapsed="false">
      <c r="A5053" s="2" t="s">
        <v>373</v>
      </c>
      <c r="B5053" s="2" t="s">
        <v>374</v>
      </c>
      <c r="C5053" s="2" t="s">
        <v>28</v>
      </c>
      <c r="D5053" s="3" t="n">
        <v>46264</v>
      </c>
      <c r="E5053" s="2" t="str">
        <f aca="false">TEXT(D5053,"dddd")</f>
        <v>Sunday</v>
      </c>
      <c r="F5053" s="2" t="s">
        <v>460</v>
      </c>
      <c r="G5053" s="2"/>
      <c r="H5053" s="2"/>
      <c r="I5053" s="2" t="n">
        <f aca="false">IF(F5053="Present",9,IF(F5053="Half Day",4,0))</f>
        <v>0</v>
      </c>
      <c r="J5053" s="2"/>
      <c r="K5053" s="2" t="s">
        <v>460</v>
      </c>
    </row>
    <row r="5054" customFormat="false" ht="15" hidden="false" customHeight="false" outlineLevel="0" collapsed="false">
      <c r="A5054" s="2" t="s">
        <v>373</v>
      </c>
      <c r="B5054" s="2" t="s">
        <v>374</v>
      </c>
      <c r="C5054" s="2" t="s">
        <v>28</v>
      </c>
      <c r="D5054" s="3" t="n">
        <v>46265</v>
      </c>
      <c r="E5054" s="2" t="str">
        <f aca="false">TEXT(D5054,"dddd")</f>
        <v>Monday</v>
      </c>
      <c r="F5054" s="2" t="s">
        <v>457</v>
      </c>
      <c r="G5054" s="2" t="s">
        <v>458</v>
      </c>
      <c r="H5054" s="2" t="s">
        <v>459</v>
      </c>
      <c r="I5054" s="2" t="n">
        <f aca="false">IF(F5054="Present",9,IF(F5054="Half Day",4,0))</f>
        <v>9</v>
      </c>
      <c r="J5054" s="2"/>
      <c r="K5054" s="2"/>
    </row>
    <row r="5055" customFormat="false" ht="15" hidden="false" customHeight="false" outlineLevel="0" collapsed="false">
      <c r="A5055" s="2" t="s">
        <v>375</v>
      </c>
      <c r="B5055" s="2" t="s">
        <v>376</v>
      </c>
      <c r="C5055" s="2" t="s">
        <v>32</v>
      </c>
      <c r="D5055" s="3" t="n">
        <v>46235</v>
      </c>
      <c r="E5055" s="2" t="str">
        <f aca="false">TEXT(D5055,"dddd")</f>
        <v>Saturday</v>
      </c>
      <c r="F5055" s="2" t="s">
        <v>457</v>
      </c>
      <c r="G5055" s="2" t="s">
        <v>458</v>
      </c>
      <c r="H5055" s="2" t="s">
        <v>459</v>
      </c>
      <c r="I5055" s="2" t="n">
        <f aca="false">IF(F5055="Present",9,IF(F5055="Half Day",4,0))</f>
        <v>9</v>
      </c>
      <c r="J5055" s="2"/>
      <c r="K5055" s="2"/>
    </row>
    <row r="5056" customFormat="false" ht="15" hidden="false" customHeight="false" outlineLevel="0" collapsed="false">
      <c r="A5056" s="2" t="s">
        <v>375</v>
      </c>
      <c r="B5056" s="2" t="s">
        <v>376</v>
      </c>
      <c r="C5056" s="2" t="s">
        <v>32</v>
      </c>
      <c r="D5056" s="3" t="n">
        <v>46236</v>
      </c>
      <c r="E5056" s="2" t="str">
        <f aca="false">TEXT(D5056,"dddd")</f>
        <v>Sunday</v>
      </c>
      <c r="F5056" s="2" t="s">
        <v>460</v>
      </c>
      <c r="G5056" s="2"/>
      <c r="H5056" s="2"/>
      <c r="I5056" s="2" t="n">
        <f aca="false">IF(F5056="Present",9,IF(F5056="Half Day",4,0))</f>
        <v>0</v>
      </c>
      <c r="J5056" s="2"/>
      <c r="K5056" s="2" t="s">
        <v>460</v>
      </c>
    </row>
    <row r="5057" customFormat="false" ht="15" hidden="false" customHeight="false" outlineLevel="0" collapsed="false">
      <c r="A5057" s="2" t="s">
        <v>375</v>
      </c>
      <c r="B5057" s="2" t="s">
        <v>376</v>
      </c>
      <c r="C5057" s="2" t="s">
        <v>32</v>
      </c>
      <c r="D5057" s="3" t="n">
        <v>46237</v>
      </c>
      <c r="E5057" s="2" t="str">
        <f aca="false">TEXT(D5057,"dddd")</f>
        <v>Monday</v>
      </c>
      <c r="F5057" s="2" t="s">
        <v>457</v>
      </c>
      <c r="G5057" s="2" t="s">
        <v>458</v>
      </c>
      <c r="H5057" s="2" t="s">
        <v>459</v>
      </c>
      <c r="I5057" s="2" t="n">
        <f aca="false">IF(F5057="Present",9,IF(F5057="Half Day",4,0))</f>
        <v>9</v>
      </c>
      <c r="J5057" s="2"/>
      <c r="K5057" s="2"/>
    </row>
    <row r="5058" customFormat="false" ht="15" hidden="false" customHeight="false" outlineLevel="0" collapsed="false">
      <c r="A5058" s="2" t="s">
        <v>375</v>
      </c>
      <c r="B5058" s="2" t="s">
        <v>376</v>
      </c>
      <c r="C5058" s="2" t="s">
        <v>32</v>
      </c>
      <c r="D5058" s="3" t="n">
        <v>46238</v>
      </c>
      <c r="E5058" s="2" t="str">
        <f aca="false">TEXT(D5058,"dddd")</f>
        <v>Tuesday</v>
      </c>
      <c r="F5058" s="2" t="s">
        <v>457</v>
      </c>
      <c r="G5058" s="2" t="s">
        <v>458</v>
      </c>
      <c r="H5058" s="2" t="s">
        <v>459</v>
      </c>
      <c r="I5058" s="2" t="n">
        <f aca="false">IF(F5058="Present",9,IF(F5058="Half Day",4,0))</f>
        <v>9</v>
      </c>
      <c r="J5058" s="2"/>
      <c r="K5058" s="2"/>
    </row>
    <row r="5059" customFormat="false" ht="15" hidden="false" customHeight="false" outlineLevel="0" collapsed="false">
      <c r="A5059" s="2" t="s">
        <v>375</v>
      </c>
      <c r="B5059" s="2" t="s">
        <v>376</v>
      </c>
      <c r="C5059" s="2" t="s">
        <v>32</v>
      </c>
      <c r="D5059" s="3" t="n">
        <v>46239</v>
      </c>
      <c r="E5059" s="2" t="str">
        <f aca="false">TEXT(D5059,"dddd")</f>
        <v>Wednesday</v>
      </c>
      <c r="F5059" s="2" t="s">
        <v>457</v>
      </c>
      <c r="G5059" s="2" t="s">
        <v>458</v>
      </c>
      <c r="H5059" s="2" t="s">
        <v>459</v>
      </c>
      <c r="I5059" s="2" t="n">
        <f aca="false">IF(F5059="Present",9,IF(F5059="Half Day",4,0))</f>
        <v>9</v>
      </c>
      <c r="J5059" s="2"/>
      <c r="K5059" s="2"/>
    </row>
    <row r="5060" customFormat="false" ht="15" hidden="false" customHeight="false" outlineLevel="0" collapsed="false">
      <c r="A5060" s="2" t="s">
        <v>375</v>
      </c>
      <c r="B5060" s="2" t="s">
        <v>376</v>
      </c>
      <c r="C5060" s="2" t="s">
        <v>32</v>
      </c>
      <c r="D5060" s="3" t="n">
        <v>46240</v>
      </c>
      <c r="E5060" s="2" t="str">
        <f aca="false">TEXT(D5060,"dddd")</f>
        <v>Thursday</v>
      </c>
      <c r="F5060" s="2" t="s">
        <v>457</v>
      </c>
      <c r="G5060" s="2" t="s">
        <v>458</v>
      </c>
      <c r="H5060" s="2" t="s">
        <v>459</v>
      </c>
      <c r="I5060" s="2" t="n">
        <f aca="false">IF(F5060="Present",9,IF(F5060="Half Day",4,0))</f>
        <v>9</v>
      </c>
      <c r="J5060" s="2"/>
      <c r="K5060" s="2"/>
    </row>
    <row r="5061" customFormat="false" ht="15" hidden="false" customHeight="false" outlineLevel="0" collapsed="false">
      <c r="A5061" s="2" t="s">
        <v>375</v>
      </c>
      <c r="B5061" s="2" t="s">
        <v>376</v>
      </c>
      <c r="C5061" s="2" t="s">
        <v>32</v>
      </c>
      <c r="D5061" s="3" t="n">
        <v>46241</v>
      </c>
      <c r="E5061" s="2" t="str">
        <f aca="false">TEXT(D5061,"dddd")</f>
        <v>Friday</v>
      </c>
      <c r="F5061" s="2" t="s">
        <v>457</v>
      </c>
      <c r="G5061" s="2" t="s">
        <v>458</v>
      </c>
      <c r="H5061" s="2" t="s">
        <v>459</v>
      </c>
      <c r="I5061" s="2" t="n">
        <f aca="false">IF(F5061="Present",9,IF(F5061="Half Day",4,0))</f>
        <v>9</v>
      </c>
      <c r="J5061" s="2"/>
      <c r="K5061" s="2"/>
    </row>
    <row r="5062" customFormat="false" ht="15" hidden="false" customHeight="false" outlineLevel="0" collapsed="false">
      <c r="A5062" s="2" t="s">
        <v>375</v>
      </c>
      <c r="B5062" s="2" t="s">
        <v>376</v>
      </c>
      <c r="C5062" s="2" t="s">
        <v>32</v>
      </c>
      <c r="D5062" s="3" t="n">
        <v>46242</v>
      </c>
      <c r="E5062" s="2" t="str">
        <f aca="false">TEXT(D5062,"dddd")</f>
        <v>Saturday</v>
      </c>
      <c r="F5062" s="2" t="s">
        <v>457</v>
      </c>
      <c r="G5062" s="2" t="s">
        <v>458</v>
      </c>
      <c r="H5062" s="2" t="s">
        <v>459</v>
      </c>
      <c r="I5062" s="2" t="n">
        <f aca="false">IF(F5062="Present",9,IF(F5062="Half Day",4,0))</f>
        <v>9</v>
      </c>
      <c r="J5062" s="2"/>
      <c r="K5062" s="2"/>
    </row>
    <row r="5063" customFormat="false" ht="15" hidden="false" customHeight="false" outlineLevel="0" collapsed="false">
      <c r="A5063" s="2" t="s">
        <v>375</v>
      </c>
      <c r="B5063" s="2" t="s">
        <v>376</v>
      </c>
      <c r="C5063" s="2" t="s">
        <v>32</v>
      </c>
      <c r="D5063" s="3" t="n">
        <v>46243</v>
      </c>
      <c r="E5063" s="2" t="str">
        <f aca="false">TEXT(D5063,"dddd")</f>
        <v>Sunday</v>
      </c>
      <c r="F5063" s="2" t="s">
        <v>460</v>
      </c>
      <c r="G5063" s="2"/>
      <c r="H5063" s="2"/>
      <c r="I5063" s="2" t="n">
        <f aca="false">IF(F5063="Present",9,IF(F5063="Half Day",4,0))</f>
        <v>0</v>
      </c>
      <c r="J5063" s="2"/>
      <c r="K5063" s="2" t="s">
        <v>460</v>
      </c>
    </row>
    <row r="5064" customFormat="false" ht="15" hidden="false" customHeight="false" outlineLevel="0" collapsed="false">
      <c r="A5064" s="2" t="s">
        <v>375</v>
      </c>
      <c r="B5064" s="2" t="s">
        <v>376</v>
      </c>
      <c r="C5064" s="2" t="s">
        <v>32</v>
      </c>
      <c r="D5064" s="3" t="n">
        <v>46244</v>
      </c>
      <c r="E5064" s="2" t="str">
        <f aca="false">TEXT(D5064,"dddd")</f>
        <v>Monday</v>
      </c>
      <c r="F5064" s="2" t="s">
        <v>457</v>
      </c>
      <c r="G5064" s="2" t="s">
        <v>458</v>
      </c>
      <c r="H5064" s="2" t="s">
        <v>459</v>
      </c>
      <c r="I5064" s="2" t="n">
        <f aca="false">IF(F5064="Present",9,IF(F5064="Half Day",4,0))</f>
        <v>9</v>
      </c>
      <c r="J5064" s="2"/>
      <c r="K5064" s="2"/>
    </row>
    <row r="5065" customFormat="false" ht="15" hidden="false" customHeight="false" outlineLevel="0" collapsed="false">
      <c r="A5065" s="2" t="s">
        <v>375</v>
      </c>
      <c r="B5065" s="2" t="s">
        <v>376</v>
      </c>
      <c r="C5065" s="2" t="s">
        <v>32</v>
      </c>
      <c r="D5065" s="3" t="n">
        <v>46245</v>
      </c>
      <c r="E5065" s="2" t="str">
        <f aca="false">TEXT(D5065,"dddd")</f>
        <v>Tuesday</v>
      </c>
      <c r="F5065" s="2" t="s">
        <v>457</v>
      </c>
      <c r="G5065" s="2" t="s">
        <v>458</v>
      </c>
      <c r="H5065" s="2" t="s">
        <v>459</v>
      </c>
      <c r="I5065" s="2" t="n">
        <f aca="false">IF(F5065="Present",9,IF(F5065="Half Day",4,0))</f>
        <v>9</v>
      </c>
      <c r="J5065" s="2"/>
      <c r="K5065" s="2"/>
    </row>
    <row r="5066" customFormat="false" ht="15" hidden="false" customHeight="false" outlineLevel="0" collapsed="false">
      <c r="A5066" s="2" t="s">
        <v>375</v>
      </c>
      <c r="B5066" s="2" t="s">
        <v>376</v>
      </c>
      <c r="C5066" s="2" t="s">
        <v>32</v>
      </c>
      <c r="D5066" s="3" t="n">
        <v>46246</v>
      </c>
      <c r="E5066" s="2" t="str">
        <f aca="false">TEXT(D5066,"dddd")</f>
        <v>Wednesday</v>
      </c>
      <c r="F5066" s="2" t="s">
        <v>457</v>
      </c>
      <c r="G5066" s="2" t="s">
        <v>458</v>
      </c>
      <c r="H5066" s="2" t="s">
        <v>459</v>
      </c>
      <c r="I5066" s="2" t="n">
        <f aca="false">IF(F5066="Present",9,IF(F5066="Half Day",4,0))</f>
        <v>9</v>
      </c>
      <c r="J5066" s="2"/>
      <c r="K5066" s="2"/>
    </row>
    <row r="5067" customFormat="false" ht="15" hidden="false" customHeight="false" outlineLevel="0" collapsed="false">
      <c r="A5067" s="2" t="s">
        <v>375</v>
      </c>
      <c r="B5067" s="2" t="s">
        <v>376</v>
      </c>
      <c r="C5067" s="2" t="s">
        <v>32</v>
      </c>
      <c r="D5067" s="3" t="n">
        <v>46247</v>
      </c>
      <c r="E5067" s="2" t="str">
        <f aca="false">TEXT(D5067,"dddd")</f>
        <v>Thursday</v>
      </c>
      <c r="F5067" s="2" t="s">
        <v>457</v>
      </c>
      <c r="G5067" s="2" t="s">
        <v>458</v>
      </c>
      <c r="H5067" s="2" t="s">
        <v>459</v>
      </c>
      <c r="I5067" s="2" t="n">
        <f aca="false">IF(F5067="Present",9,IF(F5067="Half Day",4,0))</f>
        <v>9</v>
      </c>
      <c r="J5067" s="2"/>
      <c r="K5067" s="2"/>
    </row>
    <row r="5068" customFormat="false" ht="15" hidden="false" customHeight="false" outlineLevel="0" collapsed="false">
      <c r="A5068" s="2" t="s">
        <v>375</v>
      </c>
      <c r="B5068" s="2" t="s">
        <v>376</v>
      </c>
      <c r="C5068" s="2" t="s">
        <v>32</v>
      </c>
      <c r="D5068" s="3" t="n">
        <v>46248</v>
      </c>
      <c r="E5068" s="2" t="str">
        <f aca="false">TEXT(D5068,"dddd")</f>
        <v>Friday</v>
      </c>
      <c r="F5068" s="2" t="s">
        <v>457</v>
      </c>
      <c r="G5068" s="2" t="s">
        <v>458</v>
      </c>
      <c r="H5068" s="2" t="s">
        <v>459</v>
      </c>
      <c r="I5068" s="2" t="n">
        <f aca="false">IF(F5068="Present",9,IF(F5068="Half Day",4,0))</f>
        <v>9</v>
      </c>
      <c r="J5068" s="2"/>
      <c r="K5068" s="2"/>
    </row>
    <row r="5069" customFormat="false" ht="15" hidden="false" customHeight="false" outlineLevel="0" collapsed="false">
      <c r="A5069" s="2" t="s">
        <v>375</v>
      </c>
      <c r="B5069" s="2" t="s">
        <v>376</v>
      </c>
      <c r="C5069" s="2" t="s">
        <v>32</v>
      </c>
      <c r="D5069" s="3" t="n">
        <v>46249</v>
      </c>
      <c r="E5069" s="2" t="str">
        <f aca="false">TEXT(D5069,"dddd")</f>
        <v>Saturday</v>
      </c>
      <c r="F5069" s="2" t="s">
        <v>457</v>
      </c>
      <c r="G5069" s="2" t="s">
        <v>458</v>
      </c>
      <c r="H5069" s="2" t="s">
        <v>459</v>
      </c>
      <c r="I5069" s="2" t="n">
        <f aca="false">IF(F5069="Present",9,IF(F5069="Half Day",4,0))</f>
        <v>9</v>
      </c>
      <c r="J5069" s="2"/>
      <c r="K5069" s="2"/>
    </row>
    <row r="5070" customFormat="false" ht="15" hidden="false" customHeight="false" outlineLevel="0" collapsed="false">
      <c r="A5070" s="2" t="s">
        <v>375</v>
      </c>
      <c r="B5070" s="2" t="s">
        <v>376</v>
      </c>
      <c r="C5070" s="2" t="s">
        <v>32</v>
      </c>
      <c r="D5070" s="3" t="n">
        <v>46250</v>
      </c>
      <c r="E5070" s="2" t="str">
        <f aca="false">TEXT(D5070,"dddd")</f>
        <v>Sunday</v>
      </c>
      <c r="F5070" s="2" t="s">
        <v>460</v>
      </c>
      <c r="G5070" s="2"/>
      <c r="H5070" s="2"/>
      <c r="I5070" s="2" t="n">
        <f aca="false">IF(F5070="Present",9,IF(F5070="Half Day",4,0))</f>
        <v>0</v>
      </c>
      <c r="J5070" s="2"/>
      <c r="K5070" s="2" t="s">
        <v>460</v>
      </c>
    </row>
    <row r="5071" customFormat="false" ht="15" hidden="false" customHeight="false" outlineLevel="0" collapsed="false">
      <c r="A5071" s="2" t="s">
        <v>375</v>
      </c>
      <c r="B5071" s="2" t="s">
        <v>376</v>
      </c>
      <c r="C5071" s="2" t="s">
        <v>32</v>
      </c>
      <c r="D5071" s="3" t="n">
        <v>46251</v>
      </c>
      <c r="E5071" s="2" t="str">
        <f aca="false">TEXT(D5071,"dddd")</f>
        <v>Monday</v>
      </c>
      <c r="F5071" s="2" t="s">
        <v>457</v>
      </c>
      <c r="G5071" s="2" t="s">
        <v>458</v>
      </c>
      <c r="H5071" s="2" t="s">
        <v>459</v>
      </c>
      <c r="I5071" s="2" t="n">
        <f aca="false">IF(F5071="Present",9,IF(F5071="Half Day",4,0))</f>
        <v>9</v>
      </c>
      <c r="J5071" s="2"/>
      <c r="K5071" s="2"/>
    </row>
    <row r="5072" customFormat="false" ht="15" hidden="false" customHeight="false" outlineLevel="0" collapsed="false">
      <c r="A5072" s="2" t="s">
        <v>375</v>
      </c>
      <c r="B5072" s="2" t="s">
        <v>376</v>
      </c>
      <c r="C5072" s="2" t="s">
        <v>32</v>
      </c>
      <c r="D5072" s="3" t="n">
        <v>46252</v>
      </c>
      <c r="E5072" s="2" t="str">
        <f aca="false">TEXT(D5072,"dddd")</f>
        <v>Tuesday</v>
      </c>
      <c r="F5072" s="2" t="s">
        <v>457</v>
      </c>
      <c r="G5072" s="2" t="s">
        <v>458</v>
      </c>
      <c r="H5072" s="2" t="s">
        <v>459</v>
      </c>
      <c r="I5072" s="2" t="n">
        <f aca="false">IF(F5072="Present",9,IF(F5072="Half Day",4,0))</f>
        <v>9</v>
      </c>
      <c r="J5072" s="2"/>
      <c r="K5072" s="2"/>
    </row>
    <row r="5073" customFormat="false" ht="15" hidden="false" customHeight="false" outlineLevel="0" collapsed="false">
      <c r="A5073" s="2" t="s">
        <v>375</v>
      </c>
      <c r="B5073" s="2" t="s">
        <v>376</v>
      </c>
      <c r="C5073" s="2" t="s">
        <v>32</v>
      </c>
      <c r="D5073" s="3" t="n">
        <v>46253</v>
      </c>
      <c r="E5073" s="2" t="str">
        <f aca="false">TEXT(D5073,"dddd")</f>
        <v>Wednesday</v>
      </c>
      <c r="F5073" s="2" t="s">
        <v>457</v>
      </c>
      <c r="G5073" s="2" t="s">
        <v>458</v>
      </c>
      <c r="H5073" s="2" t="s">
        <v>459</v>
      </c>
      <c r="I5073" s="2" t="n">
        <f aca="false">IF(F5073="Present",9,IF(F5073="Half Day",4,0))</f>
        <v>9</v>
      </c>
      <c r="J5073" s="2"/>
      <c r="K5073" s="2"/>
    </row>
    <row r="5074" customFormat="false" ht="15" hidden="false" customHeight="false" outlineLevel="0" collapsed="false">
      <c r="A5074" s="2" t="s">
        <v>375</v>
      </c>
      <c r="B5074" s="2" t="s">
        <v>376</v>
      </c>
      <c r="C5074" s="2" t="s">
        <v>32</v>
      </c>
      <c r="D5074" s="3" t="n">
        <v>46254</v>
      </c>
      <c r="E5074" s="2" t="str">
        <f aca="false">TEXT(D5074,"dddd")</f>
        <v>Thursday</v>
      </c>
      <c r="F5074" s="2" t="s">
        <v>457</v>
      </c>
      <c r="G5074" s="2" t="s">
        <v>458</v>
      </c>
      <c r="H5074" s="2" t="s">
        <v>459</v>
      </c>
      <c r="I5074" s="2" t="n">
        <f aca="false">IF(F5074="Present",9,IF(F5074="Half Day",4,0))</f>
        <v>9</v>
      </c>
      <c r="J5074" s="2"/>
      <c r="K5074" s="2"/>
    </row>
    <row r="5075" customFormat="false" ht="15" hidden="false" customHeight="false" outlineLevel="0" collapsed="false">
      <c r="A5075" s="2" t="s">
        <v>375</v>
      </c>
      <c r="B5075" s="2" t="s">
        <v>376</v>
      </c>
      <c r="C5075" s="2" t="s">
        <v>32</v>
      </c>
      <c r="D5075" s="3" t="n">
        <v>46255</v>
      </c>
      <c r="E5075" s="2" t="str">
        <f aca="false">TEXT(D5075,"dddd")</f>
        <v>Friday</v>
      </c>
      <c r="F5075" s="2" t="s">
        <v>457</v>
      </c>
      <c r="G5075" s="2" t="s">
        <v>458</v>
      </c>
      <c r="H5075" s="2" t="s">
        <v>459</v>
      </c>
      <c r="I5075" s="2" t="n">
        <f aca="false">IF(F5075="Present",9,IF(F5075="Half Day",4,0))</f>
        <v>9</v>
      </c>
      <c r="J5075" s="2"/>
      <c r="K5075" s="2"/>
    </row>
    <row r="5076" customFormat="false" ht="15" hidden="false" customHeight="false" outlineLevel="0" collapsed="false">
      <c r="A5076" s="2" t="s">
        <v>375</v>
      </c>
      <c r="B5076" s="2" t="s">
        <v>376</v>
      </c>
      <c r="C5076" s="2" t="s">
        <v>32</v>
      </c>
      <c r="D5076" s="3" t="n">
        <v>46256</v>
      </c>
      <c r="E5076" s="2" t="str">
        <f aca="false">TEXT(D5076,"dddd")</f>
        <v>Saturday</v>
      </c>
      <c r="F5076" s="2" t="s">
        <v>457</v>
      </c>
      <c r="G5076" s="2" t="s">
        <v>458</v>
      </c>
      <c r="H5076" s="2" t="s">
        <v>459</v>
      </c>
      <c r="I5076" s="2" t="n">
        <f aca="false">IF(F5076="Present",9,IF(F5076="Half Day",4,0))</f>
        <v>9</v>
      </c>
      <c r="J5076" s="2"/>
      <c r="K5076" s="2"/>
    </row>
    <row r="5077" customFormat="false" ht="15" hidden="false" customHeight="false" outlineLevel="0" collapsed="false">
      <c r="A5077" s="2" t="s">
        <v>375</v>
      </c>
      <c r="B5077" s="2" t="s">
        <v>376</v>
      </c>
      <c r="C5077" s="2" t="s">
        <v>32</v>
      </c>
      <c r="D5077" s="3" t="n">
        <v>46257</v>
      </c>
      <c r="E5077" s="2" t="str">
        <f aca="false">TEXT(D5077,"dddd")</f>
        <v>Sunday</v>
      </c>
      <c r="F5077" s="2" t="s">
        <v>460</v>
      </c>
      <c r="G5077" s="2"/>
      <c r="H5077" s="2"/>
      <c r="I5077" s="2" t="n">
        <f aca="false">IF(F5077="Present",9,IF(F5077="Half Day",4,0))</f>
        <v>0</v>
      </c>
      <c r="J5077" s="2"/>
      <c r="K5077" s="2" t="s">
        <v>460</v>
      </c>
    </row>
    <row r="5078" customFormat="false" ht="15" hidden="false" customHeight="false" outlineLevel="0" collapsed="false">
      <c r="A5078" s="2" t="s">
        <v>375</v>
      </c>
      <c r="B5078" s="2" t="s">
        <v>376</v>
      </c>
      <c r="C5078" s="2" t="s">
        <v>32</v>
      </c>
      <c r="D5078" s="3" t="n">
        <v>46258</v>
      </c>
      <c r="E5078" s="2" t="str">
        <f aca="false">TEXT(D5078,"dddd")</f>
        <v>Monday</v>
      </c>
      <c r="F5078" s="2" t="s">
        <v>457</v>
      </c>
      <c r="G5078" s="2" t="s">
        <v>458</v>
      </c>
      <c r="H5078" s="2" t="s">
        <v>459</v>
      </c>
      <c r="I5078" s="2" t="n">
        <f aca="false">IF(F5078="Present",9,IF(F5078="Half Day",4,0))</f>
        <v>9</v>
      </c>
      <c r="J5078" s="2"/>
      <c r="K5078" s="2"/>
    </row>
    <row r="5079" customFormat="false" ht="15" hidden="false" customHeight="false" outlineLevel="0" collapsed="false">
      <c r="A5079" s="2" t="s">
        <v>375</v>
      </c>
      <c r="B5079" s="2" t="s">
        <v>376</v>
      </c>
      <c r="C5079" s="2" t="s">
        <v>32</v>
      </c>
      <c r="D5079" s="3" t="n">
        <v>46259</v>
      </c>
      <c r="E5079" s="2" t="str">
        <f aca="false">TEXT(D5079,"dddd")</f>
        <v>Tuesday</v>
      </c>
      <c r="F5079" s="2" t="s">
        <v>457</v>
      </c>
      <c r="G5079" s="2" t="s">
        <v>458</v>
      </c>
      <c r="H5079" s="2" t="s">
        <v>459</v>
      </c>
      <c r="I5079" s="2" t="n">
        <f aca="false">IF(F5079="Present",9,IF(F5079="Half Day",4,0))</f>
        <v>9</v>
      </c>
      <c r="J5079" s="2"/>
      <c r="K5079" s="2"/>
    </row>
    <row r="5080" customFormat="false" ht="15" hidden="false" customHeight="false" outlineLevel="0" collapsed="false">
      <c r="A5080" s="2" t="s">
        <v>375</v>
      </c>
      <c r="B5080" s="2" t="s">
        <v>376</v>
      </c>
      <c r="C5080" s="2" t="s">
        <v>32</v>
      </c>
      <c r="D5080" s="3" t="n">
        <v>46260</v>
      </c>
      <c r="E5080" s="2" t="str">
        <f aca="false">TEXT(D5080,"dddd")</f>
        <v>Wednesday</v>
      </c>
      <c r="F5080" s="2" t="s">
        <v>457</v>
      </c>
      <c r="G5080" s="2" t="s">
        <v>458</v>
      </c>
      <c r="H5080" s="2" t="s">
        <v>459</v>
      </c>
      <c r="I5080" s="2" t="n">
        <f aca="false">IF(F5080="Present",9,IF(F5080="Half Day",4,0))</f>
        <v>9</v>
      </c>
      <c r="J5080" s="2"/>
      <c r="K5080" s="2"/>
    </row>
    <row r="5081" customFormat="false" ht="15" hidden="false" customHeight="false" outlineLevel="0" collapsed="false">
      <c r="A5081" s="2" t="s">
        <v>375</v>
      </c>
      <c r="B5081" s="2" t="s">
        <v>376</v>
      </c>
      <c r="C5081" s="2" t="s">
        <v>32</v>
      </c>
      <c r="D5081" s="3" t="n">
        <v>46261</v>
      </c>
      <c r="E5081" s="2" t="str">
        <f aca="false">TEXT(D5081,"dddd")</f>
        <v>Thursday</v>
      </c>
      <c r="F5081" s="2" t="s">
        <v>457</v>
      </c>
      <c r="G5081" s="2" t="s">
        <v>458</v>
      </c>
      <c r="H5081" s="2" t="s">
        <v>459</v>
      </c>
      <c r="I5081" s="2" t="n">
        <f aca="false">IF(F5081="Present",9,IF(F5081="Half Day",4,0))</f>
        <v>9</v>
      </c>
      <c r="J5081" s="2"/>
      <c r="K5081" s="2"/>
    </row>
    <row r="5082" customFormat="false" ht="15" hidden="false" customHeight="false" outlineLevel="0" collapsed="false">
      <c r="A5082" s="2" t="s">
        <v>375</v>
      </c>
      <c r="B5082" s="2" t="s">
        <v>376</v>
      </c>
      <c r="C5082" s="2" t="s">
        <v>32</v>
      </c>
      <c r="D5082" s="3" t="n">
        <v>46262</v>
      </c>
      <c r="E5082" s="2" t="str">
        <f aca="false">TEXT(D5082,"dddd")</f>
        <v>Friday</v>
      </c>
      <c r="F5082" s="2" t="s">
        <v>457</v>
      </c>
      <c r="G5082" s="2" t="s">
        <v>458</v>
      </c>
      <c r="H5082" s="2" t="s">
        <v>459</v>
      </c>
      <c r="I5082" s="2" t="n">
        <f aca="false">IF(F5082="Present",9,IF(F5082="Half Day",4,0))</f>
        <v>9</v>
      </c>
      <c r="J5082" s="2"/>
      <c r="K5082" s="2"/>
    </row>
    <row r="5083" customFormat="false" ht="15" hidden="false" customHeight="false" outlineLevel="0" collapsed="false">
      <c r="A5083" s="2" t="s">
        <v>375</v>
      </c>
      <c r="B5083" s="2" t="s">
        <v>376</v>
      </c>
      <c r="C5083" s="2" t="s">
        <v>32</v>
      </c>
      <c r="D5083" s="3" t="n">
        <v>46263</v>
      </c>
      <c r="E5083" s="2" t="str">
        <f aca="false">TEXT(D5083,"dddd")</f>
        <v>Saturday</v>
      </c>
      <c r="F5083" s="2" t="s">
        <v>457</v>
      </c>
      <c r="G5083" s="2" t="s">
        <v>458</v>
      </c>
      <c r="H5083" s="2" t="s">
        <v>459</v>
      </c>
      <c r="I5083" s="2" t="n">
        <f aca="false">IF(F5083="Present",9,IF(F5083="Half Day",4,0))</f>
        <v>9</v>
      </c>
      <c r="J5083" s="2"/>
      <c r="K5083" s="2"/>
    </row>
    <row r="5084" customFormat="false" ht="15" hidden="false" customHeight="false" outlineLevel="0" collapsed="false">
      <c r="A5084" s="2" t="s">
        <v>375</v>
      </c>
      <c r="B5084" s="2" t="s">
        <v>376</v>
      </c>
      <c r="C5084" s="2" t="s">
        <v>32</v>
      </c>
      <c r="D5084" s="3" t="n">
        <v>46264</v>
      </c>
      <c r="E5084" s="2" t="str">
        <f aca="false">TEXT(D5084,"dddd")</f>
        <v>Sunday</v>
      </c>
      <c r="F5084" s="2" t="s">
        <v>460</v>
      </c>
      <c r="G5084" s="2"/>
      <c r="H5084" s="2"/>
      <c r="I5084" s="2" t="n">
        <f aca="false">IF(F5084="Present",9,IF(F5084="Half Day",4,0))</f>
        <v>0</v>
      </c>
      <c r="J5084" s="2"/>
      <c r="K5084" s="2" t="s">
        <v>460</v>
      </c>
    </row>
    <row r="5085" customFormat="false" ht="15" hidden="false" customHeight="false" outlineLevel="0" collapsed="false">
      <c r="A5085" s="2" t="s">
        <v>375</v>
      </c>
      <c r="B5085" s="2" t="s">
        <v>376</v>
      </c>
      <c r="C5085" s="2" t="s">
        <v>32</v>
      </c>
      <c r="D5085" s="3" t="n">
        <v>46265</v>
      </c>
      <c r="E5085" s="2" t="str">
        <f aca="false">TEXT(D5085,"dddd")</f>
        <v>Monday</v>
      </c>
      <c r="F5085" s="2" t="s">
        <v>457</v>
      </c>
      <c r="G5085" s="2" t="s">
        <v>458</v>
      </c>
      <c r="H5085" s="2" t="s">
        <v>459</v>
      </c>
      <c r="I5085" s="2" t="n">
        <f aca="false">IF(F5085="Present",9,IF(F5085="Half Day",4,0))</f>
        <v>9</v>
      </c>
      <c r="J5085" s="2"/>
      <c r="K5085" s="2"/>
    </row>
    <row r="5086" customFormat="false" ht="15" hidden="false" customHeight="false" outlineLevel="0" collapsed="false">
      <c r="A5086" s="2" t="s">
        <v>377</v>
      </c>
      <c r="B5086" s="2" t="s">
        <v>378</v>
      </c>
      <c r="C5086" s="2" t="s">
        <v>36</v>
      </c>
      <c r="D5086" s="3" t="n">
        <v>46235</v>
      </c>
      <c r="E5086" s="2" t="str">
        <f aca="false">TEXT(D5086,"dddd")</f>
        <v>Saturday</v>
      </c>
      <c r="F5086" s="2" t="s">
        <v>457</v>
      </c>
      <c r="G5086" s="2" t="s">
        <v>458</v>
      </c>
      <c r="H5086" s="2" t="s">
        <v>459</v>
      </c>
      <c r="I5086" s="2" t="n">
        <f aca="false">IF(F5086="Present",9,IF(F5086="Half Day",4,0))</f>
        <v>9</v>
      </c>
      <c r="J5086" s="2"/>
      <c r="K5086" s="2"/>
    </row>
    <row r="5087" customFormat="false" ht="15" hidden="false" customHeight="false" outlineLevel="0" collapsed="false">
      <c r="A5087" s="2" t="s">
        <v>377</v>
      </c>
      <c r="B5087" s="2" t="s">
        <v>378</v>
      </c>
      <c r="C5087" s="2" t="s">
        <v>36</v>
      </c>
      <c r="D5087" s="3" t="n">
        <v>46236</v>
      </c>
      <c r="E5087" s="2" t="str">
        <f aca="false">TEXT(D5087,"dddd")</f>
        <v>Sunday</v>
      </c>
      <c r="F5087" s="2" t="s">
        <v>460</v>
      </c>
      <c r="G5087" s="2"/>
      <c r="H5087" s="2"/>
      <c r="I5087" s="2" t="n">
        <f aca="false">IF(F5087="Present",9,IF(F5087="Half Day",4,0))</f>
        <v>0</v>
      </c>
      <c r="J5087" s="2"/>
      <c r="K5087" s="2" t="s">
        <v>460</v>
      </c>
    </row>
    <row r="5088" customFormat="false" ht="15" hidden="false" customHeight="false" outlineLevel="0" collapsed="false">
      <c r="A5088" s="2" t="s">
        <v>377</v>
      </c>
      <c r="B5088" s="2" t="s">
        <v>378</v>
      </c>
      <c r="C5088" s="2" t="s">
        <v>36</v>
      </c>
      <c r="D5088" s="3" t="n">
        <v>46237</v>
      </c>
      <c r="E5088" s="2" t="str">
        <f aca="false">TEXT(D5088,"dddd")</f>
        <v>Monday</v>
      </c>
      <c r="F5088" s="2" t="s">
        <v>457</v>
      </c>
      <c r="G5088" s="2" t="s">
        <v>458</v>
      </c>
      <c r="H5088" s="2" t="s">
        <v>459</v>
      </c>
      <c r="I5088" s="2" t="n">
        <f aca="false">IF(F5088="Present",9,IF(F5088="Half Day",4,0))</f>
        <v>9</v>
      </c>
      <c r="J5088" s="2"/>
      <c r="K5088" s="2"/>
    </row>
    <row r="5089" customFormat="false" ht="15" hidden="false" customHeight="false" outlineLevel="0" collapsed="false">
      <c r="A5089" s="2" t="s">
        <v>377</v>
      </c>
      <c r="B5089" s="2" t="s">
        <v>378</v>
      </c>
      <c r="C5089" s="2" t="s">
        <v>36</v>
      </c>
      <c r="D5089" s="3" t="n">
        <v>46238</v>
      </c>
      <c r="E5089" s="2" t="str">
        <f aca="false">TEXT(D5089,"dddd")</f>
        <v>Tuesday</v>
      </c>
      <c r="F5089" s="2" t="s">
        <v>457</v>
      </c>
      <c r="G5089" s="2" t="s">
        <v>458</v>
      </c>
      <c r="H5089" s="2" t="s">
        <v>459</v>
      </c>
      <c r="I5089" s="2" t="n">
        <f aca="false">IF(F5089="Present",9,IF(F5089="Half Day",4,0))</f>
        <v>9</v>
      </c>
      <c r="J5089" s="2"/>
      <c r="K5089" s="2"/>
    </row>
    <row r="5090" customFormat="false" ht="15" hidden="false" customHeight="false" outlineLevel="0" collapsed="false">
      <c r="A5090" s="2" t="s">
        <v>377</v>
      </c>
      <c r="B5090" s="2" t="s">
        <v>378</v>
      </c>
      <c r="C5090" s="2" t="s">
        <v>36</v>
      </c>
      <c r="D5090" s="3" t="n">
        <v>46239</v>
      </c>
      <c r="E5090" s="2" t="str">
        <f aca="false">TEXT(D5090,"dddd")</f>
        <v>Wednesday</v>
      </c>
      <c r="F5090" s="2" t="s">
        <v>463</v>
      </c>
      <c r="G5090" s="2"/>
      <c r="H5090" s="2"/>
      <c r="I5090" s="2" t="n">
        <f aca="false">IF(F5090="Present",9,IF(F5090="Half Day",4,0))</f>
        <v>0</v>
      </c>
      <c r="J5090" s="2" t="s">
        <v>470</v>
      </c>
      <c r="K5090" s="2" t="s">
        <v>471</v>
      </c>
    </row>
    <row r="5091" customFormat="false" ht="15" hidden="false" customHeight="false" outlineLevel="0" collapsed="false">
      <c r="A5091" s="2" t="s">
        <v>377</v>
      </c>
      <c r="B5091" s="2" t="s">
        <v>378</v>
      </c>
      <c r="C5091" s="2" t="s">
        <v>36</v>
      </c>
      <c r="D5091" s="3" t="n">
        <v>46240</v>
      </c>
      <c r="E5091" s="2" t="str">
        <f aca="false">TEXT(D5091,"dddd")</f>
        <v>Thursday</v>
      </c>
      <c r="F5091" s="2" t="s">
        <v>457</v>
      </c>
      <c r="G5091" s="2" t="s">
        <v>458</v>
      </c>
      <c r="H5091" s="2" t="s">
        <v>459</v>
      </c>
      <c r="I5091" s="2" t="n">
        <f aca="false">IF(F5091="Present",9,IF(F5091="Half Day",4,0))</f>
        <v>9</v>
      </c>
      <c r="J5091" s="2"/>
      <c r="K5091" s="2"/>
    </row>
    <row r="5092" customFormat="false" ht="15" hidden="false" customHeight="false" outlineLevel="0" collapsed="false">
      <c r="A5092" s="2" t="s">
        <v>377</v>
      </c>
      <c r="B5092" s="2" t="s">
        <v>378</v>
      </c>
      <c r="C5092" s="2" t="s">
        <v>36</v>
      </c>
      <c r="D5092" s="3" t="n">
        <v>46241</v>
      </c>
      <c r="E5092" s="2" t="str">
        <f aca="false">TEXT(D5092,"dddd")</f>
        <v>Friday</v>
      </c>
      <c r="F5092" s="2" t="s">
        <v>457</v>
      </c>
      <c r="G5092" s="2" t="s">
        <v>458</v>
      </c>
      <c r="H5092" s="2" t="s">
        <v>459</v>
      </c>
      <c r="I5092" s="2" t="n">
        <f aca="false">IF(F5092="Present",9,IF(F5092="Half Day",4,0))</f>
        <v>9</v>
      </c>
      <c r="J5092" s="2"/>
      <c r="K5092" s="2"/>
    </row>
    <row r="5093" customFormat="false" ht="15" hidden="false" customHeight="false" outlineLevel="0" collapsed="false">
      <c r="A5093" s="2" t="s">
        <v>377</v>
      </c>
      <c r="B5093" s="2" t="s">
        <v>378</v>
      </c>
      <c r="C5093" s="2" t="s">
        <v>36</v>
      </c>
      <c r="D5093" s="3" t="n">
        <v>46242</v>
      </c>
      <c r="E5093" s="2" t="str">
        <f aca="false">TEXT(D5093,"dddd")</f>
        <v>Saturday</v>
      </c>
      <c r="F5093" s="2" t="s">
        <v>457</v>
      </c>
      <c r="G5093" s="2" t="s">
        <v>458</v>
      </c>
      <c r="H5093" s="2" t="s">
        <v>459</v>
      </c>
      <c r="I5093" s="2" t="n">
        <f aca="false">IF(F5093="Present",9,IF(F5093="Half Day",4,0))</f>
        <v>9</v>
      </c>
      <c r="J5093" s="2"/>
      <c r="K5093" s="2"/>
    </row>
    <row r="5094" customFormat="false" ht="15" hidden="false" customHeight="false" outlineLevel="0" collapsed="false">
      <c r="A5094" s="2" t="s">
        <v>377</v>
      </c>
      <c r="B5094" s="2" t="s">
        <v>378</v>
      </c>
      <c r="C5094" s="2" t="s">
        <v>36</v>
      </c>
      <c r="D5094" s="3" t="n">
        <v>46243</v>
      </c>
      <c r="E5094" s="2" t="str">
        <f aca="false">TEXT(D5094,"dddd")</f>
        <v>Sunday</v>
      </c>
      <c r="F5094" s="2" t="s">
        <v>460</v>
      </c>
      <c r="G5094" s="2"/>
      <c r="H5094" s="2"/>
      <c r="I5094" s="2" t="n">
        <f aca="false">IF(F5094="Present",9,IF(F5094="Half Day",4,0))</f>
        <v>0</v>
      </c>
      <c r="J5094" s="2"/>
      <c r="K5094" s="2" t="s">
        <v>460</v>
      </c>
    </row>
    <row r="5095" customFormat="false" ht="15" hidden="false" customHeight="false" outlineLevel="0" collapsed="false">
      <c r="A5095" s="2" t="s">
        <v>377</v>
      </c>
      <c r="B5095" s="2" t="s">
        <v>378</v>
      </c>
      <c r="C5095" s="2" t="s">
        <v>36</v>
      </c>
      <c r="D5095" s="3" t="n">
        <v>46244</v>
      </c>
      <c r="E5095" s="2" t="str">
        <f aca="false">TEXT(D5095,"dddd")</f>
        <v>Monday</v>
      </c>
      <c r="F5095" s="2" t="s">
        <v>457</v>
      </c>
      <c r="G5095" s="2" t="s">
        <v>458</v>
      </c>
      <c r="H5095" s="2" t="s">
        <v>459</v>
      </c>
      <c r="I5095" s="2" t="n">
        <f aca="false">IF(F5095="Present",9,IF(F5095="Half Day",4,0))</f>
        <v>9</v>
      </c>
      <c r="J5095" s="2"/>
      <c r="K5095" s="2"/>
    </row>
    <row r="5096" customFormat="false" ht="15" hidden="false" customHeight="false" outlineLevel="0" collapsed="false">
      <c r="A5096" s="2" t="s">
        <v>377</v>
      </c>
      <c r="B5096" s="2" t="s">
        <v>378</v>
      </c>
      <c r="C5096" s="2" t="s">
        <v>36</v>
      </c>
      <c r="D5096" s="3" t="n">
        <v>46245</v>
      </c>
      <c r="E5096" s="2" t="str">
        <f aca="false">TEXT(D5096,"dddd")</f>
        <v>Tuesday</v>
      </c>
      <c r="F5096" s="2" t="s">
        <v>461</v>
      </c>
      <c r="G5096" s="2"/>
      <c r="H5096" s="2"/>
      <c r="I5096" s="2" t="n">
        <f aca="false">IF(F5096="Present",9,IF(F5096="Half Day",4,0))</f>
        <v>0</v>
      </c>
      <c r="J5096" s="2"/>
      <c r="K5096" s="2" t="s">
        <v>462</v>
      </c>
    </row>
    <row r="5097" customFormat="false" ht="15" hidden="false" customHeight="false" outlineLevel="0" collapsed="false">
      <c r="A5097" s="2" t="s">
        <v>377</v>
      </c>
      <c r="B5097" s="2" t="s">
        <v>378</v>
      </c>
      <c r="C5097" s="2" t="s">
        <v>36</v>
      </c>
      <c r="D5097" s="3" t="n">
        <v>46246</v>
      </c>
      <c r="E5097" s="2" t="str">
        <f aca="false">TEXT(D5097,"dddd")</f>
        <v>Wednesday</v>
      </c>
      <c r="F5097" s="2" t="s">
        <v>457</v>
      </c>
      <c r="G5097" s="2" t="s">
        <v>458</v>
      </c>
      <c r="H5097" s="2" t="s">
        <v>459</v>
      </c>
      <c r="I5097" s="2" t="n">
        <f aca="false">IF(F5097="Present",9,IF(F5097="Half Day",4,0))</f>
        <v>9</v>
      </c>
      <c r="J5097" s="2"/>
      <c r="K5097" s="2"/>
    </row>
    <row r="5098" customFormat="false" ht="15" hidden="false" customHeight="false" outlineLevel="0" collapsed="false">
      <c r="A5098" s="2" t="s">
        <v>377</v>
      </c>
      <c r="B5098" s="2" t="s">
        <v>378</v>
      </c>
      <c r="C5098" s="2" t="s">
        <v>36</v>
      </c>
      <c r="D5098" s="3" t="n">
        <v>46247</v>
      </c>
      <c r="E5098" s="2" t="str">
        <f aca="false">TEXT(D5098,"dddd")</f>
        <v>Thursday</v>
      </c>
      <c r="F5098" s="2" t="s">
        <v>457</v>
      </c>
      <c r="G5098" s="2" t="s">
        <v>458</v>
      </c>
      <c r="H5098" s="2" t="s">
        <v>459</v>
      </c>
      <c r="I5098" s="2" t="n">
        <f aca="false">IF(F5098="Present",9,IF(F5098="Half Day",4,0))</f>
        <v>9</v>
      </c>
      <c r="J5098" s="2"/>
      <c r="K5098" s="2"/>
    </row>
    <row r="5099" customFormat="false" ht="15" hidden="false" customHeight="false" outlineLevel="0" collapsed="false">
      <c r="A5099" s="2" t="s">
        <v>377</v>
      </c>
      <c r="B5099" s="2" t="s">
        <v>378</v>
      </c>
      <c r="C5099" s="2" t="s">
        <v>36</v>
      </c>
      <c r="D5099" s="3" t="n">
        <v>46248</v>
      </c>
      <c r="E5099" s="2" t="str">
        <f aca="false">TEXT(D5099,"dddd")</f>
        <v>Friday</v>
      </c>
      <c r="F5099" s="2" t="s">
        <v>457</v>
      </c>
      <c r="G5099" s="2" t="s">
        <v>458</v>
      </c>
      <c r="H5099" s="2" t="s">
        <v>459</v>
      </c>
      <c r="I5099" s="2" t="n">
        <f aca="false">IF(F5099="Present",9,IF(F5099="Half Day",4,0))</f>
        <v>9</v>
      </c>
      <c r="J5099" s="2"/>
      <c r="K5099" s="2"/>
    </row>
    <row r="5100" customFormat="false" ht="15" hidden="false" customHeight="false" outlineLevel="0" collapsed="false">
      <c r="A5100" s="2" t="s">
        <v>377</v>
      </c>
      <c r="B5100" s="2" t="s">
        <v>378</v>
      </c>
      <c r="C5100" s="2" t="s">
        <v>36</v>
      </c>
      <c r="D5100" s="3" t="n">
        <v>46249</v>
      </c>
      <c r="E5100" s="2" t="str">
        <f aca="false">TEXT(D5100,"dddd")</f>
        <v>Saturday</v>
      </c>
      <c r="F5100" s="2" t="s">
        <v>457</v>
      </c>
      <c r="G5100" s="2" t="s">
        <v>458</v>
      </c>
      <c r="H5100" s="2" t="s">
        <v>459</v>
      </c>
      <c r="I5100" s="2" t="n">
        <f aca="false">IF(F5100="Present",9,IF(F5100="Half Day",4,0))</f>
        <v>9</v>
      </c>
      <c r="J5100" s="2"/>
      <c r="K5100" s="2"/>
    </row>
    <row r="5101" customFormat="false" ht="15" hidden="false" customHeight="false" outlineLevel="0" collapsed="false">
      <c r="A5101" s="2" t="s">
        <v>377</v>
      </c>
      <c r="B5101" s="2" t="s">
        <v>378</v>
      </c>
      <c r="C5101" s="2" t="s">
        <v>36</v>
      </c>
      <c r="D5101" s="3" t="n">
        <v>46250</v>
      </c>
      <c r="E5101" s="2" t="str">
        <f aca="false">TEXT(D5101,"dddd")</f>
        <v>Sunday</v>
      </c>
      <c r="F5101" s="2" t="s">
        <v>460</v>
      </c>
      <c r="G5101" s="2"/>
      <c r="H5101" s="2"/>
      <c r="I5101" s="2" t="n">
        <f aca="false">IF(F5101="Present",9,IF(F5101="Half Day",4,0))</f>
        <v>0</v>
      </c>
      <c r="J5101" s="2"/>
      <c r="K5101" s="2" t="s">
        <v>460</v>
      </c>
    </row>
    <row r="5102" customFormat="false" ht="15" hidden="false" customHeight="false" outlineLevel="0" collapsed="false">
      <c r="A5102" s="2" t="s">
        <v>377</v>
      </c>
      <c r="B5102" s="2" t="s">
        <v>378</v>
      </c>
      <c r="C5102" s="2" t="s">
        <v>36</v>
      </c>
      <c r="D5102" s="3" t="n">
        <v>46251</v>
      </c>
      <c r="E5102" s="2" t="str">
        <f aca="false">TEXT(D5102,"dddd")</f>
        <v>Monday</v>
      </c>
      <c r="F5102" s="2" t="s">
        <v>461</v>
      </c>
      <c r="G5102" s="2"/>
      <c r="H5102" s="2"/>
      <c r="I5102" s="2" t="n">
        <f aca="false">IF(F5102="Present",9,IF(F5102="Half Day",4,0))</f>
        <v>0</v>
      </c>
      <c r="J5102" s="2"/>
      <c r="K5102" s="2" t="s">
        <v>462</v>
      </c>
    </row>
    <row r="5103" customFormat="false" ht="15" hidden="false" customHeight="false" outlineLevel="0" collapsed="false">
      <c r="A5103" s="2" t="s">
        <v>377</v>
      </c>
      <c r="B5103" s="2" t="s">
        <v>378</v>
      </c>
      <c r="C5103" s="2" t="s">
        <v>36</v>
      </c>
      <c r="D5103" s="3" t="n">
        <v>46252</v>
      </c>
      <c r="E5103" s="2" t="str">
        <f aca="false">TEXT(D5103,"dddd")</f>
        <v>Tuesday</v>
      </c>
      <c r="F5103" s="2" t="s">
        <v>457</v>
      </c>
      <c r="G5103" s="2" t="s">
        <v>458</v>
      </c>
      <c r="H5103" s="2" t="s">
        <v>459</v>
      </c>
      <c r="I5103" s="2" t="n">
        <f aca="false">IF(F5103="Present",9,IF(F5103="Half Day",4,0))</f>
        <v>9</v>
      </c>
      <c r="J5103" s="2"/>
      <c r="K5103" s="2"/>
    </row>
    <row r="5104" customFormat="false" ht="15" hidden="false" customHeight="false" outlineLevel="0" collapsed="false">
      <c r="A5104" s="2" t="s">
        <v>377</v>
      </c>
      <c r="B5104" s="2" t="s">
        <v>378</v>
      </c>
      <c r="C5104" s="2" t="s">
        <v>36</v>
      </c>
      <c r="D5104" s="3" t="n">
        <v>46253</v>
      </c>
      <c r="E5104" s="2" t="str">
        <f aca="false">TEXT(D5104,"dddd")</f>
        <v>Wednesday</v>
      </c>
      <c r="F5104" s="2" t="s">
        <v>457</v>
      </c>
      <c r="G5104" s="2" t="s">
        <v>458</v>
      </c>
      <c r="H5104" s="2" t="s">
        <v>459</v>
      </c>
      <c r="I5104" s="2" t="n">
        <f aca="false">IF(F5104="Present",9,IF(F5104="Half Day",4,0))</f>
        <v>9</v>
      </c>
      <c r="J5104" s="2"/>
      <c r="K5104" s="2"/>
    </row>
    <row r="5105" customFormat="false" ht="15" hidden="false" customHeight="false" outlineLevel="0" collapsed="false">
      <c r="A5105" s="2" t="s">
        <v>377</v>
      </c>
      <c r="B5105" s="2" t="s">
        <v>378</v>
      </c>
      <c r="C5105" s="2" t="s">
        <v>36</v>
      </c>
      <c r="D5105" s="3" t="n">
        <v>46254</v>
      </c>
      <c r="E5105" s="2" t="str">
        <f aca="false">TEXT(D5105,"dddd")</f>
        <v>Thursday</v>
      </c>
      <c r="F5105" s="2" t="s">
        <v>457</v>
      </c>
      <c r="G5105" s="2" t="s">
        <v>458</v>
      </c>
      <c r="H5105" s="2" t="s">
        <v>459</v>
      </c>
      <c r="I5105" s="2" t="n">
        <f aca="false">IF(F5105="Present",9,IF(F5105="Half Day",4,0))</f>
        <v>9</v>
      </c>
      <c r="J5105" s="2"/>
      <c r="K5105" s="2"/>
    </row>
    <row r="5106" customFormat="false" ht="15" hidden="false" customHeight="false" outlineLevel="0" collapsed="false">
      <c r="A5106" s="2" t="s">
        <v>377</v>
      </c>
      <c r="B5106" s="2" t="s">
        <v>378</v>
      </c>
      <c r="C5106" s="2" t="s">
        <v>36</v>
      </c>
      <c r="D5106" s="3" t="n">
        <v>46255</v>
      </c>
      <c r="E5106" s="2" t="str">
        <f aca="false">TEXT(D5106,"dddd")</f>
        <v>Friday</v>
      </c>
      <c r="F5106" s="2" t="s">
        <v>457</v>
      </c>
      <c r="G5106" s="2" t="s">
        <v>458</v>
      </c>
      <c r="H5106" s="2" t="s">
        <v>459</v>
      </c>
      <c r="I5106" s="2" t="n">
        <f aca="false">IF(F5106="Present",9,IF(F5106="Half Day",4,0))</f>
        <v>9</v>
      </c>
      <c r="J5106" s="2"/>
      <c r="K5106" s="2"/>
    </row>
    <row r="5107" customFormat="false" ht="15" hidden="false" customHeight="false" outlineLevel="0" collapsed="false">
      <c r="A5107" s="2" t="s">
        <v>377</v>
      </c>
      <c r="B5107" s="2" t="s">
        <v>378</v>
      </c>
      <c r="C5107" s="2" t="s">
        <v>36</v>
      </c>
      <c r="D5107" s="3" t="n">
        <v>46256</v>
      </c>
      <c r="E5107" s="2" t="str">
        <f aca="false">TEXT(D5107,"dddd")</f>
        <v>Saturday</v>
      </c>
      <c r="F5107" s="2" t="s">
        <v>457</v>
      </c>
      <c r="G5107" s="2" t="s">
        <v>458</v>
      </c>
      <c r="H5107" s="2" t="s">
        <v>459</v>
      </c>
      <c r="I5107" s="2" t="n">
        <f aca="false">IF(F5107="Present",9,IF(F5107="Half Day",4,0))</f>
        <v>9</v>
      </c>
      <c r="J5107" s="2"/>
      <c r="K5107" s="2"/>
    </row>
    <row r="5108" customFormat="false" ht="15" hidden="false" customHeight="false" outlineLevel="0" collapsed="false">
      <c r="A5108" s="2" t="s">
        <v>377</v>
      </c>
      <c r="B5108" s="2" t="s">
        <v>378</v>
      </c>
      <c r="C5108" s="2" t="s">
        <v>36</v>
      </c>
      <c r="D5108" s="3" t="n">
        <v>46257</v>
      </c>
      <c r="E5108" s="2" t="str">
        <f aca="false">TEXT(D5108,"dddd")</f>
        <v>Sunday</v>
      </c>
      <c r="F5108" s="2" t="s">
        <v>460</v>
      </c>
      <c r="G5108" s="2"/>
      <c r="H5108" s="2"/>
      <c r="I5108" s="2" t="n">
        <f aca="false">IF(F5108="Present",9,IF(F5108="Half Day",4,0))</f>
        <v>0</v>
      </c>
      <c r="J5108" s="2"/>
      <c r="K5108" s="2" t="s">
        <v>460</v>
      </c>
    </row>
    <row r="5109" customFormat="false" ht="15" hidden="false" customHeight="false" outlineLevel="0" collapsed="false">
      <c r="A5109" s="2" t="s">
        <v>377</v>
      </c>
      <c r="B5109" s="2" t="s">
        <v>378</v>
      </c>
      <c r="C5109" s="2" t="s">
        <v>36</v>
      </c>
      <c r="D5109" s="3" t="n">
        <v>46258</v>
      </c>
      <c r="E5109" s="2" t="str">
        <f aca="false">TEXT(D5109,"dddd")</f>
        <v>Monday</v>
      </c>
      <c r="F5109" s="2" t="s">
        <v>457</v>
      </c>
      <c r="G5109" s="2" t="s">
        <v>458</v>
      </c>
      <c r="H5109" s="2" t="s">
        <v>459</v>
      </c>
      <c r="I5109" s="2" t="n">
        <f aca="false">IF(F5109="Present",9,IF(F5109="Half Day",4,0))</f>
        <v>9</v>
      </c>
      <c r="J5109" s="2"/>
      <c r="K5109" s="2"/>
    </row>
    <row r="5110" customFormat="false" ht="15" hidden="false" customHeight="false" outlineLevel="0" collapsed="false">
      <c r="A5110" s="2" t="s">
        <v>377</v>
      </c>
      <c r="B5110" s="2" t="s">
        <v>378</v>
      </c>
      <c r="C5110" s="2" t="s">
        <v>36</v>
      </c>
      <c r="D5110" s="3" t="n">
        <v>46259</v>
      </c>
      <c r="E5110" s="2" t="str">
        <f aca="false">TEXT(D5110,"dddd")</f>
        <v>Tuesday</v>
      </c>
      <c r="F5110" s="2" t="s">
        <v>457</v>
      </c>
      <c r="G5110" s="2" t="s">
        <v>458</v>
      </c>
      <c r="H5110" s="2" t="s">
        <v>459</v>
      </c>
      <c r="I5110" s="2" t="n">
        <f aca="false">IF(F5110="Present",9,IF(F5110="Half Day",4,0))</f>
        <v>9</v>
      </c>
      <c r="J5110" s="2"/>
      <c r="K5110" s="2"/>
    </row>
    <row r="5111" customFormat="false" ht="15" hidden="false" customHeight="false" outlineLevel="0" collapsed="false">
      <c r="A5111" s="2" t="s">
        <v>377</v>
      </c>
      <c r="B5111" s="2" t="s">
        <v>378</v>
      </c>
      <c r="C5111" s="2" t="s">
        <v>36</v>
      </c>
      <c r="D5111" s="3" t="n">
        <v>46260</v>
      </c>
      <c r="E5111" s="2" t="str">
        <f aca="false">TEXT(D5111,"dddd")</f>
        <v>Wednesday</v>
      </c>
      <c r="F5111" s="2" t="s">
        <v>457</v>
      </c>
      <c r="G5111" s="2" t="s">
        <v>458</v>
      </c>
      <c r="H5111" s="2" t="s">
        <v>459</v>
      </c>
      <c r="I5111" s="2" t="n">
        <f aca="false">IF(F5111="Present",9,IF(F5111="Half Day",4,0))</f>
        <v>9</v>
      </c>
      <c r="J5111" s="2"/>
      <c r="K5111" s="2"/>
    </row>
    <row r="5112" customFormat="false" ht="15" hidden="false" customHeight="false" outlineLevel="0" collapsed="false">
      <c r="A5112" s="2" t="s">
        <v>377</v>
      </c>
      <c r="B5112" s="2" t="s">
        <v>378</v>
      </c>
      <c r="C5112" s="2" t="s">
        <v>36</v>
      </c>
      <c r="D5112" s="3" t="n">
        <v>46261</v>
      </c>
      <c r="E5112" s="2" t="str">
        <f aca="false">TEXT(D5112,"dddd")</f>
        <v>Thursday</v>
      </c>
      <c r="F5112" s="2" t="s">
        <v>457</v>
      </c>
      <c r="G5112" s="2" t="s">
        <v>458</v>
      </c>
      <c r="H5112" s="2" t="s">
        <v>459</v>
      </c>
      <c r="I5112" s="2" t="n">
        <f aca="false">IF(F5112="Present",9,IF(F5112="Half Day",4,0))</f>
        <v>9</v>
      </c>
      <c r="J5112" s="2"/>
      <c r="K5112" s="2"/>
    </row>
    <row r="5113" customFormat="false" ht="15" hidden="false" customHeight="false" outlineLevel="0" collapsed="false">
      <c r="A5113" s="2" t="s">
        <v>377</v>
      </c>
      <c r="B5113" s="2" t="s">
        <v>378</v>
      </c>
      <c r="C5113" s="2" t="s">
        <v>36</v>
      </c>
      <c r="D5113" s="3" t="n">
        <v>46262</v>
      </c>
      <c r="E5113" s="2" t="str">
        <f aca="false">TEXT(D5113,"dddd")</f>
        <v>Friday</v>
      </c>
      <c r="F5113" s="2" t="s">
        <v>457</v>
      </c>
      <c r="G5113" s="2" t="s">
        <v>458</v>
      </c>
      <c r="H5113" s="2" t="s">
        <v>459</v>
      </c>
      <c r="I5113" s="2" t="n">
        <f aca="false">IF(F5113="Present",9,IF(F5113="Half Day",4,0))</f>
        <v>9</v>
      </c>
      <c r="J5113" s="2"/>
      <c r="K5113" s="2"/>
    </row>
    <row r="5114" customFormat="false" ht="15" hidden="false" customHeight="false" outlineLevel="0" collapsed="false">
      <c r="A5114" s="2" t="s">
        <v>377</v>
      </c>
      <c r="B5114" s="2" t="s">
        <v>378</v>
      </c>
      <c r="C5114" s="2" t="s">
        <v>36</v>
      </c>
      <c r="D5114" s="3" t="n">
        <v>46263</v>
      </c>
      <c r="E5114" s="2" t="str">
        <f aca="false">TEXT(D5114,"dddd")</f>
        <v>Saturday</v>
      </c>
      <c r="F5114" s="2" t="s">
        <v>457</v>
      </c>
      <c r="G5114" s="2" t="s">
        <v>458</v>
      </c>
      <c r="H5114" s="2" t="s">
        <v>459</v>
      </c>
      <c r="I5114" s="2" t="n">
        <f aca="false">IF(F5114="Present",9,IF(F5114="Half Day",4,0))</f>
        <v>9</v>
      </c>
      <c r="J5114" s="2"/>
      <c r="K5114" s="2"/>
    </row>
    <row r="5115" customFormat="false" ht="15" hidden="false" customHeight="false" outlineLevel="0" collapsed="false">
      <c r="A5115" s="2" t="s">
        <v>377</v>
      </c>
      <c r="B5115" s="2" t="s">
        <v>378</v>
      </c>
      <c r="C5115" s="2" t="s">
        <v>36</v>
      </c>
      <c r="D5115" s="3" t="n">
        <v>46264</v>
      </c>
      <c r="E5115" s="2" t="str">
        <f aca="false">TEXT(D5115,"dddd")</f>
        <v>Sunday</v>
      </c>
      <c r="F5115" s="2" t="s">
        <v>460</v>
      </c>
      <c r="G5115" s="2"/>
      <c r="H5115" s="2"/>
      <c r="I5115" s="2" t="n">
        <f aca="false">IF(F5115="Present",9,IF(F5115="Half Day",4,0))</f>
        <v>0</v>
      </c>
      <c r="J5115" s="2"/>
      <c r="K5115" s="2" t="s">
        <v>460</v>
      </c>
    </row>
    <row r="5116" customFormat="false" ht="15" hidden="false" customHeight="false" outlineLevel="0" collapsed="false">
      <c r="A5116" s="2" t="s">
        <v>377</v>
      </c>
      <c r="B5116" s="2" t="s">
        <v>378</v>
      </c>
      <c r="C5116" s="2" t="s">
        <v>36</v>
      </c>
      <c r="D5116" s="3" t="n">
        <v>46265</v>
      </c>
      <c r="E5116" s="2" t="str">
        <f aca="false">TEXT(D5116,"dddd")</f>
        <v>Monday</v>
      </c>
      <c r="F5116" s="2" t="s">
        <v>457</v>
      </c>
      <c r="G5116" s="2" t="s">
        <v>458</v>
      </c>
      <c r="H5116" s="2" t="s">
        <v>459</v>
      </c>
      <c r="I5116" s="2" t="n">
        <f aca="false">IF(F5116="Present",9,IF(F5116="Half Day",4,0))</f>
        <v>9</v>
      </c>
      <c r="J5116" s="2"/>
      <c r="K5116" s="2"/>
    </row>
    <row r="5117" customFormat="false" ht="15" hidden="false" customHeight="false" outlineLevel="0" collapsed="false">
      <c r="A5117" s="2" t="s">
        <v>379</v>
      </c>
      <c r="B5117" s="2" t="s">
        <v>380</v>
      </c>
      <c r="C5117" s="2" t="s">
        <v>41</v>
      </c>
      <c r="D5117" s="3" t="n">
        <v>46235</v>
      </c>
      <c r="E5117" s="2" t="str">
        <f aca="false">TEXT(D5117,"dddd")</f>
        <v>Saturday</v>
      </c>
      <c r="F5117" s="2" t="s">
        <v>457</v>
      </c>
      <c r="G5117" s="2" t="s">
        <v>458</v>
      </c>
      <c r="H5117" s="2" t="s">
        <v>459</v>
      </c>
      <c r="I5117" s="2" t="n">
        <f aca="false">IF(F5117="Present",9,IF(F5117="Half Day",4,0))</f>
        <v>9</v>
      </c>
      <c r="J5117" s="2"/>
      <c r="K5117" s="2"/>
    </row>
    <row r="5118" customFormat="false" ht="15" hidden="false" customHeight="false" outlineLevel="0" collapsed="false">
      <c r="A5118" s="2" t="s">
        <v>379</v>
      </c>
      <c r="B5118" s="2" t="s">
        <v>380</v>
      </c>
      <c r="C5118" s="2" t="s">
        <v>41</v>
      </c>
      <c r="D5118" s="3" t="n">
        <v>46236</v>
      </c>
      <c r="E5118" s="2" t="str">
        <f aca="false">TEXT(D5118,"dddd")</f>
        <v>Sunday</v>
      </c>
      <c r="F5118" s="2" t="s">
        <v>460</v>
      </c>
      <c r="G5118" s="2"/>
      <c r="H5118" s="2"/>
      <c r="I5118" s="2" t="n">
        <f aca="false">IF(F5118="Present",9,IF(F5118="Half Day",4,0))</f>
        <v>0</v>
      </c>
      <c r="J5118" s="2"/>
      <c r="K5118" s="2" t="s">
        <v>460</v>
      </c>
    </row>
    <row r="5119" customFormat="false" ht="15" hidden="false" customHeight="false" outlineLevel="0" collapsed="false">
      <c r="A5119" s="2" t="s">
        <v>379</v>
      </c>
      <c r="B5119" s="2" t="s">
        <v>380</v>
      </c>
      <c r="C5119" s="2" t="s">
        <v>41</v>
      </c>
      <c r="D5119" s="3" t="n">
        <v>46237</v>
      </c>
      <c r="E5119" s="2" t="str">
        <f aca="false">TEXT(D5119,"dddd")</f>
        <v>Monday</v>
      </c>
      <c r="F5119" s="2" t="s">
        <v>457</v>
      </c>
      <c r="G5119" s="2" t="s">
        <v>458</v>
      </c>
      <c r="H5119" s="2" t="s">
        <v>459</v>
      </c>
      <c r="I5119" s="2" t="n">
        <f aca="false">IF(F5119="Present",9,IF(F5119="Half Day",4,0))</f>
        <v>9</v>
      </c>
      <c r="J5119" s="2"/>
      <c r="K5119" s="2"/>
    </row>
    <row r="5120" customFormat="false" ht="15" hidden="false" customHeight="false" outlineLevel="0" collapsed="false">
      <c r="A5120" s="2" t="s">
        <v>379</v>
      </c>
      <c r="B5120" s="2" t="s">
        <v>380</v>
      </c>
      <c r="C5120" s="2" t="s">
        <v>41</v>
      </c>
      <c r="D5120" s="3" t="n">
        <v>46238</v>
      </c>
      <c r="E5120" s="2" t="str">
        <f aca="false">TEXT(D5120,"dddd")</f>
        <v>Tuesday</v>
      </c>
      <c r="F5120" s="2" t="s">
        <v>457</v>
      </c>
      <c r="G5120" s="2" t="s">
        <v>458</v>
      </c>
      <c r="H5120" s="2" t="s">
        <v>459</v>
      </c>
      <c r="I5120" s="2" t="n">
        <f aca="false">IF(F5120="Present",9,IF(F5120="Half Day",4,0))</f>
        <v>9</v>
      </c>
      <c r="J5120" s="2"/>
      <c r="K5120" s="2"/>
    </row>
    <row r="5121" customFormat="false" ht="15" hidden="false" customHeight="false" outlineLevel="0" collapsed="false">
      <c r="A5121" s="2" t="s">
        <v>379</v>
      </c>
      <c r="B5121" s="2" t="s">
        <v>380</v>
      </c>
      <c r="C5121" s="2" t="s">
        <v>41</v>
      </c>
      <c r="D5121" s="3" t="n">
        <v>46239</v>
      </c>
      <c r="E5121" s="2" t="str">
        <f aca="false">TEXT(D5121,"dddd")</f>
        <v>Wednesday</v>
      </c>
      <c r="F5121" s="2" t="s">
        <v>461</v>
      </c>
      <c r="G5121" s="2"/>
      <c r="H5121" s="2"/>
      <c r="I5121" s="2" t="n">
        <f aca="false">IF(F5121="Present",9,IF(F5121="Half Day",4,0))</f>
        <v>0</v>
      </c>
      <c r="J5121" s="2"/>
      <c r="K5121" s="2" t="s">
        <v>462</v>
      </c>
    </row>
    <row r="5122" customFormat="false" ht="15" hidden="false" customHeight="false" outlineLevel="0" collapsed="false">
      <c r="A5122" s="2" t="s">
        <v>379</v>
      </c>
      <c r="B5122" s="2" t="s">
        <v>380</v>
      </c>
      <c r="C5122" s="2" t="s">
        <v>41</v>
      </c>
      <c r="D5122" s="3" t="n">
        <v>46240</v>
      </c>
      <c r="E5122" s="2" t="str">
        <f aca="false">TEXT(D5122,"dddd")</f>
        <v>Thursday</v>
      </c>
      <c r="F5122" s="2" t="s">
        <v>457</v>
      </c>
      <c r="G5122" s="2" t="s">
        <v>458</v>
      </c>
      <c r="H5122" s="2" t="s">
        <v>459</v>
      </c>
      <c r="I5122" s="2" t="n">
        <f aca="false">IF(F5122="Present",9,IF(F5122="Half Day",4,0))</f>
        <v>9</v>
      </c>
      <c r="J5122" s="2"/>
      <c r="K5122" s="2"/>
    </row>
    <row r="5123" customFormat="false" ht="15" hidden="false" customHeight="false" outlineLevel="0" collapsed="false">
      <c r="A5123" s="2" t="s">
        <v>379</v>
      </c>
      <c r="B5123" s="2" t="s">
        <v>380</v>
      </c>
      <c r="C5123" s="2" t="s">
        <v>41</v>
      </c>
      <c r="D5123" s="3" t="n">
        <v>46241</v>
      </c>
      <c r="E5123" s="2" t="str">
        <f aca="false">TEXT(D5123,"dddd")</f>
        <v>Friday</v>
      </c>
      <c r="F5123" s="2" t="s">
        <v>457</v>
      </c>
      <c r="G5123" s="2" t="s">
        <v>458</v>
      </c>
      <c r="H5123" s="2" t="s">
        <v>459</v>
      </c>
      <c r="I5123" s="2" t="n">
        <f aca="false">IF(F5123="Present",9,IF(F5123="Half Day",4,0))</f>
        <v>9</v>
      </c>
      <c r="J5123" s="2"/>
      <c r="K5123" s="2"/>
    </row>
    <row r="5124" customFormat="false" ht="15" hidden="false" customHeight="false" outlineLevel="0" collapsed="false">
      <c r="A5124" s="2" t="s">
        <v>379</v>
      </c>
      <c r="B5124" s="2" t="s">
        <v>380</v>
      </c>
      <c r="C5124" s="2" t="s">
        <v>41</v>
      </c>
      <c r="D5124" s="3" t="n">
        <v>46242</v>
      </c>
      <c r="E5124" s="2" t="str">
        <f aca="false">TEXT(D5124,"dddd")</f>
        <v>Saturday</v>
      </c>
      <c r="F5124" s="2" t="s">
        <v>463</v>
      </c>
      <c r="G5124" s="2"/>
      <c r="H5124" s="2"/>
      <c r="I5124" s="2" t="n">
        <f aca="false">IF(F5124="Present",9,IF(F5124="Half Day",4,0))</f>
        <v>0</v>
      </c>
      <c r="J5124" s="2" t="s">
        <v>470</v>
      </c>
      <c r="K5124" s="2" t="s">
        <v>471</v>
      </c>
    </row>
    <row r="5125" customFormat="false" ht="15" hidden="false" customHeight="false" outlineLevel="0" collapsed="false">
      <c r="A5125" s="2" t="s">
        <v>379</v>
      </c>
      <c r="B5125" s="2" t="s">
        <v>380</v>
      </c>
      <c r="C5125" s="2" t="s">
        <v>41</v>
      </c>
      <c r="D5125" s="3" t="n">
        <v>46243</v>
      </c>
      <c r="E5125" s="2" t="str">
        <f aca="false">TEXT(D5125,"dddd")</f>
        <v>Sunday</v>
      </c>
      <c r="F5125" s="2" t="s">
        <v>460</v>
      </c>
      <c r="G5125" s="2"/>
      <c r="H5125" s="2"/>
      <c r="I5125" s="2" t="n">
        <f aca="false">IF(F5125="Present",9,IF(F5125="Half Day",4,0))</f>
        <v>0</v>
      </c>
      <c r="J5125" s="2"/>
      <c r="K5125" s="2" t="s">
        <v>460</v>
      </c>
    </row>
    <row r="5126" customFormat="false" ht="15" hidden="false" customHeight="false" outlineLevel="0" collapsed="false">
      <c r="A5126" s="2" t="s">
        <v>379</v>
      </c>
      <c r="B5126" s="2" t="s">
        <v>380</v>
      </c>
      <c r="C5126" s="2" t="s">
        <v>41</v>
      </c>
      <c r="D5126" s="3" t="n">
        <v>46244</v>
      </c>
      <c r="E5126" s="2" t="str">
        <f aca="false">TEXT(D5126,"dddd")</f>
        <v>Monday</v>
      </c>
      <c r="F5126" s="2" t="s">
        <v>457</v>
      </c>
      <c r="G5126" s="2" t="s">
        <v>458</v>
      </c>
      <c r="H5126" s="2" t="s">
        <v>459</v>
      </c>
      <c r="I5126" s="2" t="n">
        <f aca="false">IF(F5126="Present",9,IF(F5126="Half Day",4,0))</f>
        <v>9</v>
      </c>
      <c r="J5126" s="2"/>
      <c r="K5126" s="2"/>
    </row>
    <row r="5127" customFormat="false" ht="15" hidden="false" customHeight="false" outlineLevel="0" collapsed="false">
      <c r="A5127" s="2" t="s">
        <v>379</v>
      </c>
      <c r="B5127" s="2" t="s">
        <v>380</v>
      </c>
      <c r="C5127" s="2" t="s">
        <v>41</v>
      </c>
      <c r="D5127" s="3" t="n">
        <v>46245</v>
      </c>
      <c r="E5127" s="2" t="str">
        <f aca="false">TEXT(D5127,"dddd")</f>
        <v>Tuesday</v>
      </c>
      <c r="F5127" s="2" t="s">
        <v>457</v>
      </c>
      <c r="G5127" s="2" t="s">
        <v>458</v>
      </c>
      <c r="H5127" s="2" t="s">
        <v>459</v>
      </c>
      <c r="I5127" s="2" t="n">
        <f aca="false">IF(F5127="Present",9,IF(F5127="Half Day",4,0))</f>
        <v>9</v>
      </c>
      <c r="J5127" s="2"/>
      <c r="K5127" s="2"/>
    </row>
    <row r="5128" customFormat="false" ht="15" hidden="false" customHeight="false" outlineLevel="0" collapsed="false">
      <c r="A5128" s="2" t="s">
        <v>379</v>
      </c>
      <c r="B5128" s="2" t="s">
        <v>380</v>
      </c>
      <c r="C5128" s="2" t="s">
        <v>41</v>
      </c>
      <c r="D5128" s="3" t="n">
        <v>46246</v>
      </c>
      <c r="E5128" s="2" t="str">
        <f aca="false">TEXT(D5128,"dddd")</f>
        <v>Wednesday</v>
      </c>
      <c r="F5128" s="2" t="s">
        <v>457</v>
      </c>
      <c r="G5128" s="2" t="s">
        <v>458</v>
      </c>
      <c r="H5128" s="2" t="s">
        <v>459</v>
      </c>
      <c r="I5128" s="2" t="n">
        <f aca="false">IF(F5128="Present",9,IF(F5128="Half Day",4,0))</f>
        <v>9</v>
      </c>
      <c r="J5128" s="2"/>
      <c r="K5128" s="2"/>
    </row>
    <row r="5129" customFormat="false" ht="15" hidden="false" customHeight="false" outlineLevel="0" collapsed="false">
      <c r="A5129" s="2" t="s">
        <v>379</v>
      </c>
      <c r="B5129" s="2" t="s">
        <v>380</v>
      </c>
      <c r="C5129" s="2" t="s">
        <v>41</v>
      </c>
      <c r="D5129" s="3" t="n">
        <v>46247</v>
      </c>
      <c r="E5129" s="2" t="str">
        <f aca="false">TEXT(D5129,"dddd")</f>
        <v>Thursday</v>
      </c>
      <c r="F5129" s="2" t="s">
        <v>461</v>
      </c>
      <c r="G5129" s="2"/>
      <c r="H5129" s="2"/>
      <c r="I5129" s="2" t="n">
        <f aca="false">IF(F5129="Present",9,IF(F5129="Half Day",4,0))</f>
        <v>0</v>
      </c>
      <c r="J5129" s="2"/>
      <c r="K5129" s="2" t="s">
        <v>462</v>
      </c>
    </row>
    <row r="5130" customFormat="false" ht="15" hidden="false" customHeight="false" outlineLevel="0" collapsed="false">
      <c r="A5130" s="2" t="s">
        <v>379</v>
      </c>
      <c r="B5130" s="2" t="s">
        <v>380</v>
      </c>
      <c r="C5130" s="2" t="s">
        <v>41</v>
      </c>
      <c r="D5130" s="3" t="n">
        <v>46248</v>
      </c>
      <c r="E5130" s="2" t="str">
        <f aca="false">TEXT(D5130,"dddd")</f>
        <v>Friday</v>
      </c>
      <c r="F5130" s="2" t="s">
        <v>457</v>
      </c>
      <c r="G5130" s="2" t="s">
        <v>458</v>
      </c>
      <c r="H5130" s="2" t="s">
        <v>459</v>
      </c>
      <c r="I5130" s="2" t="n">
        <f aca="false">IF(F5130="Present",9,IF(F5130="Half Day",4,0))</f>
        <v>9</v>
      </c>
      <c r="J5130" s="2"/>
      <c r="K5130" s="2"/>
    </row>
    <row r="5131" customFormat="false" ht="15" hidden="false" customHeight="false" outlineLevel="0" collapsed="false">
      <c r="A5131" s="2" t="s">
        <v>379</v>
      </c>
      <c r="B5131" s="2" t="s">
        <v>380</v>
      </c>
      <c r="C5131" s="2" t="s">
        <v>41</v>
      </c>
      <c r="D5131" s="3" t="n">
        <v>46249</v>
      </c>
      <c r="E5131" s="2" t="str">
        <f aca="false">TEXT(D5131,"dddd")</f>
        <v>Saturday</v>
      </c>
      <c r="F5131" s="2" t="s">
        <v>457</v>
      </c>
      <c r="G5131" s="2" t="s">
        <v>458</v>
      </c>
      <c r="H5131" s="2" t="s">
        <v>459</v>
      </c>
      <c r="I5131" s="2" t="n">
        <f aca="false">IF(F5131="Present",9,IF(F5131="Half Day",4,0))</f>
        <v>9</v>
      </c>
      <c r="J5131" s="2"/>
      <c r="K5131" s="2"/>
    </row>
    <row r="5132" customFormat="false" ht="15" hidden="false" customHeight="false" outlineLevel="0" collapsed="false">
      <c r="A5132" s="2" t="s">
        <v>379</v>
      </c>
      <c r="B5132" s="2" t="s">
        <v>380</v>
      </c>
      <c r="C5132" s="2" t="s">
        <v>41</v>
      </c>
      <c r="D5132" s="3" t="n">
        <v>46250</v>
      </c>
      <c r="E5132" s="2" t="str">
        <f aca="false">TEXT(D5132,"dddd")</f>
        <v>Sunday</v>
      </c>
      <c r="F5132" s="2" t="s">
        <v>460</v>
      </c>
      <c r="G5132" s="2"/>
      <c r="H5132" s="2"/>
      <c r="I5132" s="2" t="n">
        <f aca="false">IF(F5132="Present",9,IF(F5132="Half Day",4,0))</f>
        <v>0</v>
      </c>
      <c r="J5132" s="2"/>
      <c r="K5132" s="2" t="s">
        <v>460</v>
      </c>
    </row>
    <row r="5133" customFormat="false" ht="15" hidden="false" customHeight="false" outlineLevel="0" collapsed="false">
      <c r="A5133" s="2" t="s">
        <v>379</v>
      </c>
      <c r="B5133" s="2" t="s">
        <v>380</v>
      </c>
      <c r="C5133" s="2" t="s">
        <v>41</v>
      </c>
      <c r="D5133" s="3" t="n">
        <v>46251</v>
      </c>
      <c r="E5133" s="2" t="str">
        <f aca="false">TEXT(D5133,"dddd")</f>
        <v>Monday</v>
      </c>
      <c r="F5133" s="2" t="s">
        <v>457</v>
      </c>
      <c r="G5133" s="2" t="s">
        <v>458</v>
      </c>
      <c r="H5133" s="2" t="s">
        <v>459</v>
      </c>
      <c r="I5133" s="2" t="n">
        <f aca="false">IF(F5133="Present",9,IF(F5133="Half Day",4,0))</f>
        <v>9</v>
      </c>
      <c r="J5133" s="2"/>
      <c r="K5133" s="2"/>
    </row>
    <row r="5134" customFormat="false" ht="15" hidden="false" customHeight="false" outlineLevel="0" collapsed="false">
      <c r="A5134" s="2" t="s">
        <v>379</v>
      </c>
      <c r="B5134" s="2" t="s">
        <v>380</v>
      </c>
      <c r="C5134" s="2" t="s">
        <v>41</v>
      </c>
      <c r="D5134" s="3" t="n">
        <v>46252</v>
      </c>
      <c r="E5134" s="2" t="str">
        <f aca="false">TEXT(D5134,"dddd")</f>
        <v>Tuesday</v>
      </c>
      <c r="F5134" s="2" t="s">
        <v>457</v>
      </c>
      <c r="G5134" s="2" t="s">
        <v>458</v>
      </c>
      <c r="H5134" s="2" t="s">
        <v>459</v>
      </c>
      <c r="I5134" s="2" t="n">
        <f aca="false">IF(F5134="Present",9,IF(F5134="Half Day",4,0))</f>
        <v>9</v>
      </c>
      <c r="J5134" s="2"/>
      <c r="K5134" s="2"/>
    </row>
    <row r="5135" customFormat="false" ht="15" hidden="false" customHeight="false" outlineLevel="0" collapsed="false">
      <c r="A5135" s="2" t="s">
        <v>379</v>
      </c>
      <c r="B5135" s="2" t="s">
        <v>380</v>
      </c>
      <c r="C5135" s="2" t="s">
        <v>41</v>
      </c>
      <c r="D5135" s="3" t="n">
        <v>46253</v>
      </c>
      <c r="E5135" s="2" t="str">
        <f aca="false">TEXT(D5135,"dddd")</f>
        <v>Wednesday</v>
      </c>
      <c r="F5135" s="2" t="s">
        <v>457</v>
      </c>
      <c r="G5135" s="2" t="s">
        <v>458</v>
      </c>
      <c r="H5135" s="2" t="s">
        <v>459</v>
      </c>
      <c r="I5135" s="2" t="n">
        <f aca="false">IF(F5135="Present",9,IF(F5135="Half Day",4,0))</f>
        <v>9</v>
      </c>
      <c r="J5135" s="2"/>
      <c r="K5135" s="2"/>
    </row>
    <row r="5136" customFormat="false" ht="15" hidden="false" customHeight="false" outlineLevel="0" collapsed="false">
      <c r="A5136" s="2" t="s">
        <v>379</v>
      </c>
      <c r="B5136" s="2" t="s">
        <v>380</v>
      </c>
      <c r="C5136" s="2" t="s">
        <v>41</v>
      </c>
      <c r="D5136" s="3" t="n">
        <v>46254</v>
      </c>
      <c r="E5136" s="2" t="str">
        <f aca="false">TEXT(D5136,"dddd")</f>
        <v>Thursday</v>
      </c>
      <c r="F5136" s="2" t="s">
        <v>461</v>
      </c>
      <c r="G5136" s="2"/>
      <c r="H5136" s="2"/>
      <c r="I5136" s="2" t="n">
        <f aca="false">IF(F5136="Present",9,IF(F5136="Half Day",4,0))</f>
        <v>0</v>
      </c>
      <c r="J5136" s="2"/>
      <c r="K5136" s="2" t="s">
        <v>462</v>
      </c>
    </row>
    <row r="5137" customFormat="false" ht="15" hidden="false" customHeight="false" outlineLevel="0" collapsed="false">
      <c r="A5137" s="2" t="s">
        <v>379</v>
      </c>
      <c r="B5137" s="2" t="s">
        <v>380</v>
      </c>
      <c r="C5137" s="2" t="s">
        <v>41</v>
      </c>
      <c r="D5137" s="3" t="n">
        <v>46255</v>
      </c>
      <c r="E5137" s="2" t="str">
        <f aca="false">TEXT(D5137,"dddd")</f>
        <v>Friday</v>
      </c>
      <c r="F5137" s="2" t="s">
        <v>457</v>
      </c>
      <c r="G5137" s="2" t="s">
        <v>458</v>
      </c>
      <c r="H5137" s="2" t="s">
        <v>459</v>
      </c>
      <c r="I5137" s="2" t="n">
        <f aca="false">IF(F5137="Present",9,IF(F5137="Half Day",4,0))</f>
        <v>9</v>
      </c>
      <c r="J5137" s="2"/>
      <c r="K5137" s="2"/>
    </row>
    <row r="5138" customFormat="false" ht="15" hidden="false" customHeight="false" outlineLevel="0" collapsed="false">
      <c r="A5138" s="2" t="s">
        <v>379</v>
      </c>
      <c r="B5138" s="2" t="s">
        <v>380</v>
      </c>
      <c r="C5138" s="2" t="s">
        <v>41</v>
      </c>
      <c r="D5138" s="3" t="n">
        <v>46256</v>
      </c>
      <c r="E5138" s="2" t="str">
        <f aca="false">TEXT(D5138,"dddd")</f>
        <v>Saturday</v>
      </c>
      <c r="F5138" s="2" t="s">
        <v>457</v>
      </c>
      <c r="G5138" s="2" t="s">
        <v>458</v>
      </c>
      <c r="H5138" s="2" t="s">
        <v>459</v>
      </c>
      <c r="I5138" s="2" t="n">
        <f aca="false">IF(F5138="Present",9,IF(F5138="Half Day",4,0))</f>
        <v>9</v>
      </c>
      <c r="J5138" s="2"/>
      <c r="K5138" s="2"/>
    </row>
    <row r="5139" customFormat="false" ht="15" hidden="false" customHeight="false" outlineLevel="0" collapsed="false">
      <c r="A5139" s="2" t="s">
        <v>379</v>
      </c>
      <c r="B5139" s="2" t="s">
        <v>380</v>
      </c>
      <c r="C5139" s="2" t="s">
        <v>41</v>
      </c>
      <c r="D5139" s="3" t="n">
        <v>46257</v>
      </c>
      <c r="E5139" s="2" t="str">
        <f aca="false">TEXT(D5139,"dddd")</f>
        <v>Sunday</v>
      </c>
      <c r="F5139" s="2" t="s">
        <v>460</v>
      </c>
      <c r="G5139" s="2"/>
      <c r="H5139" s="2"/>
      <c r="I5139" s="2" t="n">
        <f aca="false">IF(F5139="Present",9,IF(F5139="Half Day",4,0))</f>
        <v>0</v>
      </c>
      <c r="J5139" s="2"/>
      <c r="K5139" s="2" t="s">
        <v>460</v>
      </c>
    </row>
    <row r="5140" customFormat="false" ht="15" hidden="false" customHeight="false" outlineLevel="0" collapsed="false">
      <c r="A5140" s="2" t="s">
        <v>379</v>
      </c>
      <c r="B5140" s="2" t="s">
        <v>380</v>
      </c>
      <c r="C5140" s="2" t="s">
        <v>41</v>
      </c>
      <c r="D5140" s="3" t="n">
        <v>46258</v>
      </c>
      <c r="E5140" s="2" t="str">
        <f aca="false">TEXT(D5140,"dddd")</f>
        <v>Monday</v>
      </c>
      <c r="F5140" s="2" t="s">
        <v>457</v>
      </c>
      <c r="G5140" s="2" t="s">
        <v>458</v>
      </c>
      <c r="H5140" s="2" t="s">
        <v>459</v>
      </c>
      <c r="I5140" s="2" t="n">
        <f aca="false">IF(F5140="Present",9,IF(F5140="Half Day",4,0))</f>
        <v>9</v>
      </c>
      <c r="J5140" s="2"/>
      <c r="K5140" s="2"/>
    </row>
    <row r="5141" customFormat="false" ht="15" hidden="false" customHeight="false" outlineLevel="0" collapsed="false">
      <c r="A5141" s="2" t="s">
        <v>379</v>
      </c>
      <c r="B5141" s="2" t="s">
        <v>380</v>
      </c>
      <c r="C5141" s="2" t="s">
        <v>41</v>
      </c>
      <c r="D5141" s="3" t="n">
        <v>46259</v>
      </c>
      <c r="E5141" s="2" t="str">
        <f aca="false">TEXT(D5141,"dddd")</f>
        <v>Tuesday</v>
      </c>
      <c r="F5141" s="2" t="s">
        <v>461</v>
      </c>
      <c r="G5141" s="2"/>
      <c r="H5141" s="2"/>
      <c r="I5141" s="2" t="n">
        <f aca="false">IF(F5141="Present",9,IF(F5141="Half Day",4,0))</f>
        <v>0</v>
      </c>
      <c r="J5141" s="2"/>
      <c r="K5141" s="2" t="s">
        <v>462</v>
      </c>
    </row>
    <row r="5142" customFormat="false" ht="15" hidden="false" customHeight="false" outlineLevel="0" collapsed="false">
      <c r="A5142" s="2" t="s">
        <v>379</v>
      </c>
      <c r="B5142" s="2" t="s">
        <v>380</v>
      </c>
      <c r="C5142" s="2" t="s">
        <v>41</v>
      </c>
      <c r="D5142" s="3" t="n">
        <v>46260</v>
      </c>
      <c r="E5142" s="2" t="str">
        <f aca="false">TEXT(D5142,"dddd")</f>
        <v>Wednesday</v>
      </c>
      <c r="F5142" s="2" t="s">
        <v>457</v>
      </c>
      <c r="G5142" s="2" t="s">
        <v>458</v>
      </c>
      <c r="H5142" s="2" t="s">
        <v>459</v>
      </c>
      <c r="I5142" s="2" t="n">
        <f aca="false">IF(F5142="Present",9,IF(F5142="Half Day",4,0))</f>
        <v>9</v>
      </c>
      <c r="J5142" s="2"/>
      <c r="K5142" s="2"/>
    </row>
    <row r="5143" customFormat="false" ht="15" hidden="false" customHeight="false" outlineLevel="0" collapsed="false">
      <c r="A5143" s="2" t="s">
        <v>379</v>
      </c>
      <c r="B5143" s="2" t="s">
        <v>380</v>
      </c>
      <c r="C5143" s="2" t="s">
        <v>41</v>
      </c>
      <c r="D5143" s="3" t="n">
        <v>46261</v>
      </c>
      <c r="E5143" s="2" t="str">
        <f aca="false">TEXT(D5143,"dddd")</f>
        <v>Thursday</v>
      </c>
      <c r="F5143" s="2" t="s">
        <v>457</v>
      </c>
      <c r="G5143" s="2" t="s">
        <v>458</v>
      </c>
      <c r="H5143" s="2" t="s">
        <v>459</v>
      </c>
      <c r="I5143" s="2" t="n">
        <f aca="false">IF(F5143="Present",9,IF(F5143="Half Day",4,0))</f>
        <v>9</v>
      </c>
      <c r="J5143" s="2"/>
      <c r="K5143" s="2"/>
    </row>
    <row r="5144" customFormat="false" ht="15" hidden="false" customHeight="false" outlineLevel="0" collapsed="false">
      <c r="A5144" s="2" t="s">
        <v>379</v>
      </c>
      <c r="B5144" s="2" t="s">
        <v>380</v>
      </c>
      <c r="C5144" s="2" t="s">
        <v>41</v>
      </c>
      <c r="D5144" s="3" t="n">
        <v>46262</v>
      </c>
      <c r="E5144" s="2" t="str">
        <f aca="false">TEXT(D5144,"dddd")</f>
        <v>Friday</v>
      </c>
      <c r="F5144" s="2" t="s">
        <v>461</v>
      </c>
      <c r="G5144" s="2"/>
      <c r="H5144" s="2"/>
      <c r="I5144" s="2" t="n">
        <f aca="false">IF(F5144="Present",9,IF(F5144="Half Day",4,0))</f>
        <v>0</v>
      </c>
      <c r="J5144" s="2"/>
      <c r="K5144" s="2" t="s">
        <v>462</v>
      </c>
    </row>
    <row r="5145" customFormat="false" ht="15" hidden="false" customHeight="false" outlineLevel="0" collapsed="false">
      <c r="A5145" s="2" t="s">
        <v>379</v>
      </c>
      <c r="B5145" s="2" t="s">
        <v>380</v>
      </c>
      <c r="C5145" s="2" t="s">
        <v>41</v>
      </c>
      <c r="D5145" s="3" t="n">
        <v>46263</v>
      </c>
      <c r="E5145" s="2" t="str">
        <f aca="false">TEXT(D5145,"dddd")</f>
        <v>Saturday</v>
      </c>
      <c r="F5145" s="2" t="s">
        <v>457</v>
      </c>
      <c r="G5145" s="2" t="s">
        <v>458</v>
      </c>
      <c r="H5145" s="2" t="s">
        <v>459</v>
      </c>
      <c r="I5145" s="2" t="n">
        <f aca="false">IF(F5145="Present",9,IF(F5145="Half Day",4,0))</f>
        <v>9</v>
      </c>
      <c r="J5145" s="2"/>
      <c r="K5145" s="2"/>
    </row>
    <row r="5146" customFormat="false" ht="15" hidden="false" customHeight="false" outlineLevel="0" collapsed="false">
      <c r="A5146" s="2" t="s">
        <v>379</v>
      </c>
      <c r="B5146" s="2" t="s">
        <v>380</v>
      </c>
      <c r="C5146" s="2" t="s">
        <v>41</v>
      </c>
      <c r="D5146" s="3" t="n">
        <v>46264</v>
      </c>
      <c r="E5146" s="2" t="str">
        <f aca="false">TEXT(D5146,"dddd")</f>
        <v>Sunday</v>
      </c>
      <c r="F5146" s="2" t="s">
        <v>460</v>
      </c>
      <c r="G5146" s="2"/>
      <c r="H5146" s="2"/>
      <c r="I5146" s="2" t="n">
        <f aca="false">IF(F5146="Present",9,IF(F5146="Half Day",4,0))</f>
        <v>0</v>
      </c>
      <c r="J5146" s="2"/>
      <c r="K5146" s="2" t="s">
        <v>460</v>
      </c>
    </row>
    <row r="5147" customFormat="false" ht="15" hidden="false" customHeight="false" outlineLevel="0" collapsed="false">
      <c r="A5147" s="2" t="s">
        <v>379</v>
      </c>
      <c r="B5147" s="2" t="s">
        <v>380</v>
      </c>
      <c r="C5147" s="2" t="s">
        <v>41</v>
      </c>
      <c r="D5147" s="3" t="n">
        <v>46265</v>
      </c>
      <c r="E5147" s="2" t="str">
        <f aca="false">TEXT(D5147,"dddd")</f>
        <v>Monday</v>
      </c>
      <c r="F5147" s="2" t="s">
        <v>466</v>
      </c>
      <c r="G5147" s="2" t="s">
        <v>458</v>
      </c>
      <c r="H5147" s="2" t="s">
        <v>467</v>
      </c>
      <c r="I5147" s="2" t="n">
        <f aca="false">IF(F5147="Present",9,IF(F5147="Half Day",4,0))</f>
        <v>4</v>
      </c>
      <c r="J5147" s="2"/>
      <c r="K5147" s="2" t="s">
        <v>466</v>
      </c>
    </row>
    <row r="5148" customFormat="false" ht="15" hidden="false" customHeight="false" outlineLevel="0" collapsed="false">
      <c r="A5148" s="2" t="s">
        <v>381</v>
      </c>
      <c r="B5148" s="2" t="s">
        <v>382</v>
      </c>
      <c r="C5148" s="2" t="s">
        <v>45</v>
      </c>
      <c r="D5148" s="3" t="n">
        <v>46235</v>
      </c>
      <c r="E5148" s="2" t="str">
        <f aca="false">TEXT(D5148,"dddd")</f>
        <v>Saturday</v>
      </c>
      <c r="F5148" s="2" t="s">
        <v>457</v>
      </c>
      <c r="G5148" s="2" t="s">
        <v>458</v>
      </c>
      <c r="H5148" s="2" t="s">
        <v>459</v>
      </c>
      <c r="I5148" s="2" t="n">
        <f aca="false">IF(F5148="Present",9,IF(F5148="Half Day",4,0))</f>
        <v>9</v>
      </c>
      <c r="J5148" s="2"/>
      <c r="K5148" s="2"/>
    </row>
    <row r="5149" customFormat="false" ht="15" hidden="false" customHeight="false" outlineLevel="0" collapsed="false">
      <c r="A5149" s="2" t="s">
        <v>381</v>
      </c>
      <c r="B5149" s="2" t="s">
        <v>382</v>
      </c>
      <c r="C5149" s="2" t="s">
        <v>45</v>
      </c>
      <c r="D5149" s="3" t="n">
        <v>46236</v>
      </c>
      <c r="E5149" s="2" t="str">
        <f aca="false">TEXT(D5149,"dddd")</f>
        <v>Sunday</v>
      </c>
      <c r="F5149" s="2" t="s">
        <v>460</v>
      </c>
      <c r="G5149" s="2"/>
      <c r="H5149" s="2"/>
      <c r="I5149" s="2" t="n">
        <f aca="false">IF(F5149="Present",9,IF(F5149="Half Day",4,0))</f>
        <v>0</v>
      </c>
      <c r="J5149" s="2"/>
      <c r="K5149" s="2" t="s">
        <v>460</v>
      </c>
    </row>
    <row r="5150" customFormat="false" ht="15" hidden="false" customHeight="false" outlineLevel="0" collapsed="false">
      <c r="A5150" s="2" t="s">
        <v>381</v>
      </c>
      <c r="B5150" s="2" t="s">
        <v>382</v>
      </c>
      <c r="C5150" s="2" t="s">
        <v>45</v>
      </c>
      <c r="D5150" s="3" t="n">
        <v>46237</v>
      </c>
      <c r="E5150" s="2" t="str">
        <f aca="false">TEXT(D5150,"dddd")</f>
        <v>Monday</v>
      </c>
      <c r="F5150" s="2" t="s">
        <v>466</v>
      </c>
      <c r="G5150" s="2" t="s">
        <v>458</v>
      </c>
      <c r="H5150" s="2" t="s">
        <v>467</v>
      </c>
      <c r="I5150" s="2" t="n">
        <f aca="false">IF(F5150="Present",9,IF(F5150="Half Day",4,0))</f>
        <v>4</v>
      </c>
      <c r="J5150" s="2"/>
      <c r="K5150" s="2" t="s">
        <v>466</v>
      </c>
    </row>
    <row r="5151" customFormat="false" ht="15" hidden="false" customHeight="false" outlineLevel="0" collapsed="false">
      <c r="A5151" s="2" t="s">
        <v>381</v>
      </c>
      <c r="B5151" s="2" t="s">
        <v>382</v>
      </c>
      <c r="C5151" s="2" t="s">
        <v>45</v>
      </c>
      <c r="D5151" s="3" t="n">
        <v>46238</v>
      </c>
      <c r="E5151" s="2" t="str">
        <f aca="false">TEXT(D5151,"dddd")</f>
        <v>Tuesday</v>
      </c>
      <c r="F5151" s="2" t="s">
        <v>457</v>
      </c>
      <c r="G5151" s="2" t="s">
        <v>458</v>
      </c>
      <c r="H5151" s="2" t="s">
        <v>459</v>
      </c>
      <c r="I5151" s="2" t="n">
        <f aca="false">IF(F5151="Present",9,IF(F5151="Half Day",4,0))</f>
        <v>9</v>
      </c>
      <c r="J5151" s="2"/>
      <c r="K5151" s="2"/>
    </row>
    <row r="5152" customFormat="false" ht="15" hidden="false" customHeight="false" outlineLevel="0" collapsed="false">
      <c r="A5152" s="2" t="s">
        <v>381</v>
      </c>
      <c r="B5152" s="2" t="s">
        <v>382</v>
      </c>
      <c r="C5152" s="2" t="s">
        <v>45</v>
      </c>
      <c r="D5152" s="3" t="n">
        <v>46239</v>
      </c>
      <c r="E5152" s="2" t="str">
        <f aca="false">TEXT(D5152,"dddd")</f>
        <v>Wednesday</v>
      </c>
      <c r="F5152" s="2" t="s">
        <v>457</v>
      </c>
      <c r="G5152" s="2" t="s">
        <v>458</v>
      </c>
      <c r="H5152" s="2" t="s">
        <v>459</v>
      </c>
      <c r="I5152" s="2" t="n">
        <f aca="false">IF(F5152="Present",9,IF(F5152="Half Day",4,0))</f>
        <v>9</v>
      </c>
      <c r="J5152" s="2"/>
      <c r="K5152" s="2"/>
    </row>
    <row r="5153" customFormat="false" ht="15" hidden="false" customHeight="false" outlineLevel="0" collapsed="false">
      <c r="A5153" s="2" t="s">
        <v>381</v>
      </c>
      <c r="B5153" s="2" t="s">
        <v>382</v>
      </c>
      <c r="C5153" s="2" t="s">
        <v>45</v>
      </c>
      <c r="D5153" s="3" t="n">
        <v>46240</v>
      </c>
      <c r="E5153" s="2" t="str">
        <f aca="false">TEXT(D5153,"dddd")</f>
        <v>Thursday</v>
      </c>
      <c r="F5153" s="2" t="s">
        <v>457</v>
      </c>
      <c r="G5153" s="2" t="s">
        <v>458</v>
      </c>
      <c r="H5153" s="2" t="s">
        <v>459</v>
      </c>
      <c r="I5153" s="2" t="n">
        <f aca="false">IF(F5153="Present",9,IF(F5153="Half Day",4,0))</f>
        <v>9</v>
      </c>
      <c r="J5153" s="2"/>
      <c r="K5153" s="2"/>
    </row>
    <row r="5154" customFormat="false" ht="15" hidden="false" customHeight="false" outlineLevel="0" collapsed="false">
      <c r="A5154" s="2" t="s">
        <v>381</v>
      </c>
      <c r="B5154" s="2" t="s">
        <v>382</v>
      </c>
      <c r="C5154" s="2" t="s">
        <v>45</v>
      </c>
      <c r="D5154" s="3" t="n">
        <v>46241</v>
      </c>
      <c r="E5154" s="2" t="str">
        <f aca="false">TEXT(D5154,"dddd")</f>
        <v>Friday</v>
      </c>
      <c r="F5154" s="2" t="s">
        <v>457</v>
      </c>
      <c r="G5154" s="2" t="s">
        <v>458</v>
      </c>
      <c r="H5154" s="2" t="s">
        <v>459</v>
      </c>
      <c r="I5154" s="2" t="n">
        <f aca="false">IF(F5154="Present",9,IF(F5154="Half Day",4,0))</f>
        <v>9</v>
      </c>
      <c r="J5154" s="2"/>
      <c r="K5154" s="2"/>
    </row>
    <row r="5155" customFormat="false" ht="15" hidden="false" customHeight="false" outlineLevel="0" collapsed="false">
      <c r="A5155" s="2" t="s">
        <v>381</v>
      </c>
      <c r="B5155" s="2" t="s">
        <v>382</v>
      </c>
      <c r="C5155" s="2" t="s">
        <v>45</v>
      </c>
      <c r="D5155" s="3" t="n">
        <v>46242</v>
      </c>
      <c r="E5155" s="2" t="str">
        <f aca="false">TEXT(D5155,"dddd")</f>
        <v>Saturday</v>
      </c>
      <c r="F5155" s="2" t="s">
        <v>457</v>
      </c>
      <c r="G5155" s="2" t="s">
        <v>458</v>
      </c>
      <c r="H5155" s="2" t="s">
        <v>459</v>
      </c>
      <c r="I5155" s="2" t="n">
        <f aca="false">IF(F5155="Present",9,IF(F5155="Half Day",4,0))</f>
        <v>9</v>
      </c>
      <c r="J5155" s="2"/>
      <c r="K5155" s="2"/>
    </row>
    <row r="5156" customFormat="false" ht="15" hidden="false" customHeight="false" outlineLevel="0" collapsed="false">
      <c r="A5156" s="2" t="s">
        <v>381</v>
      </c>
      <c r="B5156" s="2" t="s">
        <v>382</v>
      </c>
      <c r="C5156" s="2" t="s">
        <v>45</v>
      </c>
      <c r="D5156" s="3" t="n">
        <v>46243</v>
      </c>
      <c r="E5156" s="2" t="str">
        <f aca="false">TEXT(D5156,"dddd")</f>
        <v>Sunday</v>
      </c>
      <c r="F5156" s="2" t="s">
        <v>460</v>
      </c>
      <c r="G5156" s="2"/>
      <c r="H5156" s="2"/>
      <c r="I5156" s="2" t="n">
        <f aca="false">IF(F5156="Present",9,IF(F5156="Half Day",4,0))</f>
        <v>0</v>
      </c>
      <c r="J5156" s="2"/>
      <c r="K5156" s="2" t="s">
        <v>460</v>
      </c>
    </row>
    <row r="5157" customFormat="false" ht="15" hidden="false" customHeight="false" outlineLevel="0" collapsed="false">
      <c r="A5157" s="2" t="s">
        <v>381</v>
      </c>
      <c r="B5157" s="2" t="s">
        <v>382</v>
      </c>
      <c r="C5157" s="2" t="s">
        <v>45</v>
      </c>
      <c r="D5157" s="3" t="n">
        <v>46244</v>
      </c>
      <c r="E5157" s="2" t="str">
        <f aca="false">TEXT(D5157,"dddd")</f>
        <v>Monday</v>
      </c>
      <c r="F5157" s="2" t="s">
        <v>457</v>
      </c>
      <c r="G5157" s="2" t="s">
        <v>458</v>
      </c>
      <c r="H5157" s="2" t="s">
        <v>459</v>
      </c>
      <c r="I5157" s="2" t="n">
        <f aca="false">IF(F5157="Present",9,IF(F5157="Half Day",4,0))</f>
        <v>9</v>
      </c>
      <c r="J5157" s="2"/>
      <c r="K5157" s="2"/>
    </row>
    <row r="5158" customFormat="false" ht="15" hidden="false" customHeight="false" outlineLevel="0" collapsed="false">
      <c r="A5158" s="2" t="s">
        <v>381</v>
      </c>
      <c r="B5158" s="2" t="s">
        <v>382</v>
      </c>
      <c r="C5158" s="2" t="s">
        <v>45</v>
      </c>
      <c r="D5158" s="3" t="n">
        <v>46245</v>
      </c>
      <c r="E5158" s="2" t="str">
        <f aca="false">TEXT(D5158,"dddd")</f>
        <v>Tuesday</v>
      </c>
      <c r="F5158" s="2" t="s">
        <v>457</v>
      </c>
      <c r="G5158" s="2" t="s">
        <v>458</v>
      </c>
      <c r="H5158" s="2" t="s">
        <v>459</v>
      </c>
      <c r="I5158" s="2" t="n">
        <f aca="false">IF(F5158="Present",9,IF(F5158="Half Day",4,0))</f>
        <v>9</v>
      </c>
      <c r="J5158" s="2"/>
      <c r="K5158" s="2"/>
    </row>
    <row r="5159" customFormat="false" ht="15" hidden="false" customHeight="false" outlineLevel="0" collapsed="false">
      <c r="A5159" s="2" t="s">
        <v>381</v>
      </c>
      <c r="B5159" s="2" t="s">
        <v>382</v>
      </c>
      <c r="C5159" s="2" t="s">
        <v>45</v>
      </c>
      <c r="D5159" s="3" t="n">
        <v>46246</v>
      </c>
      <c r="E5159" s="2" t="str">
        <f aca="false">TEXT(D5159,"dddd")</f>
        <v>Wednesday</v>
      </c>
      <c r="F5159" s="2" t="s">
        <v>461</v>
      </c>
      <c r="G5159" s="2"/>
      <c r="H5159" s="2"/>
      <c r="I5159" s="2" t="n">
        <f aca="false">IF(F5159="Present",9,IF(F5159="Half Day",4,0))</f>
        <v>0</v>
      </c>
      <c r="J5159" s="2"/>
      <c r="K5159" s="2" t="s">
        <v>462</v>
      </c>
    </row>
    <row r="5160" customFormat="false" ht="15" hidden="false" customHeight="false" outlineLevel="0" collapsed="false">
      <c r="A5160" s="2" t="s">
        <v>381</v>
      </c>
      <c r="B5160" s="2" t="s">
        <v>382</v>
      </c>
      <c r="C5160" s="2" t="s">
        <v>45</v>
      </c>
      <c r="D5160" s="3" t="n">
        <v>46247</v>
      </c>
      <c r="E5160" s="2" t="str">
        <f aca="false">TEXT(D5160,"dddd")</f>
        <v>Thursday</v>
      </c>
      <c r="F5160" s="2" t="s">
        <v>461</v>
      </c>
      <c r="G5160" s="2"/>
      <c r="H5160" s="2"/>
      <c r="I5160" s="2" t="n">
        <f aca="false">IF(F5160="Present",9,IF(F5160="Half Day",4,0))</f>
        <v>0</v>
      </c>
      <c r="J5160" s="2"/>
      <c r="K5160" s="2" t="s">
        <v>462</v>
      </c>
    </row>
    <row r="5161" customFormat="false" ht="15" hidden="false" customHeight="false" outlineLevel="0" collapsed="false">
      <c r="A5161" s="2" t="s">
        <v>381</v>
      </c>
      <c r="B5161" s="2" t="s">
        <v>382</v>
      </c>
      <c r="C5161" s="2" t="s">
        <v>45</v>
      </c>
      <c r="D5161" s="3" t="n">
        <v>46248</v>
      </c>
      <c r="E5161" s="2" t="str">
        <f aca="false">TEXT(D5161,"dddd")</f>
        <v>Friday</v>
      </c>
      <c r="F5161" s="2" t="s">
        <v>461</v>
      </c>
      <c r="G5161" s="2"/>
      <c r="H5161" s="2"/>
      <c r="I5161" s="2" t="n">
        <f aca="false">IF(F5161="Present",9,IF(F5161="Half Day",4,0))</f>
        <v>0</v>
      </c>
      <c r="J5161" s="2"/>
      <c r="K5161" s="2" t="s">
        <v>462</v>
      </c>
    </row>
    <row r="5162" customFormat="false" ht="15" hidden="false" customHeight="false" outlineLevel="0" collapsed="false">
      <c r="A5162" s="2" t="s">
        <v>381</v>
      </c>
      <c r="B5162" s="2" t="s">
        <v>382</v>
      </c>
      <c r="C5162" s="2" t="s">
        <v>45</v>
      </c>
      <c r="D5162" s="3" t="n">
        <v>46249</v>
      </c>
      <c r="E5162" s="2" t="str">
        <f aca="false">TEXT(D5162,"dddd")</f>
        <v>Saturday</v>
      </c>
      <c r="F5162" s="2" t="s">
        <v>457</v>
      </c>
      <c r="G5162" s="2" t="s">
        <v>458</v>
      </c>
      <c r="H5162" s="2" t="s">
        <v>459</v>
      </c>
      <c r="I5162" s="2" t="n">
        <f aca="false">IF(F5162="Present",9,IF(F5162="Half Day",4,0))</f>
        <v>9</v>
      </c>
      <c r="J5162" s="2"/>
      <c r="K5162" s="2"/>
    </row>
    <row r="5163" customFormat="false" ht="15" hidden="false" customHeight="false" outlineLevel="0" collapsed="false">
      <c r="A5163" s="2" t="s">
        <v>381</v>
      </c>
      <c r="B5163" s="2" t="s">
        <v>382</v>
      </c>
      <c r="C5163" s="2" t="s">
        <v>45</v>
      </c>
      <c r="D5163" s="3" t="n">
        <v>46250</v>
      </c>
      <c r="E5163" s="2" t="str">
        <f aca="false">TEXT(D5163,"dddd")</f>
        <v>Sunday</v>
      </c>
      <c r="F5163" s="2" t="s">
        <v>460</v>
      </c>
      <c r="G5163" s="2"/>
      <c r="H5163" s="2"/>
      <c r="I5163" s="2" t="n">
        <f aca="false">IF(F5163="Present",9,IF(F5163="Half Day",4,0))</f>
        <v>0</v>
      </c>
      <c r="J5163" s="2"/>
      <c r="K5163" s="2" t="s">
        <v>460</v>
      </c>
    </row>
    <row r="5164" customFormat="false" ht="15" hidden="false" customHeight="false" outlineLevel="0" collapsed="false">
      <c r="A5164" s="2" t="s">
        <v>381</v>
      </c>
      <c r="B5164" s="2" t="s">
        <v>382</v>
      </c>
      <c r="C5164" s="2" t="s">
        <v>45</v>
      </c>
      <c r="D5164" s="3" t="n">
        <v>46251</v>
      </c>
      <c r="E5164" s="2" t="str">
        <f aca="false">TEXT(D5164,"dddd")</f>
        <v>Monday</v>
      </c>
      <c r="F5164" s="2" t="s">
        <v>457</v>
      </c>
      <c r="G5164" s="2" t="s">
        <v>458</v>
      </c>
      <c r="H5164" s="2" t="s">
        <v>459</v>
      </c>
      <c r="I5164" s="2" t="n">
        <f aca="false">IF(F5164="Present",9,IF(F5164="Half Day",4,0))</f>
        <v>9</v>
      </c>
      <c r="J5164" s="2"/>
      <c r="K5164" s="2"/>
    </row>
    <row r="5165" customFormat="false" ht="15" hidden="false" customHeight="false" outlineLevel="0" collapsed="false">
      <c r="A5165" s="2" t="s">
        <v>381</v>
      </c>
      <c r="B5165" s="2" t="s">
        <v>382</v>
      </c>
      <c r="C5165" s="2" t="s">
        <v>45</v>
      </c>
      <c r="D5165" s="3" t="n">
        <v>46252</v>
      </c>
      <c r="E5165" s="2" t="str">
        <f aca="false">TEXT(D5165,"dddd")</f>
        <v>Tuesday</v>
      </c>
      <c r="F5165" s="2" t="s">
        <v>457</v>
      </c>
      <c r="G5165" s="2" t="s">
        <v>458</v>
      </c>
      <c r="H5165" s="2" t="s">
        <v>459</v>
      </c>
      <c r="I5165" s="2" t="n">
        <f aca="false">IF(F5165="Present",9,IF(F5165="Half Day",4,0))</f>
        <v>9</v>
      </c>
      <c r="J5165" s="2"/>
      <c r="K5165" s="2"/>
    </row>
    <row r="5166" customFormat="false" ht="15" hidden="false" customHeight="false" outlineLevel="0" collapsed="false">
      <c r="A5166" s="2" t="s">
        <v>381</v>
      </c>
      <c r="B5166" s="2" t="s">
        <v>382</v>
      </c>
      <c r="C5166" s="2" t="s">
        <v>45</v>
      </c>
      <c r="D5166" s="3" t="n">
        <v>46253</v>
      </c>
      <c r="E5166" s="2" t="str">
        <f aca="false">TEXT(D5166,"dddd")</f>
        <v>Wednesday</v>
      </c>
      <c r="F5166" s="2" t="s">
        <v>457</v>
      </c>
      <c r="G5166" s="2" t="s">
        <v>458</v>
      </c>
      <c r="H5166" s="2" t="s">
        <v>459</v>
      </c>
      <c r="I5166" s="2" t="n">
        <f aca="false">IF(F5166="Present",9,IF(F5166="Half Day",4,0))</f>
        <v>9</v>
      </c>
      <c r="J5166" s="2"/>
      <c r="K5166" s="2"/>
    </row>
    <row r="5167" customFormat="false" ht="15" hidden="false" customHeight="false" outlineLevel="0" collapsed="false">
      <c r="A5167" s="2" t="s">
        <v>381</v>
      </c>
      <c r="B5167" s="2" t="s">
        <v>382</v>
      </c>
      <c r="C5167" s="2" t="s">
        <v>45</v>
      </c>
      <c r="D5167" s="3" t="n">
        <v>46254</v>
      </c>
      <c r="E5167" s="2" t="str">
        <f aca="false">TEXT(D5167,"dddd")</f>
        <v>Thursday</v>
      </c>
      <c r="F5167" s="2" t="s">
        <v>457</v>
      </c>
      <c r="G5167" s="2" t="s">
        <v>458</v>
      </c>
      <c r="H5167" s="2" t="s">
        <v>459</v>
      </c>
      <c r="I5167" s="2" t="n">
        <f aca="false">IF(F5167="Present",9,IF(F5167="Half Day",4,0))</f>
        <v>9</v>
      </c>
      <c r="J5167" s="2"/>
      <c r="K5167" s="2"/>
    </row>
    <row r="5168" customFormat="false" ht="15" hidden="false" customHeight="false" outlineLevel="0" collapsed="false">
      <c r="A5168" s="2" t="s">
        <v>381</v>
      </c>
      <c r="B5168" s="2" t="s">
        <v>382</v>
      </c>
      <c r="C5168" s="2" t="s">
        <v>45</v>
      </c>
      <c r="D5168" s="3" t="n">
        <v>46255</v>
      </c>
      <c r="E5168" s="2" t="str">
        <f aca="false">TEXT(D5168,"dddd")</f>
        <v>Friday</v>
      </c>
      <c r="F5168" s="2" t="s">
        <v>457</v>
      </c>
      <c r="G5168" s="2" t="s">
        <v>458</v>
      </c>
      <c r="H5168" s="2" t="s">
        <v>459</v>
      </c>
      <c r="I5168" s="2" t="n">
        <f aca="false">IF(F5168="Present",9,IF(F5168="Half Day",4,0))</f>
        <v>9</v>
      </c>
      <c r="J5168" s="2"/>
      <c r="K5168" s="2"/>
    </row>
    <row r="5169" customFormat="false" ht="15" hidden="false" customHeight="false" outlineLevel="0" collapsed="false">
      <c r="A5169" s="2" t="s">
        <v>381</v>
      </c>
      <c r="B5169" s="2" t="s">
        <v>382</v>
      </c>
      <c r="C5169" s="2" t="s">
        <v>45</v>
      </c>
      <c r="D5169" s="3" t="n">
        <v>46256</v>
      </c>
      <c r="E5169" s="2" t="str">
        <f aca="false">TEXT(D5169,"dddd")</f>
        <v>Saturday</v>
      </c>
      <c r="F5169" s="2" t="s">
        <v>457</v>
      </c>
      <c r="G5169" s="2" t="s">
        <v>458</v>
      </c>
      <c r="H5169" s="2" t="s">
        <v>459</v>
      </c>
      <c r="I5169" s="2" t="n">
        <f aca="false">IF(F5169="Present",9,IF(F5169="Half Day",4,0))</f>
        <v>9</v>
      </c>
      <c r="J5169" s="2"/>
      <c r="K5169" s="2"/>
    </row>
    <row r="5170" customFormat="false" ht="15" hidden="false" customHeight="false" outlineLevel="0" collapsed="false">
      <c r="A5170" s="2" t="s">
        <v>381</v>
      </c>
      <c r="B5170" s="2" t="s">
        <v>382</v>
      </c>
      <c r="C5170" s="2" t="s">
        <v>45</v>
      </c>
      <c r="D5170" s="3" t="n">
        <v>46257</v>
      </c>
      <c r="E5170" s="2" t="str">
        <f aca="false">TEXT(D5170,"dddd")</f>
        <v>Sunday</v>
      </c>
      <c r="F5170" s="2" t="s">
        <v>460</v>
      </c>
      <c r="G5170" s="2"/>
      <c r="H5170" s="2"/>
      <c r="I5170" s="2" t="n">
        <f aca="false">IF(F5170="Present",9,IF(F5170="Half Day",4,0))</f>
        <v>0</v>
      </c>
      <c r="J5170" s="2"/>
      <c r="K5170" s="2" t="s">
        <v>460</v>
      </c>
    </row>
    <row r="5171" customFormat="false" ht="15" hidden="false" customHeight="false" outlineLevel="0" collapsed="false">
      <c r="A5171" s="2" t="s">
        <v>381</v>
      </c>
      <c r="B5171" s="2" t="s">
        <v>382</v>
      </c>
      <c r="C5171" s="2" t="s">
        <v>45</v>
      </c>
      <c r="D5171" s="3" t="n">
        <v>46258</v>
      </c>
      <c r="E5171" s="2" t="str">
        <f aca="false">TEXT(D5171,"dddd")</f>
        <v>Monday</v>
      </c>
      <c r="F5171" s="2" t="s">
        <v>457</v>
      </c>
      <c r="G5171" s="2" t="s">
        <v>458</v>
      </c>
      <c r="H5171" s="2" t="s">
        <v>459</v>
      </c>
      <c r="I5171" s="2" t="n">
        <f aca="false">IF(F5171="Present",9,IF(F5171="Half Day",4,0))</f>
        <v>9</v>
      </c>
      <c r="J5171" s="2"/>
      <c r="K5171" s="2"/>
    </row>
    <row r="5172" customFormat="false" ht="15" hidden="false" customHeight="false" outlineLevel="0" collapsed="false">
      <c r="A5172" s="2" t="s">
        <v>381</v>
      </c>
      <c r="B5172" s="2" t="s">
        <v>382</v>
      </c>
      <c r="C5172" s="2" t="s">
        <v>45</v>
      </c>
      <c r="D5172" s="3" t="n">
        <v>46259</v>
      </c>
      <c r="E5172" s="2" t="str">
        <f aca="false">TEXT(D5172,"dddd")</f>
        <v>Tuesday</v>
      </c>
      <c r="F5172" s="2" t="s">
        <v>463</v>
      </c>
      <c r="G5172" s="2"/>
      <c r="H5172" s="2"/>
      <c r="I5172" s="2" t="n">
        <f aca="false">IF(F5172="Present",9,IF(F5172="Half Day",4,0))</f>
        <v>0</v>
      </c>
      <c r="J5172" s="2" t="s">
        <v>472</v>
      </c>
      <c r="K5172" s="2" t="s">
        <v>473</v>
      </c>
    </row>
    <row r="5173" customFormat="false" ht="15" hidden="false" customHeight="false" outlineLevel="0" collapsed="false">
      <c r="A5173" s="2" t="s">
        <v>381</v>
      </c>
      <c r="B5173" s="2" t="s">
        <v>382</v>
      </c>
      <c r="C5173" s="2" t="s">
        <v>45</v>
      </c>
      <c r="D5173" s="3" t="n">
        <v>46260</v>
      </c>
      <c r="E5173" s="2" t="str">
        <f aca="false">TEXT(D5173,"dddd")</f>
        <v>Wednesday</v>
      </c>
      <c r="F5173" s="2" t="s">
        <v>466</v>
      </c>
      <c r="G5173" s="2" t="s">
        <v>458</v>
      </c>
      <c r="H5173" s="2" t="s">
        <v>467</v>
      </c>
      <c r="I5173" s="2" t="n">
        <f aca="false">IF(F5173="Present",9,IF(F5173="Half Day",4,0))</f>
        <v>4</v>
      </c>
      <c r="J5173" s="2"/>
      <c r="K5173" s="2" t="s">
        <v>466</v>
      </c>
    </row>
    <row r="5174" customFormat="false" ht="15" hidden="false" customHeight="false" outlineLevel="0" collapsed="false">
      <c r="A5174" s="2" t="s">
        <v>381</v>
      </c>
      <c r="B5174" s="2" t="s">
        <v>382</v>
      </c>
      <c r="C5174" s="2" t="s">
        <v>45</v>
      </c>
      <c r="D5174" s="3" t="n">
        <v>46261</v>
      </c>
      <c r="E5174" s="2" t="str">
        <f aca="false">TEXT(D5174,"dddd")</f>
        <v>Thursday</v>
      </c>
      <c r="F5174" s="2" t="s">
        <v>457</v>
      </c>
      <c r="G5174" s="2" t="s">
        <v>458</v>
      </c>
      <c r="H5174" s="2" t="s">
        <v>459</v>
      </c>
      <c r="I5174" s="2" t="n">
        <f aca="false">IF(F5174="Present",9,IF(F5174="Half Day",4,0))</f>
        <v>9</v>
      </c>
      <c r="J5174" s="2"/>
      <c r="K5174" s="2"/>
    </row>
    <row r="5175" customFormat="false" ht="15" hidden="false" customHeight="false" outlineLevel="0" collapsed="false">
      <c r="A5175" s="2" t="s">
        <v>381</v>
      </c>
      <c r="B5175" s="2" t="s">
        <v>382</v>
      </c>
      <c r="C5175" s="2" t="s">
        <v>45</v>
      </c>
      <c r="D5175" s="3" t="n">
        <v>46262</v>
      </c>
      <c r="E5175" s="2" t="str">
        <f aca="false">TEXT(D5175,"dddd")</f>
        <v>Friday</v>
      </c>
      <c r="F5175" s="2" t="s">
        <v>461</v>
      </c>
      <c r="G5175" s="2"/>
      <c r="H5175" s="2"/>
      <c r="I5175" s="2" t="n">
        <f aca="false">IF(F5175="Present",9,IF(F5175="Half Day",4,0))</f>
        <v>0</v>
      </c>
      <c r="J5175" s="2"/>
      <c r="K5175" s="2" t="s">
        <v>462</v>
      </c>
    </row>
    <row r="5176" customFormat="false" ht="15" hidden="false" customHeight="false" outlineLevel="0" collapsed="false">
      <c r="A5176" s="2" t="s">
        <v>381</v>
      </c>
      <c r="B5176" s="2" t="s">
        <v>382</v>
      </c>
      <c r="C5176" s="2" t="s">
        <v>45</v>
      </c>
      <c r="D5176" s="3" t="n">
        <v>46263</v>
      </c>
      <c r="E5176" s="2" t="str">
        <f aca="false">TEXT(D5176,"dddd")</f>
        <v>Saturday</v>
      </c>
      <c r="F5176" s="2" t="s">
        <v>457</v>
      </c>
      <c r="G5176" s="2" t="s">
        <v>458</v>
      </c>
      <c r="H5176" s="2" t="s">
        <v>459</v>
      </c>
      <c r="I5176" s="2" t="n">
        <f aca="false">IF(F5176="Present",9,IF(F5176="Half Day",4,0))</f>
        <v>9</v>
      </c>
      <c r="J5176" s="2"/>
      <c r="K5176" s="2"/>
    </row>
    <row r="5177" customFormat="false" ht="15" hidden="false" customHeight="false" outlineLevel="0" collapsed="false">
      <c r="A5177" s="2" t="s">
        <v>381</v>
      </c>
      <c r="B5177" s="2" t="s">
        <v>382</v>
      </c>
      <c r="C5177" s="2" t="s">
        <v>45</v>
      </c>
      <c r="D5177" s="3" t="n">
        <v>46264</v>
      </c>
      <c r="E5177" s="2" t="str">
        <f aca="false">TEXT(D5177,"dddd")</f>
        <v>Sunday</v>
      </c>
      <c r="F5177" s="2" t="s">
        <v>460</v>
      </c>
      <c r="G5177" s="2"/>
      <c r="H5177" s="2"/>
      <c r="I5177" s="2" t="n">
        <f aca="false">IF(F5177="Present",9,IF(F5177="Half Day",4,0))</f>
        <v>0</v>
      </c>
      <c r="J5177" s="2"/>
      <c r="K5177" s="2" t="s">
        <v>460</v>
      </c>
    </row>
    <row r="5178" customFormat="false" ht="15" hidden="false" customHeight="false" outlineLevel="0" collapsed="false">
      <c r="A5178" s="2" t="s">
        <v>381</v>
      </c>
      <c r="B5178" s="2" t="s">
        <v>382</v>
      </c>
      <c r="C5178" s="2" t="s">
        <v>45</v>
      </c>
      <c r="D5178" s="3" t="n">
        <v>46265</v>
      </c>
      <c r="E5178" s="2" t="str">
        <f aca="false">TEXT(D5178,"dddd")</f>
        <v>Monday</v>
      </c>
      <c r="F5178" s="2" t="s">
        <v>457</v>
      </c>
      <c r="G5178" s="2" t="s">
        <v>458</v>
      </c>
      <c r="H5178" s="2" t="s">
        <v>459</v>
      </c>
      <c r="I5178" s="2" t="n">
        <f aca="false">IF(F5178="Present",9,IF(F5178="Half Day",4,0))</f>
        <v>9</v>
      </c>
      <c r="J5178" s="2"/>
      <c r="K5178" s="2"/>
    </row>
    <row r="5179" customFormat="false" ht="15" hidden="false" customHeight="false" outlineLevel="0" collapsed="false">
      <c r="A5179" s="2" t="s">
        <v>383</v>
      </c>
      <c r="B5179" s="2" t="s">
        <v>384</v>
      </c>
      <c r="C5179" s="2" t="s">
        <v>49</v>
      </c>
      <c r="D5179" s="3" t="n">
        <v>46235</v>
      </c>
      <c r="E5179" s="2" t="str">
        <f aca="false">TEXT(D5179,"dddd")</f>
        <v>Saturday</v>
      </c>
      <c r="F5179" s="2" t="s">
        <v>457</v>
      </c>
      <c r="G5179" s="2" t="s">
        <v>458</v>
      </c>
      <c r="H5179" s="2" t="s">
        <v>459</v>
      </c>
      <c r="I5179" s="2" t="n">
        <f aca="false">IF(F5179="Present",9,IF(F5179="Half Day",4,0))</f>
        <v>9</v>
      </c>
      <c r="J5179" s="2"/>
      <c r="K5179" s="2"/>
    </row>
    <row r="5180" customFormat="false" ht="15" hidden="false" customHeight="false" outlineLevel="0" collapsed="false">
      <c r="A5180" s="2" t="s">
        <v>383</v>
      </c>
      <c r="B5180" s="2" t="s">
        <v>384</v>
      </c>
      <c r="C5180" s="2" t="s">
        <v>49</v>
      </c>
      <c r="D5180" s="3" t="n">
        <v>46236</v>
      </c>
      <c r="E5180" s="2" t="str">
        <f aca="false">TEXT(D5180,"dddd")</f>
        <v>Sunday</v>
      </c>
      <c r="F5180" s="2" t="s">
        <v>460</v>
      </c>
      <c r="G5180" s="2"/>
      <c r="H5180" s="2"/>
      <c r="I5180" s="2" t="n">
        <f aca="false">IF(F5180="Present",9,IF(F5180="Half Day",4,0))</f>
        <v>0</v>
      </c>
      <c r="J5180" s="2"/>
      <c r="K5180" s="2" t="s">
        <v>460</v>
      </c>
    </row>
    <row r="5181" customFormat="false" ht="15" hidden="false" customHeight="false" outlineLevel="0" collapsed="false">
      <c r="A5181" s="2" t="s">
        <v>383</v>
      </c>
      <c r="B5181" s="2" t="s">
        <v>384</v>
      </c>
      <c r="C5181" s="2" t="s">
        <v>49</v>
      </c>
      <c r="D5181" s="3" t="n">
        <v>46237</v>
      </c>
      <c r="E5181" s="2" t="str">
        <f aca="false">TEXT(D5181,"dddd")</f>
        <v>Monday</v>
      </c>
      <c r="F5181" s="2" t="s">
        <v>457</v>
      </c>
      <c r="G5181" s="2" t="s">
        <v>458</v>
      </c>
      <c r="H5181" s="2" t="s">
        <v>459</v>
      </c>
      <c r="I5181" s="2" t="n">
        <f aca="false">IF(F5181="Present",9,IF(F5181="Half Day",4,0))</f>
        <v>9</v>
      </c>
      <c r="J5181" s="2"/>
      <c r="K5181" s="2"/>
    </row>
    <row r="5182" customFormat="false" ht="15" hidden="false" customHeight="false" outlineLevel="0" collapsed="false">
      <c r="A5182" s="2" t="s">
        <v>383</v>
      </c>
      <c r="B5182" s="2" t="s">
        <v>384</v>
      </c>
      <c r="C5182" s="2" t="s">
        <v>49</v>
      </c>
      <c r="D5182" s="3" t="n">
        <v>46238</v>
      </c>
      <c r="E5182" s="2" t="str">
        <f aca="false">TEXT(D5182,"dddd")</f>
        <v>Tuesday</v>
      </c>
      <c r="F5182" s="2" t="s">
        <v>457</v>
      </c>
      <c r="G5182" s="2" t="s">
        <v>458</v>
      </c>
      <c r="H5182" s="2" t="s">
        <v>459</v>
      </c>
      <c r="I5182" s="2" t="n">
        <f aca="false">IF(F5182="Present",9,IF(F5182="Half Day",4,0))</f>
        <v>9</v>
      </c>
      <c r="J5182" s="2"/>
      <c r="K5182" s="2"/>
    </row>
    <row r="5183" customFormat="false" ht="15" hidden="false" customHeight="false" outlineLevel="0" collapsed="false">
      <c r="A5183" s="2" t="s">
        <v>383</v>
      </c>
      <c r="B5183" s="2" t="s">
        <v>384</v>
      </c>
      <c r="C5183" s="2" t="s">
        <v>49</v>
      </c>
      <c r="D5183" s="3" t="n">
        <v>46239</v>
      </c>
      <c r="E5183" s="2" t="str">
        <f aca="false">TEXT(D5183,"dddd")</f>
        <v>Wednesday</v>
      </c>
      <c r="F5183" s="2" t="s">
        <v>457</v>
      </c>
      <c r="G5183" s="2" t="s">
        <v>458</v>
      </c>
      <c r="H5183" s="2" t="s">
        <v>459</v>
      </c>
      <c r="I5183" s="2" t="n">
        <f aca="false">IF(F5183="Present",9,IF(F5183="Half Day",4,0))</f>
        <v>9</v>
      </c>
      <c r="J5183" s="2"/>
      <c r="K5183" s="2"/>
    </row>
    <row r="5184" customFormat="false" ht="15" hidden="false" customHeight="false" outlineLevel="0" collapsed="false">
      <c r="A5184" s="2" t="s">
        <v>383</v>
      </c>
      <c r="B5184" s="2" t="s">
        <v>384</v>
      </c>
      <c r="C5184" s="2" t="s">
        <v>49</v>
      </c>
      <c r="D5184" s="3" t="n">
        <v>46240</v>
      </c>
      <c r="E5184" s="2" t="str">
        <f aca="false">TEXT(D5184,"dddd")</f>
        <v>Thursday</v>
      </c>
      <c r="F5184" s="2" t="s">
        <v>457</v>
      </c>
      <c r="G5184" s="2" t="s">
        <v>458</v>
      </c>
      <c r="H5184" s="2" t="s">
        <v>459</v>
      </c>
      <c r="I5184" s="2" t="n">
        <f aca="false">IF(F5184="Present",9,IF(F5184="Half Day",4,0))</f>
        <v>9</v>
      </c>
      <c r="J5184" s="2"/>
      <c r="K5184" s="2"/>
    </row>
    <row r="5185" customFormat="false" ht="15" hidden="false" customHeight="false" outlineLevel="0" collapsed="false">
      <c r="A5185" s="2" t="s">
        <v>383</v>
      </c>
      <c r="B5185" s="2" t="s">
        <v>384</v>
      </c>
      <c r="C5185" s="2" t="s">
        <v>49</v>
      </c>
      <c r="D5185" s="3" t="n">
        <v>46241</v>
      </c>
      <c r="E5185" s="2" t="str">
        <f aca="false">TEXT(D5185,"dddd")</f>
        <v>Friday</v>
      </c>
      <c r="F5185" s="2" t="s">
        <v>457</v>
      </c>
      <c r="G5185" s="2" t="s">
        <v>458</v>
      </c>
      <c r="H5185" s="2" t="s">
        <v>459</v>
      </c>
      <c r="I5185" s="2" t="n">
        <f aca="false">IF(F5185="Present",9,IF(F5185="Half Day",4,0))</f>
        <v>9</v>
      </c>
      <c r="J5185" s="2"/>
      <c r="K5185" s="2"/>
    </row>
    <row r="5186" customFormat="false" ht="15" hidden="false" customHeight="false" outlineLevel="0" collapsed="false">
      <c r="A5186" s="2" t="s">
        <v>383</v>
      </c>
      <c r="B5186" s="2" t="s">
        <v>384</v>
      </c>
      <c r="C5186" s="2" t="s">
        <v>49</v>
      </c>
      <c r="D5186" s="3" t="n">
        <v>46242</v>
      </c>
      <c r="E5186" s="2" t="str">
        <f aca="false">TEXT(D5186,"dddd")</f>
        <v>Saturday</v>
      </c>
      <c r="F5186" s="2" t="s">
        <v>457</v>
      </c>
      <c r="G5186" s="2" t="s">
        <v>458</v>
      </c>
      <c r="H5186" s="2" t="s">
        <v>459</v>
      </c>
      <c r="I5186" s="2" t="n">
        <f aca="false">IF(F5186="Present",9,IF(F5186="Half Day",4,0))</f>
        <v>9</v>
      </c>
      <c r="J5186" s="2"/>
      <c r="K5186" s="2"/>
    </row>
    <row r="5187" customFormat="false" ht="15" hidden="false" customHeight="false" outlineLevel="0" collapsed="false">
      <c r="A5187" s="2" t="s">
        <v>383</v>
      </c>
      <c r="B5187" s="2" t="s">
        <v>384</v>
      </c>
      <c r="C5187" s="2" t="s">
        <v>49</v>
      </c>
      <c r="D5187" s="3" t="n">
        <v>46243</v>
      </c>
      <c r="E5187" s="2" t="str">
        <f aca="false">TEXT(D5187,"dddd")</f>
        <v>Sunday</v>
      </c>
      <c r="F5187" s="2" t="s">
        <v>460</v>
      </c>
      <c r="G5187" s="2"/>
      <c r="H5187" s="2"/>
      <c r="I5187" s="2" t="n">
        <f aca="false">IF(F5187="Present",9,IF(F5187="Half Day",4,0))</f>
        <v>0</v>
      </c>
      <c r="J5187" s="2"/>
      <c r="K5187" s="2" t="s">
        <v>460</v>
      </c>
    </row>
    <row r="5188" customFormat="false" ht="15" hidden="false" customHeight="false" outlineLevel="0" collapsed="false">
      <c r="A5188" s="2" t="s">
        <v>383</v>
      </c>
      <c r="B5188" s="2" t="s">
        <v>384</v>
      </c>
      <c r="C5188" s="2" t="s">
        <v>49</v>
      </c>
      <c r="D5188" s="3" t="n">
        <v>46244</v>
      </c>
      <c r="E5188" s="2" t="str">
        <f aca="false">TEXT(D5188,"dddd")</f>
        <v>Monday</v>
      </c>
      <c r="F5188" s="2" t="s">
        <v>457</v>
      </c>
      <c r="G5188" s="2" t="s">
        <v>458</v>
      </c>
      <c r="H5188" s="2" t="s">
        <v>459</v>
      </c>
      <c r="I5188" s="2" t="n">
        <f aca="false">IF(F5188="Present",9,IF(F5188="Half Day",4,0))</f>
        <v>9</v>
      </c>
      <c r="J5188" s="2"/>
      <c r="K5188" s="2"/>
    </row>
    <row r="5189" customFormat="false" ht="15" hidden="false" customHeight="false" outlineLevel="0" collapsed="false">
      <c r="A5189" s="2" t="s">
        <v>383</v>
      </c>
      <c r="B5189" s="2" t="s">
        <v>384</v>
      </c>
      <c r="C5189" s="2" t="s">
        <v>49</v>
      </c>
      <c r="D5189" s="3" t="n">
        <v>46245</v>
      </c>
      <c r="E5189" s="2" t="str">
        <f aca="false">TEXT(D5189,"dddd")</f>
        <v>Tuesday</v>
      </c>
      <c r="F5189" s="2" t="s">
        <v>457</v>
      </c>
      <c r="G5189" s="2" t="s">
        <v>458</v>
      </c>
      <c r="H5189" s="2" t="s">
        <v>459</v>
      </c>
      <c r="I5189" s="2" t="n">
        <f aca="false">IF(F5189="Present",9,IF(F5189="Half Day",4,0))</f>
        <v>9</v>
      </c>
      <c r="J5189" s="2"/>
      <c r="K5189" s="2"/>
    </row>
    <row r="5190" customFormat="false" ht="15" hidden="false" customHeight="false" outlineLevel="0" collapsed="false">
      <c r="A5190" s="2" t="s">
        <v>383</v>
      </c>
      <c r="B5190" s="2" t="s">
        <v>384</v>
      </c>
      <c r="C5190" s="2" t="s">
        <v>49</v>
      </c>
      <c r="D5190" s="3" t="n">
        <v>46246</v>
      </c>
      <c r="E5190" s="2" t="str">
        <f aca="false">TEXT(D5190,"dddd")</f>
        <v>Wednesday</v>
      </c>
      <c r="F5190" s="2" t="s">
        <v>457</v>
      </c>
      <c r="G5190" s="2" t="s">
        <v>458</v>
      </c>
      <c r="H5190" s="2" t="s">
        <v>459</v>
      </c>
      <c r="I5190" s="2" t="n">
        <f aca="false">IF(F5190="Present",9,IF(F5190="Half Day",4,0))</f>
        <v>9</v>
      </c>
      <c r="J5190" s="2"/>
      <c r="K5190" s="2"/>
    </row>
    <row r="5191" customFormat="false" ht="15" hidden="false" customHeight="false" outlineLevel="0" collapsed="false">
      <c r="A5191" s="2" t="s">
        <v>383</v>
      </c>
      <c r="B5191" s="2" t="s">
        <v>384</v>
      </c>
      <c r="C5191" s="2" t="s">
        <v>49</v>
      </c>
      <c r="D5191" s="3" t="n">
        <v>46247</v>
      </c>
      <c r="E5191" s="2" t="str">
        <f aca="false">TEXT(D5191,"dddd")</f>
        <v>Thursday</v>
      </c>
      <c r="F5191" s="2" t="s">
        <v>457</v>
      </c>
      <c r="G5191" s="2" t="s">
        <v>458</v>
      </c>
      <c r="H5191" s="2" t="s">
        <v>459</v>
      </c>
      <c r="I5191" s="2" t="n">
        <f aca="false">IF(F5191="Present",9,IF(F5191="Half Day",4,0))</f>
        <v>9</v>
      </c>
      <c r="J5191" s="2"/>
      <c r="K5191" s="2"/>
    </row>
    <row r="5192" customFormat="false" ht="15" hidden="false" customHeight="false" outlineLevel="0" collapsed="false">
      <c r="A5192" s="2" t="s">
        <v>383</v>
      </c>
      <c r="B5192" s="2" t="s">
        <v>384</v>
      </c>
      <c r="C5192" s="2" t="s">
        <v>49</v>
      </c>
      <c r="D5192" s="3" t="n">
        <v>46248</v>
      </c>
      <c r="E5192" s="2" t="str">
        <f aca="false">TEXT(D5192,"dddd")</f>
        <v>Friday</v>
      </c>
      <c r="F5192" s="2" t="s">
        <v>457</v>
      </c>
      <c r="G5192" s="2" t="s">
        <v>458</v>
      </c>
      <c r="H5192" s="2" t="s">
        <v>459</v>
      </c>
      <c r="I5192" s="2" t="n">
        <f aca="false">IF(F5192="Present",9,IF(F5192="Half Day",4,0))</f>
        <v>9</v>
      </c>
      <c r="J5192" s="2"/>
      <c r="K5192" s="2"/>
    </row>
    <row r="5193" customFormat="false" ht="15" hidden="false" customHeight="false" outlineLevel="0" collapsed="false">
      <c r="A5193" s="2" t="s">
        <v>383</v>
      </c>
      <c r="B5193" s="2" t="s">
        <v>384</v>
      </c>
      <c r="C5193" s="2" t="s">
        <v>49</v>
      </c>
      <c r="D5193" s="3" t="n">
        <v>46249</v>
      </c>
      <c r="E5193" s="2" t="str">
        <f aca="false">TEXT(D5193,"dddd")</f>
        <v>Saturday</v>
      </c>
      <c r="F5193" s="2" t="s">
        <v>457</v>
      </c>
      <c r="G5193" s="2" t="s">
        <v>458</v>
      </c>
      <c r="H5193" s="2" t="s">
        <v>459</v>
      </c>
      <c r="I5193" s="2" t="n">
        <f aca="false">IF(F5193="Present",9,IF(F5193="Half Day",4,0))</f>
        <v>9</v>
      </c>
      <c r="J5193" s="2"/>
      <c r="K5193" s="2"/>
    </row>
    <row r="5194" customFormat="false" ht="15" hidden="false" customHeight="false" outlineLevel="0" collapsed="false">
      <c r="A5194" s="2" t="s">
        <v>383</v>
      </c>
      <c r="B5194" s="2" t="s">
        <v>384</v>
      </c>
      <c r="C5194" s="2" t="s">
        <v>49</v>
      </c>
      <c r="D5194" s="3" t="n">
        <v>46250</v>
      </c>
      <c r="E5194" s="2" t="str">
        <f aca="false">TEXT(D5194,"dddd")</f>
        <v>Sunday</v>
      </c>
      <c r="F5194" s="2" t="s">
        <v>460</v>
      </c>
      <c r="G5194" s="2"/>
      <c r="H5194" s="2"/>
      <c r="I5194" s="2" t="n">
        <f aca="false">IF(F5194="Present",9,IF(F5194="Half Day",4,0))</f>
        <v>0</v>
      </c>
      <c r="J5194" s="2"/>
      <c r="K5194" s="2" t="s">
        <v>460</v>
      </c>
    </row>
    <row r="5195" customFormat="false" ht="15" hidden="false" customHeight="false" outlineLevel="0" collapsed="false">
      <c r="A5195" s="2" t="s">
        <v>383</v>
      </c>
      <c r="B5195" s="2" t="s">
        <v>384</v>
      </c>
      <c r="C5195" s="2" t="s">
        <v>49</v>
      </c>
      <c r="D5195" s="3" t="n">
        <v>46251</v>
      </c>
      <c r="E5195" s="2" t="str">
        <f aca="false">TEXT(D5195,"dddd")</f>
        <v>Monday</v>
      </c>
      <c r="F5195" s="2" t="s">
        <v>457</v>
      </c>
      <c r="G5195" s="2" t="s">
        <v>458</v>
      </c>
      <c r="H5195" s="2" t="s">
        <v>459</v>
      </c>
      <c r="I5195" s="2" t="n">
        <f aca="false">IF(F5195="Present",9,IF(F5195="Half Day",4,0))</f>
        <v>9</v>
      </c>
      <c r="J5195" s="2"/>
      <c r="K5195" s="2"/>
    </row>
    <row r="5196" customFormat="false" ht="15" hidden="false" customHeight="false" outlineLevel="0" collapsed="false">
      <c r="A5196" s="2" t="s">
        <v>383</v>
      </c>
      <c r="B5196" s="2" t="s">
        <v>384</v>
      </c>
      <c r="C5196" s="2" t="s">
        <v>49</v>
      </c>
      <c r="D5196" s="3" t="n">
        <v>46252</v>
      </c>
      <c r="E5196" s="2" t="str">
        <f aca="false">TEXT(D5196,"dddd")</f>
        <v>Tuesday</v>
      </c>
      <c r="F5196" s="2" t="s">
        <v>457</v>
      </c>
      <c r="G5196" s="2" t="s">
        <v>458</v>
      </c>
      <c r="H5196" s="2" t="s">
        <v>459</v>
      </c>
      <c r="I5196" s="2" t="n">
        <f aca="false">IF(F5196="Present",9,IF(F5196="Half Day",4,0))</f>
        <v>9</v>
      </c>
      <c r="J5196" s="2"/>
      <c r="K5196" s="2"/>
    </row>
    <row r="5197" customFormat="false" ht="15" hidden="false" customHeight="false" outlineLevel="0" collapsed="false">
      <c r="A5197" s="2" t="s">
        <v>383</v>
      </c>
      <c r="B5197" s="2" t="s">
        <v>384</v>
      </c>
      <c r="C5197" s="2" t="s">
        <v>49</v>
      </c>
      <c r="D5197" s="3" t="n">
        <v>46253</v>
      </c>
      <c r="E5197" s="2" t="str">
        <f aca="false">TEXT(D5197,"dddd")</f>
        <v>Wednesday</v>
      </c>
      <c r="F5197" s="2" t="s">
        <v>461</v>
      </c>
      <c r="G5197" s="2"/>
      <c r="H5197" s="2"/>
      <c r="I5197" s="2" t="n">
        <f aca="false">IF(F5197="Present",9,IF(F5197="Half Day",4,0))</f>
        <v>0</v>
      </c>
      <c r="J5197" s="2"/>
      <c r="K5197" s="2" t="s">
        <v>462</v>
      </c>
    </row>
    <row r="5198" customFormat="false" ht="15" hidden="false" customHeight="false" outlineLevel="0" collapsed="false">
      <c r="A5198" s="2" t="s">
        <v>383</v>
      </c>
      <c r="B5198" s="2" t="s">
        <v>384</v>
      </c>
      <c r="C5198" s="2" t="s">
        <v>49</v>
      </c>
      <c r="D5198" s="3" t="n">
        <v>46254</v>
      </c>
      <c r="E5198" s="2" t="str">
        <f aca="false">TEXT(D5198,"dddd")</f>
        <v>Thursday</v>
      </c>
      <c r="F5198" s="2" t="s">
        <v>457</v>
      </c>
      <c r="G5198" s="2" t="s">
        <v>458</v>
      </c>
      <c r="H5198" s="2" t="s">
        <v>459</v>
      </c>
      <c r="I5198" s="2" t="n">
        <f aca="false">IF(F5198="Present",9,IF(F5198="Half Day",4,0))</f>
        <v>9</v>
      </c>
      <c r="J5198" s="2"/>
      <c r="K5198" s="2"/>
    </row>
    <row r="5199" customFormat="false" ht="15" hidden="false" customHeight="false" outlineLevel="0" collapsed="false">
      <c r="A5199" s="2" t="s">
        <v>383</v>
      </c>
      <c r="B5199" s="2" t="s">
        <v>384</v>
      </c>
      <c r="C5199" s="2" t="s">
        <v>49</v>
      </c>
      <c r="D5199" s="3" t="n">
        <v>46255</v>
      </c>
      <c r="E5199" s="2" t="str">
        <f aca="false">TEXT(D5199,"dddd")</f>
        <v>Friday</v>
      </c>
      <c r="F5199" s="2" t="s">
        <v>457</v>
      </c>
      <c r="G5199" s="2" t="s">
        <v>458</v>
      </c>
      <c r="H5199" s="2" t="s">
        <v>459</v>
      </c>
      <c r="I5199" s="2" t="n">
        <f aca="false">IF(F5199="Present",9,IF(F5199="Half Day",4,0))</f>
        <v>9</v>
      </c>
      <c r="J5199" s="2"/>
      <c r="K5199" s="2"/>
    </row>
    <row r="5200" customFormat="false" ht="15" hidden="false" customHeight="false" outlineLevel="0" collapsed="false">
      <c r="A5200" s="2" t="s">
        <v>383</v>
      </c>
      <c r="B5200" s="2" t="s">
        <v>384</v>
      </c>
      <c r="C5200" s="2" t="s">
        <v>49</v>
      </c>
      <c r="D5200" s="3" t="n">
        <v>46256</v>
      </c>
      <c r="E5200" s="2" t="str">
        <f aca="false">TEXT(D5200,"dddd")</f>
        <v>Saturday</v>
      </c>
      <c r="F5200" s="2" t="s">
        <v>461</v>
      </c>
      <c r="G5200" s="2"/>
      <c r="H5200" s="2"/>
      <c r="I5200" s="2" t="n">
        <f aca="false">IF(F5200="Present",9,IF(F5200="Half Day",4,0))</f>
        <v>0</v>
      </c>
      <c r="J5200" s="2"/>
      <c r="K5200" s="2" t="s">
        <v>462</v>
      </c>
    </row>
    <row r="5201" customFormat="false" ht="15" hidden="false" customHeight="false" outlineLevel="0" collapsed="false">
      <c r="A5201" s="2" t="s">
        <v>383</v>
      </c>
      <c r="B5201" s="2" t="s">
        <v>384</v>
      </c>
      <c r="C5201" s="2" t="s">
        <v>49</v>
      </c>
      <c r="D5201" s="3" t="n">
        <v>46257</v>
      </c>
      <c r="E5201" s="2" t="str">
        <f aca="false">TEXT(D5201,"dddd")</f>
        <v>Sunday</v>
      </c>
      <c r="F5201" s="2" t="s">
        <v>460</v>
      </c>
      <c r="G5201" s="2"/>
      <c r="H5201" s="2"/>
      <c r="I5201" s="2" t="n">
        <f aca="false">IF(F5201="Present",9,IF(F5201="Half Day",4,0))</f>
        <v>0</v>
      </c>
      <c r="J5201" s="2"/>
      <c r="K5201" s="2" t="s">
        <v>460</v>
      </c>
    </row>
    <row r="5202" customFormat="false" ht="15" hidden="false" customHeight="false" outlineLevel="0" collapsed="false">
      <c r="A5202" s="2" t="s">
        <v>383</v>
      </c>
      <c r="B5202" s="2" t="s">
        <v>384</v>
      </c>
      <c r="C5202" s="2" t="s">
        <v>49</v>
      </c>
      <c r="D5202" s="3" t="n">
        <v>46258</v>
      </c>
      <c r="E5202" s="2" t="str">
        <f aca="false">TEXT(D5202,"dddd")</f>
        <v>Monday</v>
      </c>
      <c r="F5202" s="2" t="s">
        <v>463</v>
      </c>
      <c r="G5202" s="2"/>
      <c r="H5202" s="2"/>
      <c r="I5202" s="2" t="n">
        <f aca="false">IF(F5202="Present",9,IF(F5202="Half Day",4,0))</f>
        <v>0</v>
      </c>
      <c r="J5202" s="2" t="s">
        <v>474</v>
      </c>
      <c r="K5202" s="2" t="s">
        <v>475</v>
      </c>
    </row>
    <row r="5203" customFormat="false" ht="15" hidden="false" customHeight="false" outlineLevel="0" collapsed="false">
      <c r="A5203" s="2" t="s">
        <v>383</v>
      </c>
      <c r="B5203" s="2" t="s">
        <v>384</v>
      </c>
      <c r="C5203" s="2" t="s">
        <v>49</v>
      </c>
      <c r="D5203" s="3" t="n">
        <v>46259</v>
      </c>
      <c r="E5203" s="2" t="str">
        <f aca="false">TEXT(D5203,"dddd")</f>
        <v>Tuesday</v>
      </c>
      <c r="F5203" s="2" t="s">
        <v>457</v>
      </c>
      <c r="G5203" s="2" t="s">
        <v>458</v>
      </c>
      <c r="H5203" s="2" t="s">
        <v>459</v>
      </c>
      <c r="I5203" s="2" t="n">
        <f aca="false">IF(F5203="Present",9,IF(F5203="Half Day",4,0))</f>
        <v>9</v>
      </c>
      <c r="J5203" s="2"/>
      <c r="K5203" s="2"/>
    </row>
    <row r="5204" customFormat="false" ht="15" hidden="false" customHeight="false" outlineLevel="0" collapsed="false">
      <c r="A5204" s="2" t="s">
        <v>383</v>
      </c>
      <c r="B5204" s="2" t="s">
        <v>384</v>
      </c>
      <c r="C5204" s="2" t="s">
        <v>49</v>
      </c>
      <c r="D5204" s="3" t="n">
        <v>46260</v>
      </c>
      <c r="E5204" s="2" t="str">
        <f aca="false">TEXT(D5204,"dddd")</f>
        <v>Wednesday</v>
      </c>
      <c r="F5204" s="2" t="s">
        <v>457</v>
      </c>
      <c r="G5204" s="2" t="s">
        <v>458</v>
      </c>
      <c r="H5204" s="2" t="s">
        <v>459</v>
      </c>
      <c r="I5204" s="2" t="n">
        <f aca="false">IF(F5204="Present",9,IF(F5204="Half Day",4,0))</f>
        <v>9</v>
      </c>
      <c r="J5204" s="2"/>
      <c r="K5204" s="2"/>
    </row>
    <row r="5205" customFormat="false" ht="15" hidden="false" customHeight="false" outlineLevel="0" collapsed="false">
      <c r="A5205" s="2" t="s">
        <v>383</v>
      </c>
      <c r="B5205" s="2" t="s">
        <v>384</v>
      </c>
      <c r="C5205" s="2" t="s">
        <v>49</v>
      </c>
      <c r="D5205" s="3" t="n">
        <v>46261</v>
      </c>
      <c r="E5205" s="2" t="str">
        <f aca="false">TEXT(D5205,"dddd")</f>
        <v>Thursday</v>
      </c>
      <c r="F5205" s="2" t="s">
        <v>457</v>
      </c>
      <c r="G5205" s="2" t="s">
        <v>458</v>
      </c>
      <c r="H5205" s="2" t="s">
        <v>459</v>
      </c>
      <c r="I5205" s="2" t="n">
        <f aca="false">IF(F5205="Present",9,IF(F5205="Half Day",4,0))</f>
        <v>9</v>
      </c>
      <c r="J5205" s="2"/>
      <c r="K5205" s="2"/>
    </row>
    <row r="5206" customFormat="false" ht="15" hidden="false" customHeight="false" outlineLevel="0" collapsed="false">
      <c r="A5206" s="2" t="s">
        <v>383</v>
      </c>
      <c r="B5206" s="2" t="s">
        <v>384</v>
      </c>
      <c r="C5206" s="2" t="s">
        <v>49</v>
      </c>
      <c r="D5206" s="3" t="n">
        <v>46262</v>
      </c>
      <c r="E5206" s="2" t="str">
        <f aca="false">TEXT(D5206,"dddd")</f>
        <v>Friday</v>
      </c>
      <c r="F5206" s="2" t="s">
        <v>457</v>
      </c>
      <c r="G5206" s="2" t="s">
        <v>458</v>
      </c>
      <c r="H5206" s="2" t="s">
        <v>459</v>
      </c>
      <c r="I5206" s="2" t="n">
        <f aca="false">IF(F5206="Present",9,IF(F5206="Half Day",4,0))</f>
        <v>9</v>
      </c>
      <c r="J5206" s="2"/>
      <c r="K5206" s="2"/>
    </row>
    <row r="5207" customFormat="false" ht="15" hidden="false" customHeight="false" outlineLevel="0" collapsed="false">
      <c r="A5207" s="2" t="s">
        <v>383</v>
      </c>
      <c r="B5207" s="2" t="s">
        <v>384</v>
      </c>
      <c r="C5207" s="2" t="s">
        <v>49</v>
      </c>
      <c r="D5207" s="3" t="n">
        <v>46263</v>
      </c>
      <c r="E5207" s="2" t="str">
        <f aca="false">TEXT(D5207,"dddd")</f>
        <v>Saturday</v>
      </c>
      <c r="F5207" s="2" t="s">
        <v>457</v>
      </c>
      <c r="G5207" s="2" t="s">
        <v>458</v>
      </c>
      <c r="H5207" s="2" t="s">
        <v>459</v>
      </c>
      <c r="I5207" s="2" t="n">
        <f aca="false">IF(F5207="Present",9,IF(F5207="Half Day",4,0))</f>
        <v>9</v>
      </c>
      <c r="J5207" s="2"/>
      <c r="K5207" s="2"/>
    </row>
    <row r="5208" customFormat="false" ht="15" hidden="false" customHeight="false" outlineLevel="0" collapsed="false">
      <c r="A5208" s="2" t="s">
        <v>383</v>
      </c>
      <c r="B5208" s="2" t="s">
        <v>384</v>
      </c>
      <c r="C5208" s="2" t="s">
        <v>49</v>
      </c>
      <c r="D5208" s="3" t="n">
        <v>46264</v>
      </c>
      <c r="E5208" s="2" t="str">
        <f aca="false">TEXT(D5208,"dddd")</f>
        <v>Sunday</v>
      </c>
      <c r="F5208" s="2" t="s">
        <v>460</v>
      </c>
      <c r="G5208" s="2"/>
      <c r="H5208" s="2"/>
      <c r="I5208" s="2" t="n">
        <f aca="false">IF(F5208="Present",9,IF(F5208="Half Day",4,0))</f>
        <v>0</v>
      </c>
      <c r="J5208" s="2"/>
      <c r="K5208" s="2" t="s">
        <v>460</v>
      </c>
    </row>
    <row r="5209" customFormat="false" ht="15" hidden="false" customHeight="false" outlineLevel="0" collapsed="false">
      <c r="A5209" s="2" t="s">
        <v>383</v>
      </c>
      <c r="B5209" s="2" t="s">
        <v>384</v>
      </c>
      <c r="C5209" s="2" t="s">
        <v>49</v>
      </c>
      <c r="D5209" s="3" t="n">
        <v>46265</v>
      </c>
      <c r="E5209" s="2" t="str">
        <f aca="false">TEXT(D5209,"dddd")</f>
        <v>Monday</v>
      </c>
      <c r="F5209" s="2" t="s">
        <v>463</v>
      </c>
      <c r="G5209" s="2"/>
      <c r="H5209" s="2"/>
      <c r="I5209" s="2" t="n">
        <f aca="false">IF(F5209="Present",9,IF(F5209="Half Day",4,0))</f>
        <v>0</v>
      </c>
      <c r="J5209" s="2" t="s">
        <v>464</v>
      </c>
      <c r="K5209" s="2" t="s">
        <v>465</v>
      </c>
    </row>
    <row r="5210" customFormat="false" ht="15" hidden="false" customHeight="false" outlineLevel="0" collapsed="false">
      <c r="A5210" s="2" t="s">
        <v>385</v>
      </c>
      <c r="B5210" s="2" t="s">
        <v>386</v>
      </c>
      <c r="C5210" s="2" t="s">
        <v>53</v>
      </c>
      <c r="D5210" s="3" t="n">
        <v>46235</v>
      </c>
      <c r="E5210" s="2" t="str">
        <f aca="false">TEXT(D5210,"dddd")</f>
        <v>Saturday</v>
      </c>
      <c r="F5210" s="2" t="s">
        <v>457</v>
      </c>
      <c r="G5210" s="2" t="s">
        <v>458</v>
      </c>
      <c r="H5210" s="2" t="s">
        <v>459</v>
      </c>
      <c r="I5210" s="2" t="n">
        <f aca="false">IF(F5210="Present",9,IF(F5210="Half Day",4,0))</f>
        <v>9</v>
      </c>
      <c r="J5210" s="2"/>
      <c r="K5210" s="2"/>
    </row>
    <row r="5211" customFormat="false" ht="15" hidden="false" customHeight="false" outlineLevel="0" collapsed="false">
      <c r="A5211" s="2" t="s">
        <v>385</v>
      </c>
      <c r="B5211" s="2" t="s">
        <v>386</v>
      </c>
      <c r="C5211" s="2" t="s">
        <v>53</v>
      </c>
      <c r="D5211" s="3" t="n">
        <v>46236</v>
      </c>
      <c r="E5211" s="2" t="str">
        <f aca="false">TEXT(D5211,"dddd")</f>
        <v>Sunday</v>
      </c>
      <c r="F5211" s="2" t="s">
        <v>460</v>
      </c>
      <c r="G5211" s="2"/>
      <c r="H5211" s="2"/>
      <c r="I5211" s="2" t="n">
        <f aca="false">IF(F5211="Present",9,IF(F5211="Half Day",4,0))</f>
        <v>0</v>
      </c>
      <c r="J5211" s="2"/>
      <c r="K5211" s="2" t="s">
        <v>460</v>
      </c>
    </row>
    <row r="5212" customFormat="false" ht="15" hidden="false" customHeight="false" outlineLevel="0" collapsed="false">
      <c r="A5212" s="2" t="s">
        <v>385</v>
      </c>
      <c r="B5212" s="2" t="s">
        <v>386</v>
      </c>
      <c r="C5212" s="2" t="s">
        <v>53</v>
      </c>
      <c r="D5212" s="3" t="n">
        <v>46237</v>
      </c>
      <c r="E5212" s="2" t="str">
        <f aca="false">TEXT(D5212,"dddd")</f>
        <v>Monday</v>
      </c>
      <c r="F5212" s="2" t="s">
        <v>457</v>
      </c>
      <c r="G5212" s="2" t="s">
        <v>458</v>
      </c>
      <c r="H5212" s="2" t="s">
        <v>459</v>
      </c>
      <c r="I5212" s="2" t="n">
        <f aca="false">IF(F5212="Present",9,IF(F5212="Half Day",4,0))</f>
        <v>9</v>
      </c>
      <c r="J5212" s="2"/>
      <c r="K5212" s="2"/>
    </row>
    <row r="5213" customFormat="false" ht="15" hidden="false" customHeight="false" outlineLevel="0" collapsed="false">
      <c r="A5213" s="2" t="s">
        <v>385</v>
      </c>
      <c r="B5213" s="2" t="s">
        <v>386</v>
      </c>
      <c r="C5213" s="2" t="s">
        <v>53</v>
      </c>
      <c r="D5213" s="3" t="n">
        <v>46238</v>
      </c>
      <c r="E5213" s="2" t="str">
        <f aca="false">TEXT(D5213,"dddd")</f>
        <v>Tuesday</v>
      </c>
      <c r="F5213" s="2" t="s">
        <v>457</v>
      </c>
      <c r="G5213" s="2" t="s">
        <v>458</v>
      </c>
      <c r="H5213" s="2" t="s">
        <v>459</v>
      </c>
      <c r="I5213" s="2" t="n">
        <f aca="false">IF(F5213="Present",9,IF(F5213="Half Day",4,0))</f>
        <v>9</v>
      </c>
      <c r="J5213" s="2"/>
      <c r="K5213" s="2"/>
    </row>
    <row r="5214" customFormat="false" ht="15" hidden="false" customHeight="false" outlineLevel="0" collapsed="false">
      <c r="A5214" s="2" t="s">
        <v>385</v>
      </c>
      <c r="B5214" s="2" t="s">
        <v>386</v>
      </c>
      <c r="C5214" s="2" t="s">
        <v>53</v>
      </c>
      <c r="D5214" s="3" t="n">
        <v>46239</v>
      </c>
      <c r="E5214" s="2" t="str">
        <f aca="false">TEXT(D5214,"dddd")</f>
        <v>Wednesday</v>
      </c>
      <c r="F5214" s="2" t="s">
        <v>457</v>
      </c>
      <c r="G5214" s="2" t="s">
        <v>458</v>
      </c>
      <c r="H5214" s="2" t="s">
        <v>459</v>
      </c>
      <c r="I5214" s="2" t="n">
        <f aca="false">IF(F5214="Present",9,IF(F5214="Half Day",4,0))</f>
        <v>9</v>
      </c>
      <c r="J5214" s="2"/>
      <c r="K5214" s="2"/>
    </row>
    <row r="5215" customFormat="false" ht="15" hidden="false" customHeight="false" outlineLevel="0" collapsed="false">
      <c r="A5215" s="2" t="s">
        <v>385</v>
      </c>
      <c r="B5215" s="2" t="s">
        <v>386</v>
      </c>
      <c r="C5215" s="2" t="s">
        <v>53</v>
      </c>
      <c r="D5215" s="3" t="n">
        <v>46240</v>
      </c>
      <c r="E5215" s="2" t="str">
        <f aca="false">TEXT(D5215,"dddd")</f>
        <v>Thursday</v>
      </c>
      <c r="F5215" s="2" t="s">
        <v>466</v>
      </c>
      <c r="G5215" s="2" t="s">
        <v>458</v>
      </c>
      <c r="H5215" s="2" t="s">
        <v>467</v>
      </c>
      <c r="I5215" s="2" t="n">
        <f aca="false">IF(F5215="Present",9,IF(F5215="Half Day",4,0))</f>
        <v>4</v>
      </c>
      <c r="J5215" s="2"/>
      <c r="K5215" s="2" t="s">
        <v>466</v>
      </c>
    </row>
    <row r="5216" customFormat="false" ht="15" hidden="false" customHeight="false" outlineLevel="0" collapsed="false">
      <c r="A5216" s="2" t="s">
        <v>385</v>
      </c>
      <c r="B5216" s="2" t="s">
        <v>386</v>
      </c>
      <c r="C5216" s="2" t="s">
        <v>53</v>
      </c>
      <c r="D5216" s="3" t="n">
        <v>46241</v>
      </c>
      <c r="E5216" s="2" t="str">
        <f aca="false">TEXT(D5216,"dddd")</f>
        <v>Friday</v>
      </c>
      <c r="F5216" s="2" t="s">
        <v>457</v>
      </c>
      <c r="G5216" s="2" t="s">
        <v>458</v>
      </c>
      <c r="H5216" s="2" t="s">
        <v>459</v>
      </c>
      <c r="I5216" s="2" t="n">
        <f aca="false">IF(F5216="Present",9,IF(F5216="Half Day",4,0))</f>
        <v>9</v>
      </c>
      <c r="J5216" s="2"/>
      <c r="K5216" s="2"/>
    </row>
    <row r="5217" customFormat="false" ht="15" hidden="false" customHeight="false" outlineLevel="0" collapsed="false">
      <c r="A5217" s="2" t="s">
        <v>385</v>
      </c>
      <c r="B5217" s="2" t="s">
        <v>386</v>
      </c>
      <c r="C5217" s="2" t="s">
        <v>53</v>
      </c>
      <c r="D5217" s="3" t="n">
        <v>46242</v>
      </c>
      <c r="E5217" s="2" t="str">
        <f aca="false">TEXT(D5217,"dddd")</f>
        <v>Saturday</v>
      </c>
      <c r="F5217" s="2" t="s">
        <v>457</v>
      </c>
      <c r="G5217" s="2" t="s">
        <v>458</v>
      </c>
      <c r="H5217" s="2" t="s">
        <v>459</v>
      </c>
      <c r="I5217" s="2" t="n">
        <f aca="false">IF(F5217="Present",9,IF(F5217="Half Day",4,0))</f>
        <v>9</v>
      </c>
      <c r="J5217" s="2"/>
      <c r="K5217" s="2"/>
    </row>
    <row r="5218" customFormat="false" ht="15" hidden="false" customHeight="false" outlineLevel="0" collapsed="false">
      <c r="A5218" s="2" t="s">
        <v>385</v>
      </c>
      <c r="B5218" s="2" t="s">
        <v>386</v>
      </c>
      <c r="C5218" s="2" t="s">
        <v>53</v>
      </c>
      <c r="D5218" s="3" t="n">
        <v>46243</v>
      </c>
      <c r="E5218" s="2" t="str">
        <f aca="false">TEXT(D5218,"dddd")</f>
        <v>Sunday</v>
      </c>
      <c r="F5218" s="2" t="s">
        <v>460</v>
      </c>
      <c r="G5218" s="2"/>
      <c r="H5218" s="2"/>
      <c r="I5218" s="2" t="n">
        <f aca="false">IF(F5218="Present",9,IF(F5218="Half Day",4,0))</f>
        <v>0</v>
      </c>
      <c r="J5218" s="2"/>
      <c r="K5218" s="2" t="s">
        <v>460</v>
      </c>
    </row>
    <row r="5219" customFormat="false" ht="15" hidden="false" customHeight="false" outlineLevel="0" collapsed="false">
      <c r="A5219" s="2" t="s">
        <v>385</v>
      </c>
      <c r="B5219" s="2" t="s">
        <v>386</v>
      </c>
      <c r="C5219" s="2" t="s">
        <v>53</v>
      </c>
      <c r="D5219" s="3" t="n">
        <v>46244</v>
      </c>
      <c r="E5219" s="2" t="str">
        <f aca="false">TEXT(D5219,"dddd")</f>
        <v>Monday</v>
      </c>
      <c r="F5219" s="2" t="s">
        <v>457</v>
      </c>
      <c r="G5219" s="2" t="s">
        <v>458</v>
      </c>
      <c r="H5219" s="2" t="s">
        <v>459</v>
      </c>
      <c r="I5219" s="2" t="n">
        <f aca="false">IF(F5219="Present",9,IF(F5219="Half Day",4,0))</f>
        <v>9</v>
      </c>
      <c r="J5219" s="2"/>
      <c r="K5219" s="2"/>
    </row>
    <row r="5220" customFormat="false" ht="15" hidden="false" customHeight="false" outlineLevel="0" collapsed="false">
      <c r="A5220" s="2" t="s">
        <v>385</v>
      </c>
      <c r="B5220" s="2" t="s">
        <v>386</v>
      </c>
      <c r="C5220" s="2" t="s">
        <v>53</v>
      </c>
      <c r="D5220" s="3" t="n">
        <v>46245</v>
      </c>
      <c r="E5220" s="2" t="str">
        <f aca="false">TEXT(D5220,"dddd")</f>
        <v>Tuesday</v>
      </c>
      <c r="F5220" s="2" t="s">
        <v>457</v>
      </c>
      <c r="G5220" s="2" t="s">
        <v>458</v>
      </c>
      <c r="H5220" s="2" t="s">
        <v>459</v>
      </c>
      <c r="I5220" s="2" t="n">
        <f aca="false">IF(F5220="Present",9,IF(F5220="Half Day",4,0))</f>
        <v>9</v>
      </c>
      <c r="J5220" s="2"/>
      <c r="K5220" s="2"/>
    </row>
    <row r="5221" customFormat="false" ht="15" hidden="false" customHeight="false" outlineLevel="0" collapsed="false">
      <c r="A5221" s="2" t="s">
        <v>385</v>
      </c>
      <c r="B5221" s="2" t="s">
        <v>386</v>
      </c>
      <c r="C5221" s="2" t="s">
        <v>53</v>
      </c>
      <c r="D5221" s="3" t="n">
        <v>46246</v>
      </c>
      <c r="E5221" s="2" t="str">
        <f aca="false">TEXT(D5221,"dddd")</f>
        <v>Wednesday</v>
      </c>
      <c r="F5221" s="2" t="s">
        <v>457</v>
      </c>
      <c r="G5221" s="2" t="s">
        <v>458</v>
      </c>
      <c r="H5221" s="2" t="s">
        <v>459</v>
      </c>
      <c r="I5221" s="2" t="n">
        <f aca="false">IF(F5221="Present",9,IF(F5221="Half Day",4,0))</f>
        <v>9</v>
      </c>
      <c r="J5221" s="2"/>
      <c r="K5221" s="2"/>
    </row>
    <row r="5222" customFormat="false" ht="15" hidden="false" customHeight="false" outlineLevel="0" collapsed="false">
      <c r="A5222" s="2" t="s">
        <v>385</v>
      </c>
      <c r="B5222" s="2" t="s">
        <v>386</v>
      </c>
      <c r="C5222" s="2" t="s">
        <v>53</v>
      </c>
      <c r="D5222" s="3" t="n">
        <v>46247</v>
      </c>
      <c r="E5222" s="2" t="str">
        <f aca="false">TEXT(D5222,"dddd")</f>
        <v>Thursday</v>
      </c>
      <c r="F5222" s="2" t="s">
        <v>457</v>
      </c>
      <c r="G5222" s="2" t="s">
        <v>458</v>
      </c>
      <c r="H5222" s="2" t="s">
        <v>459</v>
      </c>
      <c r="I5222" s="2" t="n">
        <f aca="false">IF(F5222="Present",9,IF(F5222="Half Day",4,0))</f>
        <v>9</v>
      </c>
      <c r="J5222" s="2"/>
      <c r="K5222" s="2"/>
    </row>
    <row r="5223" customFormat="false" ht="15" hidden="false" customHeight="false" outlineLevel="0" collapsed="false">
      <c r="A5223" s="2" t="s">
        <v>385</v>
      </c>
      <c r="B5223" s="2" t="s">
        <v>386</v>
      </c>
      <c r="C5223" s="2" t="s">
        <v>53</v>
      </c>
      <c r="D5223" s="3" t="n">
        <v>46248</v>
      </c>
      <c r="E5223" s="2" t="str">
        <f aca="false">TEXT(D5223,"dddd")</f>
        <v>Friday</v>
      </c>
      <c r="F5223" s="2" t="s">
        <v>457</v>
      </c>
      <c r="G5223" s="2" t="s">
        <v>458</v>
      </c>
      <c r="H5223" s="2" t="s">
        <v>459</v>
      </c>
      <c r="I5223" s="2" t="n">
        <f aca="false">IF(F5223="Present",9,IF(F5223="Half Day",4,0))</f>
        <v>9</v>
      </c>
      <c r="J5223" s="2"/>
      <c r="K5223" s="2"/>
    </row>
    <row r="5224" customFormat="false" ht="15" hidden="false" customHeight="false" outlineLevel="0" collapsed="false">
      <c r="A5224" s="2" t="s">
        <v>385</v>
      </c>
      <c r="B5224" s="2" t="s">
        <v>386</v>
      </c>
      <c r="C5224" s="2" t="s">
        <v>53</v>
      </c>
      <c r="D5224" s="3" t="n">
        <v>46249</v>
      </c>
      <c r="E5224" s="2" t="str">
        <f aca="false">TEXT(D5224,"dddd")</f>
        <v>Saturday</v>
      </c>
      <c r="F5224" s="2" t="s">
        <v>457</v>
      </c>
      <c r="G5224" s="2" t="s">
        <v>458</v>
      </c>
      <c r="H5224" s="2" t="s">
        <v>459</v>
      </c>
      <c r="I5224" s="2" t="n">
        <f aca="false">IF(F5224="Present",9,IF(F5224="Half Day",4,0))</f>
        <v>9</v>
      </c>
      <c r="J5224" s="2"/>
      <c r="K5224" s="2"/>
    </row>
    <row r="5225" customFormat="false" ht="15" hidden="false" customHeight="false" outlineLevel="0" collapsed="false">
      <c r="A5225" s="2" t="s">
        <v>385</v>
      </c>
      <c r="B5225" s="2" t="s">
        <v>386</v>
      </c>
      <c r="C5225" s="2" t="s">
        <v>53</v>
      </c>
      <c r="D5225" s="3" t="n">
        <v>46250</v>
      </c>
      <c r="E5225" s="2" t="str">
        <f aca="false">TEXT(D5225,"dddd")</f>
        <v>Sunday</v>
      </c>
      <c r="F5225" s="2" t="s">
        <v>460</v>
      </c>
      <c r="G5225" s="2"/>
      <c r="H5225" s="2"/>
      <c r="I5225" s="2" t="n">
        <f aca="false">IF(F5225="Present",9,IF(F5225="Half Day",4,0))</f>
        <v>0</v>
      </c>
      <c r="J5225" s="2"/>
      <c r="K5225" s="2" t="s">
        <v>460</v>
      </c>
    </row>
    <row r="5226" customFormat="false" ht="15" hidden="false" customHeight="false" outlineLevel="0" collapsed="false">
      <c r="A5226" s="2" t="s">
        <v>385</v>
      </c>
      <c r="B5226" s="2" t="s">
        <v>386</v>
      </c>
      <c r="C5226" s="2" t="s">
        <v>53</v>
      </c>
      <c r="D5226" s="3" t="n">
        <v>46251</v>
      </c>
      <c r="E5226" s="2" t="str">
        <f aca="false">TEXT(D5226,"dddd")</f>
        <v>Monday</v>
      </c>
      <c r="F5226" s="2" t="s">
        <v>457</v>
      </c>
      <c r="G5226" s="2" t="s">
        <v>458</v>
      </c>
      <c r="H5226" s="2" t="s">
        <v>459</v>
      </c>
      <c r="I5226" s="2" t="n">
        <f aca="false">IF(F5226="Present",9,IF(F5226="Half Day",4,0))</f>
        <v>9</v>
      </c>
      <c r="J5226" s="2"/>
      <c r="K5226" s="2"/>
    </row>
    <row r="5227" customFormat="false" ht="15" hidden="false" customHeight="false" outlineLevel="0" collapsed="false">
      <c r="A5227" s="2" t="s">
        <v>385</v>
      </c>
      <c r="B5227" s="2" t="s">
        <v>386</v>
      </c>
      <c r="C5227" s="2" t="s">
        <v>53</v>
      </c>
      <c r="D5227" s="3" t="n">
        <v>46252</v>
      </c>
      <c r="E5227" s="2" t="str">
        <f aca="false">TEXT(D5227,"dddd")</f>
        <v>Tuesday</v>
      </c>
      <c r="F5227" s="2" t="s">
        <v>457</v>
      </c>
      <c r="G5227" s="2" t="s">
        <v>458</v>
      </c>
      <c r="H5227" s="2" t="s">
        <v>459</v>
      </c>
      <c r="I5227" s="2" t="n">
        <f aca="false">IF(F5227="Present",9,IF(F5227="Half Day",4,0))</f>
        <v>9</v>
      </c>
      <c r="J5227" s="2"/>
      <c r="K5227" s="2"/>
    </row>
    <row r="5228" customFormat="false" ht="15" hidden="false" customHeight="false" outlineLevel="0" collapsed="false">
      <c r="A5228" s="2" t="s">
        <v>385</v>
      </c>
      <c r="B5228" s="2" t="s">
        <v>386</v>
      </c>
      <c r="C5228" s="2" t="s">
        <v>53</v>
      </c>
      <c r="D5228" s="3" t="n">
        <v>46253</v>
      </c>
      <c r="E5228" s="2" t="str">
        <f aca="false">TEXT(D5228,"dddd")</f>
        <v>Wednesday</v>
      </c>
      <c r="F5228" s="2" t="s">
        <v>457</v>
      </c>
      <c r="G5228" s="2" t="s">
        <v>458</v>
      </c>
      <c r="H5228" s="2" t="s">
        <v>459</v>
      </c>
      <c r="I5228" s="2" t="n">
        <f aca="false">IF(F5228="Present",9,IF(F5228="Half Day",4,0))</f>
        <v>9</v>
      </c>
      <c r="J5228" s="2"/>
      <c r="K5228" s="2"/>
    </row>
    <row r="5229" customFormat="false" ht="15" hidden="false" customHeight="false" outlineLevel="0" collapsed="false">
      <c r="A5229" s="2" t="s">
        <v>385</v>
      </c>
      <c r="B5229" s="2" t="s">
        <v>386</v>
      </c>
      <c r="C5229" s="2" t="s">
        <v>53</v>
      </c>
      <c r="D5229" s="3" t="n">
        <v>46254</v>
      </c>
      <c r="E5229" s="2" t="str">
        <f aca="false">TEXT(D5229,"dddd")</f>
        <v>Thursday</v>
      </c>
      <c r="F5229" s="2" t="s">
        <v>457</v>
      </c>
      <c r="G5229" s="2" t="s">
        <v>458</v>
      </c>
      <c r="H5229" s="2" t="s">
        <v>459</v>
      </c>
      <c r="I5229" s="2" t="n">
        <f aca="false">IF(F5229="Present",9,IF(F5229="Half Day",4,0))</f>
        <v>9</v>
      </c>
      <c r="J5229" s="2"/>
      <c r="K5229" s="2"/>
    </row>
    <row r="5230" customFormat="false" ht="15" hidden="false" customHeight="false" outlineLevel="0" collapsed="false">
      <c r="A5230" s="2" t="s">
        <v>385</v>
      </c>
      <c r="B5230" s="2" t="s">
        <v>386</v>
      </c>
      <c r="C5230" s="2" t="s">
        <v>53</v>
      </c>
      <c r="D5230" s="3" t="n">
        <v>46255</v>
      </c>
      <c r="E5230" s="2" t="str">
        <f aca="false">TEXT(D5230,"dddd")</f>
        <v>Friday</v>
      </c>
      <c r="F5230" s="2" t="s">
        <v>457</v>
      </c>
      <c r="G5230" s="2" t="s">
        <v>458</v>
      </c>
      <c r="H5230" s="2" t="s">
        <v>459</v>
      </c>
      <c r="I5230" s="2" t="n">
        <f aca="false">IF(F5230="Present",9,IF(F5230="Half Day",4,0))</f>
        <v>9</v>
      </c>
      <c r="J5230" s="2"/>
      <c r="K5230" s="2"/>
    </row>
    <row r="5231" customFormat="false" ht="15" hidden="false" customHeight="false" outlineLevel="0" collapsed="false">
      <c r="A5231" s="2" t="s">
        <v>385</v>
      </c>
      <c r="B5231" s="2" t="s">
        <v>386</v>
      </c>
      <c r="C5231" s="2" t="s">
        <v>53</v>
      </c>
      <c r="D5231" s="3" t="n">
        <v>46256</v>
      </c>
      <c r="E5231" s="2" t="str">
        <f aca="false">TEXT(D5231,"dddd")</f>
        <v>Saturday</v>
      </c>
      <c r="F5231" s="2" t="s">
        <v>457</v>
      </c>
      <c r="G5231" s="2" t="s">
        <v>458</v>
      </c>
      <c r="H5231" s="2" t="s">
        <v>459</v>
      </c>
      <c r="I5231" s="2" t="n">
        <f aca="false">IF(F5231="Present",9,IF(F5231="Half Day",4,0))</f>
        <v>9</v>
      </c>
      <c r="J5231" s="2"/>
      <c r="K5231" s="2"/>
    </row>
    <row r="5232" customFormat="false" ht="15" hidden="false" customHeight="false" outlineLevel="0" collapsed="false">
      <c r="A5232" s="2" t="s">
        <v>385</v>
      </c>
      <c r="B5232" s="2" t="s">
        <v>386</v>
      </c>
      <c r="C5232" s="2" t="s">
        <v>53</v>
      </c>
      <c r="D5232" s="3" t="n">
        <v>46257</v>
      </c>
      <c r="E5232" s="2" t="str">
        <f aca="false">TEXT(D5232,"dddd")</f>
        <v>Sunday</v>
      </c>
      <c r="F5232" s="2" t="s">
        <v>460</v>
      </c>
      <c r="G5232" s="2"/>
      <c r="H5232" s="2"/>
      <c r="I5232" s="2" t="n">
        <f aca="false">IF(F5232="Present",9,IF(F5232="Half Day",4,0))</f>
        <v>0</v>
      </c>
      <c r="J5232" s="2"/>
      <c r="K5232" s="2" t="s">
        <v>460</v>
      </c>
    </row>
    <row r="5233" customFormat="false" ht="15" hidden="false" customHeight="false" outlineLevel="0" collapsed="false">
      <c r="A5233" s="2" t="s">
        <v>385</v>
      </c>
      <c r="B5233" s="2" t="s">
        <v>386</v>
      </c>
      <c r="C5233" s="2" t="s">
        <v>53</v>
      </c>
      <c r="D5233" s="3" t="n">
        <v>46258</v>
      </c>
      <c r="E5233" s="2" t="str">
        <f aca="false">TEXT(D5233,"dddd")</f>
        <v>Monday</v>
      </c>
      <c r="F5233" s="2" t="s">
        <v>461</v>
      </c>
      <c r="G5233" s="2"/>
      <c r="H5233" s="2"/>
      <c r="I5233" s="2" t="n">
        <f aca="false">IF(F5233="Present",9,IF(F5233="Half Day",4,0))</f>
        <v>0</v>
      </c>
      <c r="J5233" s="2"/>
      <c r="K5233" s="2" t="s">
        <v>462</v>
      </c>
    </row>
    <row r="5234" customFormat="false" ht="15" hidden="false" customHeight="false" outlineLevel="0" collapsed="false">
      <c r="A5234" s="2" t="s">
        <v>385</v>
      </c>
      <c r="B5234" s="2" t="s">
        <v>386</v>
      </c>
      <c r="C5234" s="2" t="s">
        <v>53</v>
      </c>
      <c r="D5234" s="3" t="n">
        <v>46259</v>
      </c>
      <c r="E5234" s="2" t="str">
        <f aca="false">TEXT(D5234,"dddd")</f>
        <v>Tuesday</v>
      </c>
      <c r="F5234" s="2" t="s">
        <v>457</v>
      </c>
      <c r="G5234" s="2" t="s">
        <v>458</v>
      </c>
      <c r="H5234" s="2" t="s">
        <v>459</v>
      </c>
      <c r="I5234" s="2" t="n">
        <f aca="false">IF(F5234="Present",9,IF(F5234="Half Day",4,0))</f>
        <v>9</v>
      </c>
      <c r="J5234" s="2"/>
      <c r="K5234" s="2"/>
    </row>
    <row r="5235" customFormat="false" ht="15" hidden="false" customHeight="false" outlineLevel="0" collapsed="false">
      <c r="A5235" s="2" t="s">
        <v>385</v>
      </c>
      <c r="B5235" s="2" t="s">
        <v>386</v>
      </c>
      <c r="C5235" s="2" t="s">
        <v>53</v>
      </c>
      <c r="D5235" s="3" t="n">
        <v>46260</v>
      </c>
      <c r="E5235" s="2" t="str">
        <f aca="false">TEXT(D5235,"dddd")</f>
        <v>Wednesday</v>
      </c>
      <c r="F5235" s="2" t="s">
        <v>457</v>
      </c>
      <c r="G5235" s="2" t="s">
        <v>458</v>
      </c>
      <c r="H5235" s="2" t="s">
        <v>459</v>
      </c>
      <c r="I5235" s="2" t="n">
        <f aca="false">IF(F5235="Present",9,IF(F5235="Half Day",4,0))</f>
        <v>9</v>
      </c>
      <c r="J5235" s="2"/>
      <c r="K5235" s="2"/>
    </row>
    <row r="5236" customFormat="false" ht="15" hidden="false" customHeight="false" outlineLevel="0" collapsed="false">
      <c r="A5236" s="2" t="s">
        <v>385</v>
      </c>
      <c r="B5236" s="2" t="s">
        <v>386</v>
      </c>
      <c r="C5236" s="2" t="s">
        <v>53</v>
      </c>
      <c r="D5236" s="3" t="n">
        <v>46261</v>
      </c>
      <c r="E5236" s="2" t="str">
        <f aca="false">TEXT(D5236,"dddd")</f>
        <v>Thursday</v>
      </c>
      <c r="F5236" s="2" t="s">
        <v>457</v>
      </c>
      <c r="G5236" s="2" t="s">
        <v>458</v>
      </c>
      <c r="H5236" s="2" t="s">
        <v>459</v>
      </c>
      <c r="I5236" s="2" t="n">
        <f aca="false">IF(F5236="Present",9,IF(F5236="Half Day",4,0))</f>
        <v>9</v>
      </c>
      <c r="J5236" s="2"/>
      <c r="K5236" s="2"/>
    </row>
    <row r="5237" customFormat="false" ht="15" hidden="false" customHeight="false" outlineLevel="0" collapsed="false">
      <c r="A5237" s="2" t="s">
        <v>385</v>
      </c>
      <c r="B5237" s="2" t="s">
        <v>386</v>
      </c>
      <c r="C5237" s="2" t="s">
        <v>53</v>
      </c>
      <c r="D5237" s="3" t="n">
        <v>46262</v>
      </c>
      <c r="E5237" s="2" t="str">
        <f aca="false">TEXT(D5237,"dddd")</f>
        <v>Friday</v>
      </c>
      <c r="F5237" s="2" t="s">
        <v>461</v>
      </c>
      <c r="G5237" s="2"/>
      <c r="H5237" s="2"/>
      <c r="I5237" s="2" t="n">
        <f aca="false">IF(F5237="Present",9,IF(F5237="Half Day",4,0))</f>
        <v>0</v>
      </c>
      <c r="J5237" s="2"/>
      <c r="K5237" s="2" t="s">
        <v>462</v>
      </c>
    </row>
    <row r="5238" customFormat="false" ht="15" hidden="false" customHeight="false" outlineLevel="0" collapsed="false">
      <c r="A5238" s="2" t="s">
        <v>385</v>
      </c>
      <c r="B5238" s="2" t="s">
        <v>386</v>
      </c>
      <c r="C5238" s="2" t="s">
        <v>53</v>
      </c>
      <c r="D5238" s="3" t="n">
        <v>46263</v>
      </c>
      <c r="E5238" s="2" t="str">
        <f aca="false">TEXT(D5238,"dddd")</f>
        <v>Saturday</v>
      </c>
      <c r="F5238" s="2" t="s">
        <v>461</v>
      </c>
      <c r="G5238" s="2"/>
      <c r="H5238" s="2"/>
      <c r="I5238" s="2" t="n">
        <f aca="false">IF(F5238="Present",9,IF(F5238="Half Day",4,0))</f>
        <v>0</v>
      </c>
      <c r="J5238" s="2"/>
      <c r="K5238" s="2" t="s">
        <v>462</v>
      </c>
    </row>
    <row r="5239" customFormat="false" ht="15" hidden="false" customHeight="false" outlineLevel="0" collapsed="false">
      <c r="A5239" s="2" t="s">
        <v>385</v>
      </c>
      <c r="B5239" s="2" t="s">
        <v>386</v>
      </c>
      <c r="C5239" s="2" t="s">
        <v>53</v>
      </c>
      <c r="D5239" s="3" t="n">
        <v>46264</v>
      </c>
      <c r="E5239" s="2" t="str">
        <f aca="false">TEXT(D5239,"dddd")</f>
        <v>Sunday</v>
      </c>
      <c r="F5239" s="2" t="s">
        <v>460</v>
      </c>
      <c r="G5239" s="2"/>
      <c r="H5239" s="2"/>
      <c r="I5239" s="2" t="n">
        <f aca="false">IF(F5239="Present",9,IF(F5239="Half Day",4,0))</f>
        <v>0</v>
      </c>
      <c r="J5239" s="2"/>
      <c r="K5239" s="2" t="s">
        <v>460</v>
      </c>
    </row>
    <row r="5240" customFormat="false" ht="15" hidden="false" customHeight="false" outlineLevel="0" collapsed="false">
      <c r="A5240" s="2" t="s">
        <v>385</v>
      </c>
      <c r="B5240" s="2" t="s">
        <v>386</v>
      </c>
      <c r="C5240" s="2" t="s">
        <v>53</v>
      </c>
      <c r="D5240" s="3" t="n">
        <v>46265</v>
      </c>
      <c r="E5240" s="2" t="str">
        <f aca="false">TEXT(D5240,"dddd")</f>
        <v>Monday</v>
      </c>
      <c r="F5240" s="2" t="s">
        <v>466</v>
      </c>
      <c r="G5240" s="2" t="s">
        <v>458</v>
      </c>
      <c r="H5240" s="2" t="s">
        <v>467</v>
      </c>
      <c r="I5240" s="2" t="n">
        <f aca="false">IF(F5240="Present",9,IF(F5240="Half Day",4,0))</f>
        <v>4</v>
      </c>
      <c r="J5240" s="2"/>
      <c r="K5240" s="2" t="s">
        <v>466</v>
      </c>
    </row>
    <row r="5241" customFormat="false" ht="15" hidden="false" customHeight="false" outlineLevel="0" collapsed="false">
      <c r="A5241" s="2" t="s">
        <v>387</v>
      </c>
      <c r="B5241" s="2" t="s">
        <v>388</v>
      </c>
      <c r="C5241" s="2" t="s">
        <v>57</v>
      </c>
      <c r="D5241" s="3" t="n">
        <v>46235</v>
      </c>
      <c r="E5241" s="2" t="str">
        <f aca="false">TEXT(D5241,"dddd")</f>
        <v>Saturday</v>
      </c>
      <c r="F5241" s="2" t="s">
        <v>457</v>
      </c>
      <c r="G5241" s="2" t="s">
        <v>458</v>
      </c>
      <c r="H5241" s="2" t="s">
        <v>459</v>
      </c>
      <c r="I5241" s="2" t="n">
        <f aca="false">IF(F5241="Present",9,IF(F5241="Half Day",4,0))</f>
        <v>9</v>
      </c>
      <c r="J5241" s="2"/>
      <c r="K5241" s="2"/>
    </row>
    <row r="5242" customFormat="false" ht="15" hidden="false" customHeight="false" outlineLevel="0" collapsed="false">
      <c r="A5242" s="2" t="s">
        <v>387</v>
      </c>
      <c r="B5242" s="2" t="s">
        <v>388</v>
      </c>
      <c r="C5242" s="2" t="s">
        <v>57</v>
      </c>
      <c r="D5242" s="3" t="n">
        <v>46236</v>
      </c>
      <c r="E5242" s="2" t="str">
        <f aca="false">TEXT(D5242,"dddd")</f>
        <v>Sunday</v>
      </c>
      <c r="F5242" s="2" t="s">
        <v>460</v>
      </c>
      <c r="G5242" s="2"/>
      <c r="H5242" s="2"/>
      <c r="I5242" s="2" t="n">
        <f aca="false">IF(F5242="Present",9,IF(F5242="Half Day",4,0))</f>
        <v>0</v>
      </c>
      <c r="J5242" s="2"/>
      <c r="K5242" s="2" t="s">
        <v>460</v>
      </c>
    </row>
    <row r="5243" customFormat="false" ht="15" hidden="false" customHeight="false" outlineLevel="0" collapsed="false">
      <c r="A5243" s="2" t="s">
        <v>387</v>
      </c>
      <c r="B5243" s="2" t="s">
        <v>388</v>
      </c>
      <c r="C5243" s="2" t="s">
        <v>57</v>
      </c>
      <c r="D5243" s="3" t="n">
        <v>46237</v>
      </c>
      <c r="E5243" s="2" t="str">
        <f aca="false">TEXT(D5243,"dddd")</f>
        <v>Monday</v>
      </c>
      <c r="F5243" s="2" t="s">
        <v>457</v>
      </c>
      <c r="G5243" s="2" t="s">
        <v>458</v>
      </c>
      <c r="H5243" s="2" t="s">
        <v>459</v>
      </c>
      <c r="I5243" s="2" t="n">
        <f aca="false">IF(F5243="Present",9,IF(F5243="Half Day",4,0))</f>
        <v>9</v>
      </c>
      <c r="J5243" s="2"/>
      <c r="K5243" s="2"/>
    </row>
    <row r="5244" customFormat="false" ht="15" hidden="false" customHeight="false" outlineLevel="0" collapsed="false">
      <c r="A5244" s="2" t="s">
        <v>387</v>
      </c>
      <c r="B5244" s="2" t="s">
        <v>388</v>
      </c>
      <c r="C5244" s="2" t="s">
        <v>57</v>
      </c>
      <c r="D5244" s="3" t="n">
        <v>46238</v>
      </c>
      <c r="E5244" s="2" t="str">
        <f aca="false">TEXT(D5244,"dddd")</f>
        <v>Tuesday</v>
      </c>
      <c r="F5244" s="2" t="s">
        <v>457</v>
      </c>
      <c r="G5244" s="2" t="s">
        <v>458</v>
      </c>
      <c r="H5244" s="2" t="s">
        <v>459</v>
      </c>
      <c r="I5244" s="2" t="n">
        <f aca="false">IF(F5244="Present",9,IF(F5244="Half Day",4,0))</f>
        <v>9</v>
      </c>
      <c r="J5244" s="2"/>
      <c r="K5244" s="2"/>
    </row>
    <row r="5245" customFormat="false" ht="15" hidden="false" customHeight="false" outlineLevel="0" collapsed="false">
      <c r="A5245" s="2" t="s">
        <v>387</v>
      </c>
      <c r="B5245" s="2" t="s">
        <v>388</v>
      </c>
      <c r="C5245" s="2" t="s">
        <v>57</v>
      </c>
      <c r="D5245" s="3" t="n">
        <v>46239</v>
      </c>
      <c r="E5245" s="2" t="str">
        <f aca="false">TEXT(D5245,"dddd")</f>
        <v>Wednesday</v>
      </c>
      <c r="F5245" s="2" t="s">
        <v>457</v>
      </c>
      <c r="G5245" s="2" t="s">
        <v>458</v>
      </c>
      <c r="H5245" s="2" t="s">
        <v>459</v>
      </c>
      <c r="I5245" s="2" t="n">
        <f aca="false">IF(F5245="Present",9,IF(F5245="Half Day",4,0))</f>
        <v>9</v>
      </c>
      <c r="J5245" s="2"/>
      <c r="K5245" s="2"/>
    </row>
    <row r="5246" customFormat="false" ht="15" hidden="false" customHeight="false" outlineLevel="0" collapsed="false">
      <c r="A5246" s="2" t="s">
        <v>387</v>
      </c>
      <c r="B5246" s="2" t="s">
        <v>388</v>
      </c>
      <c r="C5246" s="2" t="s">
        <v>57</v>
      </c>
      <c r="D5246" s="3" t="n">
        <v>46240</v>
      </c>
      <c r="E5246" s="2" t="str">
        <f aca="false">TEXT(D5246,"dddd")</f>
        <v>Thursday</v>
      </c>
      <c r="F5246" s="2" t="s">
        <v>457</v>
      </c>
      <c r="G5246" s="2" t="s">
        <v>458</v>
      </c>
      <c r="H5246" s="2" t="s">
        <v>459</v>
      </c>
      <c r="I5246" s="2" t="n">
        <f aca="false">IF(F5246="Present",9,IF(F5246="Half Day",4,0))</f>
        <v>9</v>
      </c>
      <c r="J5246" s="2"/>
      <c r="K5246" s="2"/>
    </row>
    <row r="5247" customFormat="false" ht="15" hidden="false" customHeight="false" outlineLevel="0" collapsed="false">
      <c r="A5247" s="2" t="s">
        <v>387</v>
      </c>
      <c r="B5247" s="2" t="s">
        <v>388</v>
      </c>
      <c r="C5247" s="2" t="s">
        <v>57</v>
      </c>
      <c r="D5247" s="3" t="n">
        <v>46241</v>
      </c>
      <c r="E5247" s="2" t="str">
        <f aca="false">TEXT(D5247,"dddd")</f>
        <v>Friday</v>
      </c>
      <c r="F5247" s="2" t="s">
        <v>457</v>
      </c>
      <c r="G5247" s="2" t="s">
        <v>458</v>
      </c>
      <c r="H5247" s="2" t="s">
        <v>459</v>
      </c>
      <c r="I5247" s="2" t="n">
        <f aca="false">IF(F5247="Present",9,IF(F5247="Half Day",4,0))</f>
        <v>9</v>
      </c>
      <c r="J5247" s="2"/>
      <c r="K5247" s="2"/>
    </row>
    <row r="5248" customFormat="false" ht="15" hidden="false" customHeight="false" outlineLevel="0" collapsed="false">
      <c r="A5248" s="2" t="s">
        <v>387</v>
      </c>
      <c r="B5248" s="2" t="s">
        <v>388</v>
      </c>
      <c r="C5248" s="2" t="s">
        <v>57</v>
      </c>
      <c r="D5248" s="3" t="n">
        <v>46242</v>
      </c>
      <c r="E5248" s="2" t="str">
        <f aca="false">TEXT(D5248,"dddd")</f>
        <v>Saturday</v>
      </c>
      <c r="F5248" s="2" t="s">
        <v>457</v>
      </c>
      <c r="G5248" s="2" t="s">
        <v>458</v>
      </c>
      <c r="H5248" s="2" t="s">
        <v>459</v>
      </c>
      <c r="I5248" s="2" t="n">
        <f aca="false">IF(F5248="Present",9,IF(F5248="Half Day",4,0))</f>
        <v>9</v>
      </c>
      <c r="J5248" s="2"/>
      <c r="K5248" s="2"/>
    </row>
    <row r="5249" customFormat="false" ht="15" hidden="false" customHeight="false" outlineLevel="0" collapsed="false">
      <c r="A5249" s="2" t="s">
        <v>387</v>
      </c>
      <c r="B5249" s="2" t="s">
        <v>388</v>
      </c>
      <c r="C5249" s="2" t="s">
        <v>57</v>
      </c>
      <c r="D5249" s="3" t="n">
        <v>46243</v>
      </c>
      <c r="E5249" s="2" t="str">
        <f aca="false">TEXT(D5249,"dddd")</f>
        <v>Sunday</v>
      </c>
      <c r="F5249" s="2" t="s">
        <v>460</v>
      </c>
      <c r="G5249" s="2"/>
      <c r="H5249" s="2"/>
      <c r="I5249" s="2" t="n">
        <f aca="false">IF(F5249="Present",9,IF(F5249="Half Day",4,0))</f>
        <v>0</v>
      </c>
      <c r="J5249" s="2"/>
      <c r="K5249" s="2" t="s">
        <v>460</v>
      </c>
    </row>
    <row r="5250" customFormat="false" ht="15" hidden="false" customHeight="false" outlineLevel="0" collapsed="false">
      <c r="A5250" s="2" t="s">
        <v>387</v>
      </c>
      <c r="B5250" s="2" t="s">
        <v>388</v>
      </c>
      <c r="C5250" s="2" t="s">
        <v>57</v>
      </c>
      <c r="D5250" s="3" t="n">
        <v>46244</v>
      </c>
      <c r="E5250" s="2" t="str">
        <f aca="false">TEXT(D5250,"dddd")</f>
        <v>Monday</v>
      </c>
      <c r="F5250" s="2" t="s">
        <v>457</v>
      </c>
      <c r="G5250" s="2" t="s">
        <v>458</v>
      </c>
      <c r="H5250" s="2" t="s">
        <v>459</v>
      </c>
      <c r="I5250" s="2" t="n">
        <f aca="false">IF(F5250="Present",9,IF(F5250="Half Day",4,0))</f>
        <v>9</v>
      </c>
      <c r="J5250" s="2"/>
      <c r="K5250" s="2"/>
    </row>
    <row r="5251" customFormat="false" ht="15" hidden="false" customHeight="false" outlineLevel="0" collapsed="false">
      <c r="A5251" s="2" t="s">
        <v>387</v>
      </c>
      <c r="B5251" s="2" t="s">
        <v>388</v>
      </c>
      <c r="C5251" s="2" t="s">
        <v>57</v>
      </c>
      <c r="D5251" s="3" t="n">
        <v>46245</v>
      </c>
      <c r="E5251" s="2" t="str">
        <f aca="false">TEXT(D5251,"dddd")</f>
        <v>Tuesday</v>
      </c>
      <c r="F5251" s="2" t="s">
        <v>457</v>
      </c>
      <c r="G5251" s="2" t="s">
        <v>458</v>
      </c>
      <c r="H5251" s="2" t="s">
        <v>459</v>
      </c>
      <c r="I5251" s="2" t="n">
        <f aca="false">IF(F5251="Present",9,IF(F5251="Half Day",4,0))</f>
        <v>9</v>
      </c>
      <c r="J5251" s="2"/>
      <c r="K5251" s="2"/>
    </row>
    <row r="5252" customFormat="false" ht="15" hidden="false" customHeight="false" outlineLevel="0" collapsed="false">
      <c r="A5252" s="2" t="s">
        <v>387</v>
      </c>
      <c r="B5252" s="2" t="s">
        <v>388</v>
      </c>
      <c r="C5252" s="2" t="s">
        <v>57</v>
      </c>
      <c r="D5252" s="3" t="n">
        <v>46246</v>
      </c>
      <c r="E5252" s="2" t="str">
        <f aca="false">TEXT(D5252,"dddd")</f>
        <v>Wednesday</v>
      </c>
      <c r="F5252" s="2" t="s">
        <v>457</v>
      </c>
      <c r="G5252" s="2" t="s">
        <v>458</v>
      </c>
      <c r="H5252" s="2" t="s">
        <v>459</v>
      </c>
      <c r="I5252" s="2" t="n">
        <f aca="false">IF(F5252="Present",9,IF(F5252="Half Day",4,0))</f>
        <v>9</v>
      </c>
      <c r="J5252" s="2"/>
      <c r="K5252" s="2"/>
    </row>
    <row r="5253" customFormat="false" ht="15" hidden="false" customHeight="false" outlineLevel="0" collapsed="false">
      <c r="A5253" s="2" t="s">
        <v>387</v>
      </c>
      <c r="B5253" s="2" t="s">
        <v>388</v>
      </c>
      <c r="C5253" s="2" t="s">
        <v>57</v>
      </c>
      <c r="D5253" s="3" t="n">
        <v>46247</v>
      </c>
      <c r="E5253" s="2" t="str">
        <f aca="false">TEXT(D5253,"dddd")</f>
        <v>Thursday</v>
      </c>
      <c r="F5253" s="2" t="s">
        <v>457</v>
      </c>
      <c r="G5253" s="2" t="s">
        <v>458</v>
      </c>
      <c r="H5253" s="2" t="s">
        <v>459</v>
      </c>
      <c r="I5253" s="2" t="n">
        <f aca="false">IF(F5253="Present",9,IF(F5253="Half Day",4,0))</f>
        <v>9</v>
      </c>
      <c r="J5253" s="2"/>
      <c r="K5253" s="2"/>
    </row>
    <row r="5254" customFormat="false" ht="15" hidden="false" customHeight="false" outlineLevel="0" collapsed="false">
      <c r="A5254" s="2" t="s">
        <v>387</v>
      </c>
      <c r="B5254" s="2" t="s">
        <v>388</v>
      </c>
      <c r="C5254" s="2" t="s">
        <v>57</v>
      </c>
      <c r="D5254" s="3" t="n">
        <v>46248</v>
      </c>
      <c r="E5254" s="2" t="str">
        <f aca="false">TEXT(D5254,"dddd")</f>
        <v>Friday</v>
      </c>
      <c r="F5254" s="2" t="s">
        <v>463</v>
      </c>
      <c r="G5254" s="2"/>
      <c r="H5254" s="2"/>
      <c r="I5254" s="2" t="n">
        <f aca="false">IF(F5254="Present",9,IF(F5254="Half Day",4,0))</f>
        <v>0</v>
      </c>
      <c r="J5254" s="2" t="s">
        <v>464</v>
      </c>
      <c r="K5254" s="2" t="s">
        <v>465</v>
      </c>
    </row>
    <row r="5255" customFormat="false" ht="15" hidden="false" customHeight="false" outlineLevel="0" collapsed="false">
      <c r="A5255" s="2" t="s">
        <v>387</v>
      </c>
      <c r="B5255" s="2" t="s">
        <v>388</v>
      </c>
      <c r="C5255" s="2" t="s">
        <v>57</v>
      </c>
      <c r="D5255" s="3" t="n">
        <v>46249</v>
      </c>
      <c r="E5255" s="2" t="str">
        <f aca="false">TEXT(D5255,"dddd")</f>
        <v>Saturday</v>
      </c>
      <c r="F5255" s="2" t="s">
        <v>457</v>
      </c>
      <c r="G5255" s="2" t="s">
        <v>458</v>
      </c>
      <c r="H5255" s="2" t="s">
        <v>459</v>
      </c>
      <c r="I5255" s="2" t="n">
        <f aca="false">IF(F5255="Present",9,IF(F5255="Half Day",4,0))</f>
        <v>9</v>
      </c>
      <c r="J5255" s="2"/>
      <c r="K5255" s="2"/>
    </row>
    <row r="5256" customFormat="false" ht="15" hidden="false" customHeight="false" outlineLevel="0" collapsed="false">
      <c r="A5256" s="2" t="s">
        <v>387</v>
      </c>
      <c r="B5256" s="2" t="s">
        <v>388</v>
      </c>
      <c r="C5256" s="2" t="s">
        <v>57</v>
      </c>
      <c r="D5256" s="3" t="n">
        <v>46250</v>
      </c>
      <c r="E5256" s="2" t="str">
        <f aca="false">TEXT(D5256,"dddd")</f>
        <v>Sunday</v>
      </c>
      <c r="F5256" s="2" t="s">
        <v>460</v>
      </c>
      <c r="G5256" s="2"/>
      <c r="H5256" s="2"/>
      <c r="I5256" s="2" t="n">
        <f aca="false">IF(F5256="Present",9,IF(F5256="Half Day",4,0))</f>
        <v>0</v>
      </c>
      <c r="J5256" s="2"/>
      <c r="K5256" s="2" t="s">
        <v>460</v>
      </c>
    </row>
    <row r="5257" customFormat="false" ht="15" hidden="false" customHeight="false" outlineLevel="0" collapsed="false">
      <c r="A5257" s="2" t="s">
        <v>387</v>
      </c>
      <c r="B5257" s="2" t="s">
        <v>388</v>
      </c>
      <c r="C5257" s="2" t="s">
        <v>57</v>
      </c>
      <c r="D5257" s="3" t="n">
        <v>46251</v>
      </c>
      <c r="E5257" s="2" t="str">
        <f aca="false">TEXT(D5257,"dddd")</f>
        <v>Monday</v>
      </c>
      <c r="F5257" s="2" t="s">
        <v>457</v>
      </c>
      <c r="G5257" s="2" t="s">
        <v>458</v>
      </c>
      <c r="H5257" s="2" t="s">
        <v>459</v>
      </c>
      <c r="I5257" s="2" t="n">
        <f aca="false">IF(F5257="Present",9,IF(F5257="Half Day",4,0))</f>
        <v>9</v>
      </c>
      <c r="J5257" s="2"/>
      <c r="K5257" s="2"/>
    </row>
    <row r="5258" customFormat="false" ht="15" hidden="false" customHeight="false" outlineLevel="0" collapsed="false">
      <c r="A5258" s="2" t="s">
        <v>387</v>
      </c>
      <c r="B5258" s="2" t="s">
        <v>388</v>
      </c>
      <c r="C5258" s="2" t="s">
        <v>57</v>
      </c>
      <c r="D5258" s="3" t="n">
        <v>46252</v>
      </c>
      <c r="E5258" s="2" t="str">
        <f aca="false">TEXT(D5258,"dddd")</f>
        <v>Tuesday</v>
      </c>
      <c r="F5258" s="2" t="s">
        <v>461</v>
      </c>
      <c r="G5258" s="2"/>
      <c r="H5258" s="2"/>
      <c r="I5258" s="2" t="n">
        <f aca="false">IF(F5258="Present",9,IF(F5258="Half Day",4,0))</f>
        <v>0</v>
      </c>
      <c r="J5258" s="2"/>
      <c r="K5258" s="2" t="s">
        <v>462</v>
      </c>
    </row>
    <row r="5259" customFormat="false" ht="15" hidden="false" customHeight="false" outlineLevel="0" collapsed="false">
      <c r="A5259" s="2" t="s">
        <v>387</v>
      </c>
      <c r="B5259" s="2" t="s">
        <v>388</v>
      </c>
      <c r="C5259" s="2" t="s">
        <v>57</v>
      </c>
      <c r="D5259" s="3" t="n">
        <v>46253</v>
      </c>
      <c r="E5259" s="2" t="str">
        <f aca="false">TEXT(D5259,"dddd")</f>
        <v>Wednesday</v>
      </c>
      <c r="F5259" s="2" t="s">
        <v>463</v>
      </c>
      <c r="G5259" s="2"/>
      <c r="H5259" s="2"/>
      <c r="I5259" s="2" t="n">
        <f aca="false">IF(F5259="Present",9,IF(F5259="Half Day",4,0))</f>
        <v>0</v>
      </c>
      <c r="J5259" s="2" t="s">
        <v>464</v>
      </c>
      <c r="K5259" s="2" t="s">
        <v>465</v>
      </c>
    </row>
    <row r="5260" customFormat="false" ht="15" hidden="false" customHeight="false" outlineLevel="0" collapsed="false">
      <c r="A5260" s="2" t="s">
        <v>387</v>
      </c>
      <c r="B5260" s="2" t="s">
        <v>388</v>
      </c>
      <c r="C5260" s="2" t="s">
        <v>57</v>
      </c>
      <c r="D5260" s="3" t="n">
        <v>46254</v>
      </c>
      <c r="E5260" s="2" t="str">
        <f aca="false">TEXT(D5260,"dddd")</f>
        <v>Thursday</v>
      </c>
      <c r="F5260" s="2" t="s">
        <v>457</v>
      </c>
      <c r="G5260" s="2" t="s">
        <v>458</v>
      </c>
      <c r="H5260" s="2" t="s">
        <v>459</v>
      </c>
      <c r="I5260" s="2" t="n">
        <f aca="false">IF(F5260="Present",9,IF(F5260="Half Day",4,0))</f>
        <v>9</v>
      </c>
      <c r="J5260" s="2"/>
      <c r="K5260" s="2"/>
    </row>
    <row r="5261" customFormat="false" ht="15" hidden="false" customHeight="false" outlineLevel="0" collapsed="false">
      <c r="A5261" s="2" t="s">
        <v>387</v>
      </c>
      <c r="B5261" s="2" t="s">
        <v>388</v>
      </c>
      <c r="C5261" s="2" t="s">
        <v>57</v>
      </c>
      <c r="D5261" s="3" t="n">
        <v>46255</v>
      </c>
      <c r="E5261" s="2" t="str">
        <f aca="false">TEXT(D5261,"dddd")</f>
        <v>Friday</v>
      </c>
      <c r="F5261" s="2" t="s">
        <v>457</v>
      </c>
      <c r="G5261" s="2" t="s">
        <v>458</v>
      </c>
      <c r="H5261" s="2" t="s">
        <v>459</v>
      </c>
      <c r="I5261" s="2" t="n">
        <f aca="false">IF(F5261="Present",9,IF(F5261="Half Day",4,0))</f>
        <v>9</v>
      </c>
      <c r="J5261" s="2"/>
      <c r="K5261" s="2"/>
    </row>
    <row r="5262" customFormat="false" ht="15" hidden="false" customHeight="false" outlineLevel="0" collapsed="false">
      <c r="A5262" s="2" t="s">
        <v>387</v>
      </c>
      <c r="B5262" s="2" t="s">
        <v>388</v>
      </c>
      <c r="C5262" s="2" t="s">
        <v>57</v>
      </c>
      <c r="D5262" s="3" t="n">
        <v>46256</v>
      </c>
      <c r="E5262" s="2" t="str">
        <f aca="false">TEXT(D5262,"dddd")</f>
        <v>Saturday</v>
      </c>
      <c r="F5262" s="2" t="s">
        <v>457</v>
      </c>
      <c r="G5262" s="2" t="s">
        <v>458</v>
      </c>
      <c r="H5262" s="2" t="s">
        <v>459</v>
      </c>
      <c r="I5262" s="2" t="n">
        <f aca="false">IF(F5262="Present",9,IF(F5262="Half Day",4,0))</f>
        <v>9</v>
      </c>
      <c r="J5262" s="2"/>
      <c r="K5262" s="2"/>
    </row>
    <row r="5263" customFormat="false" ht="15" hidden="false" customHeight="false" outlineLevel="0" collapsed="false">
      <c r="A5263" s="2" t="s">
        <v>387</v>
      </c>
      <c r="B5263" s="2" t="s">
        <v>388</v>
      </c>
      <c r="C5263" s="2" t="s">
        <v>57</v>
      </c>
      <c r="D5263" s="3" t="n">
        <v>46257</v>
      </c>
      <c r="E5263" s="2" t="str">
        <f aca="false">TEXT(D5263,"dddd")</f>
        <v>Sunday</v>
      </c>
      <c r="F5263" s="2" t="s">
        <v>460</v>
      </c>
      <c r="G5263" s="2"/>
      <c r="H5263" s="2"/>
      <c r="I5263" s="2" t="n">
        <f aca="false">IF(F5263="Present",9,IF(F5263="Half Day",4,0))</f>
        <v>0</v>
      </c>
      <c r="J5263" s="2"/>
      <c r="K5263" s="2" t="s">
        <v>460</v>
      </c>
    </row>
    <row r="5264" customFormat="false" ht="15" hidden="false" customHeight="false" outlineLevel="0" collapsed="false">
      <c r="A5264" s="2" t="s">
        <v>387</v>
      </c>
      <c r="B5264" s="2" t="s">
        <v>388</v>
      </c>
      <c r="C5264" s="2" t="s">
        <v>57</v>
      </c>
      <c r="D5264" s="3" t="n">
        <v>46258</v>
      </c>
      <c r="E5264" s="2" t="str">
        <f aca="false">TEXT(D5264,"dddd")</f>
        <v>Monday</v>
      </c>
      <c r="F5264" s="2" t="s">
        <v>457</v>
      </c>
      <c r="G5264" s="2" t="s">
        <v>458</v>
      </c>
      <c r="H5264" s="2" t="s">
        <v>459</v>
      </c>
      <c r="I5264" s="2" t="n">
        <f aca="false">IF(F5264="Present",9,IF(F5264="Half Day",4,0))</f>
        <v>9</v>
      </c>
      <c r="J5264" s="2"/>
      <c r="K5264" s="2"/>
    </row>
    <row r="5265" customFormat="false" ht="15" hidden="false" customHeight="false" outlineLevel="0" collapsed="false">
      <c r="A5265" s="2" t="s">
        <v>387</v>
      </c>
      <c r="B5265" s="2" t="s">
        <v>388</v>
      </c>
      <c r="C5265" s="2" t="s">
        <v>57</v>
      </c>
      <c r="D5265" s="3" t="n">
        <v>46259</v>
      </c>
      <c r="E5265" s="2" t="str">
        <f aca="false">TEXT(D5265,"dddd")</f>
        <v>Tuesday</v>
      </c>
      <c r="F5265" s="2" t="s">
        <v>457</v>
      </c>
      <c r="G5265" s="2" t="s">
        <v>458</v>
      </c>
      <c r="H5265" s="2" t="s">
        <v>459</v>
      </c>
      <c r="I5265" s="2" t="n">
        <f aca="false">IF(F5265="Present",9,IF(F5265="Half Day",4,0))</f>
        <v>9</v>
      </c>
      <c r="J5265" s="2"/>
      <c r="K5265" s="2"/>
    </row>
    <row r="5266" customFormat="false" ht="15" hidden="false" customHeight="false" outlineLevel="0" collapsed="false">
      <c r="A5266" s="2" t="s">
        <v>387</v>
      </c>
      <c r="B5266" s="2" t="s">
        <v>388</v>
      </c>
      <c r="C5266" s="2" t="s">
        <v>57</v>
      </c>
      <c r="D5266" s="3" t="n">
        <v>46260</v>
      </c>
      <c r="E5266" s="2" t="str">
        <f aca="false">TEXT(D5266,"dddd")</f>
        <v>Wednesday</v>
      </c>
      <c r="F5266" s="2" t="s">
        <v>457</v>
      </c>
      <c r="G5266" s="2" t="s">
        <v>458</v>
      </c>
      <c r="H5266" s="2" t="s">
        <v>459</v>
      </c>
      <c r="I5266" s="2" t="n">
        <f aca="false">IF(F5266="Present",9,IF(F5266="Half Day",4,0))</f>
        <v>9</v>
      </c>
      <c r="J5266" s="2"/>
      <c r="K5266" s="2"/>
    </row>
    <row r="5267" customFormat="false" ht="15" hidden="false" customHeight="false" outlineLevel="0" collapsed="false">
      <c r="A5267" s="2" t="s">
        <v>387</v>
      </c>
      <c r="B5267" s="2" t="s">
        <v>388</v>
      </c>
      <c r="C5267" s="2" t="s">
        <v>57</v>
      </c>
      <c r="D5267" s="3" t="n">
        <v>46261</v>
      </c>
      <c r="E5267" s="2" t="str">
        <f aca="false">TEXT(D5267,"dddd")</f>
        <v>Thursday</v>
      </c>
      <c r="F5267" s="2" t="s">
        <v>457</v>
      </c>
      <c r="G5267" s="2" t="s">
        <v>458</v>
      </c>
      <c r="H5267" s="2" t="s">
        <v>459</v>
      </c>
      <c r="I5267" s="2" t="n">
        <f aca="false">IF(F5267="Present",9,IF(F5267="Half Day",4,0))</f>
        <v>9</v>
      </c>
      <c r="J5267" s="2"/>
      <c r="K5267" s="2"/>
    </row>
    <row r="5268" customFormat="false" ht="15" hidden="false" customHeight="false" outlineLevel="0" collapsed="false">
      <c r="A5268" s="2" t="s">
        <v>387</v>
      </c>
      <c r="B5268" s="2" t="s">
        <v>388</v>
      </c>
      <c r="C5268" s="2" t="s">
        <v>57</v>
      </c>
      <c r="D5268" s="3" t="n">
        <v>46262</v>
      </c>
      <c r="E5268" s="2" t="str">
        <f aca="false">TEXT(D5268,"dddd")</f>
        <v>Friday</v>
      </c>
      <c r="F5268" s="2" t="s">
        <v>457</v>
      </c>
      <c r="G5268" s="2" t="s">
        <v>458</v>
      </c>
      <c r="H5268" s="2" t="s">
        <v>459</v>
      </c>
      <c r="I5268" s="2" t="n">
        <f aca="false">IF(F5268="Present",9,IF(F5268="Half Day",4,0))</f>
        <v>9</v>
      </c>
      <c r="J5268" s="2"/>
      <c r="K5268" s="2"/>
    </row>
    <row r="5269" customFormat="false" ht="15" hidden="false" customHeight="false" outlineLevel="0" collapsed="false">
      <c r="A5269" s="2" t="s">
        <v>387</v>
      </c>
      <c r="B5269" s="2" t="s">
        <v>388</v>
      </c>
      <c r="C5269" s="2" t="s">
        <v>57</v>
      </c>
      <c r="D5269" s="3" t="n">
        <v>46263</v>
      </c>
      <c r="E5269" s="2" t="str">
        <f aca="false">TEXT(D5269,"dddd")</f>
        <v>Saturday</v>
      </c>
      <c r="F5269" s="2" t="s">
        <v>457</v>
      </c>
      <c r="G5269" s="2" t="s">
        <v>458</v>
      </c>
      <c r="H5269" s="2" t="s">
        <v>459</v>
      </c>
      <c r="I5269" s="2" t="n">
        <f aca="false">IF(F5269="Present",9,IF(F5269="Half Day",4,0))</f>
        <v>9</v>
      </c>
      <c r="J5269" s="2"/>
      <c r="K5269" s="2"/>
    </row>
    <row r="5270" customFormat="false" ht="15" hidden="false" customHeight="false" outlineLevel="0" collapsed="false">
      <c r="A5270" s="2" t="s">
        <v>387</v>
      </c>
      <c r="B5270" s="2" t="s">
        <v>388</v>
      </c>
      <c r="C5270" s="2" t="s">
        <v>57</v>
      </c>
      <c r="D5270" s="3" t="n">
        <v>46264</v>
      </c>
      <c r="E5270" s="2" t="str">
        <f aca="false">TEXT(D5270,"dddd")</f>
        <v>Sunday</v>
      </c>
      <c r="F5270" s="2" t="s">
        <v>460</v>
      </c>
      <c r="G5270" s="2"/>
      <c r="H5270" s="2"/>
      <c r="I5270" s="2" t="n">
        <f aca="false">IF(F5270="Present",9,IF(F5270="Half Day",4,0))</f>
        <v>0</v>
      </c>
      <c r="J5270" s="2"/>
      <c r="K5270" s="2" t="s">
        <v>460</v>
      </c>
    </row>
    <row r="5271" customFormat="false" ht="15" hidden="false" customHeight="false" outlineLevel="0" collapsed="false">
      <c r="A5271" s="2" t="s">
        <v>387</v>
      </c>
      <c r="B5271" s="2" t="s">
        <v>388</v>
      </c>
      <c r="C5271" s="2" t="s">
        <v>57</v>
      </c>
      <c r="D5271" s="3" t="n">
        <v>46265</v>
      </c>
      <c r="E5271" s="2" t="str">
        <f aca="false">TEXT(D5271,"dddd")</f>
        <v>Monday</v>
      </c>
      <c r="F5271" s="2" t="s">
        <v>457</v>
      </c>
      <c r="G5271" s="2" t="s">
        <v>458</v>
      </c>
      <c r="H5271" s="2" t="s">
        <v>459</v>
      </c>
      <c r="I5271" s="2" t="n">
        <f aca="false">IF(F5271="Present",9,IF(F5271="Half Day",4,0))</f>
        <v>9</v>
      </c>
      <c r="J5271" s="2"/>
      <c r="K5271" s="2"/>
    </row>
    <row r="5272" customFormat="false" ht="15" hidden="false" customHeight="false" outlineLevel="0" collapsed="false">
      <c r="A5272" s="2" t="s">
        <v>389</v>
      </c>
      <c r="B5272" s="2" t="s">
        <v>390</v>
      </c>
      <c r="C5272" s="2" t="s">
        <v>17</v>
      </c>
      <c r="D5272" s="3" t="n">
        <v>46235</v>
      </c>
      <c r="E5272" s="2" t="str">
        <f aca="false">TEXT(D5272,"dddd")</f>
        <v>Saturday</v>
      </c>
      <c r="F5272" s="2" t="s">
        <v>457</v>
      </c>
      <c r="G5272" s="2" t="s">
        <v>458</v>
      </c>
      <c r="H5272" s="2" t="s">
        <v>459</v>
      </c>
      <c r="I5272" s="2" t="n">
        <f aca="false">IF(F5272="Present",9,IF(F5272="Half Day",4,0))</f>
        <v>9</v>
      </c>
      <c r="J5272" s="2"/>
      <c r="K5272" s="2"/>
    </row>
    <row r="5273" customFormat="false" ht="15" hidden="false" customHeight="false" outlineLevel="0" collapsed="false">
      <c r="A5273" s="2" t="s">
        <v>389</v>
      </c>
      <c r="B5273" s="2" t="s">
        <v>390</v>
      </c>
      <c r="C5273" s="2" t="s">
        <v>17</v>
      </c>
      <c r="D5273" s="3" t="n">
        <v>46236</v>
      </c>
      <c r="E5273" s="2" t="str">
        <f aca="false">TEXT(D5273,"dddd")</f>
        <v>Sunday</v>
      </c>
      <c r="F5273" s="2" t="s">
        <v>460</v>
      </c>
      <c r="G5273" s="2"/>
      <c r="H5273" s="2"/>
      <c r="I5273" s="2" t="n">
        <f aca="false">IF(F5273="Present",9,IF(F5273="Half Day",4,0))</f>
        <v>0</v>
      </c>
      <c r="J5273" s="2"/>
      <c r="K5273" s="2" t="s">
        <v>460</v>
      </c>
    </row>
    <row r="5274" customFormat="false" ht="15" hidden="false" customHeight="false" outlineLevel="0" collapsed="false">
      <c r="A5274" s="2" t="s">
        <v>389</v>
      </c>
      <c r="B5274" s="2" t="s">
        <v>390</v>
      </c>
      <c r="C5274" s="2" t="s">
        <v>17</v>
      </c>
      <c r="D5274" s="3" t="n">
        <v>46237</v>
      </c>
      <c r="E5274" s="2" t="str">
        <f aca="false">TEXT(D5274,"dddd")</f>
        <v>Monday</v>
      </c>
      <c r="F5274" s="2" t="s">
        <v>457</v>
      </c>
      <c r="G5274" s="2" t="s">
        <v>458</v>
      </c>
      <c r="H5274" s="2" t="s">
        <v>459</v>
      </c>
      <c r="I5274" s="2" t="n">
        <f aca="false">IF(F5274="Present",9,IF(F5274="Half Day",4,0))</f>
        <v>9</v>
      </c>
      <c r="J5274" s="2"/>
      <c r="K5274" s="2"/>
    </row>
    <row r="5275" customFormat="false" ht="15" hidden="false" customHeight="false" outlineLevel="0" collapsed="false">
      <c r="A5275" s="2" t="s">
        <v>389</v>
      </c>
      <c r="B5275" s="2" t="s">
        <v>390</v>
      </c>
      <c r="C5275" s="2" t="s">
        <v>17</v>
      </c>
      <c r="D5275" s="3" t="n">
        <v>46238</v>
      </c>
      <c r="E5275" s="2" t="str">
        <f aca="false">TEXT(D5275,"dddd")</f>
        <v>Tuesday</v>
      </c>
      <c r="F5275" s="2" t="s">
        <v>457</v>
      </c>
      <c r="G5275" s="2" t="s">
        <v>458</v>
      </c>
      <c r="H5275" s="2" t="s">
        <v>459</v>
      </c>
      <c r="I5275" s="2" t="n">
        <f aca="false">IF(F5275="Present",9,IF(F5275="Half Day",4,0))</f>
        <v>9</v>
      </c>
      <c r="J5275" s="2"/>
      <c r="K5275" s="2"/>
    </row>
    <row r="5276" customFormat="false" ht="15" hidden="false" customHeight="false" outlineLevel="0" collapsed="false">
      <c r="A5276" s="2" t="s">
        <v>389</v>
      </c>
      <c r="B5276" s="2" t="s">
        <v>390</v>
      </c>
      <c r="C5276" s="2" t="s">
        <v>17</v>
      </c>
      <c r="D5276" s="3" t="n">
        <v>46239</v>
      </c>
      <c r="E5276" s="2" t="str">
        <f aca="false">TEXT(D5276,"dddd")</f>
        <v>Wednesday</v>
      </c>
      <c r="F5276" s="2" t="s">
        <v>457</v>
      </c>
      <c r="G5276" s="2" t="s">
        <v>458</v>
      </c>
      <c r="H5276" s="2" t="s">
        <v>459</v>
      </c>
      <c r="I5276" s="2" t="n">
        <f aca="false">IF(F5276="Present",9,IF(F5276="Half Day",4,0))</f>
        <v>9</v>
      </c>
      <c r="J5276" s="2"/>
      <c r="K5276" s="2"/>
    </row>
    <row r="5277" customFormat="false" ht="15" hidden="false" customHeight="false" outlineLevel="0" collapsed="false">
      <c r="A5277" s="2" t="s">
        <v>389</v>
      </c>
      <c r="B5277" s="2" t="s">
        <v>390</v>
      </c>
      <c r="C5277" s="2" t="s">
        <v>17</v>
      </c>
      <c r="D5277" s="3" t="n">
        <v>46240</v>
      </c>
      <c r="E5277" s="2" t="str">
        <f aca="false">TEXT(D5277,"dddd")</f>
        <v>Thursday</v>
      </c>
      <c r="F5277" s="2" t="s">
        <v>457</v>
      </c>
      <c r="G5277" s="2" t="s">
        <v>458</v>
      </c>
      <c r="H5277" s="2" t="s">
        <v>459</v>
      </c>
      <c r="I5277" s="2" t="n">
        <f aca="false">IF(F5277="Present",9,IF(F5277="Half Day",4,0))</f>
        <v>9</v>
      </c>
      <c r="J5277" s="2"/>
      <c r="K5277" s="2"/>
    </row>
    <row r="5278" customFormat="false" ht="15" hidden="false" customHeight="false" outlineLevel="0" collapsed="false">
      <c r="A5278" s="2" t="s">
        <v>389</v>
      </c>
      <c r="B5278" s="2" t="s">
        <v>390</v>
      </c>
      <c r="C5278" s="2" t="s">
        <v>17</v>
      </c>
      <c r="D5278" s="3" t="n">
        <v>46241</v>
      </c>
      <c r="E5278" s="2" t="str">
        <f aca="false">TEXT(D5278,"dddd")</f>
        <v>Friday</v>
      </c>
      <c r="F5278" s="2" t="s">
        <v>457</v>
      </c>
      <c r="G5278" s="2" t="s">
        <v>458</v>
      </c>
      <c r="H5278" s="2" t="s">
        <v>459</v>
      </c>
      <c r="I5278" s="2" t="n">
        <f aca="false">IF(F5278="Present",9,IF(F5278="Half Day",4,0))</f>
        <v>9</v>
      </c>
      <c r="J5278" s="2"/>
      <c r="K5278" s="2"/>
    </row>
    <row r="5279" customFormat="false" ht="15" hidden="false" customHeight="false" outlineLevel="0" collapsed="false">
      <c r="A5279" s="2" t="s">
        <v>389</v>
      </c>
      <c r="B5279" s="2" t="s">
        <v>390</v>
      </c>
      <c r="C5279" s="2" t="s">
        <v>17</v>
      </c>
      <c r="D5279" s="3" t="n">
        <v>46242</v>
      </c>
      <c r="E5279" s="2" t="str">
        <f aca="false">TEXT(D5279,"dddd")</f>
        <v>Saturday</v>
      </c>
      <c r="F5279" s="2" t="s">
        <v>457</v>
      </c>
      <c r="G5279" s="2" t="s">
        <v>458</v>
      </c>
      <c r="H5279" s="2" t="s">
        <v>459</v>
      </c>
      <c r="I5279" s="2" t="n">
        <f aca="false">IF(F5279="Present",9,IF(F5279="Half Day",4,0))</f>
        <v>9</v>
      </c>
      <c r="J5279" s="2"/>
      <c r="K5279" s="2"/>
    </row>
    <row r="5280" customFormat="false" ht="15" hidden="false" customHeight="false" outlineLevel="0" collapsed="false">
      <c r="A5280" s="2" t="s">
        <v>389</v>
      </c>
      <c r="B5280" s="2" t="s">
        <v>390</v>
      </c>
      <c r="C5280" s="2" t="s">
        <v>17</v>
      </c>
      <c r="D5280" s="3" t="n">
        <v>46243</v>
      </c>
      <c r="E5280" s="2" t="str">
        <f aca="false">TEXT(D5280,"dddd")</f>
        <v>Sunday</v>
      </c>
      <c r="F5280" s="2" t="s">
        <v>460</v>
      </c>
      <c r="G5280" s="2"/>
      <c r="H5280" s="2"/>
      <c r="I5280" s="2" t="n">
        <f aca="false">IF(F5280="Present",9,IF(F5280="Half Day",4,0))</f>
        <v>0</v>
      </c>
      <c r="J5280" s="2"/>
      <c r="K5280" s="2" t="s">
        <v>460</v>
      </c>
    </row>
    <row r="5281" customFormat="false" ht="15" hidden="false" customHeight="false" outlineLevel="0" collapsed="false">
      <c r="A5281" s="2" t="s">
        <v>389</v>
      </c>
      <c r="B5281" s="2" t="s">
        <v>390</v>
      </c>
      <c r="C5281" s="2" t="s">
        <v>17</v>
      </c>
      <c r="D5281" s="3" t="n">
        <v>46244</v>
      </c>
      <c r="E5281" s="2" t="str">
        <f aca="false">TEXT(D5281,"dddd")</f>
        <v>Monday</v>
      </c>
      <c r="F5281" s="2" t="s">
        <v>457</v>
      </c>
      <c r="G5281" s="2" t="s">
        <v>458</v>
      </c>
      <c r="H5281" s="2" t="s">
        <v>459</v>
      </c>
      <c r="I5281" s="2" t="n">
        <f aca="false">IF(F5281="Present",9,IF(F5281="Half Day",4,0))</f>
        <v>9</v>
      </c>
      <c r="J5281" s="2"/>
      <c r="K5281" s="2"/>
    </row>
    <row r="5282" customFormat="false" ht="15" hidden="false" customHeight="false" outlineLevel="0" collapsed="false">
      <c r="A5282" s="2" t="s">
        <v>389</v>
      </c>
      <c r="B5282" s="2" t="s">
        <v>390</v>
      </c>
      <c r="C5282" s="2" t="s">
        <v>17</v>
      </c>
      <c r="D5282" s="3" t="n">
        <v>46245</v>
      </c>
      <c r="E5282" s="2" t="str">
        <f aca="false">TEXT(D5282,"dddd")</f>
        <v>Tuesday</v>
      </c>
      <c r="F5282" s="2" t="s">
        <v>457</v>
      </c>
      <c r="G5282" s="2" t="s">
        <v>458</v>
      </c>
      <c r="H5282" s="2" t="s">
        <v>459</v>
      </c>
      <c r="I5282" s="2" t="n">
        <f aca="false">IF(F5282="Present",9,IF(F5282="Half Day",4,0))</f>
        <v>9</v>
      </c>
      <c r="J5282" s="2"/>
      <c r="K5282" s="2"/>
    </row>
    <row r="5283" customFormat="false" ht="15" hidden="false" customHeight="false" outlineLevel="0" collapsed="false">
      <c r="A5283" s="2" t="s">
        <v>389</v>
      </c>
      <c r="B5283" s="2" t="s">
        <v>390</v>
      </c>
      <c r="C5283" s="2" t="s">
        <v>17</v>
      </c>
      <c r="D5283" s="3" t="n">
        <v>46246</v>
      </c>
      <c r="E5283" s="2" t="str">
        <f aca="false">TEXT(D5283,"dddd")</f>
        <v>Wednesday</v>
      </c>
      <c r="F5283" s="2" t="s">
        <v>457</v>
      </c>
      <c r="G5283" s="2" t="s">
        <v>458</v>
      </c>
      <c r="H5283" s="2" t="s">
        <v>459</v>
      </c>
      <c r="I5283" s="2" t="n">
        <f aca="false">IF(F5283="Present",9,IF(F5283="Half Day",4,0))</f>
        <v>9</v>
      </c>
      <c r="J5283" s="2"/>
      <c r="K5283" s="2"/>
    </row>
    <row r="5284" customFormat="false" ht="15" hidden="false" customHeight="false" outlineLevel="0" collapsed="false">
      <c r="A5284" s="2" t="s">
        <v>389</v>
      </c>
      <c r="B5284" s="2" t="s">
        <v>390</v>
      </c>
      <c r="C5284" s="2" t="s">
        <v>17</v>
      </c>
      <c r="D5284" s="3" t="n">
        <v>46247</v>
      </c>
      <c r="E5284" s="2" t="str">
        <f aca="false">TEXT(D5284,"dddd")</f>
        <v>Thursday</v>
      </c>
      <c r="F5284" s="2" t="s">
        <v>457</v>
      </c>
      <c r="G5284" s="2" t="s">
        <v>458</v>
      </c>
      <c r="H5284" s="2" t="s">
        <v>459</v>
      </c>
      <c r="I5284" s="2" t="n">
        <f aca="false">IF(F5284="Present",9,IF(F5284="Half Day",4,0))</f>
        <v>9</v>
      </c>
      <c r="J5284" s="2"/>
      <c r="K5284" s="2"/>
    </row>
    <row r="5285" customFormat="false" ht="15" hidden="false" customHeight="false" outlineLevel="0" collapsed="false">
      <c r="A5285" s="2" t="s">
        <v>389</v>
      </c>
      <c r="B5285" s="2" t="s">
        <v>390</v>
      </c>
      <c r="C5285" s="2" t="s">
        <v>17</v>
      </c>
      <c r="D5285" s="3" t="n">
        <v>46248</v>
      </c>
      <c r="E5285" s="2" t="str">
        <f aca="false">TEXT(D5285,"dddd")</f>
        <v>Friday</v>
      </c>
      <c r="F5285" s="2" t="s">
        <v>457</v>
      </c>
      <c r="G5285" s="2" t="s">
        <v>458</v>
      </c>
      <c r="H5285" s="2" t="s">
        <v>459</v>
      </c>
      <c r="I5285" s="2" t="n">
        <f aca="false">IF(F5285="Present",9,IF(F5285="Half Day",4,0))</f>
        <v>9</v>
      </c>
      <c r="J5285" s="2"/>
      <c r="K5285" s="2"/>
    </row>
    <row r="5286" customFormat="false" ht="15" hidden="false" customHeight="false" outlineLevel="0" collapsed="false">
      <c r="A5286" s="2" t="s">
        <v>389</v>
      </c>
      <c r="B5286" s="2" t="s">
        <v>390</v>
      </c>
      <c r="C5286" s="2" t="s">
        <v>17</v>
      </c>
      <c r="D5286" s="3" t="n">
        <v>46249</v>
      </c>
      <c r="E5286" s="2" t="str">
        <f aca="false">TEXT(D5286,"dddd")</f>
        <v>Saturday</v>
      </c>
      <c r="F5286" s="2" t="s">
        <v>457</v>
      </c>
      <c r="G5286" s="2" t="s">
        <v>458</v>
      </c>
      <c r="H5286" s="2" t="s">
        <v>459</v>
      </c>
      <c r="I5286" s="2" t="n">
        <f aca="false">IF(F5286="Present",9,IF(F5286="Half Day",4,0))</f>
        <v>9</v>
      </c>
      <c r="J5286" s="2"/>
      <c r="K5286" s="2"/>
    </row>
    <row r="5287" customFormat="false" ht="15" hidden="false" customHeight="false" outlineLevel="0" collapsed="false">
      <c r="A5287" s="2" t="s">
        <v>389</v>
      </c>
      <c r="B5287" s="2" t="s">
        <v>390</v>
      </c>
      <c r="C5287" s="2" t="s">
        <v>17</v>
      </c>
      <c r="D5287" s="3" t="n">
        <v>46250</v>
      </c>
      <c r="E5287" s="2" t="str">
        <f aca="false">TEXT(D5287,"dddd")</f>
        <v>Sunday</v>
      </c>
      <c r="F5287" s="2" t="s">
        <v>460</v>
      </c>
      <c r="G5287" s="2"/>
      <c r="H5287" s="2"/>
      <c r="I5287" s="2" t="n">
        <f aca="false">IF(F5287="Present",9,IF(F5287="Half Day",4,0))</f>
        <v>0</v>
      </c>
      <c r="J5287" s="2"/>
      <c r="K5287" s="2" t="s">
        <v>460</v>
      </c>
    </row>
    <row r="5288" customFormat="false" ht="15" hidden="false" customHeight="false" outlineLevel="0" collapsed="false">
      <c r="A5288" s="2" t="s">
        <v>389</v>
      </c>
      <c r="B5288" s="2" t="s">
        <v>390</v>
      </c>
      <c r="C5288" s="2" t="s">
        <v>17</v>
      </c>
      <c r="D5288" s="3" t="n">
        <v>46251</v>
      </c>
      <c r="E5288" s="2" t="str">
        <f aca="false">TEXT(D5288,"dddd")</f>
        <v>Monday</v>
      </c>
      <c r="F5288" s="2" t="s">
        <v>457</v>
      </c>
      <c r="G5288" s="2" t="s">
        <v>458</v>
      </c>
      <c r="H5288" s="2" t="s">
        <v>459</v>
      </c>
      <c r="I5288" s="2" t="n">
        <f aca="false">IF(F5288="Present",9,IF(F5288="Half Day",4,0))</f>
        <v>9</v>
      </c>
      <c r="J5288" s="2"/>
      <c r="K5288" s="2"/>
    </row>
    <row r="5289" customFormat="false" ht="15" hidden="false" customHeight="false" outlineLevel="0" collapsed="false">
      <c r="A5289" s="2" t="s">
        <v>389</v>
      </c>
      <c r="B5289" s="2" t="s">
        <v>390</v>
      </c>
      <c r="C5289" s="2" t="s">
        <v>17</v>
      </c>
      <c r="D5289" s="3" t="n">
        <v>46252</v>
      </c>
      <c r="E5289" s="2" t="str">
        <f aca="false">TEXT(D5289,"dddd")</f>
        <v>Tuesday</v>
      </c>
      <c r="F5289" s="2" t="s">
        <v>457</v>
      </c>
      <c r="G5289" s="2" t="s">
        <v>458</v>
      </c>
      <c r="H5289" s="2" t="s">
        <v>459</v>
      </c>
      <c r="I5289" s="2" t="n">
        <f aca="false">IF(F5289="Present",9,IF(F5289="Half Day",4,0))</f>
        <v>9</v>
      </c>
      <c r="J5289" s="2"/>
      <c r="K5289" s="2"/>
    </row>
    <row r="5290" customFormat="false" ht="15" hidden="false" customHeight="false" outlineLevel="0" collapsed="false">
      <c r="A5290" s="2" t="s">
        <v>389</v>
      </c>
      <c r="B5290" s="2" t="s">
        <v>390</v>
      </c>
      <c r="C5290" s="2" t="s">
        <v>17</v>
      </c>
      <c r="D5290" s="3" t="n">
        <v>46253</v>
      </c>
      <c r="E5290" s="2" t="str">
        <f aca="false">TEXT(D5290,"dddd")</f>
        <v>Wednesday</v>
      </c>
      <c r="F5290" s="2" t="s">
        <v>457</v>
      </c>
      <c r="G5290" s="2" t="s">
        <v>458</v>
      </c>
      <c r="H5290" s="2" t="s">
        <v>459</v>
      </c>
      <c r="I5290" s="2" t="n">
        <f aca="false">IF(F5290="Present",9,IF(F5290="Half Day",4,0))</f>
        <v>9</v>
      </c>
      <c r="J5290" s="2"/>
      <c r="K5290" s="2"/>
    </row>
    <row r="5291" customFormat="false" ht="15" hidden="false" customHeight="false" outlineLevel="0" collapsed="false">
      <c r="A5291" s="2" t="s">
        <v>389</v>
      </c>
      <c r="B5291" s="2" t="s">
        <v>390</v>
      </c>
      <c r="C5291" s="2" t="s">
        <v>17</v>
      </c>
      <c r="D5291" s="3" t="n">
        <v>46254</v>
      </c>
      <c r="E5291" s="2" t="str">
        <f aca="false">TEXT(D5291,"dddd")</f>
        <v>Thursday</v>
      </c>
      <c r="F5291" s="2" t="s">
        <v>466</v>
      </c>
      <c r="G5291" s="2" t="s">
        <v>458</v>
      </c>
      <c r="H5291" s="2" t="s">
        <v>467</v>
      </c>
      <c r="I5291" s="2" t="n">
        <f aca="false">IF(F5291="Present",9,IF(F5291="Half Day",4,0))</f>
        <v>4</v>
      </c>
      <c r="J5291" s="2"/>
      <c r="K5291" s="2" t="s">
        <v>466</v>
      </c>
    </row>
    <row r="5292" customFormat="false" ht="15" hidden="false" customHeight="false" outlineLevel="0" collapsed="false">
      <c r="A5292" s="2" t="s">
        <v>389</v>
      </c>
      <c r="B5292" s="2" t="s">
        <v>390</v>
      </c>
      <c r="C5292" s="2" t="s">
        <v>17</v>
      </c>
      <c r="D5292" s="3" t="n">
        <v>46255</v>
      </c>
      <c r="E5292" s="2" t="str">
        <f aca="false">TEXT(D5292,"dddd")</f>
        <v>Friday</v>
      </c>
      <c r="F5292" s="2" t="s">
        <v>457</v>
      </c>
      <c r="G5292" s="2" t="s">
        <v>458</v>
      </c>
      <c r="H5292" s="2" t="s">
        <v>459</v>
      </c>
      <c r="I5292" s="2" t="n">
        <f aca="false">IF(F5292="Present",9,IF(F5292="Half Day",4,0))</f>
        <v>9</v>
      </c>
      <c r="J5292" s="2"/>
      <c r="K5292" s="2"/>
    </row>
    <row r="5293" customFormat="false" ht="15" hidden="false" customHeight="false" outlineLevel="0" collapsed="false">
      <c r="A5293" s="2" t="s">
        <v>389</v>
      </c>
      <c r="B5293" s="2" t="s">
        <v>390</v>
      </c>
      <c r="C5293" s="2" t="s">
        <v>17</v>
      </c>
      <c r="D5293" s="3" t="n">
        <v>46256</v>
      </c>
      <c r="E5293" s="2" t="str">
        <f aca="false">TEXT(D5293,"dddd")</f>
        <v>Saturday</v>
      </c>
      <c r="F5293" s="2" t="s">
        <v>457</v>
      </c>
      <c r="G5293" s="2" t="s">
        <v>458</v>
      </c>
      <c r="H5293" s="2" t="s">
        <v>459</v>
      </c>
      <c r="I5293" s="2" t="n">
        <f aca="false">IF(F5293="Present",9,IF(F5293="Half Day",4,0))</f>
        <v>9</v>
      </c>
      <c r="J5293" s="2"/>
      <c r="K5293" s="2"/>
    </row>
    <row r="5294" customFormat="false" ht="15" hidden="false" customHeight="false" outlineLevel="0" collapsed="false">
      <c r="A5294" s="2" t="s">
        <v>389</v>
      </c>
      <c r="B5294" s="2" t="s">
        <v>390</v>
      </c>
      <c r="C5294" s="2" t="s">
        <v>17</v>
      </c>
      <c r="D5294" s="3" t="n">
        <v>46257</v>
      </c>
      <c r="E5294" s="2" t="str">
        <f aca="false">TEXT(D5294,"dddd")</f>
        <v>Sunday</v>
      </c>
      <c r="F5294" s="2" t="s">
        <v>460</v>
      </c>
      <c r="G5294" s="2"/>
      <c r="H5294" s="2"/>
      <c r="I5294" s="2" t="n">
        <f aca="false">IF(F5294="Present",9,IF(F5294="Half Day",4,0))</f>
        <v>0</v>
      </c>
      <c r="J5294" s="2"/>
      <c r="K5294" s="2" t="s">
        <v>460</v>
      </c>
    </row>
    <row r="5295" customFormat="false" ht="15" hidden="false" customHeight="false" outlineLevel="0" collapsed="false">
      <c r="A5295" s="2" t="s">
        <v>389</v>
      </c>
      <c r="B5295" s="2" t="s">
        <v>390</v>
      </c>
      <c r="C5295" s="2" t="s">
        <v>17</v>
      </c>
      <c r="D5295" s="3" t="n">
        <v>46258</v>
      </c>
      <c r="E5295" s="2" t="str">
        <f aca="false">TEXT(D5295,"dddd")</f>
        <v>Monday</v>
      </c>
      <c r="F5295" s="2" t="s">
        <v>457</v>
      </c>
      <c r="G5295" s="2" t="s">
        <v>458</v>
      </c>
      <c r="H5295" s="2" t="s">
        <v>459</v>
      </c>
      <c r="I5295" s="2" t="n">
        <f aca="false">IF(F5295="Present",9,IF(F5295="Half Day",4,0))</f>
        <v>9</v>
      </c>
      <c r="J5295" s="2"/>
      <c r="K5295" s="2"/>
    </row>
    <row r="5296" customFormat="false" ht="15" hidden="false" customHeight="false" outlineLevel="0" collapsed="false">
      <c r="A5296" s="2" t="s">
        <v>389</v>
      </c>
      <c r="B5296" s="2" t="s">
        <v>390</v>
      </c>
      <c r="C5296" s="2" t="s">
        <v>17</v>
      </c>
      <c r="D5296" s="3" t="n">
        <v>46259</v>
      </c>
      <c r="E5296" s="2" t="str">
        <f aca="false">TEXT(D5296,"dddd")</f>
        <v>Tuesday</v>
      </c>
      <c r="F5296" s="2" t="s">
        <v>457</v>
      </c>
      <c r="G5296" s="2" t="s">
        <v>458</v>
      </c>
      <c r="H5296" s="2" t="s">
        <v>459</v>
      </c>
      <c r="I5296" s="2" t="n">
        <f aca="false">IF(F5296="Present",9,IF(F5296="Half Day",4,0))</f>
        <v>9</v>
      </c>
      <c r="J5296" s="2"/>
      <c r="K5296" s="2"/>
    </row>
    <row r="5297" customFormat="false" ht="15" hidden="false" customHeight="false" outlineLevel="0" collapsed="false">
      <c r="A5297" s="2" t="s">
        <v>389</v>
      </c>
      <c r="B5297" s="2" t="s">
        <v>390</v>
      </c>
      <c r="C5297" s="2" t="s">
        <v>17</v>
      </c>
      <c r="D5297" s="3" t="n">
        <v>46260</v>
      </c>
      <c r="E5297" s="2" t="str">
        <f aca="false">TEXT(D5297,"dddd")</f>
        <v>Wednesday</v>
      </c>
      <c r="F5297" s="2" t="s">
        <v>457</v>
      </c>
      <c r="G5297" s="2" t="s">
        <v>458</v>
      </c>
      <c r="H5297" s="2" t="s">
        <v>459</v>
      </c>
      <c r="I5297" s="2" t="n">
        <f aca="false">IF(F5297="Present",9,IF(F5297="Half Day",4,0))</f>
        <v>9</v>
      </c>
      <c r="J5297" s="2"/>
      <c r="K5297" s="2"/>
    </row>
    <row r="5298" customFormat="false" ht="15" hidden="false" customHeight="false" outlineLevel="0" collapsed="false">
      <c r="A5298" s="2" t="s">
        <v>389</v>
      </c>
      <c r="B5298" s="2" t="s">
        <v>390</v>
      </c>
      <c r="C5298" s="2" t="s">
        <v>17</v>
      </c>
      <c r="D5298" s="3" t="n">
        <v>46261</v>
      </c>
      <c r="E5298" s="2" t="str">
        <f aca="false">TEXT(D5298,"dddd")</f>
        <v>Thursday</v>
      </c>
      <c r="F5298" s="2" t="s">
        <v>457</v>
      </c>
      <c r="G5298" s="2" t="s">
        <v>458</v>
      </c>
      <c r="H5298" s="2" t="s">
        <v>459</v>
      </c>
      <c r="I5298" s="2" t="n">
        <f aca="false">IF(F5298="Present",9,IF(F5298="Half Day",4,0))</f>
        <v>9</v>
      </c>
      <c r="J5298" s="2"/>
      <c r="K5298" s="2"/>
    </row>
    <row r="5299" customFormat="false" ht="15" hidden="false" customHeight="false" outlineLevel="0" collapsed="false">
      <c r="A5299" s="2" t="s">
        <v>389</v>
      </c>
      <c r="B5299" s="2" t="s">
        <v>390</v>
      </c>
      <c r="C5299" s="2" t="s">
        <v>17</v>
      </c>
      <c r="D5299" s="3" t="n">
        <v>46262</v>
      </c>
      <c r="E5299" s="2" t="str">
        <f aca="false">TEXT(D5299,"dddd")</f>
        <v>Friday</v>
      </c>
      <c r="F5299" s="2" t="s">
        <v>457</v>
      </c>
      <c r="G5299" s="2" t="s">
        <v>458</v>
      </c>
      <c r="H5299" s="2" t="s">
        <v>459</v>
      </c>
      <c r="I5299" s="2" t="n">
        <f aca="false">IF(F5299="Present",9,IF(F5299="Half Day",4,0))</f>
        <v>9</v>
      </c>
      <c r="J5299" s="2"/>
      <c r="K5299" s="2"/>
    </row>
    <row r="5300" customFormat="false" ht="15" hidden="false" customHeight="false" outlineLevel="0" collapsed="false">
      <c r="A5300" s="2" t="s">
        <v>389</v>
      </c>
      <c r="B5300" s="2" t="s">
        <v>390</v>
      </c>
      <c r="C5300" s="2" t="s">
        <v>17</v>
      </c>
      <c r="D5300" s="3" t="n">
        <v>46263</v>
      </c>
      <c r="E5300" s="2" t="str">
        <f aca="false">TEXT(D5300,"dddd")</f>
        <v>Saturday</v>
      </c>
      <c r="F5300" s="2" t="s">
        <v>457</v>
      </c>
      <c r="G5300" s="2" t="s">
        <v>458</v>
      </c>
      <c r="H5300" s="2" t="s">
        <v>459</v>
      </c>
      <c r="I5300" s="2" t="n">
        <f aca="false">IF(F5300="Present",9,IF(F5300="Half Day",4,0))</f>
        <v>9</v>
      </c>
      <c r="J5300" s="2"/>
      <c r="K5300" s="2"/>
    </row>
    <row r="5301" customFormat="false" ht="15" hidden="false" customHeight="false" outlineLevel="0" collapsed="false">
      <c r="A5301" s="2" t="s">
        <v>389</v>
      </c>
      <c r="B5301" s="2" t="s">
        <v>390</v>
      </c>
      <c r="C5301" s="2" t="s">
        <v>17</v>
      </c>
      <c r="D5301" s="3" t="n">
        <v>46264</v>
      </c>
      <c r="E5301" s="2" t="str">
        <f aca="false">TEXT(D5301,"dddd")</f>
        <v>Sunday</v>
      </c>
      <c r="F5301" s="2" t="s">
        <v>460</v>
      </c>
      <c r="G5301" s="2"/>
      <c r="H5301" s="2"/>
      <c r="I5301" s="2" t="n">
        <f aca="false">IF(F5301="Present",9,IF(F5301="Half Day",4,0))</f>
        <v>0</v>
      </c>
      <c r="J5301" s="2"/>
      <c r="K5301" s="2" t="s">
        <v>460</v>
      </c>
    </row>
    <row r="5302" customFormat="false" ht="15" hidden="false" customHeight="false" outlineLevel="0" collapsed="false">
      <c r="A5302" s="2" t="s">
        <v>389</v>
      </c>
      <c r="B5302" s="2" t="s">
        <v>390</v>
      </c>
      <c r="C5302" s="2" t="s">
        <v>17</v>
      </c>
      <c r="D5302" s="3" t="n">
        <v>46265</v>
      </c>
      <c r="E5302" s="2" t="str">
        <f aca="false">TEXT(D5302,"dddd")</f>
        <v>Monday</v>
      </c>
      <c r="F5302" s="2" t="s">
        <v>457</v>
      </c>
      <c r="G5302" s="2" t="s">
        <v>458</v>
      </c>
      <c r="H5302" s="2" t="s">
        <v>459</v>
      </c>
      <c r="I5302" s="2" t="n">
        <f aca="false">IF(F5302="Present",9,IF(F5302="Half Day",4,0))</f>
        <v>9</v>
      </c>
      <c r="J5302" s="2"/>
      <c r="K5302" s="2"/>
    </row>
    <row r="5303" customFormat="false" ht="15" hidden="false" customHeight="false" outlineLevel="0" collapsed="false">
      <c r="A5303" s="2" t="s">
        <v>391</v>
      </c>
      <c r="B5303" s="2" t="s">
        <v>392</v>
      </c>
      <c r="C5303" s="2" t="s">
        <v>24</v>
      </c>
      <c r="D5303" s="3" t="n">
        <v>46235</v>
      </c>
      <c r="E5303" s="2" t="str">
        <f aca="false">TEXT(D5303,"dddd")</f>
        <v>Saturday</v>
      </c>
      <c r="F5303" s="2" t="s">
        <v>457</v>
      </c>
      <c r="G5303" s="2" t="s">
        <v>458</v>
      </c>
      <c r="H5303" s="2" t="s">
        <v>459</v>
      </c>
      <c r="I5303" s="2" t="n">
        <f aca="false">IF(F5303="Present",9,IF(F5303="Half Day",4,0))</f>
        <v>9</v>
      </c>
      <c r="J5303" s="2"/>
      <c r="K5303" s="2"/>
    </row>
    <row r="5304" customFormat="false" ht="15" hidden="false" customHeight="false" outlineLevel="0" collapsed="false">
      <c r="A5304" s="2" t="s">
        <v>391</v>
      </c>
      <c r="B5304" s="2" t="s">
        <v>392</v>
      </c>
      <c r="C5304" s="2" t="s">
        <v>24</v>
      </c>
      <c r="D5304" s="3" t="n">
        <v>46236</v>
      </c>
      <c r="E5304" s="2" t="str">
        <f aca="false">TEXT(D5304,"dddd")</f>
        <v>Sunday</v>
      </c>
      <c r="F5304" s="2" t="s">
        <v>460</v>
      </c>
      <c r="G5304" s="2"/>
      <c r="H5304" s="2"/>
      <c r="I5304" s="2" t="n">
        <f aca="false">IF(F5304="Present",9,IF(F5304="Half Day",4,0))</f>
        <v>0</v>
      </c>
      <c r="J5304" s="2"/>
      <c r="K5304" s="2" t="s">
        <v>460</v>
      </c>
    </row>
    <row r="5305" customFormat="false" ht="15" hidden="false" customHeight="false" outlineLevel="0" collapsed="false">
      <c r="A5305" s="2" t="s">
        <v>391</v>
      </c>
      <c r="B5305" s="2" t="s">
        <v>392</v>
      </c>
      <c r="C5305" s="2" t="s">
        <v>24</v>
      </c>
      <c r="D5305" s="3" t="n">
        <v>46237</v>
      </c>
      <c r="E5305" s="2" t="str">
        <f aca="false">TEXT(D5305,"dddd")</f>
        <v>Monday</v>
      </c>
      <c r="F5305" s="2" t="s">
        <v>457</v>
      </c>
      <c r="G5305" s="2" t="s">
        <v>458</v>
      </c>
      <c r="H5305" s="2" t="s">
        <v>459</v>
      </c>
      <c r="I5305" s="2" t="n">
        <f aca="false">IF(F5305="Present",9,IF(F5305="Half Day",4,0))</f>
        <v>9</v>
      </c>
      <c r="J5305" s="2"/>
      <c r="K5305" s="2"/>
    </row>
    <row r="5306" customFormat="false" ht="15" hidden="false" customHeight="false" outlineLevel="0" collapsed="false">
      <c r="A5306" s="2" t="s">
        <v>391</v>
      </c>
      <c r="B5306" s="2" t="s">
        <v>392</v>
      </c>
      <c r="C5306" s="2" t="s">
        <v>24</v>
      </c>
      <c r="D5306" s="3" t="n">
        <v>46238</v>
      </c>
      <c r="E5306" s="2" t="str">
        <f aca="false">TEXT(D5306,"dddd")</f>
        <v>Tuesday</v>
      </c>
      <c r="F5306" s="2" t="s">
        <v>457</v>
      </c>
      <c r="G5306" s="2" t="s">
        <v>458</v>
      </c>
      <c r="H5306" s="2" t="s">
        <v>459</v>
      </c>
      <c r="I5306" s="2" t="n">
        <f aca="false">IF(F5306="Present",9,IF(F5306="Half Day",4,0))</f>
        <v>9</v>
      </c>
      <c r="J5306" s="2"/>
      <c r="K5306" s="2"/>
    </row>
    <row r="5307" customFormat="false" ht="15" hidden="false" customHeight="false" outlineLevel="0" collapsed="false">
      <c r="A5307" s="2" t="s">
        <v>391</v>
      </c>
      <c r="B5307" s="2" t="s">
        <v>392</v>
      </c>
      <c r="C5307" s="2" t="s">
        <v>24</v>
      </c>
      <c r="D5307" s="3" t="n">
        <v>46239</v>
      </c>
      <c r="E5307" s="2" t="str">
        <f aca="false">TEXT(D5307,"dddd")</f>
        <v>Wednesday</v>
      </c>
      <c r="F5307" s="2" t="s">
        <v>457</v>
      </c>
      <c r="G5307" s="2" t="s">
        <v>458</v>
      </c>
      <c r="H5307" s="2" t="s">
        <v>459</v>
      </c>
      <c r="I5307" s="2" t="n">
        <f aca="false">IF(F5307="Present",9,IF(F5307="Half Day",4,0))</f>
        <v>9</v>
      </c>
      <c r="J5307" s="2"/>
      <c r="K5307" s="2"/>
    </row>
    <row r="5308" customFormat="false" ht="15" hidden="false" customHeight="false" outlineLevel="0" collapsed="false">
      <c r="A5308" s="2" t="s">
        <v>391</v>
      </c>
      <c r="B5308" s="2" t="s">
        <v>392</v>
      </c>
      <c r="C5308" s="2" t="s">
        <v>24</v>
      </c>
      <c r="D5308" s="3" t="n">
        <v>46240</v>
      </c>
      <c r="E5308" s="2" t="str">
        <f aca="false">TEXT(D5308,"dddd")</f>
        <v>Thursday</v>
      </c>
      <c r="F5308" s="2" t="s">
        <v>457</v>
      </c>
      <c r="G5308" s="2" t="s">
        <v>458</v>
      </c>
      <c r="H5308" s="2" t="s">
        <v>459</v>
      </c>
      <c r="I5308" s="2" t="n">
        <f aca="false">IF(F5308="Present",9,IF(F5308="Half Day",4,0))</f>
        <v>9</v>
      </c>
      <c r="J5308" s="2"/>
      <c r="K5308" s="2"/>
    </row>
    <row r="5309" customFormat="false" ht="15" hidden="false" customHeight="false" outlineLevel="0" collapsed="false">
      <c r="A5309" s="2" t="s">
        <v>391</v>
      </c>
      <c r="B5309" s="2" t="s">
        <v>392</v>
      </c>
      <c r="C5309" s="2" t="s">
        <v>24</v>
      </c>
      <c r="D5309" s="3" t="n">
        <v>46241</v>
      </c>
      <c r="E5309" s="2" t="str">
        <f aca="false">TEXT(D5309,"dddd")</f>
        <v>Friday</v>
      </c>
      <c r="F5309" s="2" t="s">
        <v>457</v>
      </c>
      <c r="G5309" s="2" t="s">
        <v>458</v>
      </c>
      <c r="H5309" s="2" t="s">
        <v>459</v>
      </c>
      <c r="I5309" s="2" t="n">
        <f aca="false">IF(F5309="Present",9,IF(F5309="Half Day",4,0))</f>
        <v>9</v>
      </c>
      <c r="J5309" s="2"/>
      <c r="K5309" s="2"/>
    </row>
    <row r="5310" customFormat="false" ht="15" hidden="false" customHeight="false" outlineLevel="0" collapsed="false">
      <c r="A5310" s="2" t="s">
        <v>391</v>
      </c>
      <c r="B5310" s="2" t="s">
        <v>392</v>
      </c>
      <c r="C5310" s="2" t="s">
        <v>24</v>
      </c>
      <c r="D5310" s="3" t="n">
        <v>46242</v>
      </c>
      <c r="E5310" s="2" t="str">
        <f aca="false">TEXT(D5310,"dddd")</f>
        <v>Saturday</v>
      </c>
      <c r="F5310" s="2" t="s">
        <v>457</v>
      </c>
      <c r="G5310" s="2" t="s">
        <v>458</v>
      </c>
      <c r="H5310" s="2" t="s">
        <v>459</v>
      </c>
      <c r="I5310" s="2" t="n">
        <f aca="false">IF(F5310="Present",9,IF(F5310="Half Day",4,0))</f>
        <v>9</v>
      </c>
      <c r="J5310" s="2"/>
      <c r="K5310" s="2"/>
    </row>
    <row r="5311" customFormat="false" ht="15" hidden="false" customHeight="false" outlineLevel="0" collapsed="false">
      <c r="A5311" s="2" t="s">
        <v>391</v>
      </c>
      <c r="B5311" s="2" t="s">
        <v>392</v>
      </c>
      <c r="C5311" s="2" t="s">
        <v>24</v>
      </c>
      <c r="D5311" s="3" t="n">
        <v>46243</v>
      </c>
      <c r="E5311" s="2" t="str">
        <f aca="false">TEXT(D5311,"dddd")</f>
        <v>Sunday</v>
      </c>
      <c r="F5311" s="2" t="s">
        <v>460</v>
      </c>
      <c r="G5311" s="2"/>
      <c r="H5311" s="2"/>
      <c r="I5311" s="2" t="n">
        <f aca="false">IF(F5311="Present",9,IF(F5311="Half Day",4,0))</f>
        <v>0</v>
      </c>
      <c r="J5311" s="2"/>
      <c r="K5311" s="2" t="s">
        <v>460</v>
      </c>
    </row>
    <row r="5312" customFormat="false" ht="15" hidden="false" customHeight="false" outlineLevel="0" collapsed="false">
      <c r="A5312" s="2" t="s">
        <v>391</v>
      </c>
      <c r="B5312" s="2" t="s">
        <v>392</v>
      </c>
      <c r="C5312" s="2" t="s">
        <v>24</v>
      </c>
      <c r="D5312" s="3" t="n">
        <v>46244</v>
      </c>
      <c r="E5312" s="2" t="str">
        <f aca="false">TEXT(D5312,"dddd")</f>
        <v>Monday</v>
      </c>
      <c r="F5312" s="2" t="s">
        <v>457</v>
      </c>
      <c r="G5312" s="2" t="s">
        <v>458</v>
      </c>
      <c r="H5312" s="2" t="s">
        <v>459</v>
      </c>
      <c r="I5312" s="2" t="n">
        <f aca="false">IF(F5312="Present",9,IF(F5312="Half Day",4,0))</f>
        <v>9</v>
      </c>
      <c r="J5312" s="2"/>
      <c r="K5312" s="2"/>
    </row>
    <row r="5313" customFormat="false" ht="15" hidden="false" customHeight="false" outlineLevel="0" collapsed="false">
      <c r="A5313" s="2" t="s">
        <v>391</v>
      </c>
      <c r="B5313" s="2" t="s">
        <v>392</v>
      </c>
      <c r="C5313" s="2" t="s">
        <v>24</v>
      </c>
      <c r="D5313" s="3" t="n">
        <v>46245</v>
      </c>
      <c r="E5313" s="2" t="str">
        <f aca="false">TEXT(D5313,"dddd")</f>
        <v>Tuesday</v>
      </c>
      <c r="F5313" s="2" t="s">
        <v>457</v>
      </c>
      <c r="G5313" s="2" t="s">
        <v>458</v>
      </c>
      <c r="H5313" s="2" t="s">
        <v>459</v>
      </c>
      <c r="I5313" s="2" t="n">
        <f aca="false">IF(F5313="Present",9,IF(F5313="Half Day",4,0))</f>
        <v>9</v>
      </c>
      <c r="J5313" s="2"/>
      <c r="K5313" s="2"/>
    </row>
    <row r="5314" customFormat="false" ht="15" hidden="false" customHeight="false" outlineLevel="0" collapsed="false">
      <c r="A5314" s="2" t="s">
        <v>391</v>
      </c>
      <c r="B5314" s="2" t="s">
        <v>392</v>
      </c>
      <c r="C5314" s="2" t="s">
        <v>24</v>
      </c>
      <c r="D5314" s="3" t="n">
        <v>46246</v>
      </c>
      <c r="E5314" s="2" t="str">
        <f aca="false">TEXT(D5314,"dddd")</f>
        <v>Wednesday</v>
      </c>
      <c r="F5314" s="2" t="s">
        <v>457</v>
      </c>
      <c r="G5314" s="2" t="s">
        <v>458</v>
      </c>
      <c r="H5314" s="2" t="s">
        <v>459</v>
      </c>
      <c r="I5314" s="2" t="n">
        <f aca="false">IF(F5314="Present",9,IF(F5314="Half Day",4,0))</f>
        <v>9</v>
      </c>
      <c r="J5314" s="2"/>
      <c r="K5314" s="2"/>
    </row>
    <row r="5315" customFormat="false" ht="15" hidden="false" customHeight="false" outlineLevel="0" collapsed="false">
      <c r="A5315" s="2" t="s">
        <v>391</v>
      </c>
      <c r="B5315" s="2" t="s">
        <v>392</v>
      </c>
      <c r="C5315" s="2" t="s">
        <v>24</v>
      </c>
      <c r="D5315" s="3" t="n">
        <v>46247</v>
      </c>
      <c r="E5315" s="2" t="str">
        <f aca="false">TEXT(D5315,"dddd")</f>
        <v>Thursday</v>
      </c>
      <c r="F5315" s="2" t="s">
        <v>457</v>
      </c>
      <c r="G5315" s="2" t="s">
        <v>458</v>
      </c>
      <c r="H5315" s="2" t="s">
        <v>459</v>
      </c>
      <c r="I5315" s="2" t="n">
        <f aca="false">IF(F5315="Present",9,IF(F5315="Half Day",4,0))</f>
        <v>9</v>
      </c>
      <c r="J5315" s="2"/>
      <c r="K5315" s="2"/>
    </row>
    <row r="5316" customFormat="false" ht="15" hidden="false" customHeight="false" outlineLevel="0" collapsed="false">
      <c r="A5316" s="2" t="s">
        <v>391</v>
      </c>
      <c r="B5316" s="2" t="s">
        <v>392</v>
      </c>
      <c r="C5316" s="2" t="s">
        <v>24</v>
      </c>
      <c r="D5316" s="3" t="n">
        <v>46248</v>
      </c>
      <c r="E5316" s="2" t="str">
        <f aca="false">TEXT(D5316,"dddd")</f>
        <v>Friday</v>
      </c>
      <c r="F5316" s="2" t="s">
        <v>457</v>
      </c>
      <c r="G5316" s="2" t="s">
        <v>458</v>
      </c>
      <c r="H5316" s="2" t="s">
        <v>459</v>
      </c>
      <c r="I5316" s="2" t="n">
        <f aca="false">IF(F5316="Present",9,IF(F5316="Half Day",4,0))</f>
        <v>9</v>
      </c>
      <c r="J5316" s="2"/>
      <c r="K5316" s="2"/>
    </row>
    <row r="5317" customFormat="false" ht="15" hidden="false" customHeight="false" outlineLevel="0" collapsed="false">
      <c r="A5317" s="2" t="s">
        <v>391</v>
      </c>
      <c r="B5317" s="2" t="s">
        <v>392</v>
      </c>
      <c r="C5317" s="2" t="s">
        <v>24</v>
      </c>
      <c r="D5317" s="3" t="n">
        <v>46249</v>
      </c>
      <c r="E5317" s="2" t="str">
        <f aca="false">TEXT(D5317,"dddd")</f>
        <v>Saturday</v>
      </c>
      <c r="F5317" s="2" t="s">
        <v>457</v>
      </c>
      <c r="G5317" s="2" t="s">
        <v>458</v>
      </c>
      <c r="H5317" s="2" t="s">
        <v>459</v>
      </c>
      <c r="I5317" s="2" t="n">
        <f aca="false">IF(F5317="Present",9,IF(F5317="Half Day",4,0))</f>
        <v>9</v>
      </c>
      <c r="J5317" s="2"/>
      <c r="K5317" s="2"/>
    </row>
    <row r="5318" customFormat="false" ht="15" hidden="false" customHeight="false" outlineLevel="0" collapsed="false">
      <c r="A5318" s="2" t="s">
        <v>391</v>
      </c>
      <c r="B5318" s="2" t="s">
        <v>392</v>
      </c>
      <c r="C5318" s="2" t="s">
        <v>24</v>
      </c>
      <c r="D5318" s="3" t="n">
        <v>46250</v>
      </c>
      <c r="E5318" s="2" t="str">
        <f aca="false">TEXT(D5318,"dddd")</f>
        <v>Sunday</v>
      </c>
      <c r="F5318" s="2" t="s">
        <v>460</v>
      </c>
      <c r="G5318" s="2"/>
      <c r="H5318" s="2"/>
      <c r="I5318" s="2" t="n">
        <f aca="false">IF(F5318="Present",9,IF(F5318="Half Day",4,0))</f>
        <v>0</v>
      </c>
      <c r="J5318" s="2"/>
      <c r="K5318" s="2" t="s">
        <v>460</v>
      </c>
    </row>
    <row r="5319" customFormat="false" ht="15" hidden="false" customHeight="false" outlineLevel="0" collapsed="false">
      <c r="A5319" s="2" t="s">
        <v>391</v>
      </c>
      <c r="B5319" s="2" t="s">
        <v>392</v>
      </c>
      <c r="C5319" s="2" t="s">
        <v>24</v>
      </c>
      <c r="D5319" s="3" t="n">
        <v>46251</v>
      </c>
      <c r="E5319" s="2" t="str">
        <f aca="false">TEXT(D5319,"dddd")</f>
        <v>Monday</v>
      </c>
      <c r="F5319" s="2" t="s">
        <v>457</v>
      </c>
      <c r="G5319" s="2" t="s">
        <v>458</v>
      </c>
      <c r="H5319" s="2" t="s">
        <v>459</v>
      </c>
      <c r="I5319" s="2" t="n">
        <f aca="false">IF(F5319="Present",9,IF(F5319="Half Day",4,0))</f>
        <v>9</v>
      </c>
      <c r="J5319" s="2"/>
      <c r="K5319" s="2"/>
    </row>
    <row r="5320" customFormat="false" ht="15" hidden="false" customHeight="false" outlineLevel="0" collapsed="false">
      <c r="A5320" s="2" t="s">
        <v>391</v>
      </c>
      <c r="B5320" s="2" t="s">
        <v>392</v>
      </c>
      <c r="C5320" s="2" t="s">
        <v>24</v>
      </c>
      <c r="D5320" s="3" t="n">
        <v>46252</v>
      </c>
      <c r="E5320" s="2" t="str">
        <f aca="false">TEXT(D5320,"dddd")</f>
        <v>Tuesday</v>
      </c>
      <c r="F5320" s="2" t="s">
        <v>457</v>
      </c>
      <c r="G5320" s="2" t="s">
        <v>458</v>
      </c>
      <c r="H5320" s="2" t="s">
        <v>459</v>
      </c>
      <c r="I5320" s="2" t="n">
        <f aca="false">IF(F5320="Present",9,IF(F5320="Half Day",4,0))</f>
        <v>9</v>
      </c>
      <c r="J5320" s="2"/>
      <c r="K5320" s="2"/>
    </row>
    <row r="5321" customFormat="false" ht="15" hidden="false" customHeight="false" outlineLevel="0" collapsed="false">
      <c r="A5321" s="2" t="s">
        <v>391</v>
      </c>
      <c r="B5321" s="2" t="s">
        <v>392</v>
      </c>
      <c r="C5321" s="2" t="s">
        <v>24</v>
      </c>
      <c r="D5321" s="3" t="n">
        <v>46253</v>
      </c>
      <c r="E5321" s="2" t="str">
        <f aca="false">TEXT(D5321,"dddd")</f>
        <v>Wednesday</v>
      </c>
      <c r="F5321" s="2" t="s">
        <v>457</v>
      </c>
      <c r="G5321" s="2" t="s">
        <v>458</v>
      </c>
      <c r="H5321" s="2" t="s">
        <v>459</v>
      </c>
      <c r="I5321" s="2" t="n">
        <f aca="false">IF(F5321="Present",9,IF(F5321="Half Day",4,0))</f>
        <v>9</v>
      </c>
      <c r="J5321" s="2"/>
      <c r="K5321" s="2"/>
    </row>
    <row r="5322" customFormat="false" ht="15" hidden="false" customHeight="false" outlineLevel="0" collapsed="false">
      <c r="A5322" s="2" t="s">
        <v>391</v>
      </c>
      <c r="B5322" s="2" t="s">
        <v>392</v>
      </c>
      <c r="C5322" s="2" t="s">
        <v>24</v>
      </c>
      <c r="D5322" s="3" t="n">
        <v>46254</v>
      </c>
      <c r="E5322" s="2" t="str">
        <f aca="false">TEXT(D5322,"dddd")</f>
        <v>Thursday</v>
      </c>
      <c r="F5322" s="2" t="s">
        <v>457</v>
      </c>
      <c r="G5322" s="2" t="s">
        <v>458</v>
      </c>
      <c r="H5322" s="2" t="s">
        <v>459</v>
      </c>
      <c r="I5322" s="2" t="n">
        <f aca="false">IF(F5322="Present",9,IF(F5322="Half Day",4,0))</f>
        <v>9</v>
      </c>
      <c r="J5322" s="2"/>
      <c r="K5322" s="2"/>
    </row>
    <row r="5323" customFormat="false" ht="15" hidden="false" customHeight="false" outlineLevel="0" collapsed="false">
      <c r="A5323" s="2" t="s">
        <v>391</v>
      </c>
      <c r="B5323" s="2" t="s">
        <v>392</v>
      </c>
      <c r="C5323" s="2" t="s">
        <v>24</v>
      </c>
      <c r="D5323" s="3" t="n">
        <v>46255</v>
      </c>
      <c r="E5323" s="2" t="str">
        <f aca="false">TEXT(D5323,"dddd")</f>
        <v>Friday</v>
      </c>
      <c r="F5323" s="2" t="s">
        <v>463</v>
      </c>
      <c r="G5323" s="2"/>
      <c r="H5323" s="2"/>
      <c r="I5323" s="2" t="n">
        <f aca="false">IF(F5323="Present",9,IF(F5323="Half Day",4,0))</f>
        <v>0</v>
      </c>
      <c r="J5323" s="2" t="s">
        <v>470</v>
      </c>
      <c r="K5323" s="2" t="s">
        <v>471</v>
      </c>
    </row>
    <row r="5324" customFormat="false" ht="15" hidden="false" customHeight="false" outlineLevel="0" collapsed="false">
      <c r="A5324" s="2" t="s">
        <v>391</v>
      </c>
      <c r="B5324" s="2" t="s">
        <v>392</v>
      </c>
      <c r="C5324" s="2" t="s">
        <v>24</v>
      </c>
      <c r="D5324" s="3" t="n">
        <v>46256</v>
      </c>
      <c r="E5324" s="2" t="str">
        <f aca="false">TEXT(D5324,"dddd")</f>
        <v>Saturday</v>
      </c>
      <c r="F5324" s="2" t="s">
        <v>457</v>
      </c>
      <c r="G5324" s="2" t="s">
        <v>458</v>
      </c>
      <c r="H5324" s="2" t="s">
        <v>459</v>
      </c>
      <c r="I5324" s="2" t="n">
        <f aca="false">IF(F5324="Present",9,IF(F5324="Half Day",4,0))</f>
        <v>9</v>
      </c>
      <c r="J5324" s="2"/>
      <c r="K5324" s="2"/>
    </row>
    <row r="5325" customFormat="false" ht="15" hidden="false" customHeight="false" outlineLevel="0" collapsed="false">
      <c r="A5325" s="2" t="s">
        <v>391</v>
      </c>
      <c r="B5325" s="2" t="s">
        <v>392</v>
      </c>
      <c r="C5325" s="2" t="s">
        <v>24</v>
      </c>
      <c r="D5325" s="3" t="n">
        <v>46257</v>
      </c>
      <c r="E5325" s="2" t="str">
        <f aca="false">TEXT(D5325,"dddd")</f>
        <v>Sunday</v>
      </c>
      <c r="F5325" s="2" t="s">
        <v>460</v>
      </c>
      <c r="G5325" s="2"/>
      <c r="H5325" s="2"/>
      <c r="I5325" s="2" t="n">
        <f aca="false">IF(F5325="Present",9,IF(F5325="Half Day",4,0))</f>
        <v>0</v>
      </c>
      <c r="J5325" s="2"/>
      <c r="K5325" s="2" t="s">
        <v>460</v>
      </c>
    </row>
    <row r="5326" customFormat="false" ht="15" hidden="false" customHeight="false" outlineLevel="0" collapsed="false">
      <c r="A5326" s="2" t="s">
        <v>391</v>
      </c>
      <c r="B5326" s="2" t="s">
        <v>392</v>
      </c>
      <c r="C5326" s="2" t="s">
        <v>24</v>
      </c>
      <c r="D5326" s="3" t="n">
        <v>46258</v>
      </c>
      <c r="E5326" s="2" t="str">
        <f aca="false">TEXT(D5326,"dddd")</f>
        <v>Monday</v>
      </c>
      <c r="F5326" s="2" t="s">
        <v>457</v>
      </c>
      <c r="G5326" s="2" t="s">
        <v>458</v>
      </c>
      <c r="H5326" s="2" t="s">
        <v>459</v>
      </c>
      <c r="I5326" s="2" t="n">
        <f aca="false">IF(F5326="Present",9,IF(F5326="Half Day",4,0))</f>
        <v>9</v>
      </c>
      <c r="J5326" s="2"/>
      <c r="K5326" s="2"/>
    </row>
    <row r="5327" customFormat="false" ht="15" hidden="false" customHeight="false" outlineLevel="0" collapsed="false">
      <c r="A5327" s="2" t="s">
        <v>391</v>
      </c>
      <c r="B5327" s="2" t="s">
        <v>392</v>
      </c>
      <c r="C5327" s="2" t="s">
        <v>24</v>
      </c>
      <c r="D5327" s="3" t="n">
        <v>46259</v>
      </c>
      <c r="E5327" s="2" t="str">
        <f aca="false">TEXT(D5327,"dddd")</f>
        <v>Tuesday</v>
      </c>
      <c r="F5327" s="2" t="s">
        <v>457</v>
      </c>
      <c r="G5327" s="2" t="s">
        <v>458</v>
      </c>
      <c r="H5327" s="2" t="s">
        <v>459</v>
      </c>
      <c r="I5327" s="2" t="n">
        <f aca="false">IF(F5327="Present",9,IF(F5327="Half Day",4,0))</f>
        <v>9</v>
      </c>
      <c r="J5327" s="2"/>
      <c r="K5327" s="2"/>
    </row>
    <row r="5328" customFormat="false" ht="15" hidden="false" customHeight="false" outlineLevel="0" collapsed="false">
      <c r="A5328" s="2" t="s">
        <v>391</v>
      </c>
      <c r="B5328" s="2" t="s">
        <v>392</v>
      </c>
      <c r="C5328" s="2" t="s">
        <v>24</v>
      </c>
      <c r="D5328" s="3" t="n">
        <v>46260</v>
      </c>
      <c r="E5328" s="2" t="str">
        <f aca="false">TEXT(D5328,"dddd")</f>
        <v>Wednesday</v>
      </c>
      <c r="F5328" s="2" t="s">
        <v>461</v>
      </c>
      <c r="G5328" s="2"/>
      <c r="H5328" s="2"/>
      <c r="I5328" s="2" t="n">
        <f aca="false">IF(F5328="Present",9,IF(F5328="Half Day",4,0))</f>
        <v>0</v>
      </c>
      <c r="J5328" s="2"/>
      <c r="K5328" s="2" t="s">
        <v>462</v>
      </c>
    </row>
    <row r="5329" customFormat="false" ht="15" hidden="false" customHeight="false" outlineLevel="0" collapsed="false">
      <c r="A5329" s="2" t="s">
        <v>391</v>
      </c>
      <c r="B5329" s="2" t="s">
        <v>392</v>
      </c>
      <c r="C5329" s="2" t="s">
        <v>24</v>
      </c>
      <c r="D5329" s="3" t="n">
        <v>46261</v>
      </c>
      <c r="E5329" s="2" t="str">
        <f aca="false">TEXT(D5329,"dddd")</f>
        <v>Thursday</v>
      </c>
      <c r="F5329" s="2" t="s">
        <v>457</v>
      </c>
      <c r="G5329" s="2" t="s">
        <v>458</v>
      </c>
      <c r="H5329" s="2" t="s">
        <v>459</v>
      </c>
      <c r="I5329" s="2" t="n">
        <f aca="false">IF(F5329="Present",9,IF(F5329="Half Day",4,0))</f>
        <v>9</v>
      </c>
      <c r="J5329" s="2"/>
      <c r="K5329" s="2"/>
    </row>
    <row r="5330" customFormat="false" ht="15" hidden="false" customHeight="false" outlineLevel="0" collapsed="false">
      <c r="A5330" s="2" t="s">
        <v>391</v>
      </c>
      <c r="B5330" s="2" t="s">
        <v>392</v>
      </c>
      <c r="C5330" s="2" t="s">
        <v>24</v>
      </c>
      <c r="D5330" s="3" t="n">
        <v>46262</v>
      </c>
      <c r="E5330" s="2" t="str">
        <f aca="false">TEXT(D5330,"dddd")</f>
        <v>Friday</v>
      </c>
      <c r="F5330" s="2" t="s">
        <v>457</v>
      </c>
      <c r="G5330" s="2" t="s">
        <v>458</v>
      </c>
      <c r="H5330" s="2" t="s">
        <v>459</v>
      </c>
      <c r="I5330" s="2" t="n">
        <f aca="false">IF(F5330="Present",9,IF(F5330="Half Day",4,0))</f>
        <v>9</v>
      </c>
      <c r="J5330" s="2"/>
      <c r="K5330" s="2"/>
    </row>
    <row r="5331" customFormat="false" ht="15" hidden="false" customHeight="false" outlineLevel="0" collapsed="false">
      <c r="A5331" s="2" t="s">
        <v>391</v>
      </c>
      <c r="B5331" s="2" t="s">
        <v>392</v>
      </c>
      <c r="C5331" s="2" t="s">
        <v>24</v>
      </c>
      <c r="D5331" s="3" t="n">
        <v>46263</v>
      </c>
      <c r="E5331" s="2" t="str">
        <f aca="false">TEXT(D5331,"dddd")</f>
        <v>Saturday</v>
      </c>
      <c r="F5331" s="2" t="s">
        <v>457</v>
      </c>
      <c r="G5331" s="2" t="s">
        <v>458</v>
      </c>
      <c r="H5331" s="2" t="s">
        <v>459</v>
      </c>
      <c r="I5331" s="2" t="n">
        <f aca="false">IF(F5331="Present",9,IF(F5331="Half Day",4,0))</f>
        <v>9</v>
      </c>
      <c r="J5331" s="2"/>
      <c r="K5331" s="2"/>
    </row>
    <row r="5332" customFormat="false" ht="15" hidden="false" customHeight="false" outlineLevel="0" collapsed="false">
      <c r="A5332" s="2" t="s">
        <v>391</v>
      </c>
      <c r="B5332" s="2" t="s">
        <v>392</v>
      </c>
      <c r="C5332" s="2" t="s">
        <v>24</v>
      </c>
      <c r="D5332" s="3" t="n">
        <v>46264</v>
      </c>
      <c r="E5332" s="2" t="str">
        <f aca="false">TEXT(D5332,"dddd")</f>
        <v>Sunday</v>
      </c>
      <c r="F5332" s="2" t="s">
        <v>460</v>
      </c>
      <c r="G5332" s="2"/>
      <c r="H5332" s="2"/>
      <c r="I5332" s="2" t="n">
        <f aca="false">IF(F5332="Present",9,IF(F5332="Half Day",4,0))</f>
        <v>0</v>
      </c>
      <c r="J5332" s="2"/>
      <c r="K5332" s="2" t="s">
        <v>460</v>
      </c>
    </row>
    <row r="5333" customFormat="false" ht="15" hidden="false" customHeight="false" outlineLevel="0" collapsed="false">
      <c r="A5333" s="2" t="s">
        <v>391</v>
      </c>
      <c r="B5333" s="2" t="s">
        <v>392</v>
      </c>
      <c r="C5333" s="2" t="s">
        <v>24</v>
      </c>
      <c r="D5333" s="3" t="n">
        <v>46265</v>
      </c>
      <c r="E5333" s="2" t="str">
        <f aca="false">TEXT(D5333,"dddd")</f>
        <v>Monday</v>
      </c>
      <c r="F5333" s="2" t="s">
        <v>457</v>
      </c>
      <c r="G5333" s="2" t="s">
        <v>458</v>
      </c>
      <c r="H5333" s="2" t="s">
        <v>459</v>
      </c>
      <c r="I5333" s="2" t="n">
        <f aca="false">IF(F5333="Present",9,IF(F5333="Half Day",4,0))</f>
        <v>9</v>
      </c>
      <c r="J5333" s="2"/>
      <c r="K5333" s="2"/>
    </row>
    <row r="5334" customFormat="false" ht="15" hidden="false" customHeight="false" outlineLevel="0" collapsed="false">
      <c r="A5334" s="2" t="s">
        <v>393</v>
      </c>
      <c r="B5334" s="2" t="s">
        <v>394</v>
      </c>
      <c r="C5334" s="2" t="s">
        <v>28</v>
      </c>
      <c r="D5334" s="3" t="n">
        <v>46235</v>
      </c>
      <c r="E5334" s="2" t="str">
        <f aca="false">TEXT(D5334,"dddd")</f>
        <v>Saturday</v>
      </c>
      <c r="F5334" s="2" t="s">
        <v>461</v>
      </c>
      <c r="G5334" s="2"/>
      <c r="H5334" s="2"/>
      <c r="I5334" s="2" t="n">
        <f aca="false">IF(F5334="Present",9,IF(F5334="Half Day",4,0))</f>
        <v>0</v>
      </c>
      <c r="J5334" s="2"/>
      <c r="K5334" s="2" t="s">
        <v>462</v>
      </c>
    </row>
    <row r="5335" customFormat="false" ht="15" hidden="false" customHeight="false" outlineLevel="0" collapsed="false">
      <c r="A5335" s="2" t="s">
        <v>393</v>
      </c>
      <c r="B5335" s="2" t="s">
        <v>394</v>
      </c>
      <c r="C5335" s="2" t="s">
        <v>28</v>
      </c>
      <c r="D5335" s="3" t="n">
        <v>46236</v>
      </c>
      <c r="E5335" s="2" t="str">
        <f aca="false">TEXT(D5335,"dddd")</f>
        <v>Sunday</v>
      </c>
      <c r="F5335" s="2" t="s">
        <v>460</v>
      </c>
      <c r="G5335" s="2"/>
      <c r="H5335" s="2"/>
      <c r="I5335" s="2" t="n">
        <f aca="false">IF(F5335="Present",9,IF(F5335="Half Day",4,0))</f>
        <v>0</v>
      </c>
      <c r="J5335" s="2"/>
      <c r="K5335" s="2" t="s">
        <v>460</v>
      </c>
    </row>
    <row r="5336" customFormat="false" ht="15" hidden="false" customHeight="false" outlineLevel="0" collapsed="false">
      <c r="A5336" s="2" t="s">
        <v>393</v>
      </c>
      <c r="B5336" s="2" t="s">
        <v>394</v>
      </c>
      <c r="C5336" s="2" t="s">
        <v>28</v>
      </c>
      <c r="D5336" s="3" t="n">
        <v>46237</v>
      </c>
      <c r="E5336" s="2" t="str">
        <f aca="false">TEXT(D5336,"dddd")</f>
        <v>Monday</v>
      </c>
      <c r="F5336" s="2" t="s">
        <v>463</v>
      </c>
      <c r="G5336" s="2"/>
      <c r="H5336" s="2"/>
      <c r="I5336" s="2" t="n">
        <f aca="false">IF(F5336="Present",9,IF(F5336="Half Day",4,0))</f>
        <v>0</v>
      </c>
      <c r="J5336" s="2" t="s">
        <v>470</v>
      </c>
      <c r="K5336" s="2" t="s">
        <v>471</v>
      </c>
    </row>
    <row r="5337" customFormat="false" ht="15" hidden="false" customHeight="false" outlineLevel="0" collapsed="false">
      <c r="A5337" s="2" t="s">
        <v>393</v>
      </c>
      <c r="B5337" s="2" t="s">
        <v>394</v>
      </c>
      <c r="C5337" s="2" t="s">
        <v>28</v>
      </c>
      <c r="D5337" s="3" t="n">
        <v>46238</v>
      </c>
      <c r="E5337" s="2" t="str">
        <f aca="false">TEXT(D5337,"dddd")</f>
        <v>Tuesday</v>
      </c>
      <c r="F5337" s="2" t="s">
        <v>457</v>
      </c>
      <c r="G5337" s="2" t="s">
        <v>458</v>
      </c>
      <c r="H5337" s="2" t="s">
        <v>459</v>
      </c>
      <c r="I5337" s="2" t="n">
        <f aca="false">IF(F5337="Present",9,IF(F5337="Half Day",4,0))</f>
        <v>9</v>
      </c>
      <c r="J5337" s="2"/>
      <c r="K5337" s="2"/>
    </row>
    <row r="5338" customFormat="false" ht="15" hidden="false" customHeight="false" outlineLevel="0" collapsed="false">
      <c r="A5338" s="2" t="s">
        <v>393</v>
      </c>
      <c r="B5338" s="2" t="s">
        <v>394</v>
      </c>
      <c r="C5338" s="2" t="s">
        <v>28</v>
      </c>
      <c r="D5338" s="3" t="n">
        <v>46239</v>
      </c>
      <c r="E5338" s="2" t="str">
        <f aca="false">TEXT(D5338,"dddd")</f>
        <v>Wednesday</v>
      </c>
      <c r="F5338" s="2" t="s">
        <v>461</v>
      </c>
      <c r="G5338" s="2"/>
      <c r="H5338" s="2"/>
      <c r="I5338" s="2" t="n">
        <f aca="false">IF(F5338="Present",9,IF(F5338="Half Day",4,0))</f>
        <v>0</v>
      </c>
      <c r="J5338" s="2"/>
      <c r="K5338" s="2" t="s">
        <v>462</v>
      </c>
    </row>
    <row r="5339" customFormat="false" ht="15" hidden="false" customHeight="false" outlineLevel="0" collapsed="false">
      <c r="A5339" s="2" t="s">
        <v>393</v>
      </c>
      <c r="B5339" s="2" t="s">
        <v>394</v>
      </c>
      <c r="C5339" s="2" t="s">
        <v>28</v>
      </c>
      <c r="D5339" s="3" t="n">
        <v>46240</v>
      </c>
      <c r="E5339" s="2" t="str">
        <f aca="false">TEXT(D5339,"dddd")</f>
        <v>Thursday</v>
      </c>
      <c r="F5339" s="2" t="s">
        <v>457</v>
      </c>
      <c r="G5339" s="2" t="s">
        <v>458</v>
      </c>
      <c r="H5339" s="2" t="s">
        <v>459</v>
      </c>
      <c r="I5339" s="2" t="n">
        <f aca="false">IF(F5339="Present",9,IF(F5339="Half Day",4,0))</f>
        <v>9</v>
      </c>
      <c r="J5339" s="2"/>
      <c r="K5339" s="2"/>
    </row>
    <row r="5340" customFormat="false" ht="15" hidden="false" customHeight="false" outlineLevel="0" collapsed="false">
      <c r="A5340" s="2" t="s">
        <v>393</v>
      </c>
      <c r="B5340" s="2" t="s">
        <v>394</v>
      </c>
      <c r="C5340" s="2" t="s">
        <v>28</v>
      </c>
      <c r="D5340" s="3" t="n">
        <v>46241</v>
      </c>
      <c r="E5340" s="2" t="str">
        <f aca="false">TEXT(D5340,"dddd")</f>
        <v>Friday</v>
      </c>
      <c r="F5340" s="2" t="s">
        <v>461</v>
      </c>
      <c r="G5340" s="2"/>
      <c r="H5340" s="2"/>
      <c r="I5340" s="2" t="n">
        <f aca="false">IF(F5340="Present",9,IF(F5340="Half Day",4,0))</f>
        <v>0</v>
      </c>
      <c r="J5340" s="2"/>
      <c r="K5340" s="2" t="s">
        <v>462</v>
      </c>
    </row>
    <row r="5341" customFormat="false" ht="15" hidden="false" customHeight="false" outlineLevel="0" collapsed="false">
      <c r="A5341" s="2" t="s">
        <v>393</v>
      </c>
      <c r="B5341" s="2" t="s">
        <v>394</v>
      </c>
      <c r="C5341" s="2" t="s">
        <v>28</v>
      </c>
      <c r="D5341" s="3" t="n">
        <v>46242</v>
      </c>
      <c r="E5341" s="2" t="str">
        <f aca="false">TEXT(D5341,"dddd")</f>
        <v>Saturday</v>
      </c>
      <c r="F5341" s="2" t="s">
        <v>457</v>
      </c>
      <c r="G5341" s="2" t="s">
        <v>458</v>
      </c>
      <c r="H5341" s="2" t="s">
        <v>459</v>
      </c>
      <c r="I5341" s="2" t="n">
        <f aca="false">IF(F5341="Present",9,IF(F5341="Half Day",4,0))</f>
        <v>9</v>
      </c>
      <c r="J5341" s="2"/>
      <c r="K5341" s="2"/>
    </row>
    <row r="5342" customFormat="false" ht="15" hidden="false" customHeight="false" outlineLevel="0" collapsed="false">
      <c r="A5342" s="2" t="s">
        <v>393</v>
      </c>
      <c r="B5342" s="2" t="s">
        <v>394</v>
      </c>
      <c r="C5342" s="2" t="s">
        <v>28</v>
      </c>
      <c r="D5342" s="3" t="n">
        <v>46243</v>
      </c>
      <c r="E5342" s="2" t="str">
        <f aca="false">TEXT(D5342,"dddd")</f>
        <v>Sunday</v>
      </c>
      <c r="F5342" s="2" t="s">
        <v>460</v>
      </c>
      <c r="G5342" s="2"/>
      <c r="H5342" s="2"/>
      <c r="I5342" s="2" t="n">
        <f aca="false">IF(F5342="Present",9,IF(F5342="Half Day",4,0))</f>
        <v>0</v>
      </c>
      <c r="J5342" s="2"/>
      <c r="K5342" s="2" t="s">
        <v>460</v>
      </c>
    </row>
    <row r="5343" customFormat="false" ht="15" hidden="false" customHeight="false" outlineLevel="0" collapsed="false">
      <c r="A5343" s="2" t="s">
        <v>393</v>
      </c>
      <c r="B5343" s="2" t="s">
        <v>394</v>
      </c>
      <c r="C5343" s="2" t="s">
        <v>28</v>
      </c>
      <c r="D5343" s="3" t="n">
        <v>46244</v>
      </c>
      <c r="E5343" s="2" t="str">
        <f aca="false">TEXT(D5343,"dddd")</f>
        <v>Monday</v>
      </c>
      <c r="F5343" s="2" t="s">
        <v>457</v>
      </c>
      <c r="G5343" s="2" t="s">
        <v>458</v>
      </c>
      <c r="H5343" s="2" t="s">
        <v>459</v>
      </c>
      <c r="I5343" s="2" t="n">
        <f aca="false">IF(F5343="Present",9,IF(F5343="Half Day",4,0))</f>
        <v>9</v>
      </c>
      <c r="J5343" s="2"/>
      <c r="K5343" s="2"/>
    </row>
    <row r="5344" customFormat="false" ht="15" hidden="false" customHeight="false" outlineLevel="0" collapsed="false">
      <c r="A5344" s="2" t="s">
        <v>393</v>
      </c>
      <c r="B5344" s="2" t="s">
        <v>394</v>
      </c>
      <c r="C5344" s="2" t="s">
        <v>28</v>
      </c>
      <c r="D5344" s="3" t="n">
        <v>46245</v>
      </c>
      <c r="E5344" s="2" t="str">
        <f aca="false">TEXT(D5344,"dddd")</f>
        <v>Tuesday</v>
      </c>
      <c r="F5344" s="2" t="s">
        <v>461</v>
      </c>
      <c r="G5344" s="2"/>
      <c r="H5344" s="2"/>
      <c r="I5344" s="2" t="n">
        <f aca="false">IF(F5344="Present",9,IF(F5344="Half Day",4,0))</f>
        <v>0</v>
      </c>
      <c r="J5344" s="2"/>
      <c r="K5344" s="2" t="s">
        <v>462</v>
      </c>
    </row>
    <row r="5345" customFormat="false" ht="15" hidden="false" customHeight="false" outlineLevel="0" collapsed="false">
      <c r="A5345" s="2" t="s">
        <v>393</v>
      </c>
      <c r="B5345" s="2" t="s">
        <v>394</v>
      </c>
      <c r="C5345" s="2" t="s">
        <v>28</v>
      </c>
      <c r="D5345" s="3" t="n">
        <v>46246</v>
      </c>
      <c r="E5345" s="2" t="str">
        <f aca="false">TEXT(D5345,"dddd")</f>
        <v>Wednesday</v>
      </c>
      <c r="F5345" s="2" t="s">
        <v>457</v>
      </c>
      <c r="G5345" s="2" t="s">
        <v>458</v>
      </c>
      <c r="H5345" s="2" t="s">
        <v>459</v>
      </c>
      <c r="I5345" s="2" t="n">
        <f aca="false">IF(F5345="Present",9,IF(F5345="Half Day",4,0))</f>
        <v>9</v>
      </c>
      <c r="J5345" s="2"/>
      <c r="K5345" s="2"/>
    </row>
    <row r="5346" customFormat="false" ht="15" hidden="false" customHeight="false" outlineLevel="0" collapsed="false">
      <c r="A5346" s="2" t="s">
        <v>393</v>
      </c>
      <c r="B5346" s="2" t="s">
        <v>394</v>
      </c>
      <c r="C5346" s="2" t="s">
        <v>28</v>
      </c>
      <c r="D5346" s="3" t="n">
        <v>46247</v>
      </c>
      <c r="E5346" s="2" t="str">
        <f aca="false">TEXT(D5346,"dddd")</f>
        <v>Thursday</v>
      </c>
      <c r="F5346" s="2" t="s">
        <v>457</v>
      </c>
      <c r="G5346" s="2" t="s">
        <v>458</v>
      </c>
      <c r="H5346" s="2" t="s">
        <v>459</v>
      </c>
      <c r="I5346" s="2" t="n">
        <f aca="false">IF(F5346="Present",9,IF(F5346="Half Day",4,0))</f>
        <v>9</v>
      </c>
      <c r="J5346" s="2"/>
      <c r="K5346" s="2"/>
    </row>
    <row r="5347" customFormat="false" ht="15" hidden="false" customHeight="false" outlineLevel="0" collapsed="false">
      <c r="A5347" s="2" t="s">
        <v>393</v>
      </c>
      <c r="B5347" s="2" t="s">
        <v>394</v>
      </c>
      <c r="C5347" s="2" t="s">
        <v>28</v>
      </c>
      <c r="D5347" s="3" t="n">
        <v>46248</v>
      </c>
      <c r="E5347" s="2" t="str">
        <f aca="false">TEXT(D5347,"dddd")</f>
        <v>Friday</v>
      </c>
      <c r="F5347" s="2" t="s">
        <v>461</v>
      </c>
      <c r="G5347" s="2"/>
      <c r="H5347" s="2"/>
      <c r="I5347" s="2" t="n">
        <f aca="false">IF(F5347="Present",9,IF(F5347="Half Day",4,0))</f>
        <v>0</v>
      </c>
      <c r="J5347" s="2"/>
      <c r="K5347" s="2" t="s">
        <v>462</v>
      </c>
    </row>
    <row r="5348" customFormat="false" ht="15" hidden="false" customHeight="false" outlineLevel="0" collapsed="false">
      <c r="A5348" s="2" t="s">
        <v>393</v>
      </c>
      <c r="B5348" s="2" t="s">
        <v>394</v>
      </c>
      <c r="C5348" s="2" t="s">
        <v>28</v>
      </c>
      <c r="D5348" s="3" t="n">
        <v>46249</v>
      </c>
      <c r="E5348" s="2" t="str">
        <f aca="false">TEXT(D5348,"dddd")</f>
        <v>Saturday</v>
      </c>
      <c r="F5348" s="2" t="s">
        <v>457</v>
      </c>
      <c r="G5348" s="2" t="s">
        <v>458</v>
      </c>
      <c r="H5348" s="2" t="s">
        <v>459</v>
      </c>
      <c r="I5348" s="2" t="n">
        <f aca="false">IF(F5348="Present",9,IF(F5348="Half Day",4,0))</f>
        <v>9</v>
      </c>
      <c r="J5348" s="2"/>
      <c r="K5348" s="2"/>
    </row>
    <row r="5349" customFormat="false" ht="15" hidden="false" customHeight="false" outlineLevel="0" collapsed="false">
      <c r="A5349" s="2" t="s">
        <v>393</v>
      </c>
      <c r="B5349" s="2" t="s">
        <v>394</v>
      </c>
      <c r="C5349" s="2" t="s">
        <v>28</v>
      </c>
      <c r="D5349" s="3" t="n">
        <v>46250</v>
      </c>
      <c r="E5349" s="2" t="str">
        <f aca="false">TEXT(D5349,"dddd")</f>
        <v>Sunday</v>
      </c>
      <c r="F5349" s="2" t="s">
        <v>460</v>
      </c>
      <c r="G5349" s="2"/>
      <c r="H5349" s="2"/>
      <c r="I5349" s="2" t="n">
        <f aca="false">IF(F5349="Present",9,IF(F5349="Half Day",4,0))</f>
        <v>0</v>
      </c>
      <c r="J5349" s="2"/>
      <c r="K5349" s="2" t="s">
        <v>460</v>
      </c>
    </row>
    <row r="5350" customFormat="false" ht="15" hidden="false" customHeight="false" outlineLevel="0" collapsed="false">
      <c r="A5350" s="2" t="s">
        <v>393</v>
      </c>
      <c r="B5350" s="2" t="s">
        <v>394</v>
      </c>
      <c r="C5350" s="2" t="s">
        <v>28</v>
      </c>
      <c r="D5350" s="3" t="n">
        <v>46251</v>
      </c>
      <c r="E5350" s="2" t="str">
        <f aca="false">TEXT(D5350,"dddd")</f>
        <v>Monday</v>
      </c>
      <c r="F5350" s="2" t="s">
        <v>461</v>
      </c>
      <c r="G5350" s="2"/>
      <c r="H5350" s="2"/>
      <c r="I5350" s="2" t="n">
        <f aca="false">IF(F5350="Present",9,IF(F5350="Half Day",4,0))</f>
        <v>0</v>
      </c>
      <c r="J5350" s="2"/>
      <c r="K5350" s="2" t="s">
        <v>462</v>
      </c>
    </row>
    <row r="5351" customFormat="false" ht="15" hidden="false" customHeight="false" outlineLevel="0" collapsed="false">
      <c r="A5351" s="2" t="s">
        <v>393</v>
      </c>
      <c r="B5351" s="2" t="s">
        <v>394</v>
      </c>
      <c r="C5351" s="2" t="s">
        <v>28</v>
      </c>
      <c r="D5351" s="3" t="n">
        <v>46252</v>
      </c>
      <c r="E5351" s="2" t="str">
        <f aca="false">TEXT(D5351,"dddd")</f>
        <v>Tuesday</v>
      </c>
      <c r="F5351" s="2" t="s">
        <v>463</v>
      </c>
      <c r="G5351" s="2"/>
      <c r="H5351" s="2"/>
      <c r="I5351" s="2" t="n">
        <f aca="false">IF(F5351="Present",9,IF(F5351="Half Day",4,0))</f>
        <v>0</v>
      </c>
      <c r="J5351" s="2" t="s">
        <v>464</v>
      </c>
      <c r="K5351" s="2" t="s">
        <v>465</v>
      </c>
    </row>
    <row r="5352" customFormat="false" ht="15" hidden="false" customHeight="false" outlineLevel="0" collapsed="false">
      <c r="A5352" s="2" t="s">
        <v>393</v>
      </c>
      <c r="B5352" s="2" t="s">
        <v>394</v>
      </c>
      <c r="C5352" s="2" t="s">
        <v>28</v>
      </c>
      <c r="D5352" s="3" t="n">
        <v>46253</v>
      </c>
      <c r="E5352" s="2" t="str">
        <f aca="false">TEXT(D5352,"dddd")</f>
        <v>Wednesday</v>
      </c>
      <c r="F5352" s="2" t="s">
        <v>457</v>
      </c>
      <c r="G5352" s="2" t="s">
        <v>458</v>
      </c>
      <c r="H5352" s="2" t="s">
        <v>459</v>
      </c>
      <c r="I5352" s="2" t="n">
        <f aca="false">IF(F5352="Present",9,IF(F5352="Half Day",4,0))</f>
        <v>9</v>
      </c>
      <c r="J5352" s="2"/>
      <c r="K5352" s="2"/>
    </row>
    <row r="5353" customFormat="false" ht="15" hidden="false" customHeight="false" outlineLevel="0" collapsed="false">
      <c r="A5353" s="2" t="s">
        <v>393</v>
      </c>
      <c r="B5353" s="2" t="s">
        <v>394</v>
      </c>
      <c r="C5353" s="2" t="s">
        <v>28</v>
      </c>
      <c r="D5353" s="3" t="n">
        <v>46254</v>
      </c>
      <c r="E5353" s="2" t="str">
        <f aca="false">TEXT(D5353,"dddd")</f>
        <v>Thursday</v>
      </c>
      <c r="F5353" s="2" t="s">
        <v>457</v>
      </c>
      <c r="G5353" s="2" t="s">
        <v>458</v>
      </c>
      <c r="H5353" s="2" t="s">
        <v>459</v>
      </c>
      <c r="I5353" s="2" t="n">
        <f aca="false">IF(F5353="Present",9,IF(F5353="Half Day",4,0))</f>
        <v>9</v>
      </c>
      <c r="J5353" s="2"/>
      <c r="K5353" s="2"/>
    </row>
    <row r="5354" customFormat="false" ht="15" hidden="false" customHeight="false" outlineLevel="0" collapsed="false">
      <c r="A5354" s="2" t="s">
        <v>393</v>
      </c>
      <c r="B5354" s="2" t="s">
        <v>394</v>
      </c>
      <c r="C5354" s="2" t="s">
        <v>28</v>
      </c>
      <c r="D5354" s="3" t="n">
        <v>46255</v>
      </c>
      <c r="E5354" s="2" t="str">
        <f aca="false">TEXT(D5354,"dddd")</f>
        <v>Friday</v>
      </c>
      <c r="F5354" s="2" t="s">
        <v>457</v>
      </c>
      <c r="G5354" s="2" t="s">
        <v>458</v>
      </c>
      <c r="H5354" s="2" t="s">
        <v>459</v>
      </c>
      <c r="I5354" s="2" t="n">
        <f aca="false">IF(F5354="Present",9,IF(F5354="Half Day",4,0))</f>
        <v>9</v>
      </c>
      <c r="J5354" s="2"/>
      <c r="K5354" s="2"/>
    </row>
    <row r="5355" customFormat="false" ht="15" hidden="false" customHeight="false" outlineLevel="0" collapsed="false">
      <c r="A5355" s="2" t="s">
        <v>393</v>
      </c>
      <c r="B5355" s="2" t="s">
        <v>394</v>
      </c>
      <c r="C5355" s="2" t="s">
        <v>28</v>
      </c>
      <c r="D5355" s="3" t="n">
        <v>46256</v>
      </c>
      <c r="E5355" s="2" t="str">
        <f aca="false">TEXT(D5355,"dddd")</f>
        <v>Saturday</v>
      </c>
      <c r="F5355" s="2" t="s">
        <v>457</v>
      </c>
      <c r="G5355" s="2" t="s">
        <v>458</v>
      </c>
      <c r="H5355" s="2" t="s">
        <v>459</v>
      </c>
      <c r="I5355" s="2" t="n">
        <f aca="false">IF(F5355="Present",9,IF(F5355="Half Day",4,0))</f>
        <v>9</v>
      </c>
      <c r="J5355" s="2"/>
      <c r="K5355" s="2"/>
    </row>
    <row r="5356" customFormat="false" ht="15" hidden="false" customHeight="false" outlineLevel="0" collapsed="false">
      <c r="A5356" s="2" t="s">
        <v>393</v>
      </c>
      <c r="B5356" s="2" t="s">
        <v>394</v>
      </c>
      <c r="C5356" s="2" t="s">
        <v>28</v>
      </c>
      <c r="D5356" s="3" t="n">
        <v>46257</v>
      </c>
      <c r="E5356" s="2" t="str">
        <f aca="false">TEXT(D5356,"dddd")</f>
        <v>Sunday</v>
      </c>
      <c r="F5356" s="2" t="s">
        <v>460</v>
      </c>
      <c r="G5356" s="2"/>
      <c r="H5356" s="2"/>
      <c r="I5356" s="2" t="n">
        <f aca="false">IF(F5356="Present",9,IF(F5356="Half Day",4,0))</f>
        <v>0</v>
      </c>
      <c r="J5356" s="2"/>
      <c r="K5356" s="2" t="s">
        <v>460</v>
      </c>
    </row>
    <row r="5357" customFormat="false" ht="15" hidden="false" customHeight="false" outlineLevel="0" collapsed="false">
      <c r="A5357" s="2" t="s">
        <v>393</v>
      </c>
      <c r="B5357" s="2" t="s">
        <v>394</v>
      </c>
      <c r="C5357" s="2" t="s">
        <v>28</v>
      </c>
      <c r="D5357" s="3" t="n">
        <v>46258</v>
      </c>
      <c r="E5357" s="2" t="str">
        <f aca="false">TEXT(D5357,"dddd")</f>
        <v>Monday</v>
      </c>
      <c r="F5357" s="2" t="s">
        <v>457</v>
      </c>
      <c r="G5357" s="2" t="s">
        <v>458</v>
      </c>
      <c r="H5357" s="2" t="s">
        <v>459</v>
      </c>
      <c r="I5357" s="2" t="n">
        <f aca="false">IF(F5357="Present",9,IF(F5357="Half Day",4,0))</f>
        <v>9</v>
      </c>
      <c r="J5357" s="2"/>
      <c r="K5357" s="2"/>
    </row>
    <row r="5358" customFormat="false" ht="15" hidden="false" customHeight="false" outlineLevel="0" collapsed="false">
      <c r="A5358" s="2" t="s">
        <v>393</v>
      </c>
      <c r="B5358" s="2" t="s">
        <v>394</v>
      </c>
      <c r="C5358" s="2" t="s">
        <v>28</v>
      </c>
      <c r="D5358" s="3" t="n">
        <v>46259</v>
      </c>
      <c r="E5358" s="2" t="str">
        <f aca="false">TEXT(D5358,"dddd")</f>
        <v>Tuesday</v>
      </c>
      <c r="F5358" s="2" t="s">
        <v>461</v>
      </c>
      <c r="G5358" s="2"/>
      <c r="H5358" s="2"/>
      <c r="I5358" s="2" t="n">
        <f aca="false">IF(F5358="Present",9,IF(F5358="Half Day",4,0))</f>
        <v>0</v>
      </c>
      <c r="J5358" s="2"/>
      <c r="K5358" s="2" t="s">
        <v>462</v>
      </c>
    </row>
    <row r="5359" customFormat="false" ht="15" hidden="false" customHeight="false" outlineLevel="0" collapsed="false">
      <c r="A5359" s="2" t="s">
        <v>393</v>
      </c>
      <c r="B5359" s="2" t="s">
        <v>394</v>
      </c>
      <c r="C5359" s="2" t="s">
        <v>28</v>
      </c>
      <c r="D5359" s="3" t="n">
        <v>46260</v>
      </c>
      <c r="E5359" s="2" t="str">
        <f aca="false">TEXT(D5359,"dddd")</f>
        <v>Wednesday</v>
      </c>
      <c r="F5359" s="2" t="s">
        <v>457</v>
      </c>
      <c r="G5359" s="2" t="s">
        <v>458</v>
      </c>
      <c r="H5359" s="2" t="s">
        <v>459</v>
      </c>
      <c r="I5359" s="2" t="n">
        <f aca="false">IF(F5359="Present",9,IF(F5359="Half Day",4,0))</f>
        <v>9</v>
      </c>
      <c r="J5359" s="2"/>
      <c r="K5359" s="2"/>
    </row>
    <row r="5360" customFormat="false" ht="15" hidden="false" customHeight="false" outlineLevel="0" collapsed="false">
      <c r="A5360" s="2" t="s">
        <v>393</v>
      </c>
      <c r="B5360" s="2" t="s">
        <v>394</v>
      </c>
      <c r="C5360" s="2" t="s">
        <v>28</v>
      </c>
      <c r="D5360" s="3" t="n">
        <v>46261</v>
      </c>
      <c r="E5360" s="2" t="str">
        <f aca="false">TEXT(D5360,"dddd")</f>
        <v>Thursday</v>
      </c>
      <c r="F5360" s="2" t="s">
        <v>461</v>
      </c>
      <c r="G5360" s="2"/>
      <c r="H5360" s="2"/>
      <c r="I5360" s="2" t="n">
        <f aca="false">IF(F5360="Present",9,IF(F5360="Half Day",4,0))</f>
        <v>0</v>
      </c>
      <c r="J5360" s="2"/>
      <c r="K5360" s="2" t="s">
        <v>462</v>
      </c>
    </row>
    <row r="5361" customFormat="false" ht="15" hidden="false" customHeight="false" outlineLevel="0" collapsed="false">
      <c r="A5361" s="2" t="s">
        <v>393</v>
      </c>
      <c r="B5361" s="2" t="s">
        <v>394</v>
      </c>
      <c r="C5361" s="2" t="s">
        <v>28</v>
      </c>
      <c r="D5361" s="3" t="n">
        <v>46262</v>
      </c>
      <c r="E5361" s="2" t="str">
        <f aca="false">TEXT(D5361,"dddd")</f>
        <v>Friday</v>
      </c>
      <c r="F5361" s="2" t="s">
        <v>466</v>
      </c>
      <c r="G5361" s="2" t="s">
        <v>458</v>
      </c>
      <c r="H5361" s="2" t="s">
        <v>467</v>
      </c>
      <c r="I5361" s="2" t="n">
        <f aca="false">IF(F5361="Present",9,IF(F5361="Half Day",4,0))</f>
        <v>4</v>
      </c>
      <c r="J5361" s="2"/>
      <c r="K5361" s="2" t="s">
        <v>466</v>
      </c>
    </row>
    <row r="5362" customFormat="false" ht="15" hidden="false" customHeight="false" outlineLevel="0" collapsed="false">
      <c r="A5362" s="2" t="s">
        <v>393</v>
      </c>
      <c r="B5362" s="2" t="s">
        <v>394</v>
      </c>
      <c r="C5362" s="2" t="s">
        <v>28</v>
      </c>
      <c r="D5362" s="3" t="n">
        <v>46263</v>
      </c>
      <c r="E5362" s="2" t="str">
        <f aca="false">TEXT(D5362,"dddd")</f>
        <v>Saturday</v>
      </c>
      <c r="F5362" s="2" t="s">
        <v>461</v>
      </c>
      <c r="G5362" s="2"/>
      <c r="H5362" s="2"/>
      <c r="I5362" s="2" t="n">
        <f aca="false">IF(F5362="Present",9,IF(F5362="Half Day",4,0))</f>
        <v>0</v>
      </c>
      <c r="J5362" s="2"/>
      <c r="K5362" s="2" t="s">
        <v>462</v>
      </c>
    </row>
    <row r="5363" customFormat="false" ht="15" hidden="false" customHeight="false" outlineLevel="0" collapsed="false">
      <c r="A5363" s="2" t="s">
        <v>393</v>
      </c>
      <c r="B5363" s="2" t="s">
        <v>394</v>
      </c>
      <c r="C5363" s="2" t="s">
        <v>28</v>
      </c>
      <c r="D5363" s="3" t="n">
        <v>46264</v>
      </c>
      <c r="E5363" s="2" t="str">
        <f aca="false">TEXT(D5363,"dddd")</f>
        <v>Sunday</v>
      </c>
      <c r="F5363" s="2" t="s">
        <v>460</v>
      </c>
      <c r="G5363" s="2"/>
      <c r="H5363" s="2"/>
      <c r="I5363" s="2" t="n">
        <f aca="false">IF(F5363="Present",9,IF(F5363="Half Day",4,0))</f>
        <v>0</v>
      </c>
      <c r="J5363" s="2"/>
      <c r="K5363" s="2" t="s">
        <v>460</v>
      </c>
    </row>
    <row r="5364" customFormat="false" ht="15" hidden="false" customHeight="false" outlineLevel="0" collapsed="false">
      <c r="A5364" s="2" t="s">
        <v>393</v>
      </c>
      <c r="B5364" s="2" t="s">
        <v>394</v>
      </c>
      <c r="C5364" s="2" t="s">
        <v>28</v>
      </c>
      <c r="D5364" s="3" t="n">
        <v>46265</v>
      </c>
      <c r="E5364" s="2" t="str">
        <f aca="false">TEXT(D5364,"dddd")</f>
        <v>Monday</v>
      </c>
      <c r="F5364" s="2" t="s">
        <v>457</v>
      </c>
      <c r="G5364" s="2" t="s">
        <v>458</v>
      </c>
      <c r="H5364" s="2" t="s">
        <v>459</v>
      </c>
      <c r="I5364" s="2" t="n">
        <f aca="false">IF(F5364="Present",9,IF(F5364="Half Day",4,0))</f>
        <v>9</v>
      </c>
      <c r="J5364" s="2"/>
      <c r="K5364" s="2"/>
    </row>
    <row r="5365" customFormat="false" ht="15" hidden="false" customHeight="false" outlineLevel="0" collapsed="false">
      <c r="A5365" s="2" t="s">
        <v>395</v>
      </c>
      <c r="B5365" s="2" t="s">
        <v>396</v>
      </c>
      <c r="C5365" s="2" t="s">
        <v>32</v>
      </c>
      <c r="D5365" s="3" t="n">
        <v>46235</v>
      </c>
      <c r="E5365" s="2" t="str">
        <f aca="false">TEXT(D5365,"dddd")</f>
        <v>Saturday</v>
      </c>
      <c r="F5365" s="2" t="s">
        <v>457</v>
      </c>
      <c r="G5365" s="2" t="s">
        <v>458</v>
      </c>
      <c r="H5365" s="2" t="s">
        <v>459</v>
      </c>
      <c r="I5365" s="2" t="n">
        <f aca="false">IF(F5365="Present",9,IF(F5365="Half Day",4,0))</f>
        <v>9</v>
      </c>
      <c r="J5365" s="2"/>
      <c r="K5365" s="2"/>
    </row>
    <row r="5366" customFormat="false" ht="15" hidden="false" customHeight="false" outlineLevel="0" collapsed="false">
      <c r="A5366" s="2" t="s">
        <v>395</v>
      </c>
      <c r="B5366" s="2" t="s">
        <v>396</v>
      </c>
      <c r="C5366" s="2" t="s">
        <v>32</v>
      </c>
      <c r="D5366" s="3" t="n">
        <v>46236</v>
      </c>
      <c r="E5366" s="2" t="str">
        <f aca="false">TEXT(D5366,"dddd")</f>
        <v>Sunday</v>
      </c>
      <c r="F5366" s="2" t="s">
        <v>460</v>
      </c>
      <c r="G5366" s="2"/>
      <c r="H5366" s="2"/>
      <c r="I5366" s="2" t="n">
        <f aca="false">IF(F5366="Present",9,IF(F5366="Half Day",4,0))</f>
        <v>0</v>
      </c>
      <c r="J5366" s="2"/>
      <c r="K5366" s="2" t="s">
        <v>460</v>
      </c>
    </row>
    <row r="5367" customFormat="false" ht="15" hidden="false" customHeight="false" outlineLevel="0" collapsed="false">
      <c r="A5367" s="2" t="s">
        <v>395</v>
      </c>
      <c r="B5367" s="2" t="s">
        <v>396</v>
      </c>
      <c r="C5367" s="2" t="s">
        <v>32</v>
      </c>
      <c r="D5367" s="3" t="n">
        <v>46237</v>
      </c>
      <c r="E5367" s="2" t="str">
        <f aca="false">TEXT(D5367,"dddd")</f>
        <v>Monday</v>
      </c>
      <c r="F5367" s="2" t="s">
        <v>457</v>
      </c>
      <c r="G5367" s="2" t="s">
        <v>458</v>
      </c>
      <c r="H5367" s="2" t="s">
        <v>459</v>
      </c>
      <c r="I5367" s="2" t="n">
        <f aca="false">IF(F5367="Present",9,IF(F5367="Half Day",4,0))</f>
        <v>9</v>
      </c>
      <c r="J5367" s="2"/>
      <c r="K5367" s="2"/>
    </row>
    <row r="5368" customFormat="false" ht="15" hidden="false" customHeight="false" outlineLevel="0" collapsed="false">
      <c r="A5368" s="2" t="s">
        <v>395</v>
      </c>
      <c r="B5368" s="2" t="s">
        <v>396</v>
      </c>
      <c r="C5368" s="2" t="s">
        <v>32</v>
      </c>
      <c r="D5368" s="3" t="n">
        <v>46238</v>
      </c>
      <c r="E5368" s="2" t="str">
        <f aca="false">TEXT(D5368,"dddd")</f>
        <v>Tuesday</v>
      </c>
      <c r="F5368" s="2" t="s">
        <v>457</v>
      </c>
      <c r="G5368" s="2" t="s">
        <v>458</v>
      </c>
      <c r="H5368" s="2" t="s">
        <v>459</v>
      </c>
      <c r="I5368" s="2" t="n">
        <f aca="false">IF(F5368="Present",9,IF(F5368="Half Day",4,0))</f>
        <v>9</v>
      </c>
      <c r="J5368" s="2"/>
      <c r="K5368" s="2"/>
    </row>
    <row r="5369" customFormat="false" ht="15" hidden="false" customHeight="false" outlineLevel="0" collapsed="false">
      <c r="A5369" s="2" t="s">
        <v>395</v>
      </c>
      <c r="B5369" s="2" t="s">
        <v>396</v>
      </c>
      <c r="C5369" s="2" t="s">
        <v>32</v>
      </c>
      <c r="D5369" s="3" t="n">
        <v>46239</v>
      </c>
      <c r="E5369" s="2" t="str">
        <f aca="false">TEXT(D5369,"dddd")</f>
        <v>Wednesday</v>
      </c>
      <c r="F5369" s="2" t="s">
        <v>457</v>
      </c>
      <c r="G5369" s="2" t="s">
        <v>458</v>
      </c>
      <c r="H5369" s="2" t="s">
        <v>459</v>
      </c>
      <c r="I5369" s="2" t="n">
        <f aca="false">IF(F5369="Present",9,IF(F5369="Half Day",4,0))</f>
        <v>9</v>
      </c>
      <c r="J5369" s="2"/>
      <c r="K5369" s="2"/>
    </row>
    <row r="5370" customFormat="false" ht="15" hidden="false" customHeight="false" outlineLevel="0" collapsed="false">
      <c r="A5370" s="2" t="s">
        <v>395</v>
      </c>
      <c r="B5370" s="2" t="s">
        <v>396</v>
      </c>
      <c r="C5370" s="2" t="s">
        <v>32</v>
      </c>
      <c r="D5370" s="3" t="n">
        <v>46240</v>
      </c>
      <c r="E5370" s="2" t="str">
        <f aca="false">TEXT(D5370,"dddd")</f>
        <v>Thursday</v>
      </c>
      <c r="F5370" s="2" t="s">
        <v>461</v>
      </c>
      <c r="G5370" s="2"/>
      <c r="H5370" s="2"/>
      <c r="I5370" s="2" t="n">
        <f aca="false">IF(F5370="Present",9,IF(F5370="Half Day",4,0))</f>
        <v>0</v>
      </c>
      <c r="J5370" s="2"/>
      <c r="K5370" s="2" t="s">
        <v>462</v>
      </c>
    </row>
    <row r="5371" customFormat="false" ht="15" hidden="false" customHeight="false" outlineLevel="0" collapsed="false">
      <c r="A5371" s="2" t="s">
        <v>395</v>
      </c>
      <c r="B5371" s="2" t="s">
        <v>396</v>
      </c>
      <c r="C5371" s="2" t="s">
        <v>32</v>
      </c>
      <c r="D5371" s="3" t="n">
        <v>46241</v>
      </c>
      <c r="E5371" s="2" t="str">
        <f aca="false">TEXT(D5371,"dddd")</f>
        <v>Friday</v>
      </c>
      <c r="F5371" s="2" t="s">
        <v>457</v>
      </c>
      <c r="G5371" s="2" t="s">
        <v>458</v>
      </c>
      <c r="H5371" s="2" t="s">
        <v>459</v>
      </c>
      <c r="I5371" s="2" t="n">
        <f aca="false">IF(F5371="Present",9,IF(F5371="Half Day",4,0))</f>
        <v>9</v>
      </c>
      <c r="J5371" s="2"/>
      <c r="K5371" s="2"/>
    </row>
    <row r="5372" customFormat="false" ht="15" hidden="false" customHeight="false" outlineLevel="0" collapsed="false">
      <c r="A5372" s="2" t="s">
        <v>395</v>
      </c>
      <c r="B5372" s="2" t="s">
        <v>396</v>
      </c>
      <c r="C5372" s="2" t="s">
        <v>32</v>
      </c>
      <c r="D5372" s="3" t="n">
        <v>46242</v>
      </c>
      <c r="E5372" s="2" t="str">
        <f aca="false">TEXT(D5372,"dddd")</f>
        <v>Saturday</v>
      </c>
      <c r="F5372" s="2" t="s">
        <v>461</v>
      </c>
      <c r="G5372" s="2"/>
      <c r="H5372" s="2"/>
      <c r="I5372" s="2" t="n">
        <f aca="false">IF(F5372="Present",9,IF(F5372="Half Day",4,0))</f>
        <v>0</v>
      </c>
      <c r="J5372" s="2"/>
      <c r="K5372" s="2" t="s">
        <v>462</v>
      </c>
    </row>
    <row r="5373" customFormat="false" ht="15" hidden="false" customHeight="false" outlineLevel="0" collapsed="false">
      <c r="A5373" s="2" t="s">
        <v>395</v>
      </c>
      <c r="B5373" s="2" t="s">
        <v>396</v>
      </c>
      <c r="C5373" s="2" t="s">
        <v>32</v>
      </c>
      <c r="D5373" s="3" t="n">
        <v>46243</v>
      </c>
      <c r="E5373" s="2" t="str">
        <f aca="false">TEXT(D5373,"dddd")</f>
        <v>Sunday</v>
      </c>
      <c r="F5373" s="2" t="s">
        <v>460</v>
      </c>
      <c r="G5373" s="2"/>
      <c r="H5373" s="2"/>
      <c r="I5373" s="2" t="n">
        <f aca="false">IF(F5373="Present",9,IF(F5373="Half Day",4,0))</f>
        <v>0</v>
      </c>
      <c r="J5373" s="2"/>
      <c r="K5373" s="2" t="s">
        <v>460</v>
      </c>
    </row>
    <row r="5374" customFormat="false" ht="15" hidden="false" customHeight="false" outlineLevel="0" collapsed="false">
      <c r="A5374" s="2" t="s">
        <v>395</v>
      </c>
      <c r="B5374" s="2" t="s">
        <v>396</v>
      </c>
      <c r="C5374" s="2" t="s">
        <v>32</v>
      </c>
      <c r="D5374" s="3" t="n">
        <v>46244</v>
      </c>
      <c r="E5374" s="2" t="str">
        <f aca="false">TEXT(D5374,"dddd")</f>
        <v>Monday</v>
      </c>
      <c r="F5374" s="2" t="s">
        <v>457</v>
      </c>
      <c r="G5374" s="2" t="s">
        <v>458</v>
      </c>
      <c r="H5374" s="2" t="s">
        <v>459</v>
      </c>
      <c r="I5374" s="2" t="n">
        <f aca="false">IF(F5374="Present",9,IF(F5374="Half Day",4,0))</f>
        <v>9</v>
      </c>
      <c r="J5374" s="2"/>
      <c r="K5374" s="2"/>
    </row>
    <row r="5375" customFormat="false" ht="15" hidden="false" customHeight="false" outlineLevel="0" collapsed="false">
      <c r="A5375" s="2" t="s">
        <v>395</v>
      </c>
      <c r="B5375" s="2" t="s">
        <v>396</v>
      </c>
      <c r="C5375" s="2" t="s">
        <v>32</v>
      </c>
      <c r="D5375" s="3" t="n">
        <v>46245</v>
      </c>
      <c r="E5375" s="2" t="str">
        <f aca="false">TEXT(D5375,"dddd")</f>
        <v>Tuesday</v>
      </c>
      <c r="F5375" s="2" t="s">
        <v>457</v>
      </c>
      <c r="G5375" s="2" t="s">
        <v>458</v>
      </c>
      <c r="H5375" s="2" t="s">
        <v>459</v>
      </c>
      <c r="I5375" s="2" t="n">
        <f aca="false">IF(F5375="Present",9,IF(F5375="Half Day",4,0))</f>
        <v>9</v>
      </c>
      <c r="J5375" s="2"/>
      <c r="K5375" s="2"/>
    </row>
    <row r="5376" customFormat="false" ht="15" hidden="false" customHeight="false" outlineLevel="0" collapsed="false">
      <c r="A5376" s="2" t="s">
        <v>395</v>
      </c>
      <c r="B5376" s="2" t="s">
        <v>396</v>
      </c>
      <c r="C5376" s="2" t="s">
        <v>32</v>
      </c>
      <c r="D5376" s="3" t="n">
        <v>46246</v>
      </c>
      <c r="E5376" s="2" t="str">
        <f aca="false">TEXT(D5376,"dddd")</f>
        <v>Wednesday</v>
      </c>
      <c r="F5376" s="2" t="s">
        <v>457</v>
      </c>
      <c r="G5376" s="2" t="s">
        <v>458</v>
      </c>
      <c r="H5376" s="2" t="s">
        <v>459</v>
      </c>
      <c r="I5376" s="2" t="n">
        <f aca="false">IF(F5376="Present",9,IF(F5376="Half Day",4,0))</f>
        <v>9</v>
      </c>
      <c r="J5376" s="2"/>
      <c r="K5376" s="2"/>
    </row>
    <row r="5377" customFormat="false" ht="15" hidden="false" customHeight="false" outlineLevel="0" collapsed="false">
      <c r="A5377" s="2" t="s">
        <v>395</v>
      </c>
      <c r="B5377" s="2" t="s">
        <v>396</v>
      </c>
      <c r="C5377" s="2" t="s">
        <v>32</v>
      </c>
      <c r="D5377" s="3" t="n">
        <v>46247</v>
      </c>
      <c r="E5377" s="2" t="str">
        <f aca="false">TEXT(D5377,"dddd")</f>
        <v>Thursday</v>
      </c>
      <c r="F5377" s="2" t="s">
        <v>457</v>
      </c>
      <c r="G5377" s="2" t="s">
        <v>458</v>
      </c>
      <c r="H5377" s="2" t="s">
        <v>459</v>
      </c>
      <c r="I5377" s="2" t="n">
        <f aca="false">IF(F5377="Present",9,IF(F5377="Half Day",4,0))</f>
        <v>9</v>
      </c>
      <c r="J5377" s="2"/>
      <c r="K5377" s="2"/>
    </row>
    <row r="5378" customFormat="false" ht="15" hidden="false" customHeight="false" outlineLevel="0" collapsed="false">
      <c r="A5378" s="2" t="s">
        <v>395</v>
      </c>
      <c r="B5378" s="2" t="s">
        <v>396</v>
      </c>
      <c r="C5378" s="2" t="s">
        <v>32</v>
      </c>
      <c r="D5378" s="3" t="n">
        <v>46248</v>
      </c>
      <c r="E5378" s="2" t="str">
        <f aca="false">TEXT(D5378,"dddd")</f>
        <v>Friday</v>
      </c>
      <c r="F5378" s="2" t="s">
        <v>457</v>
      </c>
      <c r="G5378" s="2" t="s">
        <v>458</v>
      </c>
      <c r="H5378" s="2" t="s">
        <v>459</v>
      </c>
      <c r="I5378" s="2" t="n">
        <f aca="false">IF(F5378="Present",9,IF(F5378="Half Day",4,0))</f>
        <v>9</v>
      </c>
      <c r="J5378" s="2"/>
      <c r="K5378" s="2"/>
    </row>
    <row r="5379" customFormat="false" ht="15" hidden="false" customHeight="false" outlineLevel="0" collapsed="false">
      <c r="A5379" s="2" t="s">
        <v>395</v>
      </c>
      <c r="B5379" s="2" t="s">
        <v>396</v>
      </c>
      <c r="C5379" s="2" t="s">
        <v>32</v>
      </c>
      <c r="D5379" s="3" t="n">
        <v>46249</v>
      </c>
      <c r="E5379" s="2" t="str">
        <f aca="false">TEXT(D5379,"dddd")</f>
        <v>Saturday</v>
      </c>
      <c r="F5379" s="2" t="s">
        <v>461</v>
      </c>
      <c r="G5379" s="2"/>
      <c r="H5379" s="2"/>
      <c r="I5379" s="2" t="n">
        <f aca="false">IF(F5379="Present",9,IF(F5379="Half Day",4,0))</f>
        <v>0</v>
      </c>
      <c r="J5379" s="2"/>
      <c r="K5379" s="2" t="s">
        <v>462</v>
      </c>
    </row>
    <row r="5380" customFormat="false" ht="15" hidden="false" customHeight="false" outlineLevel="0" collapsed="false">
      <c r="A5380" s="2" t="s">
        <v>395</v>
      </c>
      <c r="B5380" s="2" t="s">
        <v>396</v>
      </c>
      <c r="C5380" s="2" t="s">
        <v>32</v>
      </c>
      <c r="D5380" s="3" t="n">
        <v>46250</v>
      </c>
      <c r="E5380" s="2" t="str">
        <f aca="false">TEXT(D5380,"dddd")</f>
        <v>Sunday</v>
      </c>
      <c r="F5380" s="2" t="s">
        <v>460</v>
      </c>
      <c r="G5380" s="2"/>
      <c r="H5380" s="2"/>
      <c r="I5380" s="2" t="n">
        <f aca="false">IF(F5380="Present",9,IF(F5380="Half Day",4,0))</f>
        <v>0</v>
      </c>
      <c r="J5380" s="2"/>
      <c r="K5380" s="2" t="s">
        <v>460</v>
      </c>
    </row>
    <row r="5381" customFormat="false" ht="15" hidden="false" customHeight="false" outlineLevel="0" collapsed="false">
      <c r="A5381" s="2" t="s">
        <v>395</v>
      </c>
      <c r="B5381" s="2" t="s">
        <v>396</v>
      </c>
      <c r="C5381" s="2" t="s">
        <v>32</v>
      </c>
      <c r="D5381" s="3" t="n">
        <v>46251</v>
      </c>
      <c r="E5381" s="2" t="str">
        <f aca="false">TEXT(D5381,"dddd")</f>
        <v>Monday</v>
      </c>
      <c r="F5381" s="2" t="s">
        <v>457</v>
      </c>
      <c r="G5381" s="2" t="s">
        <v>458</v>
      </c>
      <c r="H5381" s="2" t="s">
        <v>459</v>
      </c>
      <c r="I5381" s="2" t="n">
        <f aca="false">IF(F5381="Present",9,IF(F5381="Half Day",4,0))</f>
        <v>9</v>
      </c>
      <c r="J5381" s="2"/>
      <c r="K5381" s="2"/>
    </row>
    <row r="5382" customFormat="false" ht="15" hidden="false" customHeight="false" outlineLevel="0" collapsed="false">
      <c r="A5382" s="2" t="s">
        <v>395</v>
      </c>
      <c r="B5382" s="2" t="s">
        <v>396</v>
      </c>
      <c r="C5382" s="2" t="s">
        <v>32</v>
      </c>
      <c r="D5382" s="3" t="n">
        <v>46252</v>
      </c>
      <c r="E5382" s="2" t="str">
        <f aca="false">TEXT(D5382,"dddd")</f>
        <v>Tuesday</v>
      </c>
      <c r="F5382" s="2" t="s">
        <v>457</v>
      </c>
      <c r="G5382" s="2" t="s">
        <v>458</v>
      </c>
      <c r="H5382" s="2" t="s">
        <v>459</v>
      </c>
      <c r="I5382" s="2" t="n">
        <f aca="false">IF(F5382="Present",9,IF(F5382="Half Day",4,0))</f>
        <v>9</v>
      </c>
      <c r="J5382" s="2"/>
      <c r="K5382" s="2"/>
    </row>
    <row r="5383" customFormat="false" ht="15" hidden="false" customHeight="false" outlineLevel="0" collapsed="false">
      <c r="A5383" s="2" t="s">
        <v>395</v>
      </c>
      <c r="B5383" s="2" t="s">
        <v>396</v>
      </c>
      <c r="C5383" s="2" t="s">
        <v>32</v>
      </c>
      <c r="D5383" s="3" t="n">
        <v>46253</v>
      </c>
      <c r="E5383" s="2" t="str">
        <f aca="false">TEXT(D5383,"dddd")</f>
        <v>Wednesday</v>
      </c>
      <c r="F5383" s="2" t="s">
        <v>457</v>
      </c>
      <c r="G5383" s="2" t="s">
        <v>458</v>
      </c>
      <c r="H5383" s="2" t="s">
        <v>459</v>
      </c>
      <c r="I5383" s="2" t="n">
        <f aca="false">IF(F5383="Present",9,IF(F5383="Half Day",4,0))</f>
        <v>9</v>
      </c>
      <c r="J5383" s="2"/>
      <c r="K5383" s="2"/>
    </row>
    <row r="5384" customFormat="false" ht="15" hidden="false" customHeight="false" outlineLevel="0" collapsed="false">
      <c r="A5384" s="2" t="s">
        <v>395</v>
      </c>
      <c r="B5384" s="2" t="s">
        <v>396</v>
      </c>
      <c r="C5384" s="2" t="s">
        <v>32</v>
      </c>
      <c r="D5384" s="3" t="n">
        <v>46254</v>
      </c>
      <c r="E5384" s="2" t="str">
        <f aca="false">TEXT(D5384,"dddd")</f>
        <v>Thursday</v>
      </c>
      <c r="F5384" s="2" t="s">
        <v>457</v>
      </c>
      <c r="G5384" s="2" t="s">
        <v>458</v>
      </c>
      <c r="H5384" s="2" t="s">
        <v>459</v>
      </c>
      <c r="I5384" s="2" t="n">
        <f aca="false">IF(F5384="Present",9,IF(F5384="Half Day",4,0))</f>
        <v>9</v>
      </c>
      <c r="J5384" s="2"/>
      <c r="K5384" s="2"/>
    </row>
    <row r="5385" customFormat="false" ht="15" hidden="false" customHeight="false" outlineLevel="0" collapsed="false">
      <c r="A5385" s="2" t="s">
        <v>395</v>
      </c>
      <c r="B5385" s="2" t="s">
        <v>396</v>
      </c>
      <c r="C5385" s="2" t="s">
        <v>32</v>
      </c>
      <c r="D5385" s="3" t="n">
        <v>46255</v>
      </c>
      <c r="E5385" s="2" t="str">
        <f aca="false">TEXT(D5385,"dddd")</f>
        <v>Friday</v>
      </c>
      <c r="F5385" s="2" t="s">
        <v>457</v>
      </c>
      <c r="G5385" s="2" t="s">
        <v>458</v>
      </c>
      <c r="H5385" s="2" t="s">
        <v>459</v>
      </c>
      <c r="I5385" s="2" t="n">
        <f aca="false">IF(F5385="Present",9,IF(F5385="Half Day",4,0))</f>
        <v>9</v>
      </c>
      <c r="J5385" s="2"/>
      <c r="K5385" s="2"/>
    </row>
    <row r="5386" customFormat="false" ht="15" hidden="false" customHeight="false" outlineLevel="0" collapsed="false">
      <c r="A5386" s="2" t="s">
        <v>395</v>
      </c>
      <c r="B5386" s="2" t="s">
        <v>396</v>
      </c>
      <c r="C5386" s="2" t="s">
        <v>32</v>
      </c>
      <c r="D5386" s="3" t="n">
        <v>46256</v>
      </c>
      <c r="E5386" s="2" t="str">
        <f aca="false">TEXT(D5386,"dddd")</f>
        <v>Saturday</v>
      </c>
      <c r="F5386" s="2" t="s">
        <v>457</v>
      </c>
      <c r="G5386" s="2" t="s">
        <v>458</v>
      </c>
      <c r="H5386" s="2" t="s">
        <v>459</v>
      </c>
      <c r="I5386" s="2" t="n">
        <f aca="false">IF(F5386="Present",9,IF(F5386="Half Day",4,0))</f>
        <v>9</v>
      </c>
      <c r="J5386" s="2"/>
      <c r="K5386" s="2"/>
    </row>
    <row r="5387" customFormat="false" ht="15" hidden="false" customHeight="false" outlineLevel="0" collapsed="false">
      <c r="A5387" s="2" t="s">
        <v>395</v>
      </c>
      <c r="B5387" s="2" t="s">
        <v>396</v>
      </c>
      <c r="C5387" s="2" t="s">
        <v>32</v>
      </c>
      <c r="D5387" s="3" t="n">
        <v>46257</v>
      </c>
      <c r="E5387" s="2" t="str">
        <f aca="false">TEXT(D5387,"dddd")</f>
        <v>Sunday</v>
      </c>
      <c r="F5387" s="2" t="s">
        <v>460</v>
      </c>
      <c r="G5387" s="2"/>
      <c r="H5387" s="2"/>
      <c r="I5387" s="2" t="n">
        <f aca="false">IF(F5387="Present",9,IF(F5387="Half Day",4,0))</f>
        <v>0</v>
      </c>
      <c r="J5387" s="2"/>
      <c r="K5387" s="2" t="s">
        <v>460</v>
      </c>
    </row>
    <row r="5388" customFormat="false" ht="15" hidden="false" customHeight="false" outlineLevel="0" collapsed="false">
      <c r="A5388" s="2" t="s">
        <v>395</v>
      </c>
      <c r="B5388" s="2" t="s">
        <v>396</v>
      </c>
      <c r="C5388" s="2" t="s">
        <v>32</v>
      </c>
      <c r="D5388" s="3" t="n">
        <v>46258</v>
      </c>
      <c r="E5388" s="2" t="str">
        <f aca="false">TEXT(D5388,"dddd")</f>
        <v>Monday</v>
      </c>
      <c r="F5388" s="2" t="s">
        <v>457</v>
      </c>
      <c r="G5388" s="2" t="s">
        <v>458</v>
      </c>
      <c r="H5388" s="2" t="s">
        <v>459</v>
      </c>
      <c r="I5388" s="2" t="n">
        <f aca="false">IF(F5388="Present",9,IF(F5388="Half Day",4,0))</f>
        <v>9</v>
      </c>
      <c r="J5388" s="2"/>
      <c r="K5388" s="2"/>
    </row>
    <row r="5389" customFormat="false" ht="15" hidden="false" customHeight="false" outlineLevel="0" collapsed="false">
      <c r="A5389" s="2" t="s">
        <v>395</v>
      </c>
      <c r="B5389" s="2" t="s">
        <v>396</v>
      </c>
      <c r="C5389" s="2" t="s">
        <v>32</v>
      </c>
      <c r="D5389" s="3" t="n">
        <v>46259</v>
      </c>
      <c r="E5389" s="2" t="str">
        <f aca="false">TEXT(D5389,"dddd")</f>
        <v>Tuesday</v>
      </c>
      <c r="F5389" s="2" t="s">
        <v>457</v>
      </c>
      <c r="G5389" s="2" t="s">
        <v>458</v>
      </c>
      <c r="H5389" s="2" t="s">
        <v>459</v>
      </c>
      <c r="I5389" s="2" t="n">
        <f aca="false">IF(F5389="Present",9,IF(F5389="Half Day",4,0))</f>
        <v>9</v>
      </c>
      <c r="J5389" s="2"/>
      <c r="K5389" s="2"/>
    </row>
    <row r="5390" customFormat="false" ht="15" hidden="false" customHeight="false" outlineLevel="0" collapsed="false">
      <c r="A5390" s="2" t="s">
        <v>395</v>
      </c>
      <c r="B5390" s="2" t="s">
        <v>396</v>
      </c>
      <c r="C5390" s="2" t="s">
        <v>32</v>
      </c>
      <c r="D5390" s="3" t="n">
        <v>46260</v>
      </c>
      <c r="E5390" s="2" t="str">
        <f aca="false">TEXT(D5390,"dddd")</f>
        <v>Wednesday</v>
      </c>
      <c r="F5390" s="2" t="s">
        <v>457</v>
      </c>
      <c r="G5390" s="2" t="s">
        <v>458</v>
      </c>
      <c r="H5390" s="2" t="s">
        <v>459</v>
      </c>
      <c r="I5390" s="2" t="n">
        <f aca="false">IF(F5390="Present",9,IF(F5390="Half Day",4,0))</f>
        <v>9</v>
      </c>
      <c r="J5390" s="2"/>
      <c r="K5390" s="2"/>
    </row>
    <row r="5391" customFormat="false" ht="15" hidden="false" customHeight="false" outlineLevel="0" collapsed="false">
      <c r="A5391" s="2" t="s">
        <v>395</v>
      </c>
      <c r="B5391" s="2" t="s">
        <v>396</v>
      </c>
      <c r="C5391" s="2" t="s">
        <v>32</v>
      </c>
      <c r="D5391" s="3" t="n">
        <v>46261</v>
      </c>
      <c r="E5391" s="2" t="str">
        <f aca="false">TEXT(D5391,"dddd")</f>
        <v>Thursday</v>
      </c>
      <c r="F5391" s="2" t="s">
        <v>463</v>
      </c>
      <c r="G5391" s="2"/>
      <c r="H5391" s="2"/>
      <c r="I5391" s="2" t="n">
        <f aca="false">IF(F5391="Present",9,IF(F5391="Half Day",4,0))</f>
        <v>0</v>
      </c>
      <c r="J5391" s="2" t="s">
        <v>470</v>
      </c>
      <c r="K5391" s="2" t="s">
        <v>471</v>
      </c>
    </row>
    <row r="5392" customFormat="false" ht="15" hidden="false" customHeight="false" outlineLevel="0" collapsed="false">
      <c r="A5392" s="2" t="s">
        <v>395</v>
      </c>
      <c r="B5392" s="2" t="s">
        <v>396</v>
      </c>
      <c r="C5392" s="2" t="s">
        <v>32</v>
      </c>
      <c r="D5392" s="3" t="n">
        <v>46262</v>
      </c>
      <c r="E5392" s="2" t="str">
        <f aca="false">TEXT(D5392,"dddd")</f>
        <v>Friday</v>
      </c>
      <c r="F5392" s="2" t="s">
        <v>461</v>
      </c>
      <c r="G5392" s="2"/>
      <c r="H5392" s="2"/>
      <c r="I5392" s="2" t="n">
        <f aca="false">IF(F5392="Present",9,IF(F5392="Half Day",4,0))</f>
        <v>0</v>
      </c>
      <c r="J5392" s="2"/>
      <c r="K5392" s="2" t="s">
        <v>462</v>
      </c>
    </row>
    <row r="5393" customFormat="false" ht="15" hidden="false" customHeight="false" outlineLevel="0" collapsed="false">
      <c r="A5393" s="2" t="s">
        <v>395</v>
      </c>
      <c r="B5393" s="2" t="s">
        <v>396</v>
      </c>
      <c r="C5393" s="2" t="s">
        <v>32</v>
      </c>
      <c r="D5393" s="3" t="n">
        <v>46263</v>
      </c>
      <c r="E5393" s="2" t="str">
        <f aca="false">TEXT(D5393,"dddd")</f>
        <v>Saturday</v>
      </c>
      <c r="F5393" s="2" t="s">
        <v>457</v>
      </c>
      <c r="G5393" s="2" t="s">
        <v>458</v>
      </c>
      <c r="H5393" s="2" t="s">
        <v>459</v>
      </c>
      <c r="I5393" s="2" t="n">
        <f aca="false">IF(F5393="Present",9,IF(F5393="Half Day",4,0))</f>
        <v>9</v>
      </c>
      <c r="J5393" s="2"/>
      <c r="K5393" s="2"/>
    </row>
    <row r="5394" customFormat="false" ht="15" hidden="false" customHeight="false" outlineLevel="0" collapsed="false">
      <c r="A5394" s="2" t="s">
        <v>395</v>
      </c>
      <c r="B5394" s="2" t="s">
        <v>396</v>
      </c>
      <c r="C5394" s="2" t="s">
        <v>32</v>
      </c>
      <c r="D5394" s="3" t="n">
        <v>46264</v>
      </c>
      <c r="E5394" s="2" t="str">
        <f aca="false">TEXT(D5394,"dddd")</f>
        <v>Sunday</v>
      </c>
      <c r="F5394" s="2" t="s">
        <v>460</v>
      </c>
      <c r="G5394" s="2"/>
      <c r="H5394" s="2"/>
      <c r="I5394" s="2" t="n">
        <f aca="false">IF(F5394="Present",9,IF(F5394="Half Day",4,0))</f>
        <v>0</v>
      </c>
      <c r="J5394" s="2"/>
      <c r="K5394" s="2" t="s">
        <v>460</v>
      </c>
    </row>
    <row r="5395" customFormat="false" ht="15" hidden="false" customHeight="false" outlineLevel="0" collapsed="false">
      <c r="A5395" s="2" t="s">
        <v>395</v>
      </c>
      <c r="B5395" s="2" t="s">
        <v>396</v>
      </c>
      <c r="C5395" s="2" t="s">
        <v>32</v>
      </c>
      <c r="D5395" s="3" t="n">
        <v>46265</v>
      </c>
      <c r="E5395" s="2" t="str">
        <f aca="false">TEXT(D5395,"dddd")</f>
        <v>Monday</v>
      </c>
      <c r="F5395" s="2" t="s">
        <v>457</v>
      </c>
      <c r="G5395" s="2" t="s">
        <v>458</v>
      </c>
      <c r="H5395" s="2" t="s">
        <v>459</v>
      </c>
      <c r="I5395" s="2" t="n">
        <f aca="false">IF(F5395="Present",9,IF(F5395="Half Day",4,0))</f>
        <v>9</v>
      </c>
      <c r="J5395" s="2"/>
      <c r="K5395" s="2"/>
    </row>
    <row r="5396" customFormat="false" ht="15" hidden="false" customHeight="false" outlineLevel="0" collapsed="false">
      <c r="A5396" s="2" t="s">
        <v>397</v>
      </c>
      <c r="B5396" s="2" t="s">
        <v>398</v>
      </c>
      <c r="C5396" s="2" t="s">
        <v>36</v>
      </c>
      <c r="D5396" s="3" t="n">
        <v>46235</v>
      </c>
      <c r="E5396" s="2" t="str">
        <f aca="false">TEXT(D5396,"dddd")</f>
        <v>Saturday</v>
      </c>
      <c r="F5396" s="2" t="s">
        <v>461</v>
      </c>
      <c r="G5396" s="2"/>
      <c r="H5396" s="2"/>
      <c r="I5396" s="2" t="n">
        <f aca="false">IF(F5396="Present",9,IF(F5396="Half Day",4,0))</f>
        <v>0</v>
      </c>
      <c r="J5396" s="2"/>
      <c r="K5396" s="2" t="s">
        <v>462</v>
      </c>
    </row>
    <row r="5397" customFormat="false" ht="15" hidden="false" customHeight="false" outlineLevel="0" collapsed="false">
      <c r="A5397" s="2" t="s">
        <v>397</v>
      </c>
      <c r="B5397" s="2" t="s">
        <v>398</v>
      </c>
      <c r="C5397" s="2" t="s">
        <v>36</v>
      </c>
      <c r="D5397" s="3" t="n">
        <v>46236</v>
      </c>
      <c r="E5397" s="2" t="str">
        <f aca="false">TEXT(D5397,"dddd")</f>
        <v>Sunday</v>
      </c>
      <c r="F5397" s="2" t="s">
        <v>460</v>
      </c>
      <c r="G5397" s="2"/>
      <c r="H5397" s="2"/>
      <c r="I5397" s="2" t="n">
        <f aca="false">IF(F5397="Present",9,IF(F5397="Half Day",4,0))</f>
        <v>0</v>
      </c>
      <c r="J5397" s="2"/>
      <c r="K5397" s="2" t="s">
        <v>460</v>
      </c>
    </row>
    <row r="5398" customFormat="false" ht="15" hidden="false" customHeight="false" outlineLevel="0" collapsed="false">
      <c r="A5398" s="2" t="s">
        <v>397</v>
      </c>
      <c r="B5398" s="2" t="s">
        <v>398</v>
      </c>
      <c r="C5398" s="2" t="s">
        <v>36</v>
      </c>
      <c r="D5398" s="3" t="n">
        <v>46237</v>
      </c>
      <c r="E5398" s="2" t="str">
        <f aca="false">TEXT(D5398,"dddd")</f>
        <v>Monday</v>
      </c>
      <c r="F5398" s="2" t="s">
        <v>457</v>
      </c>
      <c r="G5398" s="2" t="s">
        <v>458</v>
      </c>
      <c r="H5398" s="2" t="s">
        <v>459</v>
      </c>
      <c r="I5398" s="2" t="n">
        <f aca="false">IF(F5398="Present",9,IF(F5398="Half Day",4,0))</f>
        <v>9</v>
      </c>
      <c r="J5398" s="2"/>
      <c r="K5398" s="2"/>
    </row>
    <row r="5399" customFormat="false" ht="15" hidden="false" customHeight="false" outlineLevel="0" collapsed="false">
      <c r="A5399" s="2" t="s">
        <v>397</v>
      </c>
      <c r="B5399" s="2" t="s">
        <v>398</v>
      </c>
      <c r="C5399" s="2" t="s">
        <v>36</v>
      </c>
      <c r="D5399" s="3" t="n">
        <v>46238</v>
      </c>
      <c r="E5399" s="2" t="str">
        <f aca="false">TEXT(D5399,"dddd")</f>
        <v>Tuesday</v>
      </c>
      <c r="F5399" s="2" t="s">
        <v>463</v>
      </c>
      <c r="G5399" s="2"/>
      <c r="H5399" s="2"/>
      <c r="I5399" s="2" t="n">
        <f aca="false">IF(F5399="Present",9,IF(F5399="Half Day",4,0))</f>
        <v>0</v>
      </c>
      <c r="J5399" s="2" t="s">
        <v>468</v>
      </c>
      <c r="K5399" s="2" t="s">
        <v>469</v>
      </c>
    </row>
    <row r="5400" customFormat="false" ht="15" hidden="false" customHeight="false" outlineLevel="0" collapsed="false">
      <c r="A5400" s="2" t="s">
        <v>397</v>
      </c>
      <c r="B5400" s="2" t="s">
        <v>398</v>
      </c>
      <c r="C5400" s="2" t="s">
        <v>36</v>
      </c>
      <c r="D5400" s="3" t="n">
        <v>46239</v>
      </c>
      <c r="E5400" s="2" t="str">
        <f aca="false">TEXT(D5400,"dddd")</f>
        <v>Wednesday</v>
      </c>
      <c r="F5400" s="2" t="s">
        <v>457</v>
      </c>
      <c r="G5400" s="2" t="s">
        <v>458</v>
      </c>
      <c r="H5400" s="2" t="s">
        <v>459</v>
      </c>
      <c r="I5400" s="2" t="n">
        <f aca="false">IF(F5400="Present",9,IF(F5400="Half Day",4,0))</f>
        <v>9</v>
      </c>
      <c r="J5400" s="2"/>
      <c r="K5400" s="2"/>
    </row>
    <row r="5401" customFormat="false" ht="15" hidden="false" customHeight="false" outlineLevel="0" collapsed="false">
      <c r="A5401" s="2" t="s">
        <v>397</v>
      </c>
      <c r="B5401" s="2" t="s">
        <v>398</v>
      </c>
      <c r="C5401" s="2" t="s">
        <v>36</v>
      </c>
      <c r="D5401" s="3" t="n">
        <v>46240</v>
      </c>
      <c r="E5401" s="2" t="str">
        <f aca="false">TEXT(D5401,"dddd")</f>
        <v>Thursday</v>
      </c>
      <c r="F5401" s="2" t="s">
        <v>461</v>
      </c>
      <c r="G5401" s="2"/>
      <c r="H5401" s="2"/>
      <c r="I5401" s="2" t="n">
        <f aca="false">IF(F5401="Present",9,IF(F5401="Half Day",4,0))</f>
        <v>0</v>
      </c>
      <c r="J5401" s="2"/>
      <c r="K5401" s="2" t="s">
        <v>462</v>
      </c>
    </row>
    <row r="5402" customFormat="false" ht="15" hidden="false" customHeight="false" outlineLevel="0" collapsed="false">
      <c r="A5402" s="2" t="s">
        <v>397</v>
      </c>
      <c r="B5402" s="2" t="s">
        <v>398</v>
      </c>
      <c r="C5402" s="2" t="s">
        <v>36</v>
      </c>
      <c r="D5402" s="3" t="n">
        <v>46241</v>
      </c>
      <c r="E5402" s="2" t="str">
        <f aca="false">TEXT(D5402,"dddd")</f>
        <v>Friday</v>
      </c>
      <c r="F5402" s="2" t="s">
        <v>457</v>
      </c>
      <c r="G5402" s="2" t="s">
        <v>458</v>
      </c>
      <c r="H5402" s="2" t="s">
        <v>459</v>
      </c>
      <c r="I5402" s="2" t="n">
        <f aca="false">IF(F5402="Present",9,IF(F5402="Half Day",4,0))</f>
        <v>9</v>
      </c>
      <c r="J5402" s="2"/>
      <c r="K5402" s="2"/>
    </row>
    <row r="5403" customFormat="false" ht="15" hidden="false" customHeight="false" outlineLevel="0" collapsed="false">
      <c r="A5403" s="2" t="s">
        <v>397</v>
      </c>
      <c r="B5403" s="2" t="s">
        <v>398</v>
      </c>
      <c r="C5403" s="2" t="s">
        <v>36</v>
      </c>
      <c r="D5403" s="3" t="n">
        <v>46242</v>
      </c>
      <c r="E5403" s="2" t="str">
        <f aca="false">TEXT(D5403,"dddd")</f>
        <v>Saturday</v>
      </c>
      <c r="F5403" s="2" t="s">
        <v>457</v>
      </c>
      <c r="G5403" s="2" t="s">
        <v>458</v>
      </c>
      <c r="H5403" s="2" t="s">
        <v>459</v>
      </c>
      <c r="I5403" s="2" t="n">
        <f aca="false">IF(F5403="Present",9,IF(F5403="Half Day",4,0))</f>
        <v>9</v>
      </c>
      <c r="J5403" s="2"/>
      <c r="K5403" s="2"/>
    </row>
    <row r="5404" customFormat="false" ht="15" hidden="false" customHeight="false" outlineLevel="0" collapsed="false">
      <c r="A5404" s="2" t="s">
        <v>397</v>
      </c>
      <c r="B5404" s="2" t="s">
        <v>398</v>
      </c>
      <c r="C5404" s="2" t="s">
        <v>36</v>
      </c>
      <c r="D5404" s="3" t="n">
        <v>46243</v>
      </c>
      <c r="E5404" s="2" t="str">
        <f aca="false">TEXT(D5404,"dddd")</f>
        <v>Sunday</v>
      </c>
      <c r="F5404" s="2" t="s">
        <v>460</v>
      </c>
      <c r="G5404" s="2"/>
      <c r="H5404" s="2"/>
      <c r="I5404" s="2" t="n">
        <f aca="false">IF(F5404="Present",9,IF(F5404="Half Day",4,0))</f>
        <v>0</v>
      </c>
      <c r="J5404" s="2"/>
      <c r="K5404" s="2" t="s">
        <v>460</v>
      </c>
    </row>
    <row r="5405" customFormat="false" ht="15" hidden="false" customHeight="false" outlineLevel="0" collapsed="false">
      <c r="A5405" s="2" t="s">
        <v>397</v>
      </c>
      <c r="B5405" s="2" t="s">
        <v>398</v>
      </c>
      <c r="C5405" s="2" t="s">
        <v>36</v>
      </c>
      <c r="D5405" s="3" t="n">
        <v>46244</v>
      </c>
      <c r="E5405" s="2" t="str">
        <f aca="false">TEXT(D5405,"dddd")</f>
        <v>Monday</v>
      </c>
      <c r="F5405" s="2" t="s">
        <v>457</v>
      </c>
      <c r="G5405" s="2" t="s">
        <v>458</v>
      </c>
      <c r="H5405" s="2" t="s">
        <v>459</v>
      </c>
      <c r="I5405" s="2" t="n">
        <f aca="false">IF(F5405="Present",9,IF(F5405="Half Day",4,0))</f>
        <v>9</v>
      </c>
      <c r="J5405" s="2"/>
      <c r="K5405" s="2"/>
    </row>
    <row r="5406" customFormat="false" ht="15" hidden="false" customHeight="false" outlineLevel="0" collapsed="false">
      <c r="A5406" s="2" t="s">
        <v>397</v>
      </c>
      <c r="B5406" s="2" t="s">
        <v>398</v>
      </c>
      <c r="C5406" s="2" t="s">
        <v>36</v>
      </c>
      <c r="D5406" s="3" t="n">
        <v>46245</v>
      </c>
      <c r="E5406" s="2" t="str">
        <f aca="false">TEXT(D5406,"dddd")</f>
        <v>Tuesday</v>
      </c>
      <c r="F5406" s="2" t="s">
        <v>457</v>
      </c>
      <c r="G5406" s="2" t="s">
        <v>458</v>
      </c>
      <c r="H5406" s="2" t="s">
        <v>459</v>
      </c>
      <c r="I5406" s="2" t="n">
        <f aca="false">IF(F5406="Present",9,IF(F5406="Half Day",4,0))</f>
        <v>9</v>
      </c>
      <c r="J5406" s="2"/>
      <c r="K5406" s="2"/>
    </row>
    <row r="5407" customFormat="false" ht="15" hidden="false" customHeight="false" outlineLevel="0" collapsed="false">
      <c r="A5407" s="2" t="s">
        <v>397</v>
      </c>
      <c r="B5407" s="2" t="s">
        <v>398</v>
      </c>
      <c r="C5407" s="2" t="s">
        <v>36</v>
      </c>
      <c r="D5407" s="3" t="n">
        <v>46246</v>
      </c>
      <c r="E5407" s="2" t="str">
        <f aca="false">TEXT(D5407,"dddd")</f>
        <v>Wednesday</v>
      </c>
      <c r="F5407" s="2" t="s">
        <v>461</v>
      </c>
      <c r="G5407" s="2"/>
      <c r="H5407" s="2"/>
      <c r="I5407" s="2" t="n">
        <f aca="false">IF(F5407="Present",9,IF(F5407="Half Day",4,0))</f>
        <v>0</v>
      </c>
      <c r="J5407" s="2"/>
      <c r="K5407" s="2" t="s">
        <v>462</v>
      </c>
    </row>
    <row r="5408" customFormat="false" ht="15" hidden="false" customHeight="false" outlineLevel="0" collapsed="false">
      <c r="A5408" s="2" t="s">
        <v>397</v>
      </c>
      <c r="B5408" s="2" t="s">
        <v>398</v>
      </c>
      <c r="C5408" s="2" t="s">
        <v>36</v>
      </c>
      <c r="D5408" s="3" t="n">
        <v>46247</v>
      </c>
      <c r="E5408" s="2" t="str">
        <f aca="false">TEXT(D5408,"dddd")</f>
        <v>Thursday</v>
      </c>
      <c r="F5408" s="2" t="s">
        <v>457</v>
      </c>
      <c r="G5408" s="2" t="s">
        <v>458</v>
      </c>
      <c r="H5408" s="2" t="s">
        <v>459</v>
      </c>
      <c r="I5408" s="2" t="n">
        <f aca="false">IF(F5408="Present",9,IF(F5408="Half Day",4,0))</f>
        <v>9</v>
      </c>
      <c r="J5408" s="2"/>
      <c r="K5408" s="2"/>
    </row>
    <row r="5409" customFormat="false" ht="15" hidden="false" customHeight="false" outlineLevel="0" collapsed="false">
      <c r="A5409" s="2" t="s">
        <v>397</v>
      </c>
      <c r="B5409" s="2" t="s">
        <v>398</v>
      </c>
      <c r="C5409" s="2" t="s">
        <v>36</v>
      </c>
      <c r="D5409" s="3" t="n">
        <v>46248</v>
      </c>
      <c r="E5409" s="2" t="str">
        <f aca="false">TEXT(D5409,"dddd")</f>
        <v>Friday</v>
      </c>
      <c r="F5409" s="2" t="s">
        <v>457</v>
      </c>
      <c r="G5409" s="2" t="s">
        <v>458</v>
      </c>
      <c r="H5409" s="2" t="s">
        <v>459</v>
      </c>
      <c r="I5409" s="2" t="n">
        <f aca="false">IF(F5409="Present",9,IF(F5409="Half Day",4,0))</f>
        <v>9</v>
      </c>
      <c r="J5409" s="2"/>
      <c r="K5409" s="2"/>
    </row>
    <row r="5410" customFormat="false" ht="15" hidden="false" customHeight="false" outlineLevel="0" collapsed="false">
      <c r="A5410" s="2" t="s">
        <v>397</v>
      </c>
      <c r="B5410" s="2" t="s">
        <v>398</v>
      </c>
      <c r="C5410" s="2" t="s">
        <v>36</v>
      </c>
      <c r="D5410" s="3" t="n">
        <v>46249</v>
      </c>
      <c r="E5410" s="2" t="str">
        <f aca="false">TEXT(D5410,"dddd")</f>
        <v>Saturday</v>
      </c>
      <c r="F5410" s="2" t="s">
        <v>457</v>
      </c>
      <c r="G5410" s="2" t="s">
        <v>458</v>
      </c>
      <c r="H5410" s="2" t="s">
        <v>459</v>
      </c>
      <c r="I5410" s="2" t="n">
        <f aca="false">IF(F5410="Present",9,IF(F5410="Half Day",4,0))</f>
        <v>9</v>
      </c>
      <c r="J5410" s="2"/>
      <c r="K5410" s="2"/>
    </row>
    <row r="5411" customFormat="false" ht="15" hidden="false" customHeight="false" outlineLevel="0" collapsed="false">
      <c r="A5411" s="2" t="s">
        <v>397</v>
      </c>
      <c r="B5411" s="2" t="s">
        <v>398</v>
      </c>
      <c r="C5411" s="2" t="s">
        <v>36</v>
      </c>
      <c r="D5411" s="3" t="n">
        <v>46250</v>
      </c>
      <c r="E5411" s="2" t="str">
        <f aca="false">TEXT(D5411,"dddd")</f>
        <v>Sunday</v>
      </c>
      <c r="F5411" s="2" t="s">
        <v>460</v>
      </c>
      <c r="G5411" s="2"/>
      <c r="H5411" s="2"/>
      <c r="I5411" s="2" t="n">
        <f aca="false">IF(F5411="Present",9,IF(F5411="Half Day",4,0))</f>
        <v>0</v>
      </c>
      <c r="J5411" s="2"/>
      <c r="K5411" s="2" t="s">
        <v>460</v>
      </c>
    </row>
    <row r="5412" customFormat="false" ht="15" hidden="false" customHeight="false" outlineLevel="0" collapsed="false">
      <c r="A5412" s="2" t="s">
        <v>397</v>
      </c>
      <c r="B5412" s="2" t="s">
        <v>398</v>
      </c>
      <c r="C5412" s="2" t="s">
        <v>36</v>
      </c>
      <c r="D5412" s="3" t="n">
        <v>46251</v>
      </c>
      <c r="E5412" s="2" t="str">
        <f aca="false">TEXT(D5412,"dddd")</f>
        <v>Monday</v>
      </c>
      <c r="F5412" s="2" t="s">
        <v>461</v>
      </c>
      <c r="G5412" s="2"/>
      <c r="H5412" s="2"/>
      <c r="I5412" s="2" t="n">
        <f aca="false">IF(F5412="Present",9,IF(F5412="Half Day",4,0))</f>
        <v>0</v>
      </c>
      <c r="J5412" s="2"/>
      <c r="K5412" s="2" t="s">
        <v>462</v>
      </c>
    </row>
    <row r="5413" customFormat="false" ht="15" hidden="false" customHeight="false" outlineLevel="0" collapsed="false">
      <c r="A5413" s="2" t="s">
        <v>397</v>
      </c>
      <c r="B5413" s="2" t="s">
        <v>398</v>
      </c>
      <c r="C5413" s="2" t="s">
        <v>36</v>
      </c>
      <c r="D5413" s="3" t="n">
        <v>46252</v>
      </c>
      <c r="E5413" s="2" t="str">
        <f aca="false">TEXT(D5413,"dddd")</f>
        <v>Tuesday</v>
      </c>
      <c r="F5413" s="2" t="s">
        <v>461</v>
      </c>
      <c r="G5413" s="2"/>
      <c r="H5413" s="2"/>
      <c r="I5413" s="2" t="n">
        <f aca="false">IF(F5413="Present",9,IF(F5413="Half Day",4,0))</f>
        <v>0</v>
      </c>
      <c r="J5413" s="2"/>
      <c r="K5413" s="2" t="s">
        <v>462</v>
      </c>
    </row>
    <row r="5414" customFormat="false" ht="15" hidden="false" customHeight="false" outlineLevel="0" collapsed="false">
      <c r="A5414" s="2" t="s">
        <v>397</v>
      </c>
      <c r="B5414" s="2" t="s">
        <v>398</v>
      </c>
      <c r="C5414" s="2" t="s">
        <v>36</v>
      </c>
      <c r="D5414" s="3" t="n">
        <v>46253</v>
      </c>
      <c r="E5414" s="2" t="str">
        <f aca="false">TEXT(D5414,"dddd")</f>
        <v>Wednesday</v>
      </c>
      <c r="F5414" s="2" t="s">
        <v>461</v>
      </c>
      <c r="G5414" s="2"/>
      <c r="H5414" s="2"/>
      <c r="I5414" s="2" t="n">
        <f aca="false">IF(F5414="Present",9,IF(F5414="Half Day",4,0))</f>
        <v>0</v>
      </c>
      <c r="J5414" s="2"/>
      <c r="K5414" s="2" t="s">
        <v>462</v>
      </c>
    </row>
    <row r="5415" customFormat="false" ht="15" hidden="false" customHeight="false" outlineLevel="0" collapsed="false">
      <c r="A5415" s="2" t="s">
        <v>397</v>
      </c>
      <c r="B5415" s="2" t="s">
        <v>398</v>
      </c>
      <c r="C5415" s="2" t="s">
        <v>36</v>
      </c>
      <c r="D5415" s="3" t="n">
        <v>46254</v>
      </c>
      <c r="E5415" s="2" t="str">
        <f aca="false">TEXT(D5415,"dddd")</f>
        <v>Thursday</v>
      </c>
      <c r="F5415" s="2" t="s">
        <v>457</v>
      </c>
      <c r="G5415" s="2" t="s">
        <v>458</v>
      </c>
      <c r="H5415" s="2" t="s">
        <v>459</v>
      </c>
      <c r="I5415" s="2" t="n">
        <f aca="false">IF(F5415="Present",9,IF(F5415="Half Day",4,0))</f>
        <v>9</v>
      </c>
      <c r="J5415" s="2"/>
      <c r="K5415" s="2"/>
    </row>
    <row r="5416" customFormat="false" ht="15" hidden="false" customHeight="false" outlineLevel="0" collapsed="false">
      <c r="A5416" s="2" t="s">
        <v>397</v>
      </c>
      <c r="B5416" s="2" t="s">
        <v>398</v>
      </c>
      <c r="C5416" s="2" t="s">
        <v>36</v>
      </c>
      <c r="D5416" s="3" t="n">
        <v>46255</v>
      </c>
      <c r="E5416" s="2" t="str">
        <f aca="false">TEXT(D5416,"dddd")</f>
        <v>Friday</v>
      </c>
      <c r="F5416" s="2" t="s">
        <v>457</v>
      </c>
      <c r="G5416" s="2" t="s">
        <v>458</v>
      </c>
      <c r="H5416" s="2" t="s">
        <v>459</v>
      </c>
      <c r="I5416" s="2" t="n">
        <f aca="false">IF(F5416="Present",9,IF(F5416="Half Day",4,0))</f>
        <v>9</v>
      </c>
      <c r="J5416" s="2"/>
      <c r="K5416" s="2"/>
    </row>
    <row r="5417" customFormat="false" ht="15" hidden="false" customHeight="false" outlineLevel="0" collapsed="false">
      <c r="A5417" s="2" t="s">
        <v>397</v>
      </c>
      <c r="B5417" s="2" t="s">
        <v>398</v>
      </c>
      <c r="C5417" s="2" t="s">
        <v>36</v>
      </c>
      <c r="D5417" s="3" t="n">
        <v>46256</v>
      </c>
      <c r="E5417" s="2" t="str">
        <f aca="false">TEXT(D5417,"dddd")</f>
        <v>Saturday</v>
      </c>
      <c r="F5417" s="2" t="s">
        <v>457</v>
      </c>
      <c r="G5417" s="2" t="s">
        <v>458</v>
      </c>
      <c r="H5417" s="2" t="s">
        <v>459</v>
      </c>
      <c r="I5417" s="2" t="n">
        <f aca="false">IF(F5417="Present",9,IF(F5417="Half Day",4,0))</f>
        <v>9</v>
      </c>
      <c r="J5417" s="2"/>
      <c r="K5417" s="2"/>
    </row>
    <row r="5418" customFormat="false" ht="15" hidden="false" customHeight="false" outlineLevel="0" collapsed="false">
      <c r="A5418" s="2" t="s">
        <v>397</v>
      </c>
      <c r="B5418" s="2" t="s">
        <v>398</v>
      </c>
      <c r="C5418" s="2" t="s">
        <v>36</v>
      </c>
      <c r="D5418" s="3" t="n">
        <v>46257</v>
      </c>
      <c r="E5418" s="2" t="str">
        <f aca="false">TEXT(D5418,"dddd")</f>
        <v>Sunday</v>
      </c>
      <c r="F5418" s="2" t="s">
        <v>460</v>
      </c>
      <c r="G5418" s="2"/>
      <c r="H5418" s="2"/>
      <c r="I5418" s="2" t="n">
        <f aca="false">IF(F5418="Present",9,IF(F5418="Half Day",4,0))</f>
        <v>0</v>
      </c>
      <c r="J5418" s="2"/>
      <c r="K5418" s="2" t="s">
        <v>460</v>
      </c>
    </row>
    <row r="5419" customFormat="false" ht="15" hidden="false" customHeight="false" outlineLevel="0" collapsed="false">
      <c r="A5419" s="2" t="s">
        <v>397</v>
      </c>
      <c r="B5419" s="2" t="s">
        <v>398</v>
      </c>
      <c r="C5419" s="2" t="s">
        <v>36</v>
      </c>
      <c r="D5419" s="3" t="n">
        <v>46258</v>
      </c>
      <c r="E5419" s="2" t="str">
        <f aca="false">TEXT(D5419,"dddd")</f>
        <v>Monday</v>
      </c>
      <c r="F5419" s="2" t="s">
        <v>457</v>
      </c>
      <c r="G5419" s="2" t="s">
        <v>458</v>
      </c>
      <c r="H5419" s="2" t="s">
        <v>459</v>
      </c>
      <c r="I5419" s="2" t="n">
        <f aca="false">IF(F5419="Present",9,IF(F5419="Half Day",4,0))</f>
        <v>9</v>
      </c>
      <c r="J5419" s="2"/>
      <c r="K5419" s="2"/>
    </row>
    <row r="5420" customFormat="false" ht="15" hidden="false" customHeight="false" outlineLevel="0" collapsed="false">
      <c r="A5420" s="2" t="s">
        <v>397</v>
      </c>
      <c r="B5420" s="2" t="s">
        <v>398</v>
      </c>
      <c r="C5420" s="2" t="s">
        <v>36</v>
      </c>
      <c r="D5420" s="3" t="n">
        <v>46259</v>
      </c>
      <c r="E5420" s="2" t="str">
        <f aca="false">TEXT(D5420,"dddd")</f>
        <v>Tuesday</v>
      </c>
      <c r="F5420" s="2" t="s">
        <v>457</v>
      </c>
      <c r="G5420" s="2" t="s">
        <v>458</v>
      </c>
      <c r="H5420" s="2" t="s">
        <v>459</v>
      </c>
      <c r="I5420" s="2" t="n">
        <f aca="false">IF(F5420="Present",9,IF(F5420="Half Day",4,0))</f>
        <v>9</v>
      </c>
      <c r="J5420" s="2"/>
      <c r="K5420" s="2"/>
    </row>
    <row r="5421" customFormat="false" ht="15" hidden="false" customHeight="false" outlineLevel="0" collapsed="false">
      <c r="A5421" s="2" t="s">
        <v>397</v>
      </c>
      <c r="B5421" s="2" t="s">
        <v>398</v>
      </c>
      <c r="C5421" s="2" t="s">
        <v>36</v>
      </c>
      <c r="D5421" s="3" t="n">
        <v>46260</v>
      </c>
      <c r="E5421" s="2" t="str">
        <f aca="false">TEXT(D5421,"dddd")</f>
        <v>Wednesday</v>
      </c>
      <c r="F5421" s="2" t="s">
        <v>457</v>
      </c>
      <c r="G5421" s="2" t="s">
        <v>458</v>
      </c>
      <c r="H5421" s="2" t="s">
        <v>459</v>
      </c>
      <c r="I5421" s="2" t="n">
        <f aca="false">IF(F5421="Present",9,IF(F5421="Half Day",4,0))</f>
        <v>9</v>
      </c>
      <c r="J5421" s="2"/>
      <c r="K5421" s="2"/>
    </row>
    <row r="5422" customFormat="false" ht="15" hidden="false" customHeight="false" outlineLevel="0" collapsed="false">
      <c r="A5422" s="2" t="s">
        <v>397</v>
      </c>
      <c r="B5422" s="2" t="s">
        <v>398</v>
      </c>
      <c r="C5422" s="2" t="s">
        <v>36</v>
      </c>
      <c r="D5422" s="3" t="n">
        <v>46261</v>
      </c>
      <c r="E5422" s="2" t="str">
        <f aca="false">TEXT(D5422,"dddd")</f>
        <v>Thursday</v>
      </c>
      <c r="F5422" s="2" t="s">
        <v>461</v>
      </c>
      <c r="G5422" s="2"/>
      <c r="H5422" s="2"/>
      <c r="I5422" s="2" t="n">
        <f aca="false">IF(F5422="Present",9,IF(F5422="Half Day",4,0))</f>
        <v>0</v>
      </c>
      <c r="J5422" s="2"/>
      <c r="K5422" s="2" t="s">
        <v>462</v>
      </c>
    </row>
    <row r="5423" customFormat="false" ht="15" hidden="false" customHeight="false" outlineLevel="0" collapsed="false">
      <c r="A5423" s="2" t="s">
        <v>397</v>
      </c>
      <c r="B5423" s="2" t="s">
        <v>398</v>
      </c>
      <c r="C5423" s="2" t="s">
        <v>36</v>
      </c>
      <c r="D5423" s="3" t="n">
        <v>46262</v>
      </c>
      <c r="E5423" s="2" t="str">
        <f aca="false">TEXT(D5423,"dddd")</f>
        <v>Friday</v>
      </c>
      <c r="F5423" s="2" t="s">
        <v>457</v>
      </c>
      <c r="G5423" s="2" t="s">
        <v>458</v>
      </c>
      <c r="H5423" s="2" t="s">
        <v>459</v>
      </c>
      <c r="I5423" s="2" t="n">
        <f aca="false">IF(F5423="Present",9,IF(F5423="Half Day",4,0))</f>
        <v>9</v>
      </c>
      <c r="J5423" s="2"/>
      <c r="K5423" s="2"/>
    </row>
    <row r="5424" customFormat="false" ht="15" hidden="false" customHeight="false" outlineLevel="0" collapsed="false">
      <c r="A5424" s="2" t="s">
        <v>397</v>
      </c>
      <c r="B5424" s="2" t="s">
        <v>398</v>
      </c>
      <c r="C5424" s="2" t="s">
        <v>36</v>
      </c>
      <c r="D5424" s="3" t="n">
        <v>46263</v>
      </c>
      <c r="E5424" s="2" t="str">
        <f aca="false">TEXT(D5424,"dddd")</f>
        <v>Saturday</v>
      </c>
      <c r="F5424" s="2" t="s">
        <v>461</v>
      </c>
      <c r="G5424" s="2"/>
      <c r="H5424" s="2"/>
      <c r="I5424" s="2" t="n">
        <f aca="false">IF(F5424="Present",9,IF(F5424="Half Day",4,0))</f>
        <v>0</v>
      </c>
      <c r="J5424" s="2"/>
      <c r="K5424" s="2" t="s">
        <v>462</v>
      </c>
    </row>
    <row r="5425" customFormat="false" ht="15" hidden="false" customHeight="false" outlineLevel="0" collapsed="false">
      <c r="A5425" s="2" t="s">
        <v>397</v>
      </c>
      <c r="B5425" s="2" t="s">
        <v>398</v>
      </c>
      <c r="C5425" s="2" t="s">
        <v>36</v>
      </c>
      <c r="D5425" s="3" t="n">
        <v>46264</v>
      </c>
      <c r="E5425" s="2" t="str">
        <f aca="false">TEXT(D5425,"dddd")</f>
        <v>Sunday</v>
      </c>
      <c r="F5425" s="2" t="s">
        <v>460</v>
      </c>
      <c r="G5425" s="2"/>
      <c r="H5425" s="2"/>
      <c r="I5425" s="2" t="n">
        <f aca="false">IF(F5425="Present",9,IF(F5425="Half Day",4,0))</f>
        <v>0</v>
      </c>
      <c r="J5425" s="2"/>
      <c r="K5425" s="2" t="s">
        <v>460</v>
      </c>
    </row>
    <row r="5426" customFormat="false" ht="15" hidden="false" customHeight="false" outlineLevel="0" collapsed="false">
      <c r="A5426" s="2" t="s">
        <v>397</v>
      </c>
      <c r="B5426" s="2" t="s">
        <v>398</v>
      </c>
      <c r="C5426" s="2" t="s">
        <v>36</v>
      </c>
      <c r="D5426" s="3" t="n">
        <v>46265</v>
      </c>
      <c r="E5426" s="2" t="str">
        <f aca="false">TEXT(D5426,"dddd")</f>
        <v>Monday</v>
      </c>
      <c r="F5426" s="2" t="s">
        <v>457</v>
      </c>
      <c r="G5426" s="2" t="s">
        <v>458</v>
      </c>
      <c r="H5426" s="2" t="s">
        <v>459</v>
      </c>
      <c r="I5426" s="2" t="n">
        <f aca="false">IF(F5426="Present",9,IF(F5426="Half Day",4,0))</f>
        <v>9</v>
      </c>
      <c r="J5426" s="2"/>
      <c r="K5426" s="2"/>
    </row>
    <row r="5427" customFormat="false" ht="15" hidden="false" customHeight="false" outlineLevel="0" collapsed="false">
      <c r="A5427" s="2" t="s">
        <v>399</v>
      </c>
      <c r="B5427" s="2" t="s">
        <v>400</v>
      </c>
      <c r="C5427" s="2" t="s">
        <v>41</v>
      </c>
      <c r="D5427" s="3" t="n">
        <v>46235</v>
      </c>
      <c r="E5427" s="2" t="str">
        <f aca="false">TEXT(D5427,"dddd")</f>
        <v>Saturday</v>
      </c>
      <c r="F5427" s="2" t="s">
        <v>457</v>
      </c>
      <c r="G5427" s="2" t="s">
        <v>458</v>
      </c>
      <c r="H5427" s="2" t="s">
        <v>459</v>
      </c>
      <c r="I5427" s="2" t="n">
        <f aca="false">IF(F5427="Present",9,IF(F5427="Half Day",4,0))</f>
        <v>9</v>
      </c>
      <c r="J5427" s="2"/>
      <c r="K5427" s="2"/>
    </row>
    <row r="5428" customFormat="false" ht="15" hidden="false" customHeight="false" outlineLevel="0" collapsed="false">
      <c r="A5428" s="2" t="s">
        <v>399</v>
      </c>
      <c r="B5428" s="2" t="s">
        <v>400</v>
      </c>
      <c r="C5428" s="2" t="s">
        <v>41</v>
      </c>
      <c r="D5428" s="3" t="n">
        <v>46236</v>
      </c>
      <c r="E5428" s="2" t="str">
        <f aca="false">TEXT(D5428,"dddd")</f>
        <v>Sunday</v>
      </c>
      <c r="F5428" s="2" t="s">
        <v>460</v>
      </c>
      <c r="G5428" s="2"/>
      <c r="H5428" s="2"/>
      <c r="I5428" s="2" t="n">
        <f aca="false">IF(F5428="Present",9,IF(F5428="Half Day",4,0))</f>
        <v>0</v>
      </c>
      <c r="J5428" s="2"/>
      <c r="K5428" s="2" t="s">
        <v>460</v>
      </c>
    </row>
    <row r="5429" customFormat="false" ht="15" hidden="false" customHeight="false" outlineLevel="0" collapsed="false">
      <c r="A5429" s="2" t="s">
        <v>399</v>
      </c>
      <c r="B5429" s="2" t="s">
        <v>400</v>
      </c>
      <c r="C5429" s="2" t="s">
        <v>41</v>
      </c>
      <c r="D5429" s="3" t="n">
        <v>46237</v>
      </c>
      <c r="E5429" s="2" t="str">
        <f aca="false">TEXT(D5429,"dddd")</f>
        <v>Monday</v>
      </c>
      <c r="F5429" s="2" t="s">
        <v>457</v>
      </c>
      <c r="G5429" s="2" t="s">
        <v>458</v>
      </c>
      <c r="H5429" s="2" t="s">
        <v>459</v>
      </c>
      <c r="I5429" s="2" t="n">
        <f aca="false">IF(F5429="Present",9,IF(F5429="Half Day",4,0))</f>
        <v>9</v>
      </c>
      <c r="J5429" s="2"/>
      <c r="K5429" s="2"/>
    </row>
    <row r="5430" customFormat="false" ht="15" hidden="false" customHeight="false" outlineLevel="0" collapsed="false">
      <c r="A5430" s="2" t="s">
        <v>399</v>
      </c>
      <c r="B5430" s="2" t="s">
        <v>400</v>
      </c>
      <c r="C5430" s="2" t="s">
        <v>41</v>
      </c>
      <c r="D5430" s="3" t="n">
        <v>46238</v>
      </c>
      <c r="E5430" s="2" t="str">
        <f aca="false">TEXT(D5430,"dddd")</f>
        <v>Tuesday</v>
      </c>
      <c r="F5430" s="2" t="s">
        <v>457</v>
      </c>
      <c r="G5430" s="2" t="s">
        <v>458</v>
      </c>
      <c r="H5430" s="2" t="s">
        <v>459</v>
      </c>
      <c r="I5430" s="2" t="n">
        <f aca="false">IF(F5430="Present",9,IF(F5430="Half Day",4,0))</f>
        <v>9</v>
      </c>
      <c r="J5430" s="2"/>
      <c r="K5430" s="2"/>
    </row>
    <row r="5431" customFormat="false" ht="15" hidden="false" customHeight="false" outlineLevel="0" collapsed="false">
      <c r="A5431" s="2" t="s">
        <v>399</v>
      </c>
      <c r="B5431" s="2" t="s">
        <v>400</v>
      </c>
      <c r="C5431" s="2" t="s">
        <v>41</v>
      </c>
      <c r="D5431" s="3" t="n">
        <v>46239</v>
      </c>
      <c r="E5431" s="2" t="str">
        <f aca="false">TEXT(D5431,"dddd")</f>
        <v>Wednesday</v>
      </c>
      <c r="F5431" s="2" t="s">
        <v>457</v>
      </c>
      <c r="G5431" s="2" t="s">
        <v>458</v>
      </c>
      <c r="H5431" s="2" t="s">
        <v>459</v>
      </c>
      <c r="I5431" s="2" t="n">
        <f aca="false">IF(F5431="Present",9,IF(F5431="Half Day",4,0))</f>
        <v>9</v>
      </c>
      <c r="J5431" s="2"/>
      <c r="K5431" s="2"/>
    </row>
    <row r="5432" customFormat="false" ht="15" hidden="false" customHeight="false" outlineLevel="0" collapsed="false">
      <c r="A5432" s="2" t="s">
        <v>399</v>
      </c>
      <c r="B5432" s="2" t="s">
        <v>400</v>
      </c>
      <c r="C5432" s="2" t="s">
        <v>41</v>
      </c>
      <c r="D5432" s="3" t="n">
        <v>46240</v>
      </c>
      <c r="E5432" s="2" t="str">
        <f aca="false">TEXT(D5432,"dddd")</f>
        <v>Thursday</v>
      </c>
      <c r="F5432" s="2" t="s">
        <v>457</v>
      </c>
      <c r="G5432" s="2" t="s">
        <v>458</v>
      </c>
      <c r="H5432" s="2" t="s">
        <v>459</v>
      </c>
      <c r="I5432" s="2" t="n">
        <f aca="false">IF(F5432="Present",9,IF(F5432="Half Day",4,0))</f>
        <v>9</v>
      </c>
      <c r="J5432" s="2"/>
      <c r="K5432" s="2"/>
    </row>
    <row r="5433" customFormat="false" ht="15" hidden="false" customHeight="false" outlineLevel="0" collapsed="false">
      <c r="A5433" s="2" t="s">
        <v>399</v>
      </c>
      <c r="B5433" s="2" t="s">
        <v>400</v>
      </c>
      <c r="C5433" s="2" t="s">
        <v>41</v>
      </c>
      <c r="D5433" s="3" t="n">
        <v>46241</v>
      </c>
      <c r="E5433" s="2" t="str">
        <f aca="false">TEXT(D5433,"dddd")</f>
        <v>Friday</v>
      </c>
      <c r="F5433" s="2" t="s">
        <v>457</v>
      </c>
      <c r="G5433" s="2" t="s">
        <v>458</v>
      </c>
      <c r="H5433" s="2" t="s">
        <v>459</v>
      </c>
      <c r="I5433" s="2" t="n">
        <f aca="false">IF(F5433="Present",9,IF(F5433="Half Day",4,0))</f>
        <v>9</v>
      </c>
      <c r="J5433" s="2"/>
      <c r="K5433" s="2"/>
    </row>
    <row r="5434" customFormat="false" ht="15" hidden="false" customHeight="false" outlineLevel="0" collapsed="false">
      <c r="A5434" s="2" t="s">
        <v>399</v>
      </c>
      <c r="B5434" s="2" t="s">
        <v>400</v>
      </c>
      <c r="C5434" s="2" t="s">
        <v>41</v>
      </c>
      <c r="D5434" s="3" t="n">
        <v>46242</v>
      </c>
      <c r="E5434" s="2" t="str">
        <f aca="false">TEXT(D5434,"dddd")</f>
        <v>Saturday</v>
      </c>
      <c r="F5434" s="2" t="s">
        <v>457</v>
      </c>
      <c r="G5434" s="2" t="s">
        <v>458</v>
      </c>
      <c r="H5434" s="2" t="s">
        <v>459</v>
      </c>
      <c r="I5434" s="2" t="n">
        <f aca="false">IF(F5434="Present",9,IF(F5434="Half Day",4,0))</f>
        <v>9</v>
      </c>
      <c r="J5434" s="2"/>
      <c r="K5434" s="2"/>
    </row>
    <row r="5435" customFormat="false" ht="15" hidden="false" customHeight="false" outlineLevel="0" collapsed="false">
      <c r="A5435" s="2" t="s">
        <v>399</v>
      </c>
      <c r="B5435" s="2" t="s">
        <v>400</v>
      </c>
      <c r="C5435" s="2" t="s">
        <v>41</v>
      </c>
      <c r="D5435" s="3" t="n">
        <v>46243</v>
      </c>
      <c r="E5435" s="2" t="str">
        <f aca="false">TEXT(D5435,"dddd")</f>
        <v>Sunday</v>
      </c>
      <c r="F5435" s="2" t="s">
        <v>460</v>
      </c>
      <c r="G5435" s="2"/>
      <c r="H5435" s="2"/>
      <c r="I5435" s="2" t="n">
        <f aca="false">IF(F5435="Present",9,IF(F5435="Half Day",4,0))</f>
        <v>0</v>
      </c>
      <c r="J5435" s="2"/>
      <c r="K5435" s="2" t="s">
        <v>460</v>
      </c>
    </row>
    <row r="5436" customFormat="false" ht="15" hidden="false" customHeight="false" outlineLevel="0" collapsed="false">
      <c r="A5436" s="2" t="s">
        <v>399</v>
      </c>
      <c r="B5436" s="2" t="s">
        <v>400</v>
      </c>
      <c r="C5436" s="2" t="s">
        <v>41</v>
      </c>
      <c r="D5436" s="3" t="n">
        <v>46244</v>
      </c>
      <c r="E5436" s="2" t="str">
        <f aca="false">TEXT(D5436,"dddd")</f>
        <v>Monday</v>
      </c>
      <c r="F5436" s="2" t="s">
        <v>457</v>
      </c>
      <c r="G5436" s="2" t="s">
        <v>458</v>
      </c>
      <c r="H5436" s="2" t="s">
        <v>459</v>
      </c>
      <c r="I5436" s="2" t="n">
        <f aca="false">IF(F5436="Present",9,IF(F5436="Half Day",4,0))</f>
        <v>9</v>
      </c>
      <c r="J5436" s="2"/>
      <c r="K5436" s="2"/>
    </row>
    <row r="5437" customFormat="false" ht="15" hidden="false" customHeight="false" outlineLevel="0" collapsed="false">
      <c r="A5437" s="2" t="s">
        <v>399</v>
      </c>
      <c r="B5437" s="2" t="s">
        <v>400</v>
      </c>
      <c r="C5437" s="2" t="s">
        <v>41</v>
      </c>
      <c r="D5437" s="3" t="n">
        <v>46245</v>
      </c>
      <c r="E5437" s="2" t="str">
        <f aca="false">TEXT(D5437,"dddd")</f>
        <v>Tuesday</v>
      </c>
      <c r="F5437" s="2" t="s">
        <v>457</v>
      </c>
      <c r="G5437" s="2" t="s">
        <v>458</v>
      </c>
      <c r="H5437" s="2" t="s">
        <v>459</v>
      </c>
      <c r="I5437" s="2" t="n">
        <f aca="false">IF(F5437="Present",9,IF(F5437="Half Day",4,0))</f>
        <v>9</v>
      </c>
      <c r="J5437" s="2"/>
      <c r="K5437" s="2"/>
    </row>
    <row r="5438" customFormat="false" ht="15" hidden="false" customHeight="false" outlineLevel="0" collapsed="false">
      <c r="A5438" s="2" t="s">
        <v>399</v>
      </c>
      <c r="B5438" s="2" t="s">
        <v>400</v>
      </c>
      <c r="C5438" s="2" t="s">
        <v>41</v>
      </c>
      <c r="D5438" s="3" t="n">
        <v>46246</v>
      </c>
      <c r="E5438" s="2" t="str">
        <f aca="false">TEXT(D5438,"dddd")</f>
        <v>Wednesday</v>
      </c>
      <c r="F5438" s="2" t="s">
        <v>457</v>
      </c>
      <c r="G5438" s="2" t="s">
        <v>458</v>
      </c>
      <c r="H5438" s="2" t="s">
        <v>459</v>
      </c>
      <c r="I5438" s="2" t="n">
        <f aca="false">IF(F5438="Present",9,IF(F5438="Half Day",4,0))</f>
        <v>9</v>
      </c>
      <c r="J5438" s="2"/>
      <c r="K5438" s="2"/>
    </row>
    <row r="5439" customFormat="false" ht="15" hidden="false" customHeight="false" outlineLevel="0" collapsed="false">
      <c r="A5439" s="2" t="s">
        <v>399</v>
      </c>
      <c r="B5439" s="2" t="s">
        <v>400</v>
      </c>
      <c r="C5439" s="2" t="s">
        <v>41</v>
      </c>
      <c r="D5439" s="3" t="n">
        <v>46247</v>
      </c>
      <c r="E5439" s="2" t="str">
        <f aca="false">TEXT(D5439,"dddd")</f>
        <v>Thursday</v>
      </c>
      <c r="F5439" s="2" t="s">
        <v>457</v>
      </c>
      <c r="G5439" s="2" t="s">
        <v>458</v>
      </c>
      <c r="H5439" s="2" t="s">
        <v>459</v>
      </c>
      <c r="I5439" s="2" t="n">
        <f aca="false">IF(F5439="Present",9,IF(F5439="Half Day",4,0))</f>
        <v>9</v>
      </c>
      <c r="J5439" s="2"/>
      <c r="K5439" s="2"/>
    </row>
    <row r="5440" customFormat="false" ht="15" hidden="false" customHeight="false" outlineLevel="0" collapsed="false">
      <c r="A5440" s="2" t="s">
        <v>399</v>
      </c>
      <c r="B5440" s="2" t="s">
        <v>400</v>
      </c>
      <c r="C5440" s="2" t="s">
        <v>41</v>
      </c>
      <c r="D5440" s="3" t="n">
        <v>46248</v>
      </c>
      <c r="E5440" s="2" t="str">
        <f aca="false">TEXT(D5440,"dddd")</f>
        <v>Friday</v>
      </c>
      <c r="F5440" s="2" t="s">
        <v>457</v>
      </c>
      <c r="G5440" s="2" t="s">
        <v>458</v>
      </c>
      <c r="H5440" s="2" t="s">
        <v>459</v>
      </c>
      <c r="I5440" s="2" t="n">
        <f aca="false">IF(F5440="Present",9,IF(F5440="Half Day",4,0))</f>
        <v>9</v>
      </c>
      <c r="J5440" s="2"/>
      <c r="K5440" s="2"/>
    </row>
    <row r="5441" customFormat="false" ht="15" hidden="false" customHeight="false" outlineLevel="0" collapsed="false">
      <c r="A5441" s="2" t="s">
        <v>399</v>
      </c>
      <c r="B5441" s="2" t="s">
        <v>400</v>
      </c>
      <c r="C5441" s="2" t="s">
        <v>41</v>
      </c>
      <c r="D5441" s="3" t="n">
        <v>46249</v>
      </c>
      <c r="E5441" s="2" t="str">
        <f aca="false">TEXT(D5441,"dddd")</f>
        <v>Saturday</v>
      </c>
      <c r="F5441" s="2" t="s">
        <v>457</v>
      </c>
      <c r="G5441" s="2" t="s">
        <v>458</v>
      </c>
      <c r="H5441" s="2" t="s">
        <v>459</v>
      </c>
      <c r="I5441" s="2" t="n">
        <f aca="false">IF(F5441="Present",9,IF(F5441="Half Day",4,0))</f>
        <v>9</v>
      </c>
      <c r="J5441" s="2"/>
      <c r="K5441" s="2"/>
    </row>
    <row r="5442" customFormat="false" ht="15" hidden="false" customHeight="false" outlineLevel="0" collapsed="false">
      <c r="A5442" s="2" t="s">
        <v>399</v>
      </c>
      <c r="B5442" s="2" t="s">
        <v>400</v>
      </c>
      <c r="C5442" s="2" t="s">
        <v>41</v>
      </c>
      <c r="D5442" s="3" t="n">
        <v>46250</v>
      </c>
      <c r="E5442" s="2" t="str">
        <f aca="false">TEXT(D5442,"dddd")</f>
        <v>Sunday</v>
      </c>
      <c r="F5442" s="2" t="s">
        <v>460</v>
      </c>
      <c r="G5442" s="2"/>
      <c r="H5442" s="2"/>
      <c r="I5442" s="2" t="n">
        <f aca="false">IF(F5442="Present",9,IF(F5442="Half Day",4,0))</f>
        <v>0</v>
      </c>
      <c r="J5442" s="2"/>
      <c r="K5442" s="2" t="s">
        <v>460</v>
      </c>
    </row>
    <row r="5443" customFormat="false" ht="15" hidden="false" customHeight="false" outlineLevel="0" collapsed="false">
      <c r="A5443" s="2" t="s">
        <v>399</v>
      </c>
      <c r="B5443" s="2" t="s">
        <v>400</v>
      </c>
      <c r="C5443" s="2" t="s">
        <v>41</v>
      </c>
      <c r="D5443" s="3" t="n">
        <v>46251</v>
      </c>
      <c r="E5443" s="2" t="str">
        <f aca="false">TEXT(D5443,"dddd")</f>
        <v>Monday</v>
      </c>
      <c r="F5443" s="2" t="s">
        <v>457</v>
      </c>
      <c r="G5443" s="2" t="s">
        <v>458</v>
      </c>
      <c r="H5443" s="2" t="s">
        <v>459</v>
      </c>
      <c r="I5443" s="2" t="n">
        <f aca="false">IF(F5443="Present",9,IF(F5443="Half Day",4,0))</f>
        <v>9</v>
      </c>
      <c r="J5443" s="2"/>
      <c r="K5443" s="2"/>
    </row>
    <row r="5444" customFormat="false" ht="15" hidden="false" customHeight="false" outlineLevel="0" collapsed="false">
      <c r="A5444" s="2" t="s">
        <v>399</v>
      </c>
      <c r="B5444" s="2" t="s">
        <v>400</v>
      </c>
      <c r="C5444" s="2" t="s">
        <v>41</v>
      </c>
      <c r="D5444" s="3" t="n">
        <v>46252</v>
      </c>
      <c r="E5444" s="2" t="str">
        <f aca="false">TEXT(D5444,"dddd")</f>
        <v>Tuesday</v>
      </c>
      <c r="F5444" s="2" t="s">
        <v>457</v>
      </c>
      <c r="G5444" s="2" t="s">
        <v>458</v>
      </c>
      <c r="H5444" s="2" t="s">
        <v>459</v>
      </c>
      <c r="I5444" s="2" t="n">
        <f aca="false">IF(F5444="Present",9,IF(F5444="Half Day",4,0))</f>
        <v>9</v>
      </c>
      <c r="J5444" s="2"/>
      <c r="K5444" s="2"/>
    </row>
    <row r="5445" customFormat="false" ht="15" hidden="false" customHeight="false" outlineLevel="0" collapsed="false">
      <c r="A5445" s="2" t="s">
        <v>399</v>
      </c>
      <c r="B5445" s="2" t="s">
        <v>400</v>
      </c>
      <c r="C5445" s="2" t="s">
        <v>41</v>
      </c>
      <c r="D5445" s="3" t="n">
        <v>46253</v>
      </c>
      <c r="E5445" s="2" t="str">
        <f aca="false">TEXT(D5445,"dddd")</f>
        <v>Wednesday</v>
      </c>
      <c r="F5445" s="2" t="s">
        <v>457</v>
      </c>
      <c r="G5445" s="2" t="s">
        <v>458</v>
      </c>
      <c r="H5445" s="2" t="s">
        <v>459</v>
      </c>
      <c r="I5445" s="2" t="n">
        <f aca="false">IF(F5445="Present",9,IF(F5445="Half Day",4,0))</f>
        <v>9</v>
      </c>
      <c r="J5445" s="2"/>
      <c r="K5445" s="2"/>
    </row>
    <row r="5446" customFormat="false" ht="15" hidden="false" customHeight="false" outlineLevel="0" collapsed="false">
      <c r="A5446" s="2" t="s">
        <v>399</v>
      </c>
      <c r="B5446" s="2" t="s">
        <v>400</v>
      </c>
      <c r="C5446" s="2" t="s">
        <v>41</v>
      </c>
      <c r="D5446" s="3" t="n">
        <v>46254</v>
      </c>
      <c r="E5446" s="2" t="str">
        <f aca="false">TEXT(D5446,"dddd")</f>
        <v>Thursday</v>
      </c>
      <c r="F5446" s="2" t="s">
        <v>457</v>
      </c>
      <c r="G5446" s="2" t="s">
        <v>458</v>
      </c>
      <c r="H5446" s="2" t="s">
        <v>459</v>
      </c>
      <c r="I5446" s="2" t="n">
        <f aca="false">IF(F5446="Present",9,IF(F5446="Half Day",4,0))</f>
        <v>9</v>
      </c>
      <c r="J5446" s="2"/>
      <c r="K5446" s="2"/>
    </row>
    <row r="5447" customFormat="false" ht="15" hidden="false" customHeight="false" outlineLevel="0" collapsed="false">
      <c r="A5447" s="2" t="s">
        <v>399</v>
      </c>
      <c r="B5447" s="2" t="s">
        <v>400</v>
      </c>
      <c r="C5447" s="2" t="s">
        <v>41</v>
      </c>
      <c r="D5447" s="3" t="n">
        <v>46255</v>
      </c>
      <c r="E5447" s="2" t="str">
        <f aca="false">TEXT(D5447,"dddd")</f>
        <v>Friday</v>
      </c>
      <c r="F5447" s="2" t="s">
        <v>457</v>
      </c>
      <c r="G5447" s="2" t="s">
        <v>458</v>
      </c>
      <c r="H5447" s="2" t="s">
        <v>459</v>
      </c>
      <c r="I5447" s="2" t="n">
        <f aca="false">IF(F5447="Present",9,IF(F5447="Half Day",4,0))</f>
        <v>9</v>
      </c>
      <c r="J5447" s="2"/>
      <c r="K5447" s="2"/>
    </row>
    <row r="5448" customFormat="false" ht="15" hidden="false" customHeight="false" outlineLevel="0" collapsed="false">
      <c r="A5448" s="2" t="s">
        <v>399</v>
      </c>
      <c r="B5448" s="2" t="s">
        <v>400</v>
      </c>
      <c r="C5448" s="2" t="s">
        <v>41</v>
      </c>
      <c r="D5448" s="3" t="n">
        <v>46256</v>
      </c>
      <c r="E5448" s="2" t="str">
        <f aca="false">TEXT(D5448,"dddd")</f>
        <v>Saturday</v>
      </c>
      <c r="F5448" s="2" t="s">
        <v>466</v>
      </c>
      <c r="G5448" s="2" t="s">
        <v>458</v>
      </c>
      <c r="H5448" s="2" t="s">
        <v>467</v>
      </c>
      <c r="I5448" s="2" t="n">
        <f aca="false">IF(F5448="Present",9,IF(F5448="Half Day",4,0))</f>
        <v>4</v>
      </c>
      <c r="J5448" s="2"/>
      <c r="K5448" s="2" t="s">
        <v>466</v>
      </c>
    </row>
    <row r="5449" customFormat="false" ht="15" hidden="false" customHeight="false" outlineLevel="0" collapsed="false">
      <c r="A5449" s="2" t="s">
        <v>399</v>
      </c>
      <c r="B5449" s="2" t="s">
        <v>400</v>
      </c>
      <c r="C5449" s="2" t="s">
        <v>41</v>
      </c>
      <c r="D5449" s="3" t="n">
        <v>46257</v>
      </c>
      <c r="E5449" s="2" t="str">
        <f aca="false">TEXT(D5449,"dddd")</f>
        <v>Sunday</v>
      </c>
      <c r="F5449" s="2" t="s">
        <v>460</v>
      </c>
      <c r="G5449" s="2"/>
      <c r="H5449" s="2"/>
      <c r="I5449" s="2" t="n">
        <f aca="false">IF(F5449="Present",9,IF(F5449="Half Day",4,0))</f>
        <v>0</v>
      </c>
      <c r="J5449" s="2"/>
      <c r="K5449" s="2" t="s">
        <v>460</v>
      </c>
    </row>
    <row r="5450" customFormat="false" ht="15" hidden="false" customHeight="false" outlineLevel="0" collapsed="false">
      <c r="A5450" s="2" t="s">
        <v>399</v>
      </c>
      <c r="B5450" s="2" t="s">
        <v>400</v>
      </c>
      <c r="C5450" s="2" t="s">
        <v>41</v>
      </c>
      <c r="D5450" s="3" t="n">
        <v>46258</v>
      </c>
      <c r="E5450" s="2" t="str">
        <f aca="false">TEXT(D5450,"dddd")</f>
        <v>Monday</v>
      </c>
      <c r="F5450" s="2" t="s">
        <v>457</v>
      </c>
      <c r="G5450" s="2" t="s">
        <v>458</v>
      </c>
      <c r="H5450" s="2" t="s">
        <v>459</v>
      </c>
      <c r="I5450" s="2" t="n">
        <f aca="false">IF(F5450="Present",9,IF(F5450="Half Day",4,0))</f>
        <v>9</v>
      </c>
      <c r="J5450" s="2"/>
      <c r="K5450" s="2"/>
    </row>
    <row r="5451" customFormat="false" ht="15" hidden="false" customHeight="false" outlineLevel="0" collapsed="false">
      <c r="A5451" s="2" t="s">
        <v>399</v>
      </c>
      <c r="B5451" s="2" t="s">
        <v>400</v>
      </c>
      <c r="C5451" s="2" t="s">
        <v>41</v>
      </c>
      <c r="D5451" s="3" t="n">
        <v>46259</v>
      </c>
      <c r="E5451" s="2" t="str">
        <f aca="false">TEXT(D5451,"dddd")</f>
        <v>Tuesday</v>
      </c>
      <c r="F5451" s="2" t="s">
        <v>457</v>
      </c>
      <c r="G5451" s="2" t="s">
        <v>458</v>
      </c>
      <c r="H5451" s="2" t="s">
        <v>459</v>
      </c>
      <c r="I5451" s="2" t="n">
        <f aca="false">IF(F5451="Present",9,IF(F5451="Half Day",4,0))</f>
        <v>9</v>
      </c>
      <c r="J5451" s="2"/>
      <c r="K5451" s="2"/>
    </row>
    <row r="5452" customFormat="false" ht="15" hidden="false" customHeight="false" outlineLevel="0" collapsed="false">
      <c r="A5452" s="2" t="s">
        <v>399</v>
      </c>
      <c r="B5452" s="2" t="s">
        <v>400</v>
      </c>
      <c r="C5452" s="2" t="s">
        <v>41</v>
      </c>
      <c r="D5452" s="3" t="n">
        <v>46260</v>
      </c>
      <c r="E5452" s="2" t="str">
        <f aca="false">TEXT(D5452,"dddd")</f>
        <v>Wednesday</v>
      </c>
      <c r="F5452" s="2" t="s">
        <v>457</v>
      </c>
      <c r="G5452" s="2" t="s">
        <v>458</v>
      </c>
      <c r="H5452" s="2" t="s">
        <v>459</v>
      </c>
      <c r="I5452" s="2" t="n">
        <f aca="false">IF(F5452="Present",9,IF(F5452="Half Day",4,0))</f>
        <v>9</v>
      </c>
      <c r="J5452" s="2"/>
      <c r="K5452" s="2"/>
    </row>
    <row r="5453" customFormat="false" ht="15" hidden="false" customHeight="false" outlineLevel="0" collapsed="false">
      <c r="A5453" s="2" t="s">
        <v>399</v>
      </c>
      <c r="B5453" s="2" t="s">
        <v>400</v>
      </c>
      <c r="C5453" s="2" t="s">
        <v>41</v>
      </c>
      <c r="D5453" s="3" t="n">
        <v>46261</v>
      </c>
      <c r="E5453" s="2" t="str">
        <f aca="false">TEXT(D5453,"dddd")</f>
        <v>Thursday</v>
      </c>
      <c r="F5453" s="2" t="s">
        <v>457</v>
      </c>
      <c r="G5453" s="2" t="s">
        <v>458</v>
      </c>
      <c r="H5453" s="2" t="s">
        <v>459</v>
      </c>
      <c r="I5453" s="2" t="n">
        <f aca="false">IF(F5453="Present",9,IF(F5453="Half Day",4,0))</f>
        <v>9</v>
      </c>
      <c r="J5453" s="2"/>
      <c r="K5453" s="2"/>
    </row>
    <row r="5454" customFormat="false" ht="15" hidden="false" customHeight="false" outlineLevel="0" collapsed="false">
      <c r="A5454" s="2" t="s">
        <v>399</v>
      </c>
      <c r="B5454" s="2" t="s">
        <v>400</v>
      </c>
      <c r="C5454" s="2" t="s">
        <v>41</v>
      </c>
      <c r="D5454" s="3" t="n">
        <v>46262</v>
      </c>
      <c r="E5454" s="2" t="str">
        <f aca="false">TEXT(D5454,"dddd")</f>
        <v>Friday</v>
      </c>
      <c r="F5454" s="2" t="s">
        <v>457</v>
      </c>
      <c r="G5454" s="2" t="s">
        <v>458</v>
      </c>
      <c r="H5454" s="2" t="s">
        <v>459</v>
      </c>
      <c r="I5454" s="2" t="n">
        <f aca="false">IF(F5454="Present",9,IF(F5454="Half Day",4,0))</f>
        <v>9</v>
      </c>
      <c r="J5454" s="2"/>
      <c r="K5454" s="2"/>
    </row>
    <row r="5455" customFormat="false" ht="15" hidden="false" customHeight="false" outlineLevel="0" collapsed="false">
      <c r="A5455" s="2" t="s">
        <v>399</v>
      </c>
      <c r="B5455" s="2" t="s">
        <v>400</v>
      </c>
      <c r="C5455" s="2" t="s">
        <v>41</v>
      </c>
      <c r="D5455" s="3" t="n">
        <v>46263</v>
      </c>
      <c r="E5455" s="2" t="str">
        <f aca="false">TEXT(D5455,"dddd")</f>
        <v>Saturday</v>
      </c>
      <c r="F5455" s="2" t="s">
        <v>457</v>
      </c>
      <c r="G5455" s="2" t="s">
        <v>458</v>
      </c>
      <c r="H5455" s="2" t="s">
        <v>459</v>
      </c>
      <c r="I5455" s="2" t="n">
        <f aca="false">IF(F5455="Present",9,IF(F5455="Half Day",4,0))</f>
        <v>9</v>
      </c>
      <c r="J5455" s="2"/>
      <c r="K5455" s="2"/>
    </row>
    <row r="5456" customFormat="false" ht="15" hidden="false" customHeight="false" outlineLevel="0" collapsed="false">
      <c r="A5456" s="2" t="s">
        <v>399</v>
      </c>
      <c r="B5456" s="2" t="s">
        <v>400</v>
      </c>
      <c r="C5456" s="2" t="s">
        <v>41</v>
      </c>
      <c r="D5456" s="3" t="n">
        <v>46264</v>
      </c>
      <c r="E5456" s="2" t="str">
        <f aca="false">TEXT(D5456,"dddd")</f>
        <v>Sunday</v>
      </c>
      <c r="F5456" s="2" t="s">
        <v>460</v>
      </c>
      <c r="G5456" s="2"/>
      <c r="H5456" s="2"/>
      <c r="I5456" s="2" t="n">
        <f aca="false">IF(F5456="Present",9,IF(F5456="Half Day",4,0))</f>
        <v>0</v>
      </c>
      <c r="J5456" s="2"/>
      <c r="K5456" s="2" t="s">
        <v>460</v>
      </c>
    </row>
    <row r="5457" customFormat="false" ht="15" hidden="false" customHeight="false" outlineLevel="0" collapsed="false">
      <c r="A5457" s="2" t="s">
        <v>399</v>
      </c>
      <c r="B5457" s="2" t="s">
        <v>400</v>
      </c>
      <c r="C5457" s="2" t="s">
        <v>41</v>
      </c>
      <c r="D5457" s="3" t="n">
        <v>46265</v>
      </c>
      <c r="E5457" s="2" t="str">
        <f aca="false">TEXT(D5457,"dddd")</f>
        <v>Monday</v>
      </c>
      <c r="F5457" s="2" t="s">
        <v>457</v>
      </c>
      <c r="G5457" s="2" t="s">
        <v>458</v>
      </c>
      <c r="H5457" s="2" t="s">
        <v>459</v>
      </c>
      <c r="I5457" s="2" t="n">
        <f aca="false">IF(F5457="Present",9,IF(F5457="Half Day",4,0))</f>
        <v>9</v>
      </c>
      <c r="J5457" s="2"/>
      <c r="K5457" s="2"/>
    </row>
    <row r="5458" customFormat="false" ht="15" hidden="false" customHeight="false" outlineLevel="0" collapsed="false">
      <c r="A5458" s="2" t="s">
        <v>401</v>
      </c>
      <c r="B5458" s="2" t="s">
        <v>402</v>
      </c>
      <c r="C5458" s="2" t="s">
        <v>45</v>
      </c>
      <c r="D5458" s="3" t="n">
        <v>46235</v>
      </c>
      <c r="E5458" s="2" t="str">
        <f aca="false">TEXT(D5458,"dddd")</f>
        <v>Saturday</v>
      </c>
      <c r="F5458" s="2" t="s">
        <v>457</v>
      </c>
      <c r="G5458" s="2" t="s">
        <v>458</v>
      </c>
      <c r="H5458" s="2" t="s">
        <v>459</v>
      </c>
      <c r="I5458" s="2" t="n">
        <f aca="false">IF(F5458="Present",9,IF(F5458="Half Day",4,0))</f>
        <v>9</v>
      </c>
      <c r="J5458" s="2"/>
      <c r="K5458" s="2"/>
    </row>
    <row r="5459" customFormat="false" ht="15" hidden="false" customHeight="false" outlineLevel="0" collapsed="false">
      <c r="A5459" s="2" t="s">
        <v>401</v>
      </c>
      <c r="B5459" s="2" t="s">
        <v>402</v>
      </c>
      <c r="C5459" s="2" t="s">
        <v>45</v>
      </c>
      <c r="D5459" s="3" t="n">
        <v>46236</v>
      </c>
      <c r="E5459" s="2" t="str">
        <f aca="false">TEXT(D5459,"dddd")</f>
        <v>Sunday</v>
      </c>
      <c r="F5459" s="2" t="s">
        <v>460</v>
      </c>
      <c r="G5459" s="2"/>
      <c r="H5459" s="2"/>
      <c r="I5459" s="2" t="n">
        <f aca="false">IF(F5459="Present",9,IF(F5459="Half Day",4,0))</f>
        <v>0</v>
      </c>
      <c r="J5459" s="2"/>
      <c r="K5459" s="2" t="s">
        <v>460</v>
      </c>
    </row>
    <row r="5460" customFormat="false" ht="15" hidden="false" customHeight="false" outlineLevel="0" collapsed="false">
      <c r="A5460" s="2" t="s">
        <v>401</v>
      </c>
      <c r="B5460" s="2" t="s">
        <v>402</v>
      </c>
      <c r="C5460" s="2" t="s">
        <v>45</v>
      </c>
      <c r="D5460" s="3" t="n">
        <v>46237</v>
      </c>
      <c r="E5460" s="2" t="str">
        <f aca="false">TEXT(D5460,"dddd")</f>
        <v>Monday</v>
      </c>
      <c r="F5460" s="2" t="s">
        <v>457</v>
      </c>
      <c r="G5460" s="2" t="s">
        <v>458</v>
      </c>
      <c r="H5460" s="2" t="s">
        <v>459</v>
      </c>
      <c r="I5460" s="2" t="n">
        <f aca="false">IF(F5460="Present",9,IF(F5460="Half Day",4,0))</f>
        <v>9</v>
      </c>
      <c r="J5460" s="2"/>
      <c r="K5460" s="2"/>
    </row>
    <row r="5461" customFormat="false" ht="15" hidden="false" customHeight="false" outlineLevel="0" collapsed="false">
      <c r="A5461" s="2" t="s">
        <v>401</v>
      </c>
      <c r="B5461" s="2" t="s">
        <v>402</v>
      </c>
      <c r="C5461" s="2" t="s">
        <v>45</v>
      </c>
      <c r="D5461" s="3" t="n">
        <v>46238</v>
      </c>
      <c r="E5461" s="2" t="str">
        <f aca="false">TEXT(D5461,"dddd")</f>
        <v>Tuesday</v>
      </c>
      <c r="F5461" s="2" t="s">
        <v>457</v>
      </c>
      <c r="G5461" s="2" t="s">
        <v>458</v>
      </c>
      <c r="H5461" s="2" t="s">
        <v>459</v>
      </c>
      <c r="I5461" s="2" t="n">
        <f aca="false">IF(F5461="Present",9,IF(F5461="Half Day",4,0))</f>
        <v>9</v>
      </c>
      <c r="J5461" s="2"/>
      <c r="K5461" s="2"/>
    </row>
    <row r="5462" customFormat="false" ht="15" hidden="false" customHeight="false" outlineLevel="0" collapsed="false">
      <c r="A5462" s="2" t="s">
        <v>401</v>
      </c>
      <c r="B5462" s="2" t="s">
        <v>402</v>
      </c>
      <c r="C5462" s="2" t="s">
        <v>45</v>
      </c>
      <c r="D5462" s="3" t="n">
        <v>46239</v>
      </c>
      <c r="E5462" s="2" t="str">
        <f aca="false">TEXT(D5462,"dddd")</f>
        <v>Wednesday</v>
      </c>
      <c r="F5462" s="2" t="s">
        <v>457</v>
      </c>
      <c r="G5462" s="2" t="s">
        <v>458</v>
      </c>
      <c r="H5462" s="2" t="s">
        <v>459</v>
      </c>
      <c r="I5462" s="2" t="n">
        <f aca="false">IF(F5462="Present",9,IF(F5462="Half Day",4,0))</f>
        <v>9</v>
      </c>
      <c r="J5462" s="2"/>
      <c r="K5462" s="2"/>
    </row>
    <row r="5463" customFormat="false" ht="15" hidden="false" customHeight="false" outlineLevel="0" collapsed="false">
      <c r="A5463" s="2" t="s">
        <v>401</v>
      </c>
      <c r="B5463" s="2" t="s">
        <v>402</v>
      </c>
      <c r="C5463" s="2" t="s">
        <v>45</v>
      </c>
      <c r="D5463" s="3" t="n">
        <v>46240</v>
      </c>
      <c r="E5463" s="2" t="str">
        <f aca="false">TEXT(D5463,"dddd")</f>
        <v>Thursday</v>
      </c>
      <c r="F5463" s="2" t="s">
        <v>457</v>
      </c>
      <c r="G5463" s="2" t="s">
        <v>458</v>
      </c>
      <c r="H5463" s="2" t="s">
        <v>459</v>
      </c>
      <c r="I5463" s="2" t="n">
        <f aca="false">IF(F5463="Present",9,IF(F5463="Half Day",4,0))</f>
        <v>9</v>
      </c>
      <c r="J5463" s="2"/>
      <c r="K5463" s="2"/>
    </row>
    <row r="5464" customFormat="false" ht="15" hidden="false" customHeight="false" outlineLevel="0" collapsed="false">
      <c r="A5464" s="2" t="s">
        <v>401</v>
      </c>
      <c r="B5464" s="2" t="s">
        <v>402</v>
      </c>
      <c r="C5464" s="2" t="s">
        <v>45</v>
      </c>
      <c r="D5464" s="3" t="n">
        <v>46241</v>
      </c>
      <c r="E5464" s="2" t="str">
        <f aca="false">TEXT(D5464,"dddd")</f>
        <v>Friday</v>
      </c>
      <c r="F5464" s="2" t="s">
        <v>457</v>
      </c>
      <c r="G5464" s="2" t="s">
        <v>458</v>
      </c>
      <c r="H5464" s="2" t="s">
        <v>459</v>
      </c>
      <c r="I5464" s="2" t="n">
        <f aca="false">IF(F5464="Present",9,IF(F5464="Half Day",4,0))</f>
        <v>9</v>
      </c>
      <c r="J5464" s="2"/>
      <c r="K5464" s="2"/>
    </row>
    <row r="5465" customFormat="false" ht="15" hidden="false" customHeight="false" outlineLevel="0" collapsed="false">
      <c r="A5465" s="2" t="s">
        <v>401</v>
      </c>
      <c r="B5465" s="2" t="s">
        <v>402</v>
      </c>
      <c r="C5465" s="2" t="s">
        <v>45</v>
      </c>
      <c r="D5465" s="3" t="n">
        <v>46242</v>
      </c>
      <c r="E5465" s="2" t="str">
        <f aca="false">TEXT(D5465,"dddd")</f>
        <v>Saturday</v>
      </c>
      <c r="F5465" s="2" t="s">
        <v>457</v>
      </c>
      <c r="G5465" s="2" t="s">
        <v>458</v>
      </c>
      <c r="H5465" s="2" t="s">
        <v>459</v>
      </c>
      <c r="I5465" s="2" t="n">
        <f aca="false">IF(F5465="Present",9,IF(F5465="Half Day",4,0))</f>
        <v>9</v>
      </c>
      <c r="J5465" s="2"/>
      <c r="K5465" s="2"/>
    </row>
    <row r="5466" customFormat="false" ht="15" hidden="false" customHeight="false" outlineLevel="0" collapsed="false">
      <c r="A5466" s="2" t="s">
        <v>401</v>
      </c>
      <c r="B5466" s="2" t="s">
        <v>402</v>
      </c>
      <c r="C5466" s="2" t="s">
        <v>45</v>
      </c>
      <c r="D5466" s="3" t="n">
        <v>46243</v>
      </c>
      <c r="E5466" s="2" t="str">
        <f aca="false">TEXT(D5466,"dddd")</f>
        <v>Sunday</v>
      </c>
      <c r="F5466" s="2" t="s">
        <v>460</v>
      </c>
      <c r="G5466" s="2"/>
      <c r="H5466" s="2"/>
      <c r="I5466" s="2" t="n">
        <f aca="false">IF(F5466="Present",9,IF(F5466="Half Day",4,0))</f>
        <v>0</v>
      </c>
      <c r="J5466" s="2"/>
      <c r="K5466" s="2" t="s">
        <v>460</v>
      </c>
    </row>
    <row r="5467" customFormat="false" ht="15" hidden="false" customHeight="false" outlineLevel="0" collapsed="false">
      <c r="A5467" s="2" t="s">
        <v>401</v>
      </c>
      <c r="B5467" s="2" t="s">
        <v>402</v>
      </c>
      <c r="C5467" s="2" t="s">
        <v>45</v>
      </c>
      <c r="D5467" s="3" t="n">
        <v>46244</v>
      </c>
      <c r="E5467" s="2" t="str">
        <f aca="false">TEXT(D5467,"dddd")</f>
        <v>Monday</v>
      </c>
      <c r="F5467" s="2" t="s">
        <v>457</v>
      </c>
      <c r="G5467" s="2" t="s">
        <v>458</v>
      </c>
      <c r="H5467" s="2" t="s">
        <v>459</v>
      </c>
      <c r="I5467" s="2" t="n">
        <f aca="false">IF(F5467="Present",9,IF(F5467="Half Day",4,0))</f>
        <v>9</v>
      </c>
      <c r="J5467" s="2"/>
      <c r="K5467" s="2"/>
    </row>
    <row r="5468" customFormat="false" ht="15" hidden="false" customHeight="false" outlineLevel="0" collapsed="false">
      <c r="A5468" s="2" t="s">
        <v>401</v>
      </c>
      <c r="B5468" s="2" t="s">
        <v>402</v>
      </c>
      <c r="C5468" s="2" t="s">
        <v>45</v>
      </c>
      <c r="D5468" s="3" t="n">
        <v>46245</v>
      </c>
      <c r="E5468" s="2" t="str">
        <f aca="false">TEXT(D5468,"dddd")</f>
        <v>Tuesday</v>
      </c>
      <c r="F5468" s="2" t="s">
        <v>457</v>
      </c>
      <c r="G5468" s="2" t="s">
        <v>458</v>
      </c>
      <c r="H5468" s="2" t="s">
        <v>459</v>
      </c>
      <c r="I5468" s="2" t="n">
        <f aca="false">IF(F5468="Present",9,IF(F5468="Half Day",4,0))</f>
        <v>9</v>
      </c>
      <c r="J5468" s="2"/>
      <c r="K5468" s="2"/>
    </row>
    <row r="5469" customFormat="false" ht="15" hidden="false" customHeight="false" outlineLevel="0" collapsed="false">
      <c r="A5469" s="2" t="s">
        <v>401</v>
      </c>
      <c r="B5469" s="2" t="s">
        <v>402</v>
      </c>
      <c r="C5469" s="2" t="s">
        <v>45</v>
      </c>
      <c r="D5469" s="3" t="n">
        <v>46246</v>
      </c>
      <c r="E5469" s="2" t="str">
        <f aca="false">TEXT(D5469,"dddd")</f>
        <v>Wednesday</v>
      </c>
      <c r="F5469" s="2" t="s">
        <v>457</v>
      </c>
      <c r="G5469" s="2" t="s">
        <v>458</v>
      </c>
      <c r="H5469" s="2" t="s">
        <v>459</v>
      </c>
      <c r="I5469" s="2" t="n">
        <f aca="false">IF(F5469="Present",9,IF(F5469="Half Day",4,0))</f>
        <v>9</v>
      </c>
      <c r="J5469" s="2"/>
      <c r="K5469" s="2"/>
    </row>
    <row r="5470" customFormat="false" ht="15" hidden="false" customHeight="false" outlineLevel="0" collapsed="false">
      <c r="A5470" s="2" t="s">
        <v>401</v>
      </c>
      <c r="B5470" s="2" t="s">
        <v>402</v>
      </c>
      <c r="C5470" s="2" t="s">
        <v>45</v>
      </c>
      <c r="D5470" s="3" t="n">
        <v>46247</v>
      </c>
      <c r="E5470" s="2" t="str">
        <f aca="false">TEXT(D5470,"dddd")</f>
        <v>Thursday</v>
      </c>
      <c r="F5470" s="2" t="s">
        <v>457</v>
      </c>
      <c r="G5470" s="2" t="s">
        <v>458</v>
      </c>
      <c r="H5470" s="2" t="s">
        <v>459</v>
      </c>
      <c r="I5470" s="2" t="n">
        <f aca="false">IF(F5470="Present",9,IF(F5470="Half Day",4,0))</f>
        <v>9</v>
      </c>
      <c r="J5470" s="2"/>
      <c r="K5470" s="2"/>
    </row>
    <row r="5471" customFormat="false" ht="15" hidden="false" customHeight="false" outlineLevel="0" collapsed="false">
      <c r="A5471" s="2" t="s">
        <v>401</v>
      </c>
      <c r="B5471" s="2" t="s">
        <v>402</v>
      </c>
      <c r="C5471" s="2" t="s">
        <v>45</v>
      </c>
      <c r="D5471" s="3" t="n">
        <v>46248</v>
      </c>
      <c r="E5471" s="2" t="str">
        <f aca="false">TEXT(D5471,"dddd")</f>
        <v>Friday</v>
      </c>
      <c r="F5471" s="2" t="s">
        <v>457</v>
      </c>
      <c r="G5471" s="2" t="s">
        <v>458</v>
      </c>
      <c r="H5471" s="2" t="s">
        <v>459</v>
      </c>
      <c r="I5471" s="2" t="n">
        <f aca="false">IF(F5471="Present",9,IF(F5471="Half Day",4,0))</f>
        <v>9</v>
      </c>
      <c r="J5471" s="2"/>
      <c r="K5471" s="2"/>
    </row>
    <row r="5472" customFormat="false" ht="15" hidden="false" customHeight="false" outlineLevel="0" collapsed="false">
      <c r="A5472" s="2" t="s">
        <v>401</v>
      </c>
      <c r="B5472" s="2" t="s">
        <v>402</v>
      </c>
      <c r="C5472" s="2" t="s">
        <v>45</v>
      </c>
      <c r="D5472" s="3" t="n">
        <v>46249</v>
      </c>
      <c r="E5472" s="2" t="str">
        <f aca="false">TEXT(D5472,"dddd")</f>
        <v>Saturday</v>
      </c>
      <c r="F5472" s="2" t="s">
        <v>457</v>
      </c>
      <c r="G5472" s="2" t="s">
        <v>458</v>
      </c>
      <c r="H5472" s="2" t="s">
        <v>459</v>
      </c>
      <c r="I5472" s="2" t="n">
        <f aca="false">IF(F5472="Present",9,IF(F5472="Half Day",4,0))</f>
        <v>9</v>
      </c>
      <c r="J5472" s="2"/>
      <c r="K5472" s="2"/>
    </row>
    <row r="5473" customFormat="false" ht="15" hidden="false" customHeight="false" outlineLevel="0" collapsed="false">
      <c r="A5473" s="2" t="s">
        <v>401</v>
      </c>
      <c r="B5473" s="2" t="s">
        <v>402</v>
      </c>
      <c r="C5473" s="2" t="s">
        <v>45</v>
      </c>
      <c r="D5473" s="3" t="n">
        <v>46250</v>
      </c>
      <c r="E5473" s="2" t="str">
        <f aca="false">TEXT(D5473,"dddd")</f>
        <v>Sunday</v>
      </c>
      <c r="F5473" s="2" t="s">
        <v>460</v>
      </c>
      <c r="G5473" s="2"/>
      <c r="H5473" s="2"/>
      <c r="I5473" s="2" t="n">
        <f aca="false">IF(F5473="Present",9,IF(F5473="Half Day",4,0))</f>
        <v>0</v>
      </c>
      <c r="J5473" s="2"/>
      <c r="K5473" s="2" t="s">
        <v>460</v>
      </c>
    </row>
    <row r="5474" customFormat="false" ht="15" hidden="false" customHeight="false" outlineLevel="0" collapsed="false">
      <c r="A5474" s="2" t="s">
        <v>401</v>
      </c>
      <c r="B5474" s="2" t="s">
        <v>402</v>
      </c>
      <c r="C5474" s="2" t="s">
        <v>45</v>
      </c>
      <c r="D5474" s="3" t="n">
        <v>46251</v>
      </c>
      <c r="E5474" s="2" t="str">
        <f aca="false">TEXT(D5474,"dddd")</f>
        <v>Monday</v>
      </c>
      <c r="F5474" s="2" t="s">
        <v>457</v>
      </c>
      <c r="G5474" s="2" t="s">
        <v>458</v>
      </c>
      <c r="H5474" s="2" t="s">
        <v>459</v>
      </c>
      <c r="I5474" s="2" t="n">
        <f aca="false">IF(F5474="Present",9,IF(F5474="Half Day",4,0))</f>
        <v>9</v>
      </c>
      <c r="J5474" s="2"/>
      <c r="K5474" s="2"/>
    </row>
    <row r="5475" customFormat="false" ht="15" hidden="false" customHeight="false" outlineLevel="0" collapsed="false">
      <c r="A5475" s="2" t="s">
        <v>401</v>
      </c>
      <c r="B5475" s="2" t="s">
        <v>402</v>
      </c>
      <c r="C5475" s="2" t="s">
        <v>45</v>
      </c>
      <c r="D5475" s="3" t="n">
        <v>46252</v>
      </c>
      <c r="E5475" s="2" t="str">
        <f aca="false">TEXT(D5475,"dddd")</f>
        <v>Tuesday</v>
      </c>
      <c r="F5475" s="2" t="s">
        <v>457</v>
      </c>
      <c r="G5475" s="2" t="s">
        <v>458</v>
      </c>
      <c r="H5475" s="2" t="s">
        <v>459</v>
      </c>
      <c r="I5475" s="2" t="n">
        <f aca="false">IF(F5475="Present",9,IF(F5475="Half Day",4,0))</f>
        <v>9</v>
      </c>
      <c r="J5475" s="2"/>
      <c r="K5475" s="2"/>
    </row>
    <row r="5476" customFormat="false" ht="15" hidden="false" customHeight="false" outlineLevel="0" collapsed="false">
      <c r="A5476" s="2" t="s">
        <v>401</v>
      </c>
      <c r="B5476" s="2" t="s">
        <v>402</v>
      </c>
      <c r="C5476" s="2" t="s">
        <v>45</v>
      </c>
      <c r="D5476" s="3" t="n">
        <v>46253</v>
      </c>
      <c r="E5476" s="2" t="str">
        <f aca="false">TEXT(D5476,"dddd")</f>
        <v>Wednesday</v>
      </c>
      <c r="F5476" s="2" t="s">
        <v>457</v>
      </c>
      <c r="G5476" s="2" t="s">
        <v>458</v>
      </c>
      <c r="H5476" s="2" t="s">
        <v>459</v>
      </c>
      <c r="I5476" s="2" t="n">
        <f aca="false">IF(F5476="Present",9,IF(F5476="Half Day",4,0))</f>
        <v>9</v>
      </c>
      <c r="J5476" s="2"/>
      <c r="K5476" s="2"/>
    </row>
    <row r="5477" customFormat="false" ht="15" hidden="false" customHeight="false" outlineLevel="0" collapsed="false">
      <c r="A5477" s="2" t="s">
        <v>401</v>
      </c>
      <c r="B5477" s="2" t="s">
        <v>402</v>
      </c>
      <c r="C5477" s="2" t="s">
        <v>45</v>
      </c>
      <c r="D5477" s="3" t="n">
        <v>46254</v>
      </c>
      <c r="E5477" s="2" t="str">
        <f aca="false">TEXT(D5477,"dddd")</f>
        <v>Thursday</v>
      </c>
      <c r="F5477" s="2" t="s">
        <v>457</v>
      </c>
      <c r="G5477" s="2" t="s">
        <v>458</v>
      </c>
      <c r="H5477" s="2" t="s">
        <v>459</v>
      </c>
      <c r="I5477" s="2" t="n">
        <f aca="false">IF(F5477="Present",9,IF(F5477="Half Day",4,0))</f>
        <v>9</v>
      </c>
      <c r="J5477" s="2"/>
      <c r="K5477" s="2"/>
    </row>
    <row r="5478" customFormat="false" ht="15" hidden="false" customHeight="false" outlineLevel="0" collapsed="false">
      <c r="A5478" s="2" t="s">
        <v>401</v>
      </c>
      <c r="B5478" s="2" t="s">
        <v>402</v>
      </c>
      <c r="C5478" s="2" t="s">
        <v>45</v>
      </c>
      <c r="D5478" s="3" t="n">
        <v>46255</v>
      </c>
      <c r="E5478" s="2" t="str">
        <f aca="false">TEXT(D5478,"dddd")</f>
        <v>Friday</v>
      </c>
      <c r="F5478" s="2" t="s">
        <v>463</v>
      </c>
      <c r="G5478" s="2"/>
      <c r="H5478" s="2"/>
      <c r="I5478" s="2" t="n">
        <f aca="false">IF(F5478="Present",9,IF(F5478="Half Day",4,0))</f>
        <v>0</v>
      </c>
      <c r="J5478" s="2" t="s">
        <v>474</v>
      </c>
      <c r="K5478" s="2" t="s">
        <v>475</v>
      </c>
    </row>
    <row r="5479" customFormat="false" ht="15" hidden="false" customHeight="false" outlineLevel="0" collapsed="false">
      <c r="A5479" s="2" t="s">
        <v>401</v>
      </c>
      <c r="B5479" s="2" t="s">
        <v>402</v>
      </c>
      <c r="C5479" s="2" t="s">
        <v>45</v>
      </c>
      <c r="D5479" s="3" t="n">
        <v>46256</v>
      </c>
      <c r="E5479" s="2" t="str">
        <f aca="false">TEXT(D5479,"dddd")</f>
        <v>Saturday</v>
      </c>
      <c r="F5479" s="2" t="s">
        <v>457</v>
      </c>
      <c r="G5479" s="2" t="s">
        <v>458</v>
      </c>
      <c r="H5479" s="2" t="s">
        <v>459</v>
      </c>
      <c r="I5479" s="2" t="n">
        <f aca="false">IF(F5479="Present",9,IF(F5479="Half Day",4,0))</f>
        <v>9</v>
      </c>
      <c r="J5479" s="2"/>
      <c r="K5479" s="2"/>
    </row>
    <row r="5480" customFormat="false" ht="15" hidden="false" customHeight="false" outlineLevel="0" collapsed="false">
      <c r="A5480" s="2" t="s">
        <v>401</v>
      </c>
      <c r="B5480" s="2" t="s">
        <v>402</v>
      </c>
      <c r="C5480" s="2" t="s">
        <v>45</v>
      </c>
      <c r="D5480" s="3" t="n">
        <v>46257</v>
      </c>
      <c r="E5480" s="2" t="str">
        <f aca="false">TEXT(D5480,"dddd")</f>
        <v>Sunday</v>
      </c>
      <c r="F5480" s="2" t="s">
        <v>460</v>
      </c>
      <c r="G5480" s="2"/>
      <c r="H5480" s="2"/>
      <c r="I5480" s="2" t="n">
        <f aca="false">IF(F5480="Present",9,IF(F5480="Half Day",4,0))</f>
        <v>0</v>
      </c>
      <c r="J5480" s="2"/>
      <c r="K5480" s="2" t="s">
        <v>460</v>
      </c>
    </row>
    <row r="5481" customFormat="false" ht="15" hidden="false" customHeight="false" outlineLevel="0" collapsed="false">
      <c r="A5481" s="2" t="s">
        <v>401</v>
      </c>
      <c r="B5481" s="2" t="s">
        <v>402</v>
      </c>
      <c r="C5481" s="2" t="s">
        <v>45</v>
      </c>
      <c r="D5481" s="3" t="n">
        <v>46258</v>
      </c>
      <c r="E5481" s="2" t="str">
        <f aca="false">TEXT(D5481,"dddd")</f>
        <v>Monday</v>
      </c>
      <c r="F5481" s="2" t="s">
        <v>457</v>
      </c>
      <c r="G5481" s="2" t="s">
        <v>458</v>
      </c>
      <c r="H5481" s="2" t="s">
        <v>459</v>
      </c>
      <c r="I5481" s="2" t="n">
        <f aca="false">IF(F5481="Present",9,IF(F5481="Half Day",4,0))</f>
        <v>9</v>
      </c>
      <c r="J5481" s="2"/>
      <c r="K5481" s="2"/>
    </row>
    <row r="5482" customFormat="false" ht="15" hidden="false" customHeight="false" outlineLevel="0" collapsed="false">
      <c r="A5482" s="2" t="s">
        <v>401</v>
      </c>
      <c r="B5482" s="2" t="s">
        <v>402</v>
      </c>
      <c r="C5482" s="2" t="s">
        <v>45</v>
      </c>
      <c r="D5482" s="3" t="n">
        <v>46259</v>
      </c>
      <c r="E5482" s="2" t="str">
        <f aca="false">TEXT(D5482,"dddd")</f>
        <v>Tuesday</v>
      </c>
      <c r="F5482" s="2" t="s">
        <v>457</v>
      </c>
      <c r="G5482" s="2" t="s">
        <v>458</v>
      </c>
      <c r="H5482" s="2" t="s">
        <v>459</v>
      </c>
      <c r="I5482" s="2" t="n">
        <f aca="false">IF(F5482="Present",9,IF(F5482="Half Day",4,0))</f>
        <v>9</v>
      </c>
      <c r="J5482" s="2"/>
      <c r="K5482" s="2"/>
    </row>
    <row r="5483" customFormat="false" ht="15" hidden="false" customHeight="false" outlineLevel="0" collapsed="false">
      <c r="A5483" s="2" t="s">
        <v>401</v>
      </c>
      <c r="B5483" s="2" t="s">
        <v>402</v>
      </c>
      <c r="C5483" s="2" t="s">
        <v>45</v>
      </c>
      <c r="D5483" s="3" t="n">
        <v>46260</v>
      </c>
      <c r="E5483" s="2" t="str">
        <f aca="false">TEXT(D5483,"dddd")</f>
        <v>Wednesday</v>
      </c>
      <c r="F5483" s="2" t="s">
        <v>461</v>
      </c>
      <c r="G5483" s="2"/>
      <c r="H5483" s="2"/>
      <c r="I5483" s="2" t="n">
        <f aca="false">IF(F5483="Present",9,IF(F5483="Half Day",4,0))</f>
        <v>0</v>
      </c>
      <c r="J5483" s="2"/>
      <c r="K5483" s="2" t="s">
        <v>462</v>
      </c>
    </row>
    <row r="5484" customFormat="false" ht="15" hidden="false" customHeight="false" outlineLevel="0" collapsed="false">
      <c r="A5484" s="2" t="s">
        <v>401</v>
      </c>
      <c r="B5484" s="2" t="s">
        <v>402</v>
      </c>
      <c r="C5484" s="2" t="s">
        <v>45</v>
      </c>
      <c r="D5484" s="3" t="n">
        <v>46261</v>
      </c>
      <c r="E5484" s="2" t="str">
        <f aca="false">TEXT(D5484,"dddd")</f>
        <v>Thursday</v>
      </c>
      <c r="F5484" s="2" t="s">
        <v>457</v>
      </c>
      <c r="G5484" s="2" t="s">
        <v>458</v>
      </c>
      <c r="H5484" s="2" t="s">
        <v>459</v>
      </c>
      <c r="I5484" s="2" t="n">
        <f aca="false">IF(F5484="Present",9,IF(F5484="Half Day",4,0))</f>
        <v>9</v>
      </c>
      <c r="J5484" s="2"/>
      <c r="K5484" s="2"/>
    </row>
    <row r="5485" customFormat="false" ht="15" hidden="false" customHeight="false" outlineLevel="0" collapsed="false">
      <c r="A5485" s="2" t="s">
        <v>401</v>
      </c>
      <c r="B5485" s="2" t="s">
        <v>402</v>
      </c>
      <c r="C5485" s="2" t="s">
        <v>45</v>
      </c>
      <c r="D5485" s="3" t="n">
        <v>46262</v>
      </c>
      <c r="E5485" s="2" t="str">
        <f aca="false">TEXT(D5485,"dddd")</f>
        <v>Friday</v>
      </c>
      <c r="F5485" s="2" t="s">
        <v>457</v>
      </c>
      <c r="G5485" s="2" t="s">
        <v>458</v>
      </c>
      <c r="H5485" s="2" t="s">
        <v>459</v>
      </c>
      <c r="I5485" s="2" t="n">
        <f aca="false">IF(F5485="Present",9,IF(F5485="Half Day",4,0))</f>
        <v>9</v>
      </c>
      <c r="J5485" s="2"/>
      <c r="K5485" s="2"/>
    </row>
    <row r="5486" customFormat="false" ht="15" hidden="false" customHeight="false" outlineLevel="0" collapsed="false">
      <c r="A5486" s="2" t="s">
        <v>401</v>
      </c>
      <c r="B5486" s="2" t="s">
        <v>402</v>
      </c>
      <c r="C5486" s="2" t="s">
        <v>45</v>
      </c>
      <c r="D5486" s="3" t="n">
        <v>46263</v>
      </c>
      <c r="E5486" s="2" t="str">
        <f aca="false">TEXT(D5486,"dddd")</f>
        <v>Saturday</v>
      </c>
      <c r="F5486" s="2" t="s">
        <v>457</v>
      </c>
      <c r="G5486" s="2" t="s">
        <v>458</v>
      </c>
      <c r="H5486" s="2" t="s">
        <v>459</v>
      </c>
      <c r="I5486" s="2" t="n">
        <f aca="false">IF(F5486="Present",9,IF(F5486="Half Day",4,0))</f>
        <v>9</v>
      </c>
      <c r="J5486" s="2"/>
      <c r="K5486" s="2"/>
    </row>
    <row r="5487" customFormat="false" ht="15" hidden="false" customHeight="false" outlineLevel="0" collapsed="false">
      <c r="A5487" s="2" t="s">
        <v>401</v>
      </c>
      <c r="B5487" s="2" t="s">
        <v>402</v>
      </c>
      <c r="C5487" s="2" t="s">
        <v>45</v>
      </c>
      <c r="D5487" s="3" t="n">
        <v>46264</v>
      </c>
      <c r="E5487" s="2" t="str">
        <f aca="false">TEXT(D5487,"dddd")</f>
        <v>Sunday</v>
      </c>
      <c r="F5487" s="2" t="s">
        <v>460</v>
      </c>
      <c r="G5487" s="2"/>
      <c r="H5487" s="2"/>
      <c r="I5487" s="2" t="n">
        <f aca="false">IF(F5487="Present",9,IF(F5487="Half Day",4,0))</f>
        <v>0</v>
      </c>
      <c r="J5487" s="2"/>
      <c r="K5487" s="2" t="s">
        <v>460</v>
      </c>
    </row>
    <row r="5488" customFormat="false" ht="15" hidden="false" customHeight="false" outlineLevel="0" collapsed="false">
      <c r="A5488" s="2" t="s">
        <v>401</v>
      </c>
      <c r="B5488" s="2" t="s">
        <v>402</v>
      </c>
      <c r="C5488" s="2" t="s">
        <v>45</v>
      </c>
      <c r="D5488" s="3" t="n">
        <v>46265</v>
      </c>
      <c r="E5488" s="2" t="str">
        <f aca="false">TEXT(D5488,"dddd")</f>
        <v>Monday</v>
      </c>
      <c r="F5488" s="2" t="s">
        <v>466</v>
      </c>
      <c r="G5488" s="2" t="s">
        <v>458</v>
      </c>
      <c r="H5488" s="2" t="s">
        <v>467</v>
      </c>
      <c r="I5488" s="2" t="n">
        <f aca="false">IF(F5488="Present",9,IF(F5488="Half Day",4,0))</f>
        <v>4</v>
      </c>
      <c r="J5488" s="2"/>
      <c r="K5488" s="2" t="s">
        <v>466</v>
      </c>
    </row>
    <row r="5489" customFormat="false" ht="15" hidden="false" customHeight="false" outlineLevel="0" collapsed="false">
      <c r="A5489" s="2" t="s">
        <v>403</v>
      </c>
      <c r="B5489" s="2" t="s">
        <v>404</v>
      </c>
      <c r="C5489" s="2" t="s">
        <v>49</v>
      </c>
      <c r="D5489" s="3" t="n">
        <v>46235</v>
      </c>
      <c r="E5489" s="2" t="str">
        <f aca="false">TEXT(D5489,"dddd")</f>
        <v>Saturday</v>
      </c>
      <c r="F5489" s="2" t="s">
        <v>463</v>
      </c>
      <c r="G5489" s="2"/>
      <c r="H5489" s="2"/>
      <c r="I5489" s="2" t="n">
        <f aca="false">IF(F5489="Present",9,IF(F5489="Half Day",4,0))</f>
        <v>0</v>
      </c>
      <c r="J5489" s="2" t="s">
        <v>464</v>
      </c>
      <c r="K5489" s="2" t="s">
        <v>465</v>
      </c>
    </row>
    <row r="5490" customFormat="false" ht="15" hidden="false" customHeight="false" outlineLevel="0" collapsed="false">
      <c r="A5490" s="2" t="s">
        <v>403</v>
      </c>
      <c r="B5490" s="2" t="s">
        <v>404</v>
      </c>
      <c r="C5490" s="2" t="s">
        <v>49</v>
      </c>
      <c r="D5490" s="3" t="n">
        <v>46236</v>
      </c>
      <c r="E5490" s="2" t="str">
        <f aca="false">TEXT(D5490,"dddd")</f>
        <v>Sunday</v>
      </c>
      <c r="F5490" s="2" t="s">
        <v>460</v>
      </c>
      <c r="G5490" s="2"/>
      <c r="H5490" s="2"/>
      <c r="I5490" s="2" t="n">
        <f aca="false">IF(F5490="Present",9,IF(F5490="Half Day",4,0))</f>
        <v>0</v>
      </c>
      <c r="J5490" s="2"/>
      <c r="K5490" s="2" t="s">
        <v>460</v>
      </c>
    </row>
    <row r="5491" customFormat="false" ht="15" hidden="false" customHeight="false" outlineLevel="0" collapsed="false">
      <c r="A5491" s="2" t="s">
        <v>403</v>
      </c>
      <c r="B5491" s="2" t="s">
        <v>404</v>
      </c>
      <c r="C5491" s="2" t="s">
        <v>49</v>
      </c>
      <c r="D5491" s="3" t="n">
        <v>46237</v>
      </c>
      <c r="E5491" s="2" t="str">
        <f aca="false">TEXT(D5491,"dddd")</f>
        <v>Monday</v>
      </c>
      <c r="F5491" s="2" t="s">
        <v>457</v>
      </c>
      <c r="G5491" s="2" t="s">
        <v>458</v>
      </c>
      <c r="H5491" s="2" t="s">
        <v>459</v>
      </c>
      <c r="I5491" s="2" t="n">
        <f aca="false">IF(F5491="Present",9,IF(F5491="Half Day",4,0))</f>
        <v>9</v>
      </c>
      <c r="J5491" s="2"/>
      <c r="K5491" s="2"/>
    </row>
    <row r="5492" customFormat="false" ht="15" hidden="false" customHeight="false" outlineLevel="0" collapsed="false">
      <c r="A5492" s="2" t="s">
        <v>403</v>
      </c>
      <c r="B5492" s="2" t="s">
        <v>404</v>
      </c>
      <c r="C5492" s="2" t="s">
        <v>49</v>
      </c>
      <c r="D5492" s="3" t="n">
        <v>46238</v>
      </c>
      <c r="E5492" s="2" t="str">
        <f aca="false">TEXT(D5492,"dddd")</f>
        <v>Tuesday</v>
      </c>
      <c r="F5492" s="2" t="s">
        <v>457</v>
      </c>
      <c r="G5492" s="2" t="s">
        <v>458</v>
      </c>
      <c r="H5492" s="2" t="s">
        <v>459</v>
      </c>
      <c r="I5492" s="2" t="n">
        <f aca="false">IF(F5492="Present",9,IF(F5492="Half Day",4,0))</f>
        <v>9</v>
      </c>
      <c r="J5492" s="2"/>
      <c r="K5492" s="2"/>
    </row>
    <row r="5493" customFormat="false" ht="15" hidden="false" customHeight="false" outlineLevel="0" collapsed="false">
      <c r="A5493" s="2" t="s">
        <v>403</v>
      </c>
      <c r="B5493" s="2" t="s">
        <v>404</v>
      </c>
      <c r="C5493" s="2" t="s">
        <v>49</v>
      </c>
      <c r="D5493" s="3" t="n">
        <v>46239</v>
      </c>
      <c r="E5493" s="2" t="str">
        <f aca="false">TEXT(D5493,"dddd")</f>
        <v>Wednesday</v>
      </c>
      <c r="F5493" s="2" t="s">
        <v>457</v>
      </c>
      <c r="G5493" s="2" t="s">
        <v>458</v>
      </c>
      <c r="H5493" s="2" t="s">
        <v>459</v>
      </c>
      <c r="I5493" s="2" t="n">
        <f aca="false">IF(F5493="Present",9,IF(F5493="Half Day",4,0))</f>
        <v>9</v>
      </c>
      <c r="J5493" s="2"/>
      <c r="K5493" s="2"/>
    </row>
    <row r="5494" customFormat="false" ht="15" hidden="false" customHeight="false" outlineLevel="0" collapsed="false">
      <c r="A5494" s="2" t="s">
        <v>403</v>
      </c>
      <c r="B5494" s="2" t="s">
        <v>404</v>
      </c>
      <c r="C5494" s="2" t="s">
        <v>49</v>
      </c>
      <c r="D5494" s="3" t="n">
        <v>46240</v>
      </c>
      <c r="E5494" s="2" t="str">
        <f aca="false">TEXT(D5494,"dddd")</f>
        <v>Thursday</v>
      </c>
      <c r="F5494" s="2" t="s">
        <v>461</v>
      </c>
      <c r="G5494" s="2"/>
      <c r="H5494" s="2"/>
      <c r="I5494" s="2" t="n">
        <f aca="false">IF(F5494="Present",9,IF(F5494="Half Day",4,0))</f>
        <v>0</v>
      </c>
      <c r="J5494" s="2"/>
      <c r="K5494" s="2" t="s">
        <v>462</v>
      </c>
    </row>
    <row r="5495" customFormat="false" ht="15" hidden="false" customHeight="false" outlineLevel="0" collapsed="false">
      <c r="A5495" s="2" t="s">
        <v>403</v>
      </c>
      <c r="B5495" s="2" t="s">
        <v>404</v>
      </c>
      <c r="C5495" s="2" t="s">
        <v>49</v>
      </c>
      <c r="D5495" s="3" t="n">
        <v>46241</v>
      </c>
      <c r="E5495" s="2" t="str">
        <f aca="false">TEXT(D5495,"dddd")</f>
        <v>Friday</v>
      </c>
      <c r="F5495" s="2" t="s">
        <v>457</v>
      </c>
      <c r="G5495" s="2" t="s">
        <v>458</v>
      </c>
      <c r="H5495" s="2" t="s">
        <v>459</v>
      </c>
      <c r="I5495" s="2" t="n">
        <f aca="false">IF(F5495="Present",9,IF(F5495="Half Day",4,0))</f>
        <v>9</v>
      </c>
      <c r="J5495" s="2"/>
      <c r="K5495" s="2"/>
    </row>
    <row r="5496" customFormat="false" ht="15" hidden="false" customHeight="false" outlineLevel="0" collapsed="false">
      <c r="A5496" s="2" t="s">
        <v>403</v>
      </c>
      <c r="B5496" s="2" t="s">
        <v>404</v>
      </c>
      <c r="C5496" s="2" t="s">
        <v>49</v>
      </c>
      <c r="D5496" s="3" t="n">
        <v>46242</v>
      </c>
      <c r="E5496" s="2" t="str">
        <f aca="false">TEXT(D5496,"dddd")</f>
        <v>Saturday</v>
      </c>
      <c r="F5496" s="2" t="s">
        <v>457</v>
      </c>
      <c r="G5496" s="2" t="s">
        <v>458</v>
      </c>
      <c r="H5496" s="2" t="s">
        <v>459</v>
      </c>
      <c r="I5496" s="2" t="n">
        <f aca="false">IF(F5496="Present",9,IF(F5496="Half Day",4,0))</f>
        <v>9</v>
      </c>
      <c r="J5496" s="2"/>
      <c r="K5496" s="2"/>
    </row>
    <row r="5497" customFormat="false" ht="15" hidden="false" customHeight="false" outlineLevel="0" collapsed="false">
      <c r="A5497" s="2" t="s">
        <v>403</v>
      </c>
      <c r="B5497" s="2" t="s">
        <v>404</v>
      </c>
      <c r="C5497" s="2" t="s">
        <v>49</v>
      </c>
      <c r="D5497" s="3" t="n">
        <v>46243</v>
      </c>
      <c r="E5497" s="2" t="str">
        <f aca="false">TEXT(D5497,"dddd")</f>
        <v>Sunday</v>
      </c>
      <c r="F5497" s="2" t="s">
        <v>460</v>
      </c>
      <c r="G5497" s="2"/>
      <c r="H5497" s="2"/>
      <c r="I5497" s="2" t="n">
        <f aca="false">IF(F5497="Present",9,IF(F5497="Half Day",4,0))</f>
        <v>0</v>
      </c>
      <c r="J5497" s="2"/>
      <c r="K5497" s="2" t="s">
        <v>460</v>
      </c>
    </row>
    <row r="5498" customFormat="false" ht="15" hidden="false" customHeight="false" outlineLevel="0" collapsed="false">
      <c r="A5498" s="2" t="s">
        <v>403</v>
      </c>
      <c r="B5498" s="2" t="s">
        <v>404</v>
      </c>
      <c r="C5498" s="2" t="s">
        <v>49</v>
      </c>
      <c r="D5498" s="3" t="n">
        <v>46244</v>
      </c>
      <c r="E5498" s="2" t="str">
        <f aca="false">TEXT(D5498,"dddd")</f>
        <v>Monday</v>
      </c>
      <c r="F5498" s="2" t="s">
        <v>457</v>
      </c>
      <c r="G5498" s="2" t="s">
        <v>458</v>
      </c>
      <c r="H5498" s="2" t="s">
        <v>459</v>
      </c>
      <c r="I5498" s="2" t="n">
        <f aca="false">IF(F5498="Present",9,IF(F5498="Half Day",4,0))</f>
        <v>9</v>
      </c>
      <c r="J5498" s="2"/>
      <c r="K5498" s="2"/>
    </row>
    <row r="5499" customFormat="false" ht="15" hidden="false" customHeight="false" outlineLevel="0" collapsed="false">
      <c r="A5499" s="2" t="s">
        <v>403</v>
      </c>
      <c r="B5499" s="2" t="s">
        <v>404</v>
      </c>
      <c r="C5499" s="2" t="s">
        <v>49</v>
      </c>
      <c r="D5499" s="3" t="n">
        <v>46245</v>
      </c>
      <c r="E5499" s="2" t="str">
        <f aca="false">TEXT(D5499,"dddd")</f>
        <v>Tuesday</v>
      </c>
      <c r="F5499" s="2" t="s">
        <v>457</v>
      </c>
      <c r="G5499" s="2" t="s">
        <v>458</v>
      </c>
      <c r="H5499" s="2" t="s">
        <v>459</v>
      </c>
      <c r="I5499" s="2" t="n">
        <f aca="false">IF(F5499="Present",9,IF(F5499="Half Day",4,0))</f>
        <v>9</v>
      </c>
      <c r="J5499" s="2"/>
      <c r="K5499" s="2"/>
    </row>
    <row r="5500" customFormat="false" ht="15" hidden="false" customHeight="false" outlineLevel="0" collapsed="false">
      <c r="A5500" s="2" t="s">
        <v>403</v>
      </c>
      <c r="B5500" s="2" t="s">
        <v>404</v>
      </c>
      <c r="C5500" s="2" t="s">
        <v>49</v>
      </c>
      <c r="D5500" s="3" t="n">
        <v>46246</v>
      </c>
      <c r="E5500" s="2" t="str">
        <f aca="false">TEXT(D5500,"dddd")</f>
        <v>Wednesday</v>
      </c>
      <c r="F5500" s="2" t="s">
        <v>457</v>
      </c>
      <c r="G5500" s="2" t="s">
        <v>458</v>
      </c>
      <c r="H5500" s="2" t="s">
        <v>459</v>
      </c>
      <c r="I5500" s="2" t="n">
        <f aca="false">IF(F5500="Present",9,IF(F5500="Half Day",4,0))</f>
        <v>9</v>
      </c>
      <c r="J5500" s="2"/>
      <c r="K5500" s="2"/>
    </row>
    <row r="5501" customFormat="false" ht="15" hidden="false" customHeight="false" outlineLevel="0" collapsed="false">
      <c r="A5501" s="2" t="s">
        <v>403</v>
      </c>
      <c r="B5501" s="2" t="s">
        <v>404</v>
      </c>
      <c r="C5501" s="2" t="s">
        <v>49</v>
      </c>
      <c r="D5501" s="3" t="n">
        <v>46247</v>
      </c>
      <c r="E5501" s="2" t="str">
        <f aca="false">TEXT(D5501,"dddd")</f>
        <v>Thursday</v>
      </c>
      <c r="F5501" s="2" t="s">
        <v>457</v>
      </c>
      <c r="G5501" s="2" t="s">
        <v>458</v>
      </c>
      <c r="H5501" s="2" t="s">
        <v>459</v>
      </c>
      <c r="I5501" s="2" t="n">
        <f aca="false">IF(F5501="Present",9,IF(F5501="Half Day",4,0))</f>
        <v>9</v>
      </c>
      <c r="J5501" s="2"/>
      <c r="K5501" s="2"/>
    </row>
    <row r="5502" customFormat="false" ht="15" hidden="false" customHeight="false" outlineLevel="0" collapsed="false">
      <c r="A5502" s="2" t="s">
        <v>403</v>
      </c>
      <c r="B5502" s="2" t="s">
        <v>404</v>
      </c>
      <c r="C5502" s="2" t="s">
        <v>49</v>
      </c>
      <c r="D5502" s="3" t="n">
        <v>46248</v>
      </c>
      <c r="E5502" s="2" t="str">
        <f aca="false">TEXT(D5502,"dddd")</f>
        <v>Friday</v>
      </c>
      <c r="F5502" s="2" t="s">
        <v>457</v>
      </c>
      <c r="G5502" s="2" t="s">
        <v>458</v>
      </c>
      <c r="H5502" s="2" t="s">
        <v>459</v>
      </c>
      <c r="I5502" s="2" t="n">
        <f aca="false">IF(F5502="Present",9,IF(F5502="Half Day",4,0))</f>
        <v>9</v>
      </c>
      <c r="J5502" s="2"/>
      <c r="K5502" s="2"/>
    </row>
    <row r="5503" customFormat="false" ht="15" hidden="false" customHeight="false" outlineLevel="0" collapsed="false">
      <c r="A5503" s="2" t="s">
        <v>403</v>
      </c>
      <c r="B5503" s="2" t="s">
        <v>404</v>
      </c>
      <c r="C5503" s="2" t="s">
        <v>49</v>
      </c>
      <c r="D5503" s="3" t="n">
        <v>46249</v>
      </c>
      <c r="E5503" s="2" t="str">
        <f aca="false">TEXT(D5503,"dddd")</f>
        <v>Saturday</v>
      </c>
      <c r="F5503" s="2" t="s">
        <v>457</v>
      </c>
      <c r="G5503" s="2" t="s">
        <v>458</v>
      </c>
      <c r="H5503" s="2" t="s">
        <v>459</v>
      </c>
      <c r="I5503" s="2" t="n">
        <f aca="false">IF(F5503="Present",9,IF(F5503="Half Day",4,0))</f>
        <v>9</v>
      </c>
      <c r="J5503" s="2"/>
      <c r="K5503" s="2"/>
    </row>
    <row r="5504" customFormat="false" ht="15" hidden="false" customHeight="false" outlineLevel="0" collapsed="false">
      <c r="A5504" s="2" t="s">
        <v>403</v>
      </c>
      <c r="B5504" s="2" t="s">
        <v>404</v>
      </c>
      <c r="C5504" s="2" t="s">
        <v>49</v>
      </c>
      <c r="D5504" s="3" t="n">
        <v>46250</v>
      </c>
      <c r="E5504" s="2" t="str">
        <f aca="false">TEXT(D5504,"dddd")</f>
        <v>Sunday</v>
      </c>
      <c r="F5504" s="2" t="s">
        <v>460</v>
      </c>
      <c r="G5504" s="2"/>
      <c r="H5504" s="2"/>
      <c r="I5504" s="2" t="n">
        <f aca="false">IF(F5504="Present",9,IF(F5504="Half Day",4,0))</f>
        <v>0</v>
      </c>
      <c r="J5504" s="2"/>
      <c r="K5504" s="2" t="s">
        <v>460</v>
      </c>
    </row>
    <row r="5505" customFormat="false" ht="15" hidden="false" customHeight="false" outlineLevel="0" collapsed="false">
      <c r="A5505" s="2" t="s">
        <v>403</v>
      </c>
      <c r="B5505" s="2" t="s">
        <v>404</v>
      </c>
      <c r="C5505" s="2" t="s">
        <v>49</v>
      </c>
      <c r="D5505" s="3" t="n">
        <v>46251</v>
      </c>
      <c r="E5505" s="2" t="str">
        <f aca="false">TEXT(D5505,"dddd")</f>
        <v>Monday</v>
      </c>
      <c r="F5505" s="2" t="s">
        <v>457</v>
      </c>
      <c r="G5505" s="2" t="s">
        <v>458</v>
      </c>
      <c r="H5505" s="2" t="s">
        <v>459</v>
      </c>
      <c r="I5505" s="2" t="n">
        <f aca="false">IF(F5505="Present",9,IF(F5505="Half Day",4,0))</f>
        <v>9</v>
      </c>
      <c r="J5505" s="2"/>
      <c r="K5505" s="2"/>
    </row>
    <row r="5506" customFormat="false" ht="15" hidden="false" customHeight="false" outlineLevel="0" collapsed="false">
      <c r="A5506" s="2" t="s">
        <v>403</v>
      </c>
      <c r="B5506" s="2" t="s">
        <v>404</v>
      </c>
      <c r="C5506" s="2" t="s">
        <v>49</v>
      </c>
      <c r="D5506" s="3" t="n">
        <v>46252</v>
      </c>
      <c r="E5506" s="2" t="str">
        <f aca="false">TEXT(D5506,"dddd")</f>
        <v>Tuesday</v>
      </c>
      <c r="F5506" s="2" t="s">
        <v>457</v>
      </c>
      <c r="G5506" s="2" t="s">
        <v>458</v>
      </c>
      <c r="H5506" s="2" t="s">
        <v>459</v>
      </c>
      <c r="I5506" s="2" t="n">
        <f aca="false">IF(F5506="Present",9,IF(F5506="Half Day",4,0))</f>
        <v>9</v>
      </c>
      <c r="J5506" s="2"/>
      <c r="K5506" s="2"/>
    </row>
    <row r="5507" customFormat="false" ht="15" hidden="false" customHeight="false" outlineLevel="0" collapsed="false">
      <c r="A5507" s="2" t="s">
        <v>403</v>
      </c>
      <c r="B5507" s="2" t="s">
        <v>404</v>
      </c>
      <c r="C5507" s="2" t="s">
        <v>49</v>
      </c>
      <c r="D5507" s="3" t="n">
        <v>46253</v>
      </c>
      <c r="E5507" s="2" t="str">
        <f aca="false">TEXT(D5507,"dddd")</f>
        <v>Wednesday</v>
      </c>
      <c r="F5507" s="2" t="s">
        <v>457</v>
      </c>
      <c r="G5507" s="2" t="s">
        <v>458</v>
      </c>
      <c r="H5507" s="2" t="s">
        <v>459</v>
      </c>
      <c r="I5507" s="2" t="n">
        <f aca="false">IF(F5507="Present",9,IF(F5507="Half Day",4,0))</f>
        <v>9</v>
      </c>
      <c r="J5507" s="2"/>
      <c r="K5507" s="2"/>
    </row>
    <row r="5508" customFormat="false" ht="15" hidden="false" customHeight="false" outlineLevel="0" collapsed="false">
      <c r="A5508" s="2" t="s">
        <v>403</v>
      </c>
      <c r="B5508" s="2" t="s">
        <v>404</v>
      </c>
      <c r="C5508" s="2" t="s">
        <v>49</v>
      </c>
      <c r="D5508" s="3" t="n">
        <v>46254</v>
      </c>
      <c r="E5508" s="2" t="str">
        <f aca="false">TEXT(D5508,"dddd")</f>
        <v>Thursday</v>
      </c>
      <c r="F5508" s="2" t="s">
        <v>461</v>
      </c>
      <c r="G5508" s="2"/>
      <c r="H5508" s="2"/>
      <c r="I5508" s="2" t="n">
        <f aca="false">IF(F5508="Present",9,IF(F5508="Half Day",4,0))</f>
        <v>0</v>
      </c>
      <c r="J5508" s="2"/>
      <c r="K5508" s="2" t="s">
        <v>462</v>
      </c>
    </row>
    <row r="5509" customFormat="false" ht="15" hidden="false" customHeight="false" outlineLevel="0" collapsed="false">
      <c r="A5509" s="2" t="s">
        <v>403</v>
      </c>
      <c r="B5509" s="2" t="s">
        <v>404</v>
      </c>
      <c r="C5509" s="2" t="s">
        <v>49</v>
      </c>
      <c r="D5509" s="3" t="n">
        <v>46255</v>
      </c>
      <c r="E5509" s="2" t="str">
        <f aca="false">TEXT(D5509,"dddd")</f>
        <v>Friday</v>
      </c>
      <c r="F5509" s="2" t="s">
        <v>457</v>
      </c>
      <c r="G5509" s="2" t="s">
        <v>458</v>
      </c>
      <c r="H5509" s="2" t="s">
        <v>459</v>
      </c>
      <c r="I5509" s="2" t="n">
        <f aca="false">IF(F5509="Present",9,IF(F5509="Half Day",4,0))</f>
        <v>9</v>
      </c>
      <c r="J5509" s="2"/>
      <c r="K5509" s="2"/>
    </row>
    <row r="5510" customFormat="false" ht="15" hidden="false" customHeight="false" outlineLevel="0" collapsed="false">
      <c r="A5510" s="2" t="s">
        <v>403</v>
      </c>
      <c r="B5510" s="2" t="s">
        <v>404</v>
      </c>
      <c r="C5510" s="2" t="s">
        <v>49</v>
      </c>
      <c r="D5510" s="3" t="n">
        <v>46256</v>
      </c>
      <c r="E5510" s="2" t="str">
        <f aca="false">TEXT(D5510,"dddd")</f>
        <v>Saturday</v>
      </c>
      <c r="F5510" s="2" t="s">
        <v>457</v>
      </c>
      <c r="G5510" s="2" t="s">
        <v>458</v>
      </c>
      <c r="H5510" s="2" t="s">
        <v>459</v>
      </c>
      <c r="I5510" s="2" t="n">
        <f aca="false">IF(F5510="Present",9,IF(F5510="Half Day",4,0))</f>
        <v>9</v>
      </c>
      <c r="J5510" s="2"/>
      <c r="K5510" s="2"/>
    </row>
    <row r="5511" customFormat="false" ht="15" hidden="false" customHeight="false" outlineLevel="0" collapsed="false">
      <c r="A5511" s="2" t="s">
        <v>403</v>
      </c>
      <c r="B5511" s="2" t="s">
        <v>404</v>
      </c>
      <c r="C5511" s="2" t="s">
        <v>49</v>
      </c>
      <c r="D5511" s="3" t="n">
        <v>46257</v>
      </c>
      <c r="E5511" s="2" t="str">
        <f aca="false">TEXT(D5511,"dddd")</f>
        <v>Sunday</v>
      </c>
      <c r="F5511" s="2" t="s">
        <v>460</v>
      </c>
      <c r="G5511" s="2"/>
      <c r="H5511" s="2"/>
      <c r="I5511" s="2" t="n">
        <f aca="false">IF(F5511="Present",9,IF(F5511="Half Day",4,0))</f>
        <v>0</v>
      </c>
      <c r="J5511" s="2"/>
      <c r="K5511" s="2" t="s">
        <v>460</v>
      </c>
    </row>
    <row r="5512" customFormat="false" ht="15" hidden="false" customHeight="false" outlineLevel="0" collapsed="false">
      <c r="A5512" s="2" t="s">
        <v>403</v>
      </c>
      <c r="B5512" s="2" t="s">
        <v>404</v>
      </c>
      <c r="C5512" s="2" t="s">
        <v>49</v>
      </c>
      <c r="D5512" s="3" t="n">
        <v>46258</v>
      </c>
      <c r="E5512" s="2" t="str">
        <f aca="false">TEXT(D5512,"dddd")</f>
        <v>Monday</v>
      </c>
      <c r="F5512" s="2" t="s">
        <v>457</v>
      </c>
      <c r="G5512" s="2" t="s">
        <v>458</v>
      </c>
      <c r="H5512" s="2" t="s">
        <v>459</v>
      </c>
      <c r="I5512" s="2" t="n">
        <f aca="false">IF(F5512="Present",9,IF(F5512="Half Day",4,0))</f>
        <v>9</v>
      </c>
      <c r="J5512" s="2"/>
      <c r="K5512" s="2"/>
    </row>
    <row r="5513" customFormat="false" ht="15" hidden="false" customHeight="false" outlineLevel="0" collapsed="false">
      <c r="A5513" s="2" t="s">
        <v>403</v>
      </c>
      <c r="B5513" s="2" t="s">
        <v>404</v>
      </c>
      <c r="C5513" s="2" t="s">
        <v>49</v>
      </c>
      <c r="D5513" s="3" t="n">
        <v>46259</v>
      </c>
      <c r="E5513" s="2" t="str">
        <f aca="false">TEXT(D5513,"dddd")</f>
        <v>Tuesday</v>
      </c>
      <c r="F5513" s="2" t="s">
        <v>457</v>
      </c>
      <c r="G5513" s="2" t="s">
        <v>458</v>
      </c>
      <c r="H5513" s="2" t="s">
        <v>459</v>
      </c>
      <c r="I5513" s="2" t="n">
        <f aca="false">IF(F5513="Present",9,IF(F5513="Half Day",4,0))</f>
        <v>9</v>
      </c>
      <c r="J5513" s="2"/>
      <c r="K5513" s="2"/>
    </row>
    <row r="5514" customFormat="false" ht="15" hidden="false" customHeight="false" outlineLevel="0" collapsed="false">
      <c r="A5514" s="2" t="s">
        <v>403</v>
      </c>
      <c r="B5514" s="2" t="s">
        <v>404</v>
      </c>
      <c r="C5514" s="2" t="s">
        <v>49</v>
      </c>
      <c r="D5514" s="3" t="n">
        <v>46260</v>
      </c>
      <c r="E5514" s="2" t="str">
        <f aca="false">TEXT(D5514,"dddd")</f>
        <v>Wednesday</v>
      </c>
      <c r="F5514" s="2" t="s">
        <v>457</v>
      </c>
      <c r="G5514" s="2" t="s">
        <v>458</v>
      </c>
      <c r="H5514" s="2" t="s">
        <v>459</v>
      </c>
      <c r="I5514" s="2" t="n">
        <f aca="false">IF(F5514="Present",9,IF(F5514="Half Day",4,0))</f>
        <v>9</v>
      </c>
      <c r="J5514" s="2"/>
      <c r="K5514" s="2"/>
    </row>
    <row r="5515" customFormat="false" ht="15" hidden="false" customHeight="false" outlineLevel="0" collapsed="false">
      <c r="A5515" s="2" t="s">
        <v>403</v>
      </c>
      <c r="B5515" s="2" t="s">
        <v>404</v>
      </c>
      <c r="C5515" s="2" t="s">
        <v>49</v>
      </c>
      <c r="D5515" s="3" t="n">
        <v>46261</v>
      </c>
      <c r="E5515" s="2" t="str">
        <f aca="false">TEXT(D5515,"dddd")</f>
        <v>Thursday</v>
      </c>
      <c r="F5515" s="2" t="s">
        <v>457</v>
      </c>
      <c r="G5515" s="2" t="s">
        <v>458</v>
      </c>
      <c r="H5515" s="2" t="s">
        <v>459</v>
      </c>
      <c r="I5515" s="2" t="n">
        <f aca="false">IF(F5515="Present",9,IF(F5515="Half Day",4,0))</f>
        <v>9</v>
      </c>
      <c r="J5515" s="2"/>
      <c r="K5515" s="2"/>
    </row>
    <row r="5516" customFormat="false" ht="15" hidden="false" customHeight="false" outlineLevel="0" collapsed="false">
      <c r="A5516" s="2" t="s">
        <v>403</v>
      </c>
      <c r="B5516" s="2" t="s">
        <v>404</v>
      </c>
      <c r="C5516" s="2" t="s">
        <v>49</v>
      </c>
      <c r="D5516" s="3" t="n">
        <v>46262</v>
      </c>
      <c r="E5516" s="2" t="str">
        <f aca="false">TEXT(D5516,"dddd")</f>
        <v>Friday</v>
      </c>
      <c r="F5516" s="2" t="s">
        <v>457</v>
      </c>
      <c r="G5516" s="2" t="s">
        <v>458</v>
      </c>
      <c r="H5516" s="2" t="s">
        <v>459</v>
      </c>
      <c r="I5516" s="2" t="n">
        <f aca="false">IF(F5516="Present",9,IF(F5516="Half Day",4,0))</f>
        <v>9</v>
      </c>
      <c r="J5516" s="2"/>
      <c r="K5516" s="2"/>
    </row>
    <row r="5517" customFormat="false" ht="15" hidden="false" customHeight="false" outlineLevel="0" collapsed="false">
      <c r="A5517" s="2" t="s">
        <v>403</v>
      </c>
      <c r="B5517" s="2" t="s">
        <v>404</v>
      </c>
      <c r="C5517" s="2" t="s">
        <v>49</v>
      </c>
      <c r="D5517" s="3" t="n">
        <v>46263</v>
      </c>
      <c r="E5517" s="2" t="str">
        <f aca="false">TEXT(D5517,"dddd")</f>
        <v>Saturday</v>
      </c>
      <c r="F5517" s="2" t="s">
        <v>457</v>
      </c>
      <c r="G5517" s="2" t="s">
        <v>458</v>
      </c>
      <c r="H5517" s="2" t="s">
        <v>459</v>
      </c>
      <c r="I5517" s="2" t="n">
        <f aca="false">IF(F5517="Present",9,IF(F5517="Half Day",4,0))</f>
        <v>9</v>
      </c>
      <c r="J5517" s="2"/>
      <c r="K5517" s="2"/>
    </row>
    <row r="5518" customFormat="false" ht="15" hidden="false" customHeight="false" outlineLevel="0" collapsed="false">
      <c r="A5518" s="2" t="s">
        <v>403</v>
      </c>
      <c r="B5518" s="2" t="s">
        <v>404</v>
      </c>
      <c r="C5518" s="2" t="s">
        <v>49</v>
      </c>
      <c r="D5518" s="3" t="n">
        <v>46264</v>
      </c>
      <c r="E5518" s="2" t="str">
        <f aca="false">TEXT(D5518,"dddd")</f>
        <v>Sunday</v>
      </c>
      <c r="F5518" s="2" t="s">
        <v>460</v>
      </c>
      <c r="G5518" s="2"/>
      <c r="H5518" s="2"/>
      <c r="I5518" s="2" t="n">
        <f aca="false">IF(F5518="Present",9,IF(F5518="Half Day",4,0))</f>
        <v>0</v>
      </c>
      <c r="J5518" s="2"/>
      <c r="K5518" s="2" t="s">
        <v>460</v>
      </c>
    </row>
    <row r="5519" customFormat="false" ht="15" hidden="false" customHeight="false" outlineLevel="0" collapsed="false">
      <c r="A5519" s="2" t="s">
        <v>403</v>
      </c>
      <c r="B5519" s="2" t="s">
        <v>404</v>
      </c>
      <c r="C5519" s="2" t="s">
        <v>49</v>
      </c>
      <c r="D5519" s="3" t="n">
        <v>46265</v>
      </c>
      <c r="E5519" s="2" t="str">
        <f aca="false">TEXT(D5519,"dddd")</f>
        <v>Monday</v>
      </c>
      <c r="F5519" s="2" t="s">
        <v>457</v>
      </c>
      <c r="G5519" s="2" t="s">
        <v>458</v>
      </c>
      <c r="H5519" s="2" t="s">
        <v>459</v>
      </c>
      <c r="I5519" s="2" t="n">
        <f aca="false">IF(F5519="Present",9,IF(F5519="Half Day",4,0))</f>
        <v>9</v>
      </c>
      <c r="J5519" s="2"/>
      <c r="K5519" s="2"/>
    </row>
    <row r="5520" customFormat="false" ht="15" hidden="false" customHeight="false" outlineLevel="0" collapsed="false">
      <c r="A5520" s="2" t="s">
        <v>405</v>
      </c>
      <c r="B5520" s="2" t="s">
        <v>406</v>
      </c>
      <c r="C5520" s="2" t="s">
        <v>53</v>
      </c>
      <c r="D5520" s="3" t="n">
        <v>46235</v>
      </c>
      <c r="E5520" s="2" t="str">
        <f aca="false">TEXT(D5520,"dddd")</f>
        <v>Saturday</v>
      </c>
      <c r="F5520" s="2" t="s">
        <v>457</v>
      </c>
      <c r="G5520" s="2" t="s">
        <v>458</v>
      </c>
      <c r="H5520" s="2" t="s">
        <v>459</v>
      </c>
      <c r="I5520" s="2" t="n">
        <f aca="false">IF(F5520="Present",9,IF(F5520="Half Day",4,0))</f>
        <v>9</v>
      </c>
      <c r="J5520" s="2"/>
      <c r="K5520" s="2"/>
    </row>
    <row r="5521" customFormat="false" ht="15" hidden="false" customHeight="false" outlineLevel="0" collapsed="false">
      <c r="A5521" s="2" t="s">
        <v>405</v>
      </c>
      <c r="B5521" s="2" t="s">
        <v>406</v>
      </c>
      <c r="C5521" s="2" t="s">
        <v>53</v>
      </c>
      <c r="D5521" s="3" t="n">
        <v>46236</v>
      </c>
      <c r="E5521" s="2" t="str">
        <f aca="false">TEXT(D5521,"dddd")</f>
        <v>Sunday</v>
      </c>
      <c r="F5521" s="2" t="s">
        <v>460</v>
      </c>
      <c r="G5521" s="2"/>
      <c r="H5521" s="2"/>
      <c r="I5521" s="2" t="n">
        <f aca="false">IF(F5521="Present",9,IF(F5521="Half Day",4,0))</f>
        <v>0</v>
      </c>
      <c r="J5521" s="2"/>
      <c r="K5521" s="2" t="s">
        <v>460</v>
      </c>
    </row>
    <row r="5522" customFormat="false" ht="15" hidden="false" customHeight="false" outlineLevel="0" collapsed="false">
      <c r="A5522" s="2" t="s">
        <v>405</v>
      </c>
      <c r="B5522" s="2" t="s">
        <v>406</v>
      </c>
      <c r="C5522" s="2" t="s">
        <v>53</v>
      </c>
      <c r="D5522" s="3" t="n">
        <v>46237</v>
      </c>
      <c r="E5522" s="2" t="str">
        <f aca="false">TEXT(D5522,"dddd")</f>
        <v>Monday</v>
      </c>
      <c r="F5522" s="2" t="s">
        <v>457</v>
      </c>
      <c r="G5522" s="2" t="s">
        <v>458</v>
      </c>
      <c r="H5522" s="2" t="s">
        <v>459</v>
      </c>
      <c r="I5522" s="2" t="n">
        <f aca="false">IF(F5522="Present",9,IF(F5522="Half Day",4,0))</f>
        <v>9</v>
      </c>
      <c r="J5522" s="2"/>
      <c r="K5522" s="2"/>
    </row>
    <row r="5523" customFormat="false" ht="15" hidden="false" customHeight="false" outlineLevel="0" collapsed="false">
      <c r="A5523" s="2" t="s">
        <v>405</v>
      </c>
      <c r="B5523" s="2" t="s">
        <v>406</v>
      </c>
      <c r="C5523" s="2" t="s">
        <v>53</v>
      </c>
      <c r="D5523" s="3" t="n">
        <v>46238</v>
      </c>
      <c r="E5523" s="2" t="str">
        <f aca="false">TEXT(D5523,"dddd")</f>
        <v>Tuesday</v>
      </c>
      <c r="F5523" s="2" t="s">
        <v>457</v>
      </c>
      <c r="G5523" s="2" t="s">
        <v>458</v>
      </c>
      <c r="H5523" s="2" t="s">
        <v>459</v>
      </c>
      <c r="I5523" s="2" t="n">
        <f aca="false">IF(F5523="Present",9,IF(F5523="Half Day",4,0))</f>
        <v>9</v>
      </c>
      <c r="J5523" s="2"/>
      <c r="K5523" s="2"/>
    </row>
    <row r="5524" customFormat="false" ht="15" hidden="false" customHeight="false" outlineLevel="0" collapsed="false">
      <c r="A5524" s="2" t="s">
        <v>405</v>
      </c>
      <c r="B5524" s="2" t="s">
        <v>406</v>
      </c>
      <c r="C5524" s="2" t="s">
        <v>53</v>
      </c>
      <c r="D5524" s="3" t="n">
        <v>46239</v>
      </c>
      <c r="E5524" s="2" t="str">
        <f aca="false">TEXT(D5524,"dddd")</f>
        <v>Wednesday</v>
      </c>
      <c r="F5524" s="2" t="s">
        <v>457</v>
      </c>
      <c r="G5524" s="2" t="s">
        <v>458</v>
      </c>
      <c r="H5524" s="2" t="s">
        <v>459</v>
      </c>
      <c r="I5524" s="2" t="n">
        <f aca="false">IF(F5524="Present",9,IF(F5524="Half Day",4,0))</f>
        <v>9</v>
      </c>
      <c r="J5524" s="2"/>
      <c r="K5524" s="2"/>
    </row>
    <row r="5525" customFormat="false" ht="15" hidden="false" customHeight="false" outlineLevel="0" collapsed="false">
      <c r="A5525" s="2" t="s">
        <v>405</v>
      </c>
      <c r="B5525" s="2" t="s">
        <v>406</v>
      </c>
      <c r="C5525" s="2" t="s">
        <v>53</v>
      </c>
      <c r="D5525" s="3" t="n">
        <v>46240</v>
      </c>
      <c r="E5525" s="2" t="str">
        <f aca="false">TEXT(D5525,"dddd")</f>
        <v>Thursday</v>
      </c>
      <c r="F5525" s="2" t="s">
        <v>457</v>
      </c>
      <c r="G5525" s="2" t="s">
        <v>458</v>
      </c>
      <c r="H5525" s="2" t="s">
        <v>459</v>
      </c>
      <c r="I5525" s="2" t="n">
        <f aca="false">IF(F5525="Present",9,IF(F5525="Half Day",4,0))</f>
        <v>9</v>
      </c>
      <c r="J5525" s="2"/>
      <c r="K5525" s="2"/>
    </row>
    <row r="5526" customFormat="false" ht="15" hidden="false" customHeight="false" outlineLevel="0" collapsed="false">
      <c r="A5526" s="2" t="s">
        <v>405</v>
      </c>
      <c r="B5526" s="2" t="s">
        <v>406</v>
      </c>
      <c r="C5526" s="2" t="s">
        <v>53</v>
      </c>
      <c r="D5526" s="3" t="n">
        <v>46241</v>
      </c>
      <c r="E5526" s="2" t="str">
        <f aca="false">TEXT(D5526,"dddd")</f>
        <v>Friday</v>
      </c>
      <c r="F5526" s="2" t="s">
        <v>457</v>
      </c>
      <c r="G5526" s="2" t="s">
        <v>458</v>
      </c>
      <c r="H5526" s="2" t="s">
        <v>459</v>
      </c>
      <c r="I5526" s="2" t="n">
        <f aca="false">IF(F5526="Present",9,IF(F5526="Half Day",4,0))</f>
        <v>9</v>
      </c>
      <c r="J5526" s="2"/>
      <c r="K5526" s="2"/>
    </row>
    <row r="5527" customFormat="false" ht="15" hidden="false" customHeight="false" outlineLevel="0" collapsed="false">
      <c r="A5527" s="2" t="s">
        <v>405</v>
      </c>
      <c r="B5527" s="2" t="s">
        <v>406</v>
      </c>
      <c r="C5527" s="2" t="s">
        <v>53</v>
      </c>
      <c r="D5527" s="3" t="n">
        <v>46242</v>
      </c>
      <c r="E5527" s="2" t="str">
        <f aca="false">TEXT(D5527,"dddd")</f>
        <v>Saturday</v>
      </c>
      <c r="F5527" s="2" t="s">
        <v>457</v>
      </c>
      <c r="G5527" s="2" t="s">
        <v>458</v>
      </c>
      <c r="H5527" s="2" t="s">
        <v>459</v>
      </c>
      <c r="I5527" s="2" t="n">
        <f aca="false">IF(F5527="Present",9,IF(F5527="Half Day",4,0))</f>
        <v>9</v>
      </c>
      <c r="J5527" s="2"/>
      <c r="K5527" s="2"/>
    </row>
    <row r="5528" customFormat="false" ht="15" hidden="false" customHeight="false" outlineLevel="0" collapsed="false">
      <c r="A5528" s="2" t="s">
        <v>405</v>
      </c>
      <c r="B5528" s="2" t="s">
        <v>406</v>
      </c>
      <c r="C5528" s="2" t="s">
        <v>53</v>
      </c>
      <c r="D5528" s="3" t="n">
        <v>46243</v>
      </c>
      <c r="E5528" s="2" t="str">
        <f aca="false">TEXT(D5528,"dddd")</f>
        <v>Sunday</v>
      </c>
      <c r="F5528" s="2" t="s">
        <v>460</v>
      </c>
      <c r="G5528" s="2"/>
      <c r="H5528" s="2"/>
      <c r="I5528" s="2" t="n">
        <f aca="false">IF(F5528="Present",9,IF(F5528="Half Day",4,0))</f>
        <v>0</v>
      </c>
      <c r="J5528" s="2"/>
      <c r="K5528" s="2" t="s">
        <v>460</v>
      </c>
    </row>
    <row r="5529" customFormat="false" ht="15" hidden="false" customHeight="false" outlineLevel="0" collapsed="false">
      <c r="A5529" s="2" t="s">
        <v>405</v>
      </c>
      <c r="B5529" s="2" t="s">
        <v>406</v>
      </c>
      <c r="C5529" s="2" t="s">
        <v>53</v>
      </c>
      <c r="D5529" s="3" t="n">
        <v>46244</v>
      </c>
      <c r="E5529" s="2" t="str">
        <f aca="false">TEXT(D5529,"dddd")</f>
        <v>Monday</v>
      </c>
      <c r="F5529" s="2" t="s">
        <v>457</v>
      </c>
      <c r="G5529" s="2" t="s">
        <v>458</v>
      </c>
      <c r="H5529" s="2" t="s">
        <v>459</v>
      </c>
      <c r="I5529" s="2" t="n">
        <f aca="false">IF(F5529="Present",9,IF(F5529="Half Day",4,0))</f>
        <v>9</v>
      </c>
      <c r="J5529" s="2"/>
      <c r="K5529" s="2"/>
    </row>
    <row r="5530" customFormat="false" ht="15" hidden="false" customHeight="false" outlineLevel="0" collapsed="false">
      <c r="A5530" s="2" t="s">
        <v>405</v>
      </c>
      <c r="B5530" s="2" t="s">
        <v>406</v>
      </c>
      <c r="C5530" s="2" t="s">
        <v>53</v>
      </c>
      <c r="D5530" s="3" t="n">
        <v>46245</v>
      </c>
      <c r="E5530" s="2" t="str">
        <f aca="false">TEXT(D5530,"dddd")</f>
        <v>Tuesday</v>
      </c>
      <c r="F5530" s="2" t="s">
        <v>457</v>
      </c>
      <c r="G5530" s="2" t="s">
        <v>458</v>
      </c>
      <c r="H5530" s="2" t="s">
        <v>459</v>
      </c>
      <c r="I5530" s="2" t="n">
        <f aca="false">IF(F5530="Present",9,IF(F5530="Half Day",4,0))</f>
        <v>9</v>
      </c>
      <c r="J5530" s="2"/>
      <c r="K5530" s="2"/>
    </row>
    <row r="5531" customFormat="false" ht="15" hidden="false" customHeight="false" outlineLevel="0" collapsed="false">
      <c r="A5531" s="2" t="s">
        <v>405</v>
      </c>
      <c r="B5531" s="2" t="s">
        <v>406</v>
      </c>
      <c r="C5531" s="2" t="s">
        <v>53</v>
      </c>
      <c r="D5531" s="3" t="n">
        <v>46246</v>
      </c>
      <c r="E5531" s="2" t="str">
        <f aca="false">TEXT(D5531,"dddd")</f>
        <v>Wednesday</v>
      </c>
      <c r="F5531" s="2" t="s">
        <v>457</v>
      </c>
      <c r="G5531" s="2" t="s">
        <v>458</v>
      </c>
      <c r="H5531" s="2" t="s">
        <v>459</v>
      </c>
      <c r="I5531" s="2" t="n">
        <f aca="false">IF(F5531="Present",9,IF(F5531="Half Day",4,0))</f>
        <v>9</v>
      </c>
      <c r="J5531" s="2"/>
      <c r="K5531" s="2"/>
    </row>
    <row r="5532" customFormat="false" ht="15" hidden="false" customHeight="false" outlineLevel="0" collapsed="false">
      <c r="A5532" s="2" t="s">
        <v>405</v>
      </c>
      <c r="B5532" s="2" t="s">
        <v>406</v>
      </c>
      <c r="C5532" s="2" t="s">
        <v>53</v>
      </c>
      <c r="D5532" s="3" t="n">
        <v>46247</v>
      </c>
      <c r="E5532" s="2" t="str">
        <f aca="false">TEXT(D5532,"dddd")</f>
        <v>Thursday</v>
      </c>
      <c r="F5532" s="2" t="s">
        <v>457</v>
      </c>
      <c r="G5532" s="2" t="s">
        <v>458</v>
      </c>
      <c r="H5532" s="2" t="s">
        <v>459</v>
      </c>
      <c r="I5532" s="2" t="n">
        <f aca="false">IF(F5532="Present",9,IF(F5532="Half Day",4,0))</f>
        <v>9</v>
      </c>
      <c r="J5532" s="2"/>
      <c r="K5532" s="2"/>
    </row>
    <row r="5533" customFormat="false" ht="15" hidden="false" customHeight="false" outlineLevel="0" collapsed="false">
      <c r="A5533" s="2" t="s">
        <v>405</v>
      </c>
      <c r="B5533" s="2" t="s">
        <v>406</v>
      </c>
      <c r="C5533" s="2" t="s">
        <v>53</v>
      </c>
      <c r="D5533" s="3" t="n">
        <v>46248</v>
      </c>
      <c r="E5533" s="2" t="str">
        <f aca="false">TEXT(D5533,"dddd")</f>
        <v>Friday</v>
      </c>
      <c r="F5533" s="2" t="s">
        <v>457</v>
      </c>
      <c r="G5533" s="2" t="s">
        <v>458</v>
      </c>
      <c r="H5533" s="2" t="s">
        <v>459</v>
      </c>
      <c r="I5533" s="2" t="n">
        <f aca="false">IF(F5533="Present",9,IF(F5533="Half Day",4,0))</f>
        <v>9</v>
      </c>
      <c r="J5533" s="2"/>
      <c r="K5533" s="2"/>
    </row>
    <row r="5534" customFormat="false" ht="15" hidden="false" customHeight="false" outlineLevel="0" collapsed="false">
      <c r="A5534" s="2" t="s">
        <v>405</v>
      </c>
      <c r="B5534" s="2" t="s">
        <v>406</v>
      </c>
      <c r="C5534" s="2" t="s">
        <v>53</v>
      </c>
      <c r="D5534" s="3" t="n">
        <v>46249</v>
      </c>
      <c r="E5534" s="2" t="str">
        <f aca="false">TEXT(D5534,"dddd")</f>
        <v>Saturday</v>
      </c>
      <c r="F5534" s="2" t="s">
        <v>457</v>
      </c>
      <c r="G5534" s="2" t="s">
        <v>458</v>
      </c>
      <c r="H5534" s="2" t="s">
        <v>459</v>
      </c>
      <c r="I5534" s="2" t="n">
        <f aca="false">IF(F5534="Present",9,IF(F5534="Half Day",4,0))</f>
        <v>9</v>
      </c>
      <c r="J5534" s="2"/>
      <c r="K5534" s="2"/>
    </row>
    <row r="5535" customFormat="false" ht="15" hidden="false" customHeight="false" outlineLevel="0" collapsed="false">
      <c r="A5535" s="2" t="s">
        <v>405</v>
      </c>
      <c r="B5535" s="2" t="s">
        <v>406</v>
      </c>
      <c r="C5535" s="2" t="s">
        <v>53</v>
      </c>
      <c r="D5535" s="3" t="n">
        <v>46250</v>
      </c>
      <c r="E5535" s="2" t="str">
        <f aca="false">TEXT(D5535,"dddd")</f>
        <v>Sunday</v>
      </c>
      <c r="F5535" s="2" t="s">
        <v>460</v>
      </c>
      <c r="G5535" s="2"/>
      <c r="H5535" s="2"/>
      <c r="I5535" s="2" t="n">
        <f aca="false">IF(F5535="Present",9,IF(F5535="Half Day",4,0))</f>
        <v>0</v>
      </c>
      <c r="J5535" s="2"/>
      <c r="K5535" s="2" t="s">
        <v>460</v>
      </c>
    </row>
    <row r="5536" customFormat="false" ht="15" hidden="false" customHeight="false" outlineLevel="0" collapsed="false">
      <c r="A5536" s="2" t="s">
        <v>405</v>
      </c>
      <c r="B5536" s="2" t="s">
        <v>406</v>
      </c>
      <c r="C5536" s="2" t="s">
        <v>53</v>
      </c>
      <c r="D5536" s="3" t="n">
        <v>46251</v>
      </c>
      <c r="E5536" s="2" t="str">
        <f aca="false">TEXT(D5536,"dddd")</f>
        <v>Monday</v>
      </c>
      <c r="F5536" s="2" t="s">
        <v>457</v>
      </c>
      <c r="G5536" s="2" t="s">
        <v>458</v>
      </c>
      <c r="H5536" s="2" t="s">
        <v>459</v>
      </c>
      <c r="I5536" s="2" t="n">
        <f aca="false">IF(F5536="Present",9,IF(F5536="Half Day",4,0))</f>
        <v>9</v>
      </c>
      <c r="J5536" s="2"/>
      <c r="K5536" s="2"/>
    </row>
    <row r="5537" customFormat="false" ht="15" hidden="false" customHeight="false" outlineLevel="0" collapsed="false">
      <c r="A5537" s="2" t="s">
        <v>405</v>
      </c>
      <c r="B5537" s="2" t="s">
        <v>406</v>
      </c>
      <c r="C5537" s="2" t="s">
        <v>53</v>
      </c>
      <c r="D5537" s="3" t="n">
        <v>46252</v>
      </c>
      <c r="E5537" s="2" t="str">
        <f aca="false">TEXT(D5537,"dddd")</f>
        <v>Tuesday</v>
      </c>
      <c r="F5537" s="2" t="s">
        <v>457</v>
      </c>
      <c r="G5537" s="2" t="s">
        <v>458</v>
      </c>
      <c r="H5537" s="2" t="s">
        <v>459</v>
      </c>
      <c r="I5537" s="2" t="n">
        <f aca="false">IF(F5537="Present",9,IF(F5537="Half Day",4,0))</f>
        <v>9</v>
      </c>
      <c r="J5537" s="2"/>
      <c r="K5537" s="2"/>
    </row>
    <row r="5538" customFormat="false" ht="15" hidden="false" customHeight="false" outlineLevel="0" collapsed="false">
      <c r="A5538" s="2" t="s">
        <v>405</v>
      </c>
      <c r="B5538" s="2" t="s">
        <v>406</v>
      </c>
      <c r="C5538" s="2" t="s">
        <v>53</v>
      </c>
      <c r="D5538" s="3" t="n">
        <v>46253</v>
      </c>
      <c r="E5538" s="2" t="str">
        <f aca="false">TEXT(D5538,"dddd")</f>
        <v>Wednesday</v>
      </c>
      <c r="F5538" s="2" t="s">
        <v>457</v>
      </c>
      <c r="G5538" s="2" t="s">
        <v>458</v>
      </c>
      <c r="H5538" s="2" t="s">
        <v>459</v>
      </c>
      <c r="I5538" s="2" t="n">
        <f aca="false">IF(F5538="Present",9,IF(F5538="Half Day",4,0))</f>
        <v>9</v>
      </c>
      <c r="J5538" s="2"/>
      <c r="K5538" s="2"/>
    </row>
    <row r="5539" customFormat="false" ht="15" hidden="false" customHeight="false" outlineLevel="0" collapsed="false">
      <c r="A5539" s="2" t="s">
        <v>405</v>
      </c>
      <c r="B5539" s="2" t="s">
        <v>406</v>
      </c>
      <c r="C5539" s="2" t="s">
        <v>53</v>
      </c>
      <c r="D5539" s="3" t="n">
        <v>46254</v>
      </c>
      <c r="E5539" s="2" t="str">
        <f aca="false">TEXT(D5539,"dddd")</f>
        <v>Thursday</v>
      </c>
      <c r="F5539" s="2" t="s">
        <v>457</v>
      </c>
      <c r="G5539" s="2" t="s">
        <v>458</v>
      </c>
      <c r="H5539" s="2" t="s">
        <v>459</v>
      </c>
      <c r="I5539" s="2" t="n">
        <f aca="false">IF(F5539="Present",9,IF(F5539="Half Day",4,0))</f>
        <v>9</v>
      </c>
      <c r="J5539" s="2"/>
      <c r="K5539" s="2"/>
    </row>
    <row r="5540" customFormat="false" ht="15" hidden="false" customHeight="false" outlineLevel="0" collapsed="false">
      <c r="A5540" s="2" t="s">
        <v>405</v>
      </c>
      <c r="B5540" s="2" t="s">
        <v>406</v>
      </c>
      <c r="C5540" s="2" t="s">
        <v>53</v>
      </c>
      <c r="D5540" s="3" t="n">
        <v>46255</v>
      </c>
      <c r="E5540" s="2" t="str">
        <f aca="false">TEXT(D5540,"dddd")</f>
        <v>Friday</v>
      </c>
      <c r="F5540" s="2" t="s">
        <v>457</v>
      </c>
      <c r="G5540" s="2" t="s">
        <v>458</v>
      </c>
      <c r="H5540" s="2" t="s">
        <v>459</v>
      </c>
      <c r="I5540" s="2" t="n">
        <f aca="false">IF(F5540="Present",9,IF(F5540="Half Day",4,0))</f>
        <v>9</v>
      </c>
      <c r="J5540" s="2"/>
      <c r="K5540" s="2"/>
    </row>
    <row r="5541" customFormat="false" ht="15" hidden="false" customHeight="false" outlineLevel="0" collapsed="false">
      <c r="A5541" s="2" t="s">
        <v>405</v>
      </c>
      <c r="B5541" s="2" t="s">
        <v>406</v>
      </c>
      <c r="C5541" s="2" t="s">
        <v>53</v>
      </c>
      <c r="D5541" s="3" t="n">
        <v>46256</v>
      </c>
      <c r="E5541" s="2" t="str">
        <f aca="false">TEXT(D5541,"dddd")</f>
        <v>Saturday</v>
      </c>
      <c r="F5541" s="2" t="s">
        <v>457</v>
      </c>
      <c r="G5541" s="2" t="s">
        <v>458</v>
      </c>
      <c r="H5541" s="2" t="s">
        <v>459</v>
      </c>
      <c r="I5541" s="2" t="n">
        <f aca="false">IF(F5541="Present",9,IF(F5541="Half Day",4,0))</f>
        <v>9</v>
      </c>
      <c r="J5541" s="2"/>
      <c r="K5541" s="2"/>
    </row>
    <row r="5542" customFormat="false" ht="15" hidden="false" customHeight="false" outlineLevel="0" collapsed="false">
      <c r="A5542" s="2" t="s">
        <v>405</v>
      </c>
      <c r="B5542" s="2" t="s">
        <v>406</v>
      </c>
      <c r="C5542" s="2" t="s">
        <v>53</v>
      </c>
      <c r="D5542" s="3" t="n">
        <v>46257</v>
      </c>
      <c r="E5542" s="2" t="str">
        <f aca="false">TEXT(D5542,"dddd")</f>
        <v>Sunday</v>
      </c>
      <c r="F5542" s="2" t="s">
        <v>460</v>
      </c>
      <c r="G5542" s="2"/>
      <c r="H5542" s="2"/>
      <c r="I5542" s="2" t="n">
        <f aca="false">IF(F5542="Present",9,IF(F5542="Half Day",4,0))</f>
        <v>0</v>
      </c>
      <c r="J5542" s="2"/>
      <c r="K5542" s="2" t="s">
        <v>460</v>
      </c>
    </row>
    <row r="5543" customFormat="false" ht="15" hidden="false" customHeight="false" outlineLevel="0" collapsed="false">
      <c r="A5543" s="2" t="s">
        <v>405</v>
      </c>
      <c r="B5543" s="2" t="s">
        <v>406</v>
      </c>
      <c r="C5543" s="2" t="s">
        <v>53</v>
      </c>
      <c r="D5543" s="3" t="n">
        <v>46258</v>
      </c>
      <c r="E5543" s="2" t="str">
        <f aca="false">TEXT(D5543,"dddd")</f>
        <v>Monday</v>
      </c>
      <c r="F5543" s="2" t="s">
        <v>461</v>
      </c>
      <c r="G5543" s="2"/>
      <c r="H5543" s="2"/>
      <c r="I5543" s="2" t="n">
        <f aca="false">IF(F5543="Present",9,IF(F5543="Half Day",4,0))</f>
        <v>0</v>
      </c>
      <c r="J5543" s="2"/>
      <c r="K5543" s="2" t="s">
        <v>462</v>
      </c>
    </row>
    <row r="5544" customFormat="false" ht="15" hidden="false" customHeight="false" outlineLevel="0" collapsed="false">
      <c r="A5544" s="2" t="s">
        <v>405</v>
      </c>
      <c r="B5544" s="2" t="s">
        <v>406</v>
      </c>
      <c r="C5544" s="2" t="s">
        <v>53</v>
      </c>
      <c r="D5544" s="3" t="n">
        <v>46259</v>
      </c>
      <c r="E5544" s="2" t="str">
        <f aca="false">TEXT(D5544,"dddd")</f>
        <v>Tuesday</v>
      </c>
      <c r="F5544" s="2" t="s">
        <v>457</v>
      </c>
      <c r="G5544" s="2" t="s">
        <v>458</v>
      </c>
      <c r="H5544" s="2" t="s">
        <v>459</v>
      </c>
      <c r="I5544" s="2" t="n">
        <f aca="false">IF(F5544="Present",9,IF(F5544="Half Day",4,0))</f>
        <v>9</v>
      </c>
      <c r="J5544" s="2"/>
      <c r="K5544" s="2"/>
    </row>
    <row r="5545" customFormat="false" ht="15" hidden="false" customHeight="false" outlineLevel="0" collapsed="false">
      <c r="A5545" s="2" t="s">
        <v>405</v>
      </c>
      <c r="B5545" s="2" t="s">
        <v>406</v>
      </c>
      <c r="C5545" s="2" t="s">
        <v>53</v>
      </c>
      <c r="D5545" s="3" t="n">
        <v>46260</v>
      </c>
      <c r="E5545" s="2" t="str">
        <f aca="false">TEXT(D5545,"dddd")</f>
        <v>Wednesday</v>
      </c>
      <c r="F5545" s="2" t="s">
        <v>457</v>
      </c>
      <c r="G5545" s="2" t="s">
        <v>458</v>
      </c>
      <c r="H5545" s="2" t="s">
        <v>459</v>
      </c>
      <c r="I5545" s="2" t="n">
        <f aca="false">IF(F5545="Present",9,IF(F5545="Half Day",4,0))</f>
        <v>9</v>
      </c>
      <c r="J5545" s="2"/>
      <c r="K5545" s="2"/>
    </row>
    <row r="5546" customFormat="false" ht="15" hidden="false" customHeight="false" outlineLevel="0" collapsed="false">
      <c r="A5546" s="2" t="s">
        <v>405</v>
      </c>
      <c r="B5546" s="2" t="s">
        <v>406</v>
      </c>
      <c r="C5546" s="2" t="s">
        <v>53</v>
      </c>
      <c r="D5546" s="3" t="n">
        <v>46261</v>
      </c>
      <c r="E5546" s="2" t="str">
        <f aca="false">TEXT(D5546,"dddd")</f>
        <v>Thursday</v>
      </c>
      <c r="F5546" s="2" t="s">
        <v>457</v>
      </c>
      <c r="G5546" s="2" t="s">
        <v>458</v>
      </c>
      <c r="H5546" s="2" t="s">
        <v>459</v>
      </c>
      <c r="I5546" s="2" t="n">
        <f aca="false">IF(F5546="Present",9,IF(F5546="Half Day",4,0))</f>
        <v>9</v>
      </c>
      <c r="J5546" s="2"/>
      <c r="K5546" s="2"/>
    </row>
    <row r="5547" customFormat="false" ht="15" hidden="false" customHeight="false" outlineLevel="0" collapsed="false">
      <c r="A5547" s="2" t="s">
        <v>405</v>
      </c>
      <c r="B5547" s="2" t="s">
        <v>406</v>
      </c>
      <c r="C5547" s="2" t="s">
        <v>53</v>
      </c>
      <c r="D5547" s="3" t="n">
        <v>46262</v>
      </c>
      <c r="E5547" s="2" t="str">
        <f aca="false">TEXT(D5547,"dddd")</f>
        <v>Friday</v>
      </c>
      <c r="F5547" s="2" t="s">
        <v>461</v>
      </c>
      <c r="G5547" s="2"/>
      <c r="H5547" s="2"/>
      <c r="I5547" s="2" t="n">
        <f aca="false">IF(F5547="Present",9,IF(F5547="Half Day",4,0))</f>
        <v>0</v>
      </c>
      <c r="J5547" s="2"/>
      <c r="K5547" s="2" t="s">
        <v>462</v>
      </c>
    </row>
    <row r="5548" customFormat="false" ht="15" hidden="false" customHeight="false" outlineLevel="0" collapsed="false">
      <c r="A5548" s="2" t="s">
        <v>405</v>
      </c>
      <c r="B5548" s="2" t="s">
        <v>406</v>
      </c>
      <c r="C5548" s="2" t="s">
        <v>53</v>
      </c>
      <c r="D5548" s="3" t="n">
        <v>46263</v>
      </c>
      <c r="E5548" s="2" t="str">
        <f aca="false">TEXT(D5548,"dddd")</f>
        <v>Saturday</v>
      </c>
      <c r="F5548" s="2" t="s">
        <v>457</v>
      </c>
      <c r="G5548" s="2" t="s">
        <v>458</v>
      </c>
      <c r="H5548" s="2" t="s">
        <v>459</v>
      </c>
      <c r="I5548" s="2" t="n">
        <f aca="false">IF(F5548="Present",9,IF(F5548="Half Day",4,0))</f>
        <v>9</v>
      </c>
      <c r="J5548" s="2"/>
      <c r="K5548" s="2"/>
    </row>
    <row r="5549" customFormat="false" ht="15" hidden="false" customHeight="false" outlineLevel="0" collapsed="false">
      <c r="A5549" s="2" t="s">
        <v>405</v>
      </c>
      <c r="B5549" s="2" t="s">
        <v>406</v>
      </c>
      <c r="C5549" s="2" t="s">
        <v>53</v>
      </c>
      <c r="D5549" s="3" t="n">
        <v>46264</v>
      </c>
      <c r="E5549" s="2" t="str">
        <f aca="false">TEXT(D5549,"dddd")</f>
        <v>Sunday</v>
      </c>
      <c r="F5549" s="2" t="s">
        <v>460</v>
      </c>
      <c r="G5549" s="2"/>
      <c r="H5549" s="2"/>
      <c r="I5549" s="2" t="n">
        <f aca="false">IF(F5549="Present",9,IF(F5549="Half Day",4,0))</f>
        <v>0</v>
      </c>
      <c r="J5549" s="2"/>
      <c r="K5549" s="2" t="s">
        <v>460</v>
      </c>
    </row>
    <row r="5550" customFormat="false" ht="15" hidden="false" customHeight="false" outlineLevel="0" collapsed="false">
      <c r="A5550" s="2" t="s">
        <v>405</v>
      </c>
      <c r="B5550" s="2" t="s">
        <v>406</v>
      </c>
      <c r="C5550" s="2" t="s">
        <v>53</v>
      </c>
      <c r="D5550" s="3" t="n">
        <v>46265</v>
      </c>
      <c r="E5550" s="2" t="str">
        <f aca="false">TEXT(D5550,"dddd")</f>
        <v>Monday</v>
      </c>
      <c r="F5550" s="2" t="s">
        <v>463</v>
      </c>
      <c r="G5550" s="2"/>
      <c r="H5550" s="2"/>
      <c r="I5550" s="2" t="n">
        <f aca="false">IF(F5550="Present",9,IF(F5550="Half Day",4,0))</f>
        <v>0</v>
      </c>
      <c r="J5550" s="2" t="s">
        <v>472</v>
      </c>
      <c r="K5550" s="2" t="s">
        <v>473</v>
      </c>
    </row>
    <row r="5551" customFormat="false" ht="15" hidden="false" customHeight="false" outlineLevel="0" collapsed="false">
      <c r="A5551" s="2" t="s">
        <v>407</v>
      </c>
      <c r="B5551" s="2" t="s">
        <v>408</v>
      </c>
      <c r="C5551" s="2" t="s">
        <v>57</v>
      </c>
      <c r="D5551" s="3" t="n">
        <v>46235</v>
      </c>
      <c r="E5551" s="2" t="str">
        <f aca="false">TEXT(D5551,"dddd")</f>
        <v>Saturday</v>
      </c>
      <c r="F5551" s="2" t="s">
        <v>457</v>
      </c>
      <c r="G5551" s="2" t="s">
        <v>458</v>
      </c>
      <c r="H5551" s="2" t="s">
        <v>459</v>
      </c>
      <c r="I5551" s="2" t="n">
        <f aca="false">IF(F5551="Present",9,IF(F5551="Half Day",4,0))</f>
        <v>9</v>
      </c>
      <c r="J5551" s="2"/>
      <c r="K5551" s="2"/>
    </row>
    <row r="5552" customFormat="false" ht="15" hidden="false" customHeight="false" outlineLevel="0" collapsed="false">
      <c r="A5552" s="2" t="s">
        <v>407</v>
      </c>
      <c r="B5552" s="2" t="s">
        <v>408</v>
      </c>
      <c r="C5552" s="2" t="s">
        <v>57</v>
      </c>
      <c r="D5552" s="3" t="n">
        <v>46236</v>
      </c>
      <c r="E5552" s="2" t="str">
        <f aca="false">TEXT(D5552,"dddd")</f>
        <v>Sunday</v>
      </c>
      <c r="F5552" s="2" t="s">
        <v>460</v>
      </c>
      <c r="G5552" s="2"/>
      <c r="H5552" s="2"/>
      <c r="I5552" s="2" t="n">
        <f aca="false">IF(F5552="Present",9,IF(F5552="Half Day",4,0))</f>
        <v>0</v>
      </c>
      <c r="J5552" s="2"/>
      <c r="K5552" s="2" t="s">
        <v>460</v>
      </c>
    </row>
    <row r="5553" customFormat="false" ht="15" hidden="false" customHeight="false" outlineLevel="0" collapsed="false">
      <c r="A5553" s="2" t="s">
        <v>407</v>
      </c>
      <c r="B5553" s="2" t="s">
        <v>408</v>
      </c>
      <c r="C5553" s="2" t="s">
        <v>57</v>
      </c>
      <c r="D5553" s="3" t="n">
        <v>46237</v>
      </c>
      <c r="E5553" s="2" t="str">
        <f aca="false">TEXT(D5553,"dddd")</f>
        <v>Monday</v>
      </c>
      <c r="F5553" s="2" t="s">
        <v>457</v>
      </c>
      <c r="G5553" s="2" t="s">
        <v>458</v>
      </c>
      <c r="H5553" s="2" t="s">
        <v>459</v>
      </c>
      <c r="I5553" s="2" t="n">
        <f aca="false">IF(F5553="Present",9,IF(F5553="Half Day",4,0))</f>
        <v>9</v>
      </c>
      <c r="J5553" s="2"/>
      <c r="K5553" s="2"/>
    </row>
    <row r="5554" customFormat="false" ht="15" hidden="false" customHeight="false" outlineLevel="0" collapsed="false">
      <c r="A5554" s="2" t="s">
        <v>407</v>
      </c>
      <c r="B5554" s="2" t="s">
        <v>408</v>
      </c>
      <c r="C5554" s="2" t="s">
        <v>57</v>
      </c>
      <c r="D5554" s="3" t="n">
        <v>46238</v>
      </c>
      <c r="E5554" s="2" t="str">
        <f aca="false">TEXT(D5554,"dddd")</f>
        <v>Tuesday</v>
      </c>
      <c r="F5554" s="2" t="s">
        <v>457</v>
      </c>
      <c r="G5554" s="2" t="s">
        <v>458</v>
      </c>
      <c r="H5554" s="2" t="s">
        <v>459</v>
      </c>
      <c r="I5554" s="2" t="n">
        <f aca="false">IF(F5554="Present",9,IF(F5554="Half Day",4,0))</f>
        <v>9</v>
      </c>
      <c r="J5554" s="2"/>
      <c r="K5554" s="2"/>
    </row>
    <row r="5555" customFormat="false" ht="15" hidden="false" customHeight="false" outlineLevel="0" collapsed="false">
      <c r="A5555" s="2" t="s">
        <v>407</v>
      </c>
      <c r="B5555" s="2" t="s">
        <v>408</v>
      </c>
      <c r="C5555" s="2" t="s">
        <v>57</v>
      </c>
      <c r="D5555" s="3" t="n">
        <v>46239</v>
      </c>
      <c r="E5555" s="2" t="str">
        <f aca="false">TEXT(D5555,"dddd")</f>
        <v>Wednesday</v>
      </c>
      <c r="F5555" s="2" t="s">
        <v>457</v>
      </c>
      <c r="G5555" s="2" t="s">
        <v>458</v>
      </c>
      <c r="H5555" s="2" t="s">
        <v>459</v>
      </c>
      <c r="I5555" s="2" t="n">
        <f aca="false">IF(F5555="Present",9,IF(F5555="Half Day",4,0))</f>
        <v>9</v>
      </c>
      <c r="J5555" s="2"/>
      <c r="K5555" s="2"/>
    </row>
    <row r="5556" customFormat="false" ht="15" hidden="false" customHeight="false" outlineLevel="0" collapsed="false">
      <c r="A5556" s="2" t="s">
        <v>407</v>
      </c>
      <c r="B5556" s="2" t="s">
        <v>408</v>
      </c>
      <c r="C5556" s="2" t="s">
        <v>57</v>
      </c>
      <c r="D5556" s="3" t="n">
        <v>46240</v>
      </c>
      <c r="E5556" s="2" t="str">
        <f aca="false">TEXT(D5556,"dddd")</f>
        <v>Thursday</v>
      </c>
      <c r="F5556" s="2" t="s">
        <v>457</v>
      </c>
      <c r="G5556" s="2" t="s">
        <v>458</v>
      </c>
      <c r="H5556" s="2" t="s">
        <v>459</v>
      </c>
      <c r="I5556" s="2" t="n">
        <f aca="false">IF(F5556="Present",9,IF(F5556="Half Day",4,0))</f>
        <v>9</v>
      </c>
      <c r="J5556" s="2"/>
      <c r="K5556" s="2"/>
    </row>
    <row r="5557" customFormat="false" ht="15" hidden="false" customHeight="false" outlineLevel="0" collapsed="false">
      <c r="A5557" s="2" t="s">
        <v>407</v>
      </c>
      <c r="B5557" s="2" t="s">
        <v>408</v>
      </c>
      <c r="C5557" s="2" t="s">
        <v>57</v>
      </c>
      <c r="D5557" s="3" t="n">
        <v>46241</v>
      </c>
      <c r="E5557" s="2" t="str">
        <f aca="false">TEXT(D5557,"dddd")</f>
        <v>Friday</v>
      </c>
      <c r="F5557" s="2" t="s">
        <v>457</v>
      </c>
      <c r="G5557" s="2" t="s">
        <v>458</v>
      </c>
      <c r="H5557" s="2" t="s">
        <v>459</v>
      </c>
      <c r="I5557" s="2" t="n">
        <f aca="false">IF(F5557="Present",9,IF(F5557="Half Day",4,0))</f>
        <v>9</v>
      </c>
      <c r="J5557" s="2"/>
      <c r="K5557" s="2"/>
    </row>
    <row r="5558" customFormat="false" ht="15" hidden="false" customHeight="false" outlineLevel="0" collapsed="false">
      <c r="A5558" s="2" t="s">
        <v>407</v>
      </c>
      <c r="B5558" s="2" t="s">
        <v>408</v>
      </c>
      <c r="C5558" s="2" t="s">
        <v>57</v>
      </c>
      <c r="D5558" s="3" t="n">
        <v>46242</v>
      </c>
      <c r="E5558" s="2" t="str">
        <f aca="false">TEXT(D5558,"dddd")</f>
        <v>Saturday</v>
      </c>
      <c r="F5558" s="2" t="s">
        <v>457</v>
      </c>
      <c r="G5558" s="2" t="s">
        <v>458</v>
      </c>
      <c r="H5558" s="2" t="s">
        <v>459</v>
      </c>
      <c r="I5558" s="2" t="n">
        <f aca="false">IF(F5558="Present",9,IF(F5558="Half Day",4,0))</f>
        <v>9</v>
      </c>
      <c r="J5558" s="2"/>
      <c r="K5558" s="2"/>
    </row>
    <row r="5559" customFormat="false" ht="15" hidden="false" customHeight="false" outlineLevel="0" collapsed="false">
      <c r="A5559" s="2" t="s">
        <v>407</v>
      </c>
      <c r="B5559" s="2" t="s">
        <v>408</v>
      </c>
      <c r="C5559" s="2" t="s">
        <v>57</v>
      </c>
      <c r="D5559" s="3" t="n">
        <v>46243</v>
      </c>
      <c r="E5559" s="2" t="str">
        <f aca="false">TEXT(D5559,"dddd")</f>
        <v>Sunday</v>
      </c>
      <c r="F5559" s="2" t="s">
        <v>460</v>
      </c>
      <c r="G5559" s="2"/>
      <c r="H5559" s="2"/>
      <c r="I5559" s="2" t="n">
        <f aca="false">IF(F5559="Present",9,IF(F5559="Half Day",4,0))</f>
        <v>0</v>
      </c>
      <c r="J5559" s="2"/>
      <c r="K5559" s="2" t="s">
        <v>460</v>
      </c>
    </row>
    <row r="5560" customFormat="false" ht="15" hidden="false" customHeight="false" outlineLevel="0" collapsed="false">
      <c r="A5560" s="2" t="s">
        <v>407</v>
      </c>
      <c r="B5560" s="2" t="s">
        <v>408</v>
      </c>
      <c r="C5560" s="2" t="s">
        <v>57</v>
      </c>
      <c r="D5560" s="3" t="n">
        <v>46244</v>
      </c>
      <c r="E5560" s="2" t="str">
        <f aca="false">TEXT(D5560,"dddd")</f>
        <v>Monday</v>
      </c>
      <c r="F5560" s="2" t="s">
        <v>457</v>
      </c>
      <c r="G5560" s="2" t="s">
        <v>458</v>
      </c>
      <c r="H5560" s="2" t="s">
        <v>459</v>
      </c>
      <c r="I5560" s="2" t="n">
        <f aca="false">IF(F5560="Present",9,IF(F5560="Half Day",4,0))</f>
        <v>9</v>
      </c>
      <c r="J5560" s="2"/>
      <c r="K5560" s="2"/>
    </row>
    <row r="5561" customFormat="false" ht="15" hidden="false" customHeight="false" outlineLevel="0" collapsed="false">
      <c r="A5561" s="2" t="s">
        <v>407</v>
      </c>
      <c r="B5561" s="2" t="s">
        <v>408</v>
      </c>
      <c r="C5561" s="2" t="s">
        <v>57</v>
      </c>
      <c r="D5561" s="3" t="n">
        <v>46245</v>
      </c>
      <c r="E5561" s="2" t="str">
        <f aca="false">TEXT(D5561,"dddd")</f>
        <v>Tuesday</v>
      </c>
      <c r="F5561" s="2" t="s">
        <v>457</v>
      </c>
      <c r="G5561" s="2" t="s">
        <v>458</v>
      </c>
      <c r="H5561" s="2" t="s">
        <v>459</v>
      </c>
      <c r="I5561" s="2" t="n">
        <f aca="false">IF(F5561="Present",9,IF(F5561="Half Day",4,0))</f>
        <v>9</v>
      </c>
      <c r="J5561" s="2"/>
      <c r="K5561" s="2"/>
    </row>
    <row r="5562" customFormat="false" ht="15" hidden="false" customHeight="false" outlineLevel="0" collapsed="false">
      <c r="A5562" s="2" t="s">
        <v>407</v>
      </c>
      <c r="B5562" s="2" t="s">
        <v>408</v>
      </c>
      <c r="C5562" s="2" t="s">
        <v>57</v>
      </c>
      <c r="D5562" s="3" t="n">
        <v>46246</v>
      </c>
      <c r="E5562" s="2" t="str">
        <f aca="false">TEXT(D5562,"dddd")</f>
        <v>Wednesday</v>
      </c>
      <c r="F5562" s="2" t="s">
        <v>457</v>
      </c>
      <c r="G5562" s="2" t="s">
        <v>458</v>
      </c>
      <c r="H5562" s="2" t="s">
        <v>459</v>
      </c>
      <c r="I5562" s="2" t="n">
        <f aca="false">IF(F5562="Present",9,IF(F5562="Half Day",4,0))</f>
        <v>9</v>
      </c>
      <c r="J5562" s="2"/>
      <c r="K5562" s="2"/>
    </row>
    <row r="5563" customFormat="false" ht="15" hidden="false" customHeight="false" outlineLevel="0" collapsed="false">
      <c r="A5563" s="2" t="s">
        <v>407</v>
      </c>
      <c r="B5563" s="2" t="s">
        <v>408</v>
      </c>
      <c r="C5563" s="2" t="s">
        <v>57</v>
      </c>
      <c r="D5563" s="3" t="n">
        <v>46247</v>
      </c>
      <c r="E5563" s="2" t="str">
        <f aca="false">TEXT(D5563,"dddd")</f>
        <v>Thursday</v>
      </c>
      <c r="F5563" s="2" t="s">
        <v>457</v>
      </c>
      <c r="G5563" s="2" t="s">
        <v>458</v>
      </c>
      <c r="H5563" s="2" t="s">
        <v>459</v>
      </c>
      <c r="I5563" s="2" t="n">
        <f aca="false">IF(F5563="Present",9,IF(F5563="Half Day",4,0))</f>
        <v>9</v>
      </c>
      <c r="J5563" s="2"/>
      <c r="K5563" s="2"/>
    </row>
    <row r="5564" customFormat="false" ht="15" hidden="false" customHeight="false" outlineLevel="0" collapsed="false">
      <c r="A5564" s="2" t="s">
        <v>407</v>
      </c>
      <c r="B5564" s="2" t="s">
        <v>408</v>
      </c>
      <c r="C5564" s="2" t="s">
        <v>57</v>
      </c>
      <c r="D5564" s="3" t="n">
        <v>46248</v>
      </c>
      <c r="E5564" s="2" t="str">
        <f aca="false">TEXT(D5564,"dddd")</f>
        <v>Friday</v>
      </c>
      <c r="F5564" s="2" t="s">
        <v>457</v>
      </c>
      <c r="G5564" s="2" t="s">
        <v>458</v>
      </c>
      <c r="H5564" s="2" t="s">
        <v>459</v>
      </c>
      <c r="I5564" s="2" t="n">
        <f aca="false">IF(F5564="Present",9,IF(F5564="Half Day",4,0))</f>
        <v>9</v>
      </c>
      <c r="J5564" s="2"/>
      <c r="K5564" s="2"/>
    </row>
    <row r="5565" customFormat="false" ht="15" hidden="false" customHeight="false" outlineLevel="0" collapsed="false">
      <c r="A5565" s="2" t="s">
        <v>407</v>
      </c>
      <c r="B5565" s="2" t="s">
        <v>408</v>
      </c>
      <c r="C5565" s="2" t="s">
        <v>57</v>
      </c>
      <c r="D5565" s="3" t="n">
        <v>46249</v>
      </c>
      <c r="E5565" s="2" t="str">
        <f aca="false">TEXT(D5565,"dddd")</f>
        <v>Saturday</v>
      </c>
      <c r="F5565" s="2" t="s">
        <v>457</v>
      </c>
      <c r="G5565" s="2" t="s">
        <v>458</v>
      </c>
      <c r="H5565" s="2" t="s">
        <v>459</v>
      </c>
      <c r="I5565" s="2" t="n">
        <f aca="false">IF(F5565="Present",9,IF(F5565="Half Day",4,0))</f>
        <v>9</v>
      </c>
      <c r="J5565" s="2"/>
      <c r="K5565" s="2"/>
    </row>
    <row r="5566" customFormat="false" ht="15" hidden="false" customHeight="false" outlineLevel="0" collapsed="false">
      <c r="A5566" s="2" t="s">
        <v>407</v>
      </c>
      <c r="B5566" s="2" t="s">
        <v>408</v>
      </c>
      <c r="C5566" s="2" t="s">
        <v>57</v>
      </c>
      <c r="D5566" s="3" t="n">
        <v>46250</v>
      </c>
      <c r="E5566" s="2" t="str">
        <f aca="false">TEXT(D5566,"dddd")</f>
        <v>Sunday</v>
      </c>
      <c r="F5566" s="2" t="s">
        <v>460</v>
      </c>
      <c r="G5566" s="2"/>
      <c r="H5566" s="2"/>
      <c r="I5566" s="2" t="n">
        <f aca="false">IF(F5566="Present",9,IF(F5566="Half Day",4,0))</f>
        <v>0</v>
      </c>
      <c r="J5566" s="2"/>
      <c r="K5566" s="2" t="s">
        <v>460</v>
      </c>
    </row>
    <row r="5567" customFormat="false" ht="15" hidden="false" customHeight="false" outlineLevel="0" collapsed="false">
      <c r="A5567" s="2" t="s">
        <v>407</v>
      </c>
      <c r="B5567" s="2" t="s">
        <v>408</v>
      </c>
      <c r="C5567" s="2" t="s">
        <v>57</v>
      </c>
      <c r="D5567" s="3" t="n">
        <v>46251</v>
      </c>
      <c r="E5567" s="2" t="str">
        <f aca="false">TEXT(D5567,"dddd")</f>
        <v>Monday</v>
      </c>
      <c r="F5567" s="2" t="s">
        <v>457</v>
      </c>
      <c r="G5567" s="2" t="s">
        <v>458</v>
      </c>
      <c r="H5567" s="2" t="s">
        <v>459</v>
      </c>
      <c r="I5567" s="2" t="n">
        <f aca="false">IF(F5567="Present",9,IF(F5567="Half Day",4,0))</f>
        <v>9</v>
      </c>
      <c r="J5567" s="2"/>
      <c r="K5567" s="2"/>
    </row>
    <row r="5568" customFormat="false" ht="15" hidden="false" customHeight="false" outlineLevel="0" collapsed="false">
      <c r="A5568" s="2" t="s">
        <v>407</v>
      </c>
      <c r="B5568" s="2" t="s">
        <v>408</v>
      </c>
      <c r="C5568" s="2" t="s">
        <v>57</v>
      </c>
      <c r="D5568" s="3" t="n">
        <v>46252</v>
      </c>
      <c r="E5568" s="2" t="str">
        <f aca="false">TEXT(D5568,"dddd")</f>
        <v>Tuesday</v>
      </c>
      <c r="F5568" s="2" t="s">
        <v>457</v>
      </c>
      <c r="G5568" s="2" t="s">
        <v>458</v>
      </c>
      <c r="H5568" s="2" t="s">
        <v>459</v>
      </c>
      <c r="I5568" s="2" t="n">
        <f aca="false">IF(F5568="Present",9,IF(F5568="Half Day",4,0))</f>
        <v>9</v>
      </c>
      <c r="J5568" s="2"/>
      <c r="K5568" s="2"/>
    </row>
    <row r="5569" customFormat="false" ht="15" hidden="false" customHeight="false" outlineLevel="0" collapsed="false">
      <c r="A5569" s="2" t="s">
        <v>407</v>
      </c>
      <c r="B5569" s="2" t="s">
        <v>408</v>
      </c>
      <c r="C5569" s="2" t="s">
        <v>57</v>
      </c>
      <c r="D5569" s="3" t="n">
        <v>46253</v>
      </c>
      <c r="E5569" s="2" t="str">
        <f aca="false">TEXT(D5569,"dddd")</f>
        <v>Wednesday</v>
      </c>
      <c r="F5569" s="2" t="s">
        <v>457</v>
      </c>
      <c r="G5569" s="2" t="s">
        <v>458</v>
      </c>
      <c r="H5569" s="2" t="s">
        <v>459</v>
      </c>
      <c r="I5569" s="2" t="n">
        <f aca="false">IF(F5569="Present",9,IF(F5569="Half Day",4,0))</f>
        <v>9</v>
      </c>
      <c r="J5569" s="2"/>
      <c r="K5569" s="2"/>
    </row>
    <row r="5570" customFormat="false" ht="15" hidden="false" customHeight="false" outlineLevel="0" collapsed="false">
      <c r="A5570" s="2" t="s">
        <v>407</v>
      </c>
      <c r="B5570" s="2" t="s">
        <v>408</v>
      </c>
      <c r="C5570" s="2" t="s">
        <v>57</v>
      </c>
      <c r="D5570" s="3" t="n">
        <v>46254</v>
      </c>
      <c r="E5570" s="2" t="str">
        <f aca="false">TEXT(D5570,"dddd")</f>
        <v>Thursday</v>
      </c>
      <c r="F5570" s="2" t="s">
        <v>457</v>
      </c>
      <c r="G5570" s="2" t="s">
        <v>458</v>
      </c>
      <c r="H5570" s="2" t="s">
        <v>459</v>
      </c>
      <c r="I5570" s="2" t="n">
        <f aca="false">IF(F5570="Present",9,IF(F5570="Half Day",4,0))</f>
        <v>9</v>
      </c>
      <c r="J5570" s="2"/>
      <c r="K5570" s="2"/>
    </row>
    <row r="5571" customFormat="false" ht="15" hidden="false" customHeight="false" outlineLevel="0" collapsed="false">
      <c r="A5571" s="2" t="s">
        <v>407</v>
      </c>
      <c r="B5571" s="2" t="s">
        <v>408</v>
      </c>
      <c r="C5571" s="2" t="s">
        <v>57</v>
      </c>
      <c r="D5571" s="3" t="n">
        <v>46255</v>
      </c>
      <c r="E5571" s="2" t="str">
        <f aca="false">TEXT(D5571,"dddd")</f>
        <v>Friday</v>
      </c>
      <c r="F5571" s="2" t="s">
        <v>457</v>
      </c>
      <c r="G5571" s="2" t="s">
        <v>458</v>
      </c>
      <c r="H5571" s="2" t="s">
        <v>459</v>
      </c>
      <c r="I5571" s="2" t="n">
        <f aca="false">IF(F5571="Present",9,IF(F5571="Half Day",4,0))</f>
        <v>9</v>
      </c>
      <c r="J5571" s="2"/>
      <c r="K5571" s="2"/>
    </row>
    <row r="5572" customFormat="false" ht="15" hidden="false" customHeight="false" outlineLevel="0" collapsed="false">
      <c r="A5572" s="2" t="s">
        <v>407</v>
      </c>
      <c r="B5572" s="2" t="s">
        <v>408</v>
      </c>
      <c r="C5572" s="2" t="s">
        <v>57</v>
      </c>
      <c r="D5572" s="3" t="n">
        <v>46256</v>
      </c>
      <c r="E5572" s="2" t="str">
        <f aca="false">TEXT(D5572,"dddd")</f>
        <v>Saturday</v>
      </c>
      <c r="F5572" s="2" t="s">
        <v>457</v>
      </c>
      <c r="G5572" s="2" t="s">
        <v>458</v>
      </c>
      <c r="H5572" s="2" t="s">
        <v>459</v>
      </c>
      <c r="I5572" s="2" t="n">
        <f aca="false">IF(F5572="Present",9,IF(F5572="Half Day",4,0))</f>
        <v>9</v>
      </c>
      <c r="J5572" s="2"/>
      <c r="K5572" s="2"/>
    </row>
    <row r="5573" customFormat="false" ht="15" hidden="false" customHeight="false" outlineLevel="0" collapsed="false">
      <c r="A5573" s="2" t="s">
        <v>407</v>
      </c>
      <c r="B5573" s="2" t="s">
        <v>408</v>
      </c>
      <c r="C5573" s="2" t="s">
        <v>57</v>
      </c>
      <c r="D5573" s="3" t="n">
        <v>46257</v>
      </c>
      <c r="E5573" s="2" t="str">
        <f aca="false">TEXT(D5573,"dddd")</f>
        <v>Sunday</v>
      </c>
      <c r="F5573" s="2" t="s">
        <v>460</v>
      </c>
      <c r="G5573" s="2"/>
      <c r="H5573" s="2"/>
      <c r="I5573" s="2" t="n">
        <f aca="false">IF(F5573="Present",9,IF(F5573="Half Day",4,0))</f>
        <v>0</v>
      </c>
      <c r="J5573" s="2"/>
      <c r="K5573" s="2" t="s">
        <v>460</v>
      </c>
    </row>
    <row r="5574" customFormat="false" ht="15" hidden="false" customHeight="false" outlineLevel="0" collapsed="false">
      <c r="A5574" s="2" t="s">
        <v>407</v>
      </c>
      <c r="B5574" s="2" t="s">
        <v>408</v>
      </c>
      <c r="C5574" s="2" t="s">
        <v>57</v>
      </c>
      <c r="D5574" s="3" t="n">
        <v>46258</v>
      </c>
      <c r="E5574" s="2" t="str">
        <f aca="false">TEXT(D5574,"dddd")</f>
        <v>Monday</v>
      </c>
      <c r="F5574" s="2" t="s">
        <v>457</v>
      </c>
      <c r="G5574" s="2" t="s">
        <v>458</v>
      </c>
      <c r="H5574" s="2" t="s">
        <v>459</v>
      </c>
      <c r="I5574" s="2" t="n">
        <f aca="false">IF(F5574="Present",9,IF(F5574="Half Day",4,0))</f>
        <v>9</v>
      </c>
      <c r="J5574" s="2"/>
      <c r="K5574" s="2"/>
    </row>
    <row r="5575" customFormat="false" ht="15" hidden="false" customHeight="false" outlineLevel="0" collapsed="false">
      <c r="A5575" s="2" t="s">
        <v>407</v>
      </c>
      <c r="B5575" s="2" t="s">
        <v>408</v>
      </c>
      <c r="C5575" s="2" t="s">
        <v>57</v>
      </c>
      <c r="D5575" s="3" t="n">
        <v>46259</v>
      </c>
      <c r="E5575" s="2" t="str">
        <f aca="false">TEXT(D5575,"dddd")</f>
        <v>Tuesday</v>
      </c>
      <c r="F5575" s="2" t="s">
        <v>457</v>
      </c>
      <c r="G5575" s="2" t="s">
        <v>458</v>
      </c>
      <c r="H5575" s="2" t="s">
        <v>459</v>
      </c>
      <c r="I5575" s="2" t="n">
        <f aca="false">IF(F5575="Present",9,IF(F5575="Half Day",4,0))</f>
        <v>9</v>
      </c>
      <c r="J5575" s="2"/>
      <c r="K5575" s="2"/>
    </row>
    <row r="5576" customFormat="false" ht="15" hidden="false" customHeight="false" outlineLevel="0" collapsed="false">
      <c r="A5576" s="2" t="s">
        <v>407</v>
      </c>
      <c r="B5576" s="2" t="s">
        <v>408</v>
      </c>
      <c r="C5576" s="2" t="s">
        <v>57</v>
      </c>
      <c r="D5576" s="3" t="n">
        <v>46260</v>
      </c>
      <c r="E5576" s="2" t="str">
        <f aca="false">TEXT(D5576,"dddd")</f>
        <v>Wednesday</v>
      </c>
      <c r="F5576" s="2" t="s">
        <v>457</v>
      </c>
      <c r="G5576" s="2" t="s">
        <v>458</v>
      </c>
      <c r="H5576" s="2" t="s">
        <v>459</v>
      </c>
      <c r="I5576" s="2" t="n">
        <f aca="false">IF(F5576="Present",9,IF(F5576="Half Day",4,0))</f>
        <v>9</v>
      </c>
      <c r="J5576" s="2"/>
      <c r="K5576" s="2"/>
    </row>
    <row r="5577" customFormat="false" ht="15" hidden="false" customHeight="false" outlineLevel="0" collapsed="false">
      <c r="A5577" s="2" t="s">
        <v>407</v>
      </c>
      <c r="B5577" s="2" t="s">
        <v>408</v>
      </c>
      <c r="C5577" s="2" t="s">
        <v>57</v>
      </c>
      <c r="D5577" s="3" t="n">
        <v>46261</v>
      </c>
      <c r="E5577" s="2" t="str">
        <f aca="false">TEXT(D5577,"dddd")</f>
        <v>Thursday</v>
      </c>
      <c r="F5577" s="2" t="s">
        <v>457</v>
      </c>
      <c r="G5577" s="2" t="s">
        <v>458</v>
      </c>
      <c r="H5577" s="2" t="s">
        <v>459</v>
      </c>
      <c r="I5577" s="2" t="n">
        <f aca="false">IF(F5577="Present",9,IF(F5577="Half Day",4,0))</f>
        <v>9</v>
      </c>
      <c r="J5577" s="2"/>
      <c r="K5577" s="2"/>
    </row>
    <row r="5578" customFormat="false" ht="15" hidden="false" customHeight="false" outlineLevel="0" collapsed="false">
      <c r="A5578" s="2" t="s">
        <v>407</v>
      </c>
      <c r="B5578" s="2" t="s">
        <v>408</v>
      </c>
      <c r="C5578" s="2" t="s">
        <v>57</v>
      </c>
      <c r="D5578" s="3" t="n">
        <v>46262</v>
      </c>
      <c r="E5578" s="2" t="str">
        <f aca="false">TEXT(D5578,"dddd")</f>
        <v>Friday</v>
      </c>
      <c r="F5578" s="2" t="s">
        <v>457</v>
      </c>
      <c r="G5578" s="2" t="s">
        <v>458</v>
      </c>
      <c r="H5578" s="2" t="s">
        <v>459</v>
      </c>
      <c r="I5578" s="2" t="n">
        <f aca="false">IF(F5578="Present",9,IF(F5578="Half Day",4,0))</f>
        <v>9</v>
      </c>
      <c r="J5578" s="2"/>
      <c r="K5578" s="2"/>
    </row>
    <row r="5579" customFormat="false" ht="15" hidden="false" customHeight="false" outlineLevel="0" collapsed="false">
      <c r="A5579" s="2" t="s">
        <v>407</v>
      </c>
      <c r="B5579" s="2" t="s">
        <v>408</v>
      </c>
      <c r="C5579" s="2" t="s">
        <v>57</v>
      </c>
      <c r="D5579" s="3" t="n">
        <v>46263</v>
      </c>
      <c r="E5579" s="2" t="str">
        <f aca="false">TEXT(D5579,"dddd")</f>
        <v>Saturday</v>
      </c>
      <c r="F5579" s="2" t="s">
        <v>457</v>
      </c>
      <c r="G5579" s="2" t="s">
        <v>458</v>
      </c>
      <c r="H5579" s="2" t="s">
        <v>459</v>
      </c>
      <c r="I5579" s="2" t="n">
        <f aca="false">IF(F5579="Present",9,IF(F5579="Half Day",4,0))</f>
        <v>9</v>
      </c>
      <c r="J5579" s="2"/>
      <c r="K5579" s="2"/>
    </row>
    <row r="5580" customFormat="false" ht="15" hidden="false" customHeight="false" outlineLevel="0" collapsed="false">
      <c r="A5580" s="2" t="s">
        <v>407</v>
      </c>
      <c r="B5580" s="2" t="s">
        <v>408</v>
      </c>
      <c r="C5580" s="2" t="s">
        <v>57</v>
      </c>
      <c r="D5580" s="3" t="n">
        <v>46264</v>
      </c>
      <c r="E5580" s="2" t="str">
        <f aca="false">TEXT(D5580,"dddd")</f>
        <v>Sunday</v>
      </c>
      <c r="F5580" s="2" t="s">
        <v>460</v>
      </c>
      <c r="G5580" s="2"/>
      <c r="H5580" s="2"/>
      <c r="I5580" s="2" t="n">
        <f aca="false">IF(F5580="Present",9,IF(F5580="Half Day",4,0))</f>
        <v>0</v>
      </c>
      <c r="J5580" s="2"/>
      <c r="K5580" s="2" t="s">
        <v>460</v>
      </c>
    </row>
    <row r="5581" customFormat="false" ht="15" hidden="false" customHeight="false" outlineLevel="0" collapsed="false">
      <c r="A5581" s="2" t="s">
        <v>407</v>
      </c>
      <c r="B5581" s="2" t="s">
        <v>408</v>
      </c>
      <c r="C5581" s="2" t="s">
        <v>57</v>
      </c>
      <c r="D5581" s="3" t="n">
        <v>46265</v>
      </c>
      <c r="E5581" s="2" t="str">
        <f aca="false">TEXT(D5581,"dddd")</f>
        <v>Monday</v>
      </c>
      <c r="F5581" s="2" t="s">
        <v>457</v>
      </c>
      <c r="G5581" s="2" t="s">
        <v>458</v>
      </c>
      <c r="H5581" s="2" t="s">
        <v>459</v>
      </c>
      <c r="I5581" s="2" t="n">
        <f aca="false">IF(F5581="Present",9,IF(F5581="Half Day",4,0))</f>
        <v>9</v>
      </c>
      <c r="J5581" s="2"/>
      <c r="K5581" s="2"/>
    </row>
    <row r="5582" customFormat="false" ht="15" hidden="false" customHeight="false" outlineLevel="0" collapsed="false">
      <c r="A5582" s="2" t="s">
        <v>409</v>
      </c>
      <c r="B5582" s="2" t="s">
        <v>410</v>
      </c>
      <c r="C5582" s="2" t="s">
        <v>17</v>
      </c>
      <c r="D5582" s="3" t="n">
        <v>46235</v>
      </c>
      <c r="E5582" s="2" t="str">
        <f aca="false">TEXT(D5582,"dddd")</f>
        <v>Saturday</v>
      </c>
      <c r="F5582" s="2" t="s">
        <v>457</v>
      </c>
      <c r="G5582" s="2" t="s">
        <v>458</v>
      </c>
      <c r="H5582" s="2" t="s">
        <v>459</v>
      </c>
      <c r="I5582" s="2" t="n">
        <f aca="false">IF(F5582="Present",9,IF(F5582="Half Day",4,0))</f>
        <v>9</v>
      </c>
      <c r="J5582" s="2"/>
      <c r="K5582" s="2"/>
    </row>
    <row r="5583" customFormat="false" ht="15" hidden="false" customHeight="false" outlineLevel="0" collapsed="false">
      <c r="A5583" s="2" t="s">
        <v>409</v>
      </c>
      <c r="B5583" s="2" t="s">
        <v>410</v>
      </c>
      <c r="C5583" s="2" t="s">
        <v>17</v>
      </c>
      <c r="D5583" s="3" t="n">
        <v>46236</v>
      </c>
      <c r="E5583" s="2" t="str">
        <f aca="false">TEXT(D5583,"dddd")</f>
        <v>Sunday</v>
      </c>
      <c r="F5583" s="2" t="s">
        <v>460</v>
      </c>
      <c r="G5583" s="2"/>
      <c r="H5583" s="2"/>
      <c r="I5583" s="2" t="n">
        <f aca="false">IF(F5583="Present",9,IF(F5583="Half Day",4,0))</f>
        <v>0</v>
      </c>
      <c r="J5583" s="2"/>
      <c r="K5583" s="2" t="s">
        <v>460</v>
      </c>
    </row>
    <row r="5584" customFormat="false" ht="15" hidden="false" customHeight="false" outlineLevel="0" collapsed="false">
      <c r="A5584" s="2" t="s">
        <v>409</v>
      </c>
      <c r="B5584" s="2" t="s">
        <v>410</v>
      </c>
      <c r="C5584" s="2" t="s">
        <v>17</v>
      </c>
      <c r="D5584" s="3" t="n">
        <v>46237</v>
      </c>
      <c r="E5584" s="2" t="str">
        <f aca="false">TEXT(D5584,"dddd")</f>
        <v>Monday</v>
      </c>
      <c r="F5584" s="2" t="s">
        <v>457</v>
      </c>
      <c r="G5584" s="2" t="s">
        <v>458</v>
      </c>
      <c r="H5584" s="2" t="s">
        <v>459</v>
      </c>
      <c r="I5584" s="2" t="n">
        <f aca="false">IF(F5584="Present",9,IF(F5584="Half Day",4,0))</f>
        <v>9</v>
      </c>
      <c r="J5584" s="2"/>
      <c r="K5584" s="2"/>
    </row>
    <row r="5585" customFormat="false" ht="15" hidden="false" customHeight="false" outlineLevel="0" collapsed="false">
      <c r="A5585" s="2" t="s">
        <v>409</v>
      </c>
      <c r="B5585" s="2" t="s">
        <v>410</v>
      </c>
      <c r="C5585" s="2" t="s">
        <v>17</v>
      </c>
      <c r="D5585" s="3" t="n">
        <v>46238</v>
      </c>
      <c r="E5585" s="2" t="str">
        <f aca="false">TEXT(D5585,"dddd")</f>
        <v>Tuesday</v>
      </c>
      <c r="F5585" s="2" t="s">
        <v>457</v>
      </c>
      <c r="G5585" s="2" t="s">
        <v>458</v>
      </c>
      <c r="H5585" s="2" t="s">
        <v>459</v>
      </c>
      <c r="I5585" s="2" t="n">
        <f aca="false">IF(F5585="Present",9,IF(F5585="Half Day",4,0))</f>
        <v>9</v>
      </c>
      <c r="J5585" s="2"/>
      <c r="K5585" s="2"/>
    </row>
    <row r="5586" customFormat="false" ht="15" hidden="false" customHeight="false" outlineLevel="0" collapsed="false">
      <c r="A5586" s="2" t="s">
        <v>409</v>
      </c>
      <c r="B5586" s="2" t="s">
        <v>410</v>
      </c>
      <c r="C5586" s="2" t="s">
        <v>17</v>
      </c>
      <c r="D5586" s="3" t="n">
        <v>46239</v>
      </c>
      <c r="E5586" s="2" t="str">
        <f aca="false">TEXT(D5586,"dddd")</f>
        <v>Wednesday</v>
      </c>
      <c r="F5586" s="2" t="s">
        <v>461</v>
      </c>
      <c r="G5586" s="2"/>
      <c r="H5586" s="2"/>
      <c r="I5586" s="2" t="n">
        <f aca="false">IF(F5586="Present",9,IF(F5586="Half Day",4,0))</f>
        <v>0</v>
      </c>
      <c r="J5586" s="2"/>
      <c r="K5586" s="2" t="s">
        <v>462</v>
      </c>
    </row>
    <row r="5587" customFormat="false" ht="15" hidden="false" customHeight="false" outlineLevel="0" collapsed="false">
      <c r="A5587" s="2" t="s">
        <v>409</v>
      </c>
      <c r="B5587" s="2" t="s">
        <v>410</v>
      </c>
      <c r="C5587" s="2" t="s">
        <v>17</v>
      </c>
      <c r="D5587" s="3" t="n">
        <v>46240</v>
      </c>
      <c r="E5587" s="2" t="str">
        <f aca="false">TEXT(D5587,"dddd")</f>
        <v>Thursday</v>
      </c>
      <c r="F5587" s="2" t="s">
        <v>457</v>
      </c>
      <c r="G5587" s="2" t="s">
        <v>458</v>
      </c>
      <c r="H5587" s="2" t="s">
        <v>459</v>
      </c>
      <c r="I5587" s="2" t="n">
        <f aca="false">IF(F5587="Present",9,IF(F5587="Half Day",4,0))</f>
        <v>9</v>
      </c>
      <c r="J5587" s="2"/>
      <c r="K5587" s="2"/>
    </row>
    <row r="5588" customFormat="false" ht="15" hidden="false" customHeight="false" outlineLevel="0" collapsed="false">
      <c r="A5588" s="2" t="s">
        <v>409</v>
      </c>
      <c r="B5588" s="2" t="s">
        <v>410</v>
      </c>
      <c r="C5588" s="2" t="s">
        <v>17</v>
      </c>
      <c r="D5588" s="3" t="n">
        <v>46241</v>
      </c>
      <c r="E5588" s="2" t="str">
        <f aca="false">TEXT(D5588,"dddd")</f>
        <v>Friday</v>
      </c>
      <c r="F5588" s="2" t="s">
        <v>457</v>
      </c>
      <c r="G5588" s="2" t="s">
        <v>458</v>
      </c>
      <c r="H5588" s="2" t="s">
        <v>459</v>
      </c>
      <c r="I5588" s="2" t="n">
        <f aca="false">IF(F5588="Present",9,IF(F5588="Half Day",4,0))</f>
        <v>9</v>
      </c>
      <c r="J5588" s="2"/>
      <c r="K5588" s="2"/>
    </row>
    <row r="5589" customFormat="false" ht="15" hidden="false" customHeight="false" outlineLevel="0" collapsed="false">
      <c r="A5589" s="2" t="s">
        <v>409</v>
      </c>
      <c r="B5589" s="2" t="s">
        <v>410</v>
      </c>
      <c r="C5589" s="2" t="s">
        <v>17</v>
      </c>
      <c r="D5589" s="3" t="n">
        <v>46242</v>
      </c>
      <c r="E5589" s="2" t="str">
        <f aca="false">TEXT(D5589,"dddd")</f>
        <v>Saturday</v>
      </c>
      <c r="F5589" s="2" t="s">
        <v>457</v>
      </c>
      <c r="G5589" s="2" t="s">
        <v>458</v>
      </c>
      <c r="H5589" s="2" t="s">
        <v>459</v>
      </c>
      <c r="I5589" s="2" t="n">
        <f aca="false">IF(F5589="Present",9,IF(F5589="Half Day",4,0))</f>
        <v>9</v>
      </c>
      <c r="J5589" s="2"/>
      <c r="K5589" s="2"/>
    </row>
    <row r="5590" customFormat="false" ht="15" hidden="false" customHeight="false" outlineLevel="0" collapsed="false">
      <c r="A5590" s="2" t="s">
        <v>409</v>
      </c>
      <c r="B5590" s="2" t="s">
        <v>410</v>
      </c>
      <c r="C5590" s="2" t="s">
        <v>17</v>
      </c>
      <c r="D5590" s="3" t="n">
        <v>46243</v>
      </c>
      <c r="E5590" s="2" t="str">
        <f aca="false">TEXT(D5590,"dddd")</f>
        <v>Sunday</v>
      </c>
      <c r="F5590" s="2" t="s">
        <v>460</v>
      </c>
      <c r="G5590" s="2"/>
      <c r="H5590" s="2"/>
      <c r="I5590" s="2" t="n">
        <f aca="false">IF(F5590="Present",9,IF(F5590="Half Day",4,0))</f>
        <v>0</v>
      </c>
      <c r="J5590" s="2"/>
      <c r="K5590" s="2" t="s">
        <v>460</v>
      </c>
    </row>
    <row r="5591" customFormat="false" ht="15" hidden="false" customHeight="false" outlineLevel="0" collapsed="false">
      <c r="A5591" s="2" t="s">
        <v>409</v>
      </c>
      <c r="B5591" s="2" t="s">
        <v>410</v>
      </c>
      <c r="C5591" s="2" t="s">
        <v>17</v>
      </c>
      <c r="D5591" s="3" t="n">
        <v>46244</v>
      </c>
      <c r="E5591" s="2" t="str">
        <f aca="false">TEXT(D5591,"dddd")</f>
        <v>Monday</v>
      </c>
      <c r="F5591" s="2" t="s">
        <v>457</v>
      </c>
      <c r="G5591" s="2" t="s">
        <v>458</v>
      </c>
      <c r="H5591" s="2" t="s">
        <v>459</v>
      </c>
      <c r="I5591" s="2" t="n">
        <f aca="false">IF(F5591="Present",9,IF(F5591="Half Day",4,0))</f>
        <v>9</v>
      </c>
      <c r="J5591" s="2"/>
      <c r="K5591" s="2"/>
    </row>
    <row r="5592" customFormat="false" ht="15" hidden="false" customHeight="false" outlineLevel="0" collapsed="false">
      <c r="A5592" s="2" t="s">
        <v>409</v>
      </c>
      <c r="B5592" s="2" t="s">
        <v>410</v>
      </c>
      <c r="C5592" s="2" t="s">
        <v>17</v>
      </c>
      <c r="D5592" s="3" t="n">
        <v>46245</v>
      </c>
      <c r="E5592" s="2" t="str">
        <f aca="false">TEXT(D5592,"dddd")</f>
        <v>Tuesday</v>
      </c>
      <c r="F5592" s="2" t="s">
        <v>457</v>
      </c>
      <c r="G5592" s="2" t="s">
        <v>458</v>
      </c>
      <c r="H5592" s="2" t="s">
        <v>459</v>
      </c>
      <c r="I5592" s="2" t="n">
        <f aca="false">IF(F5592="Present",9,IF(F5592="Half Day",4,0))</f>
        <v>9</v>
      </c>
      <c r="J5592" s="2"/>
      <c r="K5592" s="2"/>
    </row>
    <row r="5593" customFormat="false" ht="15" hidden="false" customHeight="false" outlineLevel="0" collapsed="false">
      <c r="A5593" s="2" t="s">
        <v>409</v>
      </c>
      <c r="B5593" s="2" t="s">
        <v>410</v>
      </c>
      <c r="C5593" s="2" t="s">
        <v>17</v>
      </c>
      <c r="D5593" s="3" t="n">
        <v>46246</v>
      </c>
      <c r="E5593" s="2" t="str">
        <f aca="false">TEXT(D5593,"dddd")</f>
        <v>Wednesday</v>
      </c>
      <c r="F5593" s="2" t="s">
        <v>457</v>
      </c>
      <c r="G5593" s="2" t="s">
        <v>458</v>
      </c>
      <c r="H5593" s="2" t="s">
        <v>459</v>
      </c>
      <c r="I5593" s="2" t="n">
        <f aca="false">IF(F5593="Present",9,IF(F5593="Half Day",4,0))</f>
        <v>9</v>
      </c>
      <c r="J5593" s="2"/>
      <c r="K5593" s="2"/>
    </row>
    <row r="5594" customFormat="false" ht="15" hidden="false" customHeight="false" outlineLevel="0" collapsed="false">
      <c r="A5594" s="2" t="s">
        <v>409</v>
      </c>
      <c r="B5594" s="2" t="s">
        <v>410</v>
      </c>
      <c r="C5594" s="2" t="s">
        <v>17</v>
      </c>
      <c r="D5594" s="3" t="n">
        <v>46247</v>
      </c>
      <c r="E5594" s="2" t="str">
        <f aca="false">TEXT(D5594,"dddd")</f>
        <v>Thursday</v>
      </c>
      <c r="F5594" s="2" t="s">
        <v>457</v>
      </c>
      <c r="G5594" s="2" t="s">
        <v>458</v>
      </c>
      <c r="H5594" s="2" t="s">
        <v>459</v>
      </c>
      <c r="I5594" s="2" t="n">
        <f aca="false">IF(F5594="Present",9,IF(F5594="Half Day",4,0))</f>
        <v>9</v>
      </c>
      <c r="J5594" s="2"/>
      <c r="K5594" s="2"/>
    </row>
    <row r="5595" customFormat="false" ht="15" hidden="false" customHeight="false" outlineLevel="0" collapsed="false">
      <c r="A5595" s="2" t="s">
        <v>409</v>
      </c>
      <c r="B5595" s="2" t="s">
        <v>410</v>
      </c>
      <c r="C5595" s="2" t="s">
        <v>17</v>
      </c>
      <c r="D5595" s="3" t="n">
        <v>46248</v>
      </c>
      <c r="E5595" s="2" t="str">
        <f aca="false">TEXT(D5595,"dddd")</f>
        <v>Friday</v>
      </c>
      <c r="F5595" s="2" t="s">
        <v>457</v>
      </c>
      <c r="G5595" s="2" t="s">
        <v>458</v>
      </c>
      <c r="H5595" s="2" t="s">
        <v>459</v>
      </c>
      <c r="I5595" s="2" t="n">
        <f aca="false">IF(F5595="Present",9,IF(F5595="Half Day",4,0))</f>
        <v>9</v>
      </c>
      <c r="J5595" s="2"/>
      <c r="K5595" s="2"/>
    </row>
    <row r="5596" customFormat="false" ht="15" hidden="false" customHeight="false" outlineLevel="0" collapsed="false">
      <c r="A5596" s="2" t="s">
        <v>409</v>
      </c>
      <c r="B5596" s="2" t="s">
        <v>410</v>
      </c>
      <c r="C5596" s="2" t="s">
        <v>17</v>
      </c>
      <c r="D5596" s="3" t="n">
        <v>46249</v>
      </c>
      <c r="E5596" s="2" t="str">
        <f aca="false">TEXT(D5596,"dddd")</f>
        <v>Saturday</v>
      </c>
      <c r="F5596" s="2" t="s">
        <v>457</v>
      </c>
      <c r="G5596" s="2" t="s">
        <v>458</v>
      </c>
      <c r="H5596" s="2" t="s">
        <v>459</v>
      </c>
      <c r="I5596" s="2" t="n">
        <f aca="false">IF(F5596="Present",9,IF(F5596="Half Day",4,0))</f>
        <v>9</v>
      </c>
      <c r="J5596" s="2"/>
      <c r="K5596" s="2"/>
    </row>
    <row r="5597" customFormat="false" ht="15" hidden="false" customHeight="false" outlineLevel="0" collapsed="false">
      <c r="A5597" s="2" t="s">
        <v>409</v>
      </c>
      <c r="B5597" s="2" t="s">
        <v>410</v>
      </c>
      <c r="C5597" s="2" t="s">
        <v>17</v>
      </c>
      <c r="D5597" s="3" t="n">
        <v>46250</v>
      </c>
      <c r="E5597" s="2" t="str">
        <f aca="false">TEXT(D5597,"dddd")</f>
        <v>Sunday</v>
      </c>
      <c r="F5597" s="2" t="s">
        <v>460</v>
      </c>
      <c r="G5597" s="2"/>
      <c r="H5597" s="2"/>
      <c r="I5597" s="2" t="n">
        <f aca="false">IF(F5597="Present",9,IF(F5597="Half Day",4,0))</f>
        <v>0</v>
      </c>
      <c r="J5597" s="2"/>
      <c r="K5597" s="2" t="s">
        <v>460</v>
      </c>
    </row>
    <row r="5598" customFormat="false" ht="15" hidden="false" customHeight="false" outlineLevel="0" collapsed="false">
      <c r="A5598" s="2" t="s">
        <v>409</v>
      </c>
      <c r="B5598" s="2" t="s">
        <v>410</v>
      </c>
      <c r="C5598" s="2" t="s">
        <v>17</v>
      </c>
      <c r="D5598" s="3" t="n">
        <v>46251</v>
      </c>
      <c r="E5598" s="2" t="str">
        <f aca="false">TEXT(D5598,"dddd")</f>
        <v>Monday</v>
      </c>
      <c r="F5598" s="2" t="s">
        <v>457</v>
      </c>
      <c r="G5598" s="2" t="s">
        <v>458</v>
      </c>
      <c r="H5598" s="2" t="s">
        <v>459</v>
      </c>
      <c r="I5598" s="2" t="n">
        <f aca="false">IF(F5598="Present",9,IF(F5598="Half Day",4,0))</f>
        <v>9</v>
      </c>
      <c r="J5598" s="2"/>
      <c r="K5598" s="2"/>
    </row>
    <row r="5599" customFormat="false" ht="15" hidden="false" customHeight="false" outlineLevel="0" collapsed="false">
      <c r="A5599" s="2" t="s">
        <v>409</v>
      </c>
      <c r="B5599" s="2" t="s">
        <v>410</v>
      </c>
      <c r="C5599" s="2" t="s">
        <v>17</v>
      </c>
      <c r="D5599" s="3" t="n">
        <v>46252</v>
      </c>
      <c r="E5599" s="2" t="str">
        <f aca="false">TEXT(D5599,"dddd")</f>
        <v>Tuesday</v>
      </c>
      <c r="F5599" s="2" t="s">
        <v>457</v>
      </c>
      <c r="G5599" s="2" t="s">
        <v>458</v>
      </c>
      <c r="H5599" s="2" t="s">
        <v>459</v>
      </c>
      <c r="I5599" s="2" t="n">
        <f aca="false">IF(F5599="Present",9,IF(F5599="Half Day",4,0))</f>
        <v>9</v>
      </c>
      <c r="J5599" s="2"/>
      <c r="K5599" s="2"/>
    </row>
    <row r="5600" customFormat="false" ht="15" hidden="false" customHeight="false" outlineLevel="0" collapsed="false">
      <c r="A5600" s="2" t="s">
        <v>409</v>
      </c>
      <c r="B5600" s="2" t="s">
        <v>410</v>
      </c>
      <c r="C5600" s="2" t="s">
        <v>17</v>
      </c>
      <c r="D5600" s="3" t="n">
        <v>46253</v>
      </c>
      <c r="E5600" s="2" t="str">
        <f aca="false">TEXT(D5600,"dddd")</f>
        <v>Wednesday</v>
      </c>
      <c r="F5600" s="2" t="s">
        <v>466</v>
      </c>
      <c r="G5600" s="2" t="s">
        <v>458</v>
      </c>
      <c r="H5600" s="2" t="s">
        <v>467</v>
      </c>
      <c r="I5600" s="2" t="n">
        <f aca="false">IF(F5600="Present",9,IF(F5600="Half Day",4,0))</f>
        <v>4</v>
      </c>
      <c r="J5600" s="2"/>
      <c r="K5600" s="2" t="s">
        <v>466</v>
      </c>
    </row>
    <row r="5601" customFormat="false" ht="15" hidden="false" customHeight="false" outlineLevel="0" collapsed="false">
      <c r="A5601" s="2" t="s">
        <v>409</v>
      </c>
      <c r="B5601" s="2" t="s">
        <v>410</v>
      </c>
      <c r="C5601" s="2" t="s">
        <v>17</v>
      </c>
      <c r="D5601" s="3" t="n">
        <v>46254</v>
      </c>
      <c r="E5601" s="2" t="str">
        <f aca="false">TEXT(D5601,"dddd")</f>
        <v>Thursday</v>
      </c>
      <c r="F5601" s="2" t="s">
        <v>457</v>
      </c>
      <c r="G5601" s="2" t="s">
        <v>458</v>
      </c>
      <c r="H5601" s="2" t="s">
        <v>459</v>
      </c>
      <c r="I5601" s="2" t="n">
        <f aca="false">IF(F5601="Present",9,IF(F5601="Half Day",4,0))</f>
        <v>9</v>
      </c>
      <c r="J5601" s="2"/>
      <c r="K5601" s="2"/>
    </row>
    <row r="5602" customFormat="false" ht="15" hidden="false" customHeight="false" outlineLevel="0" collapsed="false">
      <c r="A5602" s="2" t="s">
        <v>409</v>
      </c>
      <c r="B5602" s="2" t="s">
        <v>410</v>
      </c>
      <c r="C5602" s="2" t="s">
        <v>17</v>
      </c>
      <c r="D5602" s="3" t="n">
        <v>46255</v>
      </c>
      <c r="E5602" s="2" t="str">
        <f aca="false">TEXT(D5602,"dddd")</f>
        <v>Friday</v>
      </c>
      <c r="F5602" s="2" t="s">
        <v>457</v>
      </c>
      <c r="G5602" s="2" t="s">
        <v>458</v>
      </c>
      <c r="H5602" s="2" t="s">
        <v>459</v>
      </c>
      <c r="I5602" s="2" t="n">
        <f aca="false">IF(F5602="Present",9,IF(F5602="Half Day",4,0))</f>
        <v>9</v>
      </c>
      <c r="J5602" s="2"/>
      <c r="K5602" s="2"/>
    </row>
    <row r="5603" customFormat="false" ht="15" hidden="false" customHeight="false" outlineLevel="0" collapsed="false">
      <c r="A5603" s="2" t="s">
        <v>409</v>
      </c>
      <c r="B5603" s="2" t="s">
        <v>410</v>
      </c>
      <c r="C5603" s="2" t="s">
        <v>17</v>
      </c>
      <c r="D5603" s="3" t="n">
        <v>46256</v>
      </c>
      <c r="E5603" s="2" t="str">
        <f aca="false">TEXT(D5603,"dddd")</f>
        <v>Saturday</v>
      </c>
      <c r="F5603" s="2" t="s">
        <v>457</v>
      </c>
      <c r="G5603" s="2" t="s">
        <v>458</v>
      </c>
      <c r="H5603" s="2" t="s">
        <v>459</v>
      </c>
      <c r="I5603" s="2" t="n">
        <f aca="false">IF(F5603="Present",9,IF(F5603="Half Day",4,0))</f>
        <v>9</v>
      </c>
      <c r="J5603" s="2"/>
      <c r="K5603" s="2"/>
    </row>
    <row r="5604" customFormat="false" ht="15" hidden="false" customHeight="false" outlineLevel="0" collapsed="false">
      <c r="A5604" s="2" t="s">
        <v>409</v>
      </c>
      <c r="B5604" s="2" t="s">
        <v>410</v>
      </c>
      <c r="C5604" s="2" t="s">
        <v>17</v>
      </c>
      <c r="D5604" s="3" t="n">
        <v>46257</v>
      </c>
      <c r="E5604" s="2" t="str">
        <f aca="false">TEXT(D5604,"dddd")</f>
        <v>Sunday</v>
      </c>
      <c r="F5604" s="2" t="s">
        <v>460</v>
      </c>
      <c r="G5604" s="2"/>
      <c r="H5604" s="2"/>
      <c r="I5604" s="2" t="n">
        <f aca="false">IF(F5604="Present",9,IF(F5604="Half Day",4,0))</f>
        <v>0</v>
      </c>
      <c r="J5604" s="2"/>
      <c r="K5604" s="2" t="s">
        <v>460</v>
      </c>
    </row>
    <row r="5605" customFormat="false" ht="15" hidden="false" customHeight="false" outlineLevel="0" collapsed="false">
      <c r="A5605" s="2" t="s">
        <v>409</v>
      </c>
      <c r="B5605" s="2" t="s">
        <v>410</v>
      </c>
      <c r="C5605" s="2" t="s">
        <v>17</v>
      </c>
      <c r="D5605" s="3" t="n">
        <v>46258</v>
      </c>
      <c r="E5605" s="2" t="str">
        <f aca="false">TEXT(D5605,"dddd")</f>
        <v>Monday</v>
      </c>
      <c r="F5605" s="2" t="s">
        <v>457</v>
      </c>
      <c r="G5605" s="2" t="s">
        <v>458</v>
      </c>
      <c r="H5605" s="2" t="s">
        <v>459</v>
      </c>
      <c r="I5605" s="2" t="n">
        <f aca="false">IF(F5605="Present",9,IF(F5605="Half Day",4,0))</f>
        <v>9</v>
      </c>
      <c r="J5605" s="2"/>
      <c r="K5605" s="2"/>
    </row>
    <row r="5606" customFormat="false" ht="15" hidden="false" customHeight="false" outlineLevel="0" collapsed="false">
      <c r="A5606" s="2" t="s">
        <v>409</v>
      </c>
      <c r="B5606" s="2" t="s">
        <v>410</v>
      </c>
      <c r="C5606" s="2" t="s">
        <v>17</v>
      </c>
      <c r="D5606" s="3" t="n">
        <v>46259</v>
      </c>
      <c r="E5606" s="2" t="str">
        <f aca="false">TEXT(D5606,"dddd")</f>
        <v>Tuesday</v>
      </c>
      <c r="F5606" s="2" t="s">
        <v>457</v>
      </c>
      <c r="G5606" s="2" t="s">
        <v>458</v>
      </c>
      <c r="H5606" s="2" t="s">
        <v>459</v>
      </c>
      <c r="I5606" s="2" t="n">
        <f aca="false">IF(F5606="Present",9,IF(F5606="Half Day",4,0))</f>
        <v>9</v>
      </c>
      <c r="J5606" s="2"/>
      <c r="K5606" s="2"/>
    </row>
    <row r="5607" customFormat="false" ht="15" hidden="false" customHeight="false" outlineLevel="0" collapsed="false">
      <c r="A5607" s="2" t="s">
        <v>409</v>
      </c>
      <c r="B5607" s="2" t="s">
        <v>410</v>
      </c>
      <c r="C5607" s="2" t="s">
        <v>17</v>
      </c>
      <c r="D5607" s="3" t="n">
        <v>46260</v>
      </c>
      <c r="E5607" s="2" t="str">
        <f aca="false">TEXT(D5607,"dddd")</f>
        <v>Wednesday</v>
      </c>
      <c r="F5607" s="2" t="s">
        <v>457</v>
      </c>
      <c r="G5607" s="2" t="s">
        <v>458</v>
      </c>
      <c r="H5607" s="2" t="s">
        <v>459</v>
      </c>
      <c r="I5607" s="2" t="n">
        <f aca="false">IF(F5607="Present",9,IF(F5607="Half Day",4,0))</f>
        <v>9</v>
      </c>
      <c r="J5607" s="2"/>
      <c r="K5607" s="2"/>
    </row>
    <row r="5608" customFormat="false" ht="15" hidden="false" customHeight="false" outlineLevel="0" collapsed="false">
      <c r="A5608" s="2" t="s">
        <v>409</v>
      </c>
      <c r="B5608" s="2" t="s">
        <v>410</v>
      </c>
      <c r="C5608" s="2" t="s">
        <v>17</v>
      </c>
      <c r="D5608" s="3" t="n">
        <v>46261</v>
      </c>
      <c r="E5608" s="2" t="str">
        <f aca="false">TEXT(D5608,"dddd")</f>
        <v>Thursday</v>
      </c>
      <c r="F5608" s="2" t="s">
        <v>457</v>
      </c>
      <c r="G5608" s="2" t="s">
        <v>458</v>
      </c>
      <c r="H5608" s="2" t="s">
        <v>459</v>
      </c>
      <c r="I5608" s="2" t="n">
        <f aca="false">IF(F5608="Present",9,IF(F5608="Half Day",4,0))</f>
        <v>9</v>
      </c>
      <c r="J5608" s="2"/>
      <c r="K5608" s="2"/>
    </row>
    <row r="5609" customFormat="false" ht="15" hidden="false" customHeight="false" outlineLevel="0" collapsed="false">
      <c r="A5609" s="2" t="s">
        <v>409</v>
      </c>
      <c r="B5609" s="2" t="s">
        <v>410</v>
      </c>
      <c r="C5609" s="2" t="s">
        <v>17</v>
      </c>
      <c r="D5609" s="3" t="n">
        <v>46262</v>
      </c>
      <c r="E5609" s="2" t="str">
        <f aca="false">TEXT(D5609,"dddd")</f>
        <v>Friday</v>
      </c>
      <c r="F5609" s="2" t="s">
        <v>457</v>
      </c>
      <c r="G5609" s="2" t="s">
        <v>458</v>
      </c>
      <c r="H5609" s="2" t="s">
        <v>459</v>
      </c>
      <c r="I5609" s="2" t="n">
        <f aca="false">IF(F5609="Present",9,IF(F5609="Half Day",4,0))</f>
        <v>9</v>
      </c>
      <c r="J5609" s="2"/>
      <c r="K5609" s="2"/>
    </row>
    <row r="5610" customFormat="false" ht="15" hidden="false" customHeight="false" outlineLevel="0" collapsed="false">
      <c r="A5610" s="2" t="s">
        <v>409</v>
      </c>
      <c r="B5610" s="2" t="s">
        <v>410</v>
      </c>
      <c r="C5610" s="2" t="s">
        <v>17</v>
      </c>
      <c r="D5610" s="3" t="n">
        <v>46263</v>
      </c>
      <c r="E5610" s="2" t="str">
        <f aca="false">TEXT(D5610,"dddd")</f>
        <v>Saturday</v>
      </c>
      <c r="F5610" s="2" t="s">
        <v>457</v>
      </c>
      <c r="G5610" s="2" t="s">
        <v>458</v>
      </c>
      <c r="H5610" s="2" t="s">
        <v>459</v>
      </c>
      <c r="I5610" s="2" t="n">
        <f aca="false">IF(F5610="Present",9,IF(F5610="Half Day",4,0))</f>
        <v>9</v>
      </c>
      <c r="J5610" s="2"/>
      <c r="K5610" s="2"/>
    </row>
    <row r="5611" customFormat="false" ht="15" hidden="false" customHeight="false" outlineLevel="0" collapsed="false">
      <c r="A5611" s="2" t="s">
        <v>409</v>
      </c>
      <c r="B5611" s="2" t="s">
        <v>410</v>
      </c>
      <c r="C5611" s="2" t="s">
        <v>17</v>
      </c>
      <c r="D5611" s="3" t="n">
        <v>46264</v>
      </c>
      <c r="E5611" s="2" t="str">
        <f aca="false">TEXT(D5611,"dddd")</f>
        <v>Sunday</v>
      </c>
      <c r="F5611" s="2" t="s">
        <v>460</v>
      </c>
      <c r="G5611" s="2"/>
      <c r="H5611" s="2"/>
      <c r="I5611" s="2" t="n">
        <f aca="false">IF(F5611="Present",9,IF(F5611="Half Day",4,0))</f>
        <v>0</v>
      </c>
      <c r="J5611" s="2"/>
      <c r="K5611" s="2" t="s">
        <v>460</v>
      </c>
    </row>
    <row r="5612" customFormat="false" ht="15" hidden="false" customHeight="false" outlineLevel="0" collapsed="false">
      <c r="A5612" s="2" t="s">
        <v>409</v>
      </c>
      <c r="B5612" s="2" t="s">
        <v>410</v>
      </c>
      <c r="C5612" s="2" t="s">
        <v>17</v>
      </c>
      <c r="D5612" s="3" t="n">
        <v>46265</v>
      </c>
      <c r="E5612" s="2" t="str">
        <f aca="false">TEXT(D5612,"dddd")</f>
        <v>Monday</v>
      </c>
      <c r="F5612" s="2" t="s">
        <v>461</v>
      </c>
      <c r="G5612" s="2"/>
      <c r="H5612" s="2"/>
      <c r="I5612" s="2" t="n">
        <f aca="false">IF(F5612="Present",9,IF(F5612="Half Day",4,0))</f>
        <v>0</v>
      </c>
      <c r="J5612" s="2"/>
      <c r="K5612" s="2" t="s">
        <v>462</v>
      </c>
    </row>
    <row r="5613" customFormat="false" ht="15" hidden="false" customHeight="false" outlineLevel="0" collapsed="false">
      <c r="A5613" s="2" t="s">
        <v>411</v>
      </c>
      <c r="B5613" s="2" t="s">
        <v>412</v>
      </c>
      <c r="C5613" s="2" t="s">
        <v>24</v>
      </c>
      <c r="D5613" s="3" t="n">
        <v>46235</v>
      </c>
      <c r="E5613" s="2" t="str">
        <f aca="false">TEXT(D5613,"dddd")</f>
        <v>Saturday</v>
      </c>
      <c r="F5613" s="2" t="s">
        <v>457</v>
      </c>
      <c r="G5613" s="2" t="s">
        <v>458</v>
      </c>
      <c r="H5613" s="2" t="s">
        <v>459</v>
      </c>
      <c r="I5613" s="2" t="n">
        <f aca="false">IF(F5613="Present",9,IF(F5613="Half Day",4,0))</f>
        <v>9</v>
      </c>
      <c r="J5613" s="2"/>
      <c r="K5613" s="2"/>
    </row>
    <row r="5614" customFormat="false" ht="15" hidden="false" customHeight="false" outlineLevel="0" collapsed="false">
      <c r="A5614" s="2" t="s">
        <v>411</v>
      </c>
      <c r="B5614" s="2" t="s">
        <v>412</v>
      </c>
      <c r="C5614" s="2" t="s">
        <v>24</v>
      </c>
      <c r="D5614" s="3" t="n">
        <v>46236</v>
      </c>
      <c r="E5614" s="2" t="str">
        <f aca="false">TEXT(D5614,"dddd")</f>
        <v>Sunday</v>
      </c>
      <c r="F5614" s="2" t="s">
        <v>460</v>
      </c>
      <c r="G5614" s="2"/>
      <c r="H5614" s="2"/>
      <c r="I5614" s="2" t="n">
        <f aca="false">IF(F5614="Present",9,IF(F5614="Half Day",4,0))</f>
        <v>0</v>
      </c>
      <c r="J5614" s="2"/>
      <c r="K5614" s="2" t="s">
        <v>460</v>
      </c>
    </row>
    <row r="5615" customFormat="false" ht="15" hidden="false" customHeight="false" outlineLevel="0" collapsed="false">
      <c r="A5615" s="2" t="s">
        <v>411</v>
      </c>
      <c r="B5615" s="2" t="s">
        <v>412</v>
      </c>
      <c r="C5615" s="2" t="s">
        <v>24</v>
      </c>
      <c r="D5615" s="3" t="n">
        <v>46237</v>
      </c>
      <c r="E5615" s="2" t="str">
        <f aca="false">TEXT(D5615,"dddd")</f>
        <v>Monday</v>
      </c>
      <c r="F5615" s="2" t="s">
        <v>457</v>
      </c>
      <c r="G5615" s="2" t="s">
        <v>458</v>
      </c>
      <c r="H5615" s="2" t="s">
        <v>459</v>
      </c>
      <c r="I5615" s="2" t="n">
        <f aca="false">IF(F5615="Present",9,IF(F5615="Half Day",4,0))</f>
        <v>9</v>
      </c>
      <c r="J5615" s="2"/>
      <c r="K5615" s="2"/>
    </row>
    <row r="5616" customFormat="false" ht="15" hidden="false" customHeight="false" outlineLevel="0" collapsed="false">
      <c r="A5616" s="2" t="s">
        <v>411</v>
      </c>
      <c r="B5616" s="2" t="s">
        <v>412</v>
      </c>
      <c r="C5616" s="2" t="s">
        <v>24</v>
      </c>
      <c r="D5616" s="3" t="n">
        <v>46238</v>
      </c>
      <c r="E5616" s="2" t="str">
        <f aca="false">TEXT(D5616,"dddd")</f>
        <v>Tuesday</v>
      </c>
      <c r="F5616" s="2" t="s">
        <v>457</v>
      </c>
      <c r="G5616" s="2" t="s">
        <v>458</v>
      </c>
      <c r="H5616" s="2" t="s">
        <v>459</v>
      </c>
      <c r="I5616" s="2" t="n">
        <f aca="false">IF(F5616="Present",9,IF(F5616="Half Day",4,0))</f>
        <v>9</v>
      </c>
      <c r="J5616" s="2"/>
      <c r="K5616" s="2"/>
    </row>
    <row r="5617" customFormat="false" ht="15" hidden="false" customHeight="false" outlineLevel="0" collapsed="false">
      <c r="A5617" s="2" t="s">
        <v>411</v>
      </c>
      <c r="B5617" s="2" t="s">
        <v>412</v>
      </c>
      <c r="C5617" s="2" t="s">
        <v>24</v>
      </c>
      <c r="D5617" s="3" t="n">
        <v>46239</v>
      </c>
      <c r="E5617" s="2" t="str">
        <f aca="false">TEXT(D5617,"dddd")</f>
        <v>Wednesday</v>
      </c>
      <c r="F5617" s="2" t="s">
        <v>457</v>
      </c>
      <c r="G5617" s="2" t="s">
        <v>458</v>
      </c>
      <c r="H5617" s="2" t="s">
        <v>459</v>
      </c>
      <c r="I5617" s="2" t="n">
        <f aca="false">IF(F5617="Present",9,IF(F5617="Half Day",4,0))</f>
        <v>9</v>
      </c>
      <c r="J5617" s="2"/>
      <c r="K5617" s="2"/>
    </row>
    <row r="5618" customFormat="false" ht="15" hidden="false" customHeight="false" outlineLevel="0" collapsed="false">
      <c r="A5618" s="2" t="s">
        <v>411</v>
      </c>
      <c r="B5618" s="2" t="s">
        <v>412</v>
      </c>
      <c r="C5618" s="2" t="s">
        <v>24</v>
      </c>
      <c r="D5618" s="3" t="n">
        <v>46240</v>
      </c>
      <c r="E5618" s="2" t="str">
        <f aca="false">TEXT(D5618,"dddd")</f>
        <v>Thursday</v>
      </c>
      <c r="F5618" s="2" t="s">
        <v>457</v>
      </c>
      <c r="G5618" s="2" t="s">
        <v>458</v>
      </c>
      <c r="H5618" s="2" t="s">
        <v>459</v>
      </c>
      <c r="I5618" s="2" t="n">
        <f aca="false">IF(F5618="Present",9,IF(F5618="Half Day",4,0))</f>
        <v>9</v>
      </c>
      <c r="J5618" s="2"/>
      <c r="K5618" s="2"/>
    </row>
    <row r="5619" customFormat="false" ht="15" hidden="false" customHeight="false" outlineLevel="0" collapsed="false">
      <c r="A5619" s="2" t="s">
        <v>411</v>
      </c>
      <c r="B5619" s="2" t="s">
        <v>412</v>
      </c>
      <c r="C5619" s="2" t="s">
        <v>24</v>
      </c>
      <c r="D5619" s="3" t="n">
        <v>46241</v>
      </c>
      <c r="E5619" s="2" t="str">
        <f aca="false">TEXT(D5619,"dddd")</f>
        <v>Friday</v>
      </c>
      <c r="F5619" s="2" t="s">
        <v>457</v>
      </c>
      <c r="G5619" s="2" t="s">
        <v>458</v>
      </c>
      <c r="H5619" s="2" t="s">
        <v>459</v>
      </c>
      <c r="I5619" s="2" t="n">
        <f aca="false">IF(F5619="Present",9,IF(F5619="Half Day",4,0))</f>
        <v>9</v>
      </c>
      <c r="J5619" s="2"/>
      <c r="K5619" s="2"/>
    </row>
    <row r="5620" customFormat="false" ht="15" hidden="false" customHeight="false" outlineLevel="0" collapsed="false">
      <c r="A5620" s="2" t="s">
        <v>411</v>
      </c>
      <c r="B5620" s="2" t="s">
        <v>412</v>
      </c>
      <c r="C5620" s="2" t="s">
        <v>24</v>
      </c>
      <c r="D5620" s="3" t="n">
        <v>46242</v>
      </c>
      <c r="E5620" s="2" t="str">
        <f aca="false">TEXT(D5620,"dddd")</f>
        <v>Saturday</v>
      </c>
      <c r="F5620" s="2" t="s">
        <v>457</v>
      </c>
      <c r="G5620" s="2" t="s">
        <v>458</v>
      </c>
      <c r="H5620" s="2" t="s">
        <v>459</v>
      </c>
      <c r="I5620" s="2" t="n">
        <f aca="false">IF(F5620="Present",9,IF(F5620="Half Day",4,0))</f>
        <v>9</v>
      </c>
      <c r="J5620" s="2"/>
      <c r="K5620" s="2"/>
    </row>
    <row r="5621" customFormat="false" ht="15" hidden="false" customHeight="false" outlineLevel="0" collapsed="false">
      <c r="A5621" s="2" t="s">
        <v>411</v>
      </c>
      <c r="B5621" s="2" t="s">
        <v>412</v>
      </c>
      <c r="C5621" s="2" t="s">
        <v>24</v>
      </c>
      <c r="D5621" s="3" t="n">
        <v>46243</v>
      </c>
      <c r="E5621" s="2" t="str">
        <f aca="false">TEXT(D5621,"dddd")</f>
        <v>Sunday</v>
      </c>
      <c r="F5621" s="2" t="s">
        <v>460</v>
      </c>
      <c r="G5621" s="2"/>
      <c r="H5621" s="2"/>
      <c r="I5621" s="2" t="n">
        <f aca="false">IF(F5621="Present",9,IF(F5621="Half Day",4,0))</f>
        <v>0</v>
      </c>
      <c r="J5621" s="2"/>
      <c r="K5621" s="2" t="s">
        <v>460</v>
      </c>
    </row>
    <row r="5622" customFormat="false" ht="15" hidden="false" customHeight="false" outlineLevel="0" collapsed="false">
      <c r="A5622" s="2" t="s">
        <v>411</v>
      </c>
      <c r="B5622" s="2" t="s">
        <v>412</v>
      </c>
      <c r="C5622" s="2" t="s">
        <v>24</v>
      </c>
      <c r="D5622" s="3" t="n">
        <v>46244</v>
      </c>
      <c r="E5622" s="2" t="str">
        <f aca="false">TEXT(D5622,"dddd")</f>
        <v>Monday</v>
      </c>
      <c r="F5622" s="2" t="s">
        <v>461</v>
      </c>
      <c r="G5622" s="2"/>
      <c r="H5622" s="2"/>
      <c r="I5622" s="2" t="n">
        <f aca="false">IF(F5622="Present",9,IF(F5622="Half Day",4,0))</f>
        <v>0</v>
      </c>
      <c r="J5622" s="2"/>
      <c r="K5622" s="2" t="s">
        <v>462</v>
      </c>
    </row>
    <row r="5623" customFormat="false" ht="15" hidden="false" customHeight="false" outlineLevel="0" collapsed="false">
      <c r="A5623" s="2" t="s">
        <v>411</v>
      </c>
      <c r="B5623" s="2" t="s">
        <v>412</v>
      </c>
      <c r="C5623" s="2" t="s">
        <v>24</v>
      </c>
      <c r="D5623" s="3" t="n">
        <v>46245</v>
      </c>
      <c r="E5623" s="2" t="str">
        <f aca="false">TEXT(D5623,"dddd")</f>
        <v>Tuesday</v>
      </c>
      <c r="F5623" s="2" t="s">
        <v>457</v>
      </c>
      <c r="G5623" s="2" t="s">
        <v>458</v>
      </c>
      <c r="H5623" s="2" t="s">
        <v>459</v>
      </c>
      <c r="I5623" s="2" t="n">
        <f aca="false">IF(F5623="Present",9,IF(F5623="Half Day",4,0))</f>
        <v>9</v>
      </c>
      <c r="J5623" s="2"/>
      <c r="K5623" s="2"/>
    </row>
    <row r="5624" customFormat="false" ht="15" hidden="false" customHeight="false" outlineLevel="0" collapsed="false">
      <c r="A5624" s="2" t="s">
        <v>411</v>
      </c>
      <c r="B5624" s="2" t="s">
        <v>412</v>
      </c>
      <c r="C5624" s="2" t="s">
        <v>24</v>
      </c>
      <c r="D5624" s="3" t="n">
        <v>46246</v>
      </c>
      <c r="E5624" s="2" t="str">
        <f aca="false">TEXT(D5624,"dddd")</f>
        <v>Wednesday</v>
      </c>
      <c r="F5624" s="2" t="s">
        <v>457</v>
      </c>
      <c r="G5624" s="2" t="s">
        <v>458</v>
      </c>
      <c r="H5624" s="2" t="s">
        <v>459</v>
      </c>
      <c r="I5624" s="2" t="n">
        <f aca="false">IF(F5624="Present",9,IF(F5624="Half Day",4,0))</f>
        <v>9</v>
      </c>
      <c r="J5624" s="2"/>
      <c r="K5624" s="2"/>
    </row>
    <row r="5625" customFormat="false" ht="15" hidden="false" customHeight="false" outlineLevel="0" collapsed="false">
      <c r="A5625" s="2" t="s">
        <v>411</v>
      </c>
      <c r="B5625" s="2" t="s">
        <v>412</v>
      </c>
      <c r="C5625" s="2" t="s">
        <v>24</v>
      </c>
      <c r="D5625" s="3" t="n">
        <v>46247</v>
      </c>
      <c r="E5625" s="2" t="str">
        <f aca="false">TEXT(D5625,"dddd")</f>
        <v>Thursday</v>
      </c>
      <c r="F5625" s="2" t="s">
        <v>457</v>
      </c>
      <c r="G5625" s="2" t="s">
        <v>458</v>
      </c>
      <c r="H5625" s="2" t="s">
        <v>459</v>
      </c>
      <c r="I5625" s="2" t="n">
        <f aca="false">IF(F5625="Present",9,IF(F5625="Half Day",4,0))</f>
        <v>9</v>
      </c>
      <c r="J5625" s="2"/>
      <c r="K5625" s="2"/>
    </row>
    <row r="5626" customFormat="false" ht="15" hidden="false" customHeight="false" outlineLevel="0" collapsed="false">
      <c r="A5626" s="2" t="s">
        <v>411</v>
      </c>
      <c r="B5626" s="2" t="s">
        <v>412</v>
      </c>
      <c r="C5626" s="2" t="s">
        <v>24</v>
      </c>
      <c r="D5626" s="3" t="n">
        <v>46248</v>
      </c>
      <c r="E5626" s="2" t="str">
        <f aca="false">TEXT(D5626,"dddd")</f>
        <v>Friday</v>
      </c>
      <c r="F5626" s="2" t="s">
        <v>457</v>
      </c>
      <c r="G5626" s="2" t="s">
        <v>458</v>
      </c>
      <c r="H5626" s="2" t="s">
        <v>459</v>
      </c>
      <c r="I5626" s="2" t="n">
        <f aca="false">IF(F5626="Present",9,IF(F5626="Half Day",4,0))</f>
        <v>9</v>
      </c>
      <c r="J5626" s="2"/>
      <c r="K5626" s="2"/>
    </row>
    <row r="5627" customFormat="false" ht="15" hidden="false" customHeight="false" outlineLevel="0" collapsed="false">
      <c r="A5627" s="2" t="s">
        <v>411</v>
      </c>
      <c r="B5627" s="2" t="s">
        <v>412</v>
      </c>
      <c r="C5627" s="2" t="s">
        <v>24</v>
      </c>
      <c r="D5627" s="3" t="n">
        <v>46249</v>
      </c>
      <c r="E5627" s="2" t="str">
        <f aca="false">TEXT(D5627,"dddd")</f>
        <v>Saturday</v>
      </c>
      <c r="F5627" s="2" t="s">
        <v>457</v>
      </c>
      <c r="G5627" s="2" t="s">
        <v>458</v>
      </c>
      <c r="H5627" s="2" t="s">
        <v>459</v>
      </c>
      <c r="I5627" s="2" t="n">
        <f aca="false">IF(F5627="Present",9,IF(F5627="Half Day",4,0))</f>
        <v>9</v>
      </c>
      <c r="J5627" s="2"/>
      <c r="K5627" s="2"/>
    </row>
    <row r="5628" customFormat="false" ht="15" hidden="false" customHeight="false" outlineLevel="0" collapsed="false">
      <c r="A5628" s="2" t="s">
        <v>411</v>
      </c>
      <c r="B5628" s="2" t="s">
        <v>412</v>
      </c>
      <c r="C5628" s="2" t="s">
        <v>24</v>
      </c>
      <c r="D5628" s="3" t="n">
        <v>46250</v>
      </c>
      <c r="E5628" s="2" t="str">
        <f aca="false">TEXT(D5628,"dddd")</f>
        <v>Sunday</v>
      </c>
      <c r="F5628" s="2" t="s">
        <v>460</v>
      </c>
      <c r="G5628" s="2"/>
      <c r="H5628" s="2"/>
      <c r="I5628" s="2" t="n">
        <f aca="false">IF(F5628="Present",9,IF(F5628="Half Day",4,0))</f>
        <v>0</v>
      </c>
      <c r="J5628" s="2"/>
      <c r="K5628" s="2" t="s">
        <v>460</v>
      </c>
    </row>
    <row r="5629" customFormat="false" ht="15" hidden="false" customHeight="false" outlineLevel="0" collapsed="false">
      <c r="A5629" s="2" t="s">
        <v>411</v>
      </c>
      <c r="B5629" s="2" t="s">
        <v>412</v>
      </c>
      <c r="C5629" s="2" t="s">
        <v>24</v>
      </c>
      <c r="D5629" s="3" t="n">
        <v>46251</v>
      </c>
      <c r="E5629" s="2" t="str">
        <f aca="false">TEXT(D5629,"dddd")</f>
        <v>Monday</v>
      </c>
      <c r="F5629" s="2" t="s">
        <v>457</v>
      </c>
      <c r="G5629" s="2" t="s">
        <v>458</v>
      </c>
      <c r="H5629" s="2" t="s">
        <v>459</v>
      </c>
      <c r="I5629" s="2" t="n">
        <f aca="false">IF(F5629="Present",9,IF(F5629="Half Day",4,0))</f>
        <v>9</v>
      </c>
      <c r="J5629" s="2"/>
      <c r="K5629" s="2"/>
    </row>
    <row r="5630" customFormat="false" ht="15" hidden="false" customHeight="false" outlineLevel="0" collapsed="false">
      <c r="A5630" s="2" t="s">
        <v>411</v>
      </c>
      <c r="B5630" s="2" t="s">
        <v>412</v>
      </c>
      <c r="C5630" s="2" t="s">
        <v>24</v>
      </c>
      <c r="D5630" s="3" t="n">
        <v>46252</v>
      </c>
      <c r="E5630" s="2" t="str">
        <f aca="false">TEXT(D5630,"dddd")</f>
        <v>Tuesday</v>
      </c>
      <c r="F5630" s="2" t="s">
        <v>457</v>
      </c>
      <c r="G5630" s="2" t="s">
        <v>458</v>
      </c>
      <c r="H5630" s="2" t="s">
        <v>459</v>
      </c>
      <c r="I5630" s="2" t="n">
        <f aca="false">IF(F5630="Present",9,IF(F5630="Half Day",4,0))</f>
        <v>9</v>
      </c>
      <c r="J5630" s="2"/>
      <c r="K5630" s="2"/>
    </row>
    <row r="5631" customFormat="false" ht="15" hidden="false" customHeight="false" outlineLevel="0" collapsed="false">
      <c r="A5631" s="2" t="s">
        <v>411</v>
      </c>
      <c r="B5631" s="2" t="s">
        <v>412</v>
      </c>
      <c r="C5631" s="2" t="s">
        <v>24</v>
      </c>
      <c r="D5631" s="3" t="n">
        <v>46253</v>
      </c>
      <c r="E5631" s="2" t="str">
        <f aca="false">TEXT(D5631,"dddd")</f>
        <v>Wednesday</v>
      </c>
      <c r="F5631" s="2" t="s">
        <v>457</v>
      </c>
      <c r="G5631" s="2" t="s">
        <v>458</v>
      </c>
      <c r="H5631" s="2" t="s">
        <v>459</v>
      </c>
      <c r="I5631" s="2" t="n">
        <f aca="false">IF(F5631="Present",9,IF(F5631="Half Day",4,0))</f>
        <v>9</v>
      </c>
      <c r="J5631" s="2"/>
      <c r="K5631" s="2"/>
    </row>
    <row r="5632" customFormat="false" ht="15" hidden="false" customHeight="false" outlineLevel="0" collapsed="false">
      <c r="A5632" s="2" t="s">
        <v>411</v>
      </c>
      <c r="B5632" s="2" t="s">
        <v>412</v>
      </c>
      <c r="C5632" s="2" t="s">
        <v>24</v>
      </c>
      <c r="D5632" s="3" t="n">
        <v>46254</v>
      </c>
      <c r="E5632" s="2" t="str">
        <f aca="false">TEXT(D5632,"dddd")</f>
        <v>Thursday</v>
      </c>
      <c r="F5632" s="2" t="s">
        <v>457</v>
      </c>
      <c r="G5632" s="2" t="s">
        <v>458</v>
      </c>
      <c r="H5632" s="2" t="s">
        <v>459</v>
      </c>
      <c r="I5632" s="2" t="n">
        <f aca="false">IF(F5632="Present",9,IF(F5632="Half Day",4,0))</f>
        <v>9</v>
      </c>
      <c r="J5632" s="2"/>
      <c r="K5632" s="2"/>
    </row>
    <row r="5633" customFormat="false" ht="15" hidden="false" customHeight="false" outlineLevel="0" collapsed="false">
      <c r="A5633" s="2" t="s">
        <v>411</v>
      </c>
      <c r="B5633" s="2" t="s">
        <v>412</v>
      </c>
      <c r="C5633" s="2" t="s">
        <v>24</v>
      </c>
      <c r="D5633" s="3" t="n">
        <v>46255</v>
      </c>
      <c r="E5633" s="2" t="str">
        <f aca="false">TEXT(D5633,"dddd")</f>
        <v>Friday</v>
      </c>
      <c r="F5633" s="2" t="s">
        <v>457</v>
      </c>
      <c r="G5633" s="2" t="s">
        <v>458</v>
      </c>
      <c r="H5633" s="2" t="s">
        <v>459</v>
      </c>
      <c r="I5633" s="2" t="n">
        <f aca="false">IF(F5633="Present",9,IF(F5633="Half Day",4,0))</f>
        <v>9</v>
      </c>
      <c r="J5633" s="2"/>
      <c r="K5633" s="2"/>
    </row>
    <row r="5634" customFormat="false" ht="15" hidden="false" customHeight="false" outlineLevel="0" collapsed="false">
      <c r="A5634" s="2" t="s">
        <v>411</v>
      </c>
      <c r="B5634" s="2" t="s">
        <v>412</v>
      </c>
      <c r="C5634" s="2" t="s">
        <v>24</v>
      </c>
      <c r="D5634" s="3" t="n">
        <v>46256</v>
      </c>
      <c r="E5634" s="2" t="str">
        <f aca="false">TEXT(D5634,"dddd")</f>
        <v>Saturday</v>
      </c>
      <c r="F5634" s="2" t="s">
        <v>457</v>
      </c>
      <c r="G5634" s="2" t="s">
        <v>458</v>
      </c>
      <c r="H5634" s="2" t="s">
        <v>459</v>
      </c>
      <c r="I5634" s="2" t="n">
        <f aca="false">IF(F5634="Present",9,IF(F5634="Half Day",4,0))</f>
        <v>9</v>
      </c>
      <c r="J5634" s="2"/>
      <c r="K5634" s="2"/>
    </row>
    <row r="5635" customFormat="false" ht="15" hidden="false" customHeight="false" outlineLevel="0" collapsed="false">
      <c r="A5635" s="2" t="s">
        <v>411</v>
      </c>
      <c r="B5635" s="2" t="s">
        <v>412</v>
      </c>
      <c r="C5635" s="2" t="s">
        <v>24</v>
      </c>
      <c r="D5635" s="3" t="n">
        <v>46257</v>
      </c>
      <c r="E5635" s="2" t="str">
        <f aca="false">TEXT(D5635,"dddd")</f>
        <v>Sunday</v>
      </c>
      <c r="F5635" s="2" t="s">
        <v>460</v>
      </c>
      <c r="G5635" s="2"/>
      <c r="H5635" s="2"/>
      <c r="I5635" s="2" t="n">
        <f aca="false">IF(F5635="Present",9,IF(F5635="Half Day",4,0))</f>
        <v>0</v>
      </c>
      <c r="J5635" s="2"/>
      <c r="K5635" s="2" t="s">
        <v>460</v>
      </c>
    </row>
    <row r="5636" customFormat="false" ht="15" hidden="false" customHeight="false" outlineLevel="0" collapsed="false">
      <c r="A5636" s="2" t="s">
        <v>411</v>
      </c>
      <c r="B5636" s="2" t="s">
        <v>412</v>
      </c>
      <c r="C5636" s="2" t="s">
        <v>24</v>
      </c>
      <c r="D5636" s="3" t="n">
        <v>46258</v>
      </c>
      <c r="E5636" s="2" t="str">
        <f aca="false">TEXT(D5636,"dddd")</f>
        <v>Monday</v>
      </c>
      <c r="F5636" s="2" t="s">
        <v>457</v>
      </c>
      <c r="G5636" s="2" t="s">
        <v>458</v>
      </c>
      <c r="H5636" s="2" t="s">
        <v>459</v>
      </c>
      <c r="I5636" s="2" t="n">
        <f aca="false">IF(F5636="Present",9,IF(F5636="Half Day",4,0))</f>
        <v>9</v>
      </c>
      <c r="J5636" s="2"/>
      <c r="K5636" s="2"/>
    </row>
    <row r="5637" customFormat="false" ht="15" hidden="false" customHeight="false" outlineLevel="0" collapsed="false">
      <c r="A5637" s="2" t="s">
        <v>411</v>
      </c>
      <c r="B5637" s="2" t="s">
        <v>412</v>
      </c>
      <c r="C5637" s="2" t="s">
        <v>24</v>
      </c>
      <c r="D5637" s="3" t="n">
        <v>46259</v>
      </c>
      <c r="E5637" s="2" t="str">
        <f aca="false">TEXT(D5637,"dddd")</f>
        <v>Tuesday</v>
      </c>
      <c r="F5637" s="2" t="s">
        <v>457</v>
      </c>
      <c r="G5637" s="2" t="s">
        <v>458</v>
      </c>
      <c r="H5637" s="2" t="s">
        <v>459</v>
      </c>
      <c r="I5637" s="2" t="n">
        <f aca="false">IF(F5637="Present",9,IF(F5637="Half Day",4,0))</f>
        <v>9</v>
      </c>
      <c r="J5637" s="2"/>
      <c r="K5637" s="2"/>
    </row>
    <row r="5638" customFormat="false" ht="15" hidden="false" customHeight="false" outlineLevel="0" collapsed="false">
      <c r="A5638" s="2" t="s">
        <v>411</v>
      </c>
      <c r="B5638" s="2" t="s">
        <v>412</v>
      </c>
      <c r="C5638" s="2" t="s">
        <v>24</v>
      </c>
      <c r="D5638" s="3" t="n">
        <v>46260</v>
      </c>
      <c r="E5638" s="2" t="str">
        <f aca="false">TEXT(D5638,"dddd")</f>
        <v>Wednesday</v>
      </c>
      <c r="F5638" s="2" t="s">
        <v>457</v>
      </c>
      <c r="G5638" s="2" t="s">
        <v>458</v>
      </c>
      <c r="H5638" s="2" t="s">
        <v>459</v>
      </c>
      <c r="I5638" s="2" t="n">
        <f aca="false">IF(F5638="Present",9,IF(F5638="Half Day",4,0))</f>
        <v>9</v>
      </c>
      <c r="J5638" s="2"/>
      <c r="K5638" s="2"/>
    </row>
    <row r="5639" customFormat="false" ht="15" hidden="false" customHeight="false" outlineLevel="0" collapsed="false">
      <c r="A5639" s="2" t="s">
        <v>411</v>
      </c>
      <c r="B5639" s="2" t="s">
        <v>412</v>
      </c>
      <c r="C5639" s="2" t="s">
        <v>24</v>
      </c>
      <c r="D5639" s="3" t="n">
        <v>46261</v>
      </c>
      <c r="E5639" s="2" t="str">
        <f aca="false">TEXT(D5639,"dddd")</f>
        <v>Thursday</v>
      </c>
      <c r="F5639" s="2" t="s">
        <v>457</v>
      </c>
      <c r="G5639" s="2" t="s">
        <v>458</v>
      </c>
      <c r="H5639" s="2" t="s">
        <v>459</v>
      </c>
      <c r="I5639" s="2" t="n">
        <f aca="false">IF(F5639="Present",9,IF(F5639="Half Day",4,0))</f>
        <v>9</v>
      </c>
      <c r="J5639" s="2"/>
      <c r="K5639" s="2"/>
    </row>
    <row r="5640" customFormat="false" ht="15" hidden="false" customHeight="false" outlineLevel="0" collapsed="false">
      <c r="A5640" s="2" t="s">
        <v>411</v>
      </c>
      <c r="B5640" s="2" t="s">
        <v>412</v>
      </c>
      <c r="C5640" s="2" t="s">
        <v>24</v>
      </c>
      <c r="D5640" s="3" t="n">
        <v>46262</v>
      </c>
      <c r="E5640" s="2" t="str">
        <f aca="false">TEXT(D5640,"dddd")</f>
        <v>Friday</v>
      </c>
      <c r="F5640" s="2" t="s">
        <v>457</v>
      </c>
      <c r="G5640" s="2" t="s">
        <v>458</v>
      </c>
      <c r="H5640" s="2" t="s">
        <v>459</v>
      </c>
      <c r="I5640" s="2" t="n">
        <f aca="false">IF(F5640="Present",9,IF(F5640="Half Day",4,0))</f>
        <v>9</v>
      </c>
      <c r="J5640" s="2"/>
      <c r="K5640" s="2"/>
    </row>
    <row r="5641" customFormat="false" ht="15" hidden="false" customHeight="false" outlineLevel="0" collapsed="false">
      <c r="A5641" s="2" t="s">
        <v>411</v>
      </c>
      <c r="B5641" s="2" t="s">
        <v>412</v>
      </c>
      <c r="C5641" s="2" t="s">
        <v>24</v>
      </c>
      <c r="D5641" s="3" t="n">
        <v>46263</v>
      </c>
      <c r="E5641" s="2" t="str">
        <f aca="false">TEXT(D5641,"dddd")</f>
        <v>Saturday</v>
      </c>
      <c r="F5641" s="2" t="s">
        <v>457</v>
      </c>
      <c r="G5641" s="2" t="s">
        <v>458</v>
      </c>
      <c r="H5641" s="2" t="s">
        <v>459</v>
      </c>
      <c r="I5641" s="2" t="n">
        <f aca="false">IF(F5641="Present",9,IF(F5641="Half Day",4,0))</f>
        <v>9</v>
      </c>
      <c r="J5641" s="2"/>
      <c r="K5641" s="2"/>
    </row>
    <row r="5642" customFormat="false" ht="15" hidden="false" customHeight="false" outlineLevel="0" collapsed="false">
      <c r="A5642" s="2" t="s">
        <v>411</v>
      </c>
      <c r="B5642" s="2" t="s">
        <v>412</v>
      </c>
      <c r="C5642" s="2" t="s">
        <v>24</v>
      </c>
      <c r="D5642" s="3" t="n">
        <v>46264</v>
      </c>
      <c r="E5642" s="2" t="str">
        <f aca="false">TEXT(D5642,"dddd")</f>
        <v>Sunday</v>
      </c>
      <c r="F5642" s="2" t="s">
        <v>460</v>
      </c>
      <c r="G5642" s="2"/>
      <c r="H5642" s="2"/>
      <c r="I5642" s="2" t="n">
        <f aca="false">IF(F5642="Present",9,IF(F5642="Half Day",4,0))</f>
        <v>0</v>
      </c>
      <c r="J5642" s="2"/>
      <c r="K5642" s="2" t="s">
        <v>460</v>
      </c>
    </row>
    <row r="5643" customFormat="false" ht="15" hidden="false" customHeight="false" outlineLevel="0" collapsed="false">
      <c r="A5643" s="2" t="s">
        <v>411</v>
      </c>
      <c r="B5643" s="2" t="s">
        <v>412</v>
      </c>
      <c r="C5643" s="2" t="s">
        <v>24</v>
      </c>
      <c r="D5643" s="3" t="n">
        <v>46265</v>
      </c>
      <c r="E5643" s="2" t="str">
        <f aca="false">TEXT(D5643,"dddd")</f>
        <v>Monday</v>
      </c>
      <c r="F5643" s="2" t="s">
        <v>461</v>
      </c>
      <c r="G5643" s="2"/>
      <c r="H5643" s="2"/>
      <c r="I5643" s="2" t="n">
        <f aca="false">IF(F5643="Present",9,IF(F5643="Half Day",4,0))</f>
        <v>0</v>
      </c>
      <c r="J5643" s="2"/>
      <c r="K5643" s="2" t="s">
        <v>462</v>
      </c>
    </row>
    <row r="5644" customFormat="false" ht="15" hidden="false" customHeight="false" outlineLevel="0" collapsed="false">
      <c r="A5644" s="2" t="s">
        <v>413</v>
      </c>
      <c r="B5644" s="2" t="s">
        <v>414</v>
      </c>
      <c r="C5644" s="2" t="s">
        <v>28</v>
      </c>
      <c r="D5644" s="3" t="n">
        <v>46235</v>
      </c>
      <c r="E5644" s="2" t="str">
        <f aca="false">TEXT(D5644,"dddd")</f>
        <v>Saturday</v>
      </c>
      <c r="F5644" s="2" t="s">
        <v>457</v>
      </c>
      <c r="G5644" s="2" t="s">
        <v>458</v>
      </c>
      <c r="H5644" s="2" t="s">
        <v>459</v>
      </c>
      <c r="I5644" s="2" t="n">
        <f aca="false">IF(F5644="Present",9,IF(F5644="Half Day",4,0))</f>
        <v>9</v>
      </c>
      <c r="J5644" s="2"/>
      <c r="K5644" s="2"/>
    </row>
    <row r="5645" customFormat="false" ht="15" hidden="false" customHeight="false" outlineLevel="0" collapsed="false">
      <c r="A5645" s="2" t="s">
        <v>413</v>
      </c>
      <c r="B5645" s="2" t="s">
        <v>414</v>
      </c>
      <c r="C5645" s="2" t="s">
        <v>28</v>
      </c>
      <c r="D5645" s="3" t="n">
        <v>46236</v>
      </c>
      <c r="E5645" s="2" t="str">
        <f aca="false">TEXT(D5645,"dddd")</f>
        <v>Sunday</v>
      </c>
      <c r="F5645" s="2" t="s">
        <v>460</v>
      </c>
      <c r="G5645" s="2"/>
      <c r="H5645" s="2"/>
      <c r="I5645" s="2" t="n">
        <f aca="false">IF(F5645="Present",9,IF(F5645="Half Day",4,0))</f>
        <v>0</v>
      </c>
      <c r="J5645" s="2"/>
      <c r="K5645" s="2" t="s">
        <v>460</v>
      </c>
    </row>
    <row r="5646" customFormat="false" ht="15" hidden="false" customHeight="false" outlineLevel="0" collapsed="false">
      <c r="A5646" s="2" t="s">
        <v>413</v>
      </c>
      <c r="B5646" s="2" t="s">
        <v>414</v>
      </c>
      <c r="C5646" s="2" t="s">
        <v>28</v>
      </c>
      <c r="D5646" s="3" t="n">
        <v>46237</v>
      </c>
      <c r="E5646" s="2" t="str">
        <f aca="false">TEXT(D5646,"dddd")</f>
        <v>Monday</v>
      </c>
      <c r="F5646" s="2" t="s">
        <v>457</v>
      </c>
      <c r="G5646" s="2" t="s">
        <v>458</v>
      </c>
      <c r="H5646" s="2" t="s">
        <v>459</v>
      </c>
      <c r="I5646" s="2" t="n">
        <f aca="false">IF(F5646="Present",9,IF(F5646="Half Day",4,0))</f>
        <v>9</v>
      </c>
      <c r="J5646" s="2"/>
      <c r="K5646" s="2"/>
    </row>
    <row r="5647" customFormat="false" ht="15" hidden="false" customHeight="false" outlineLevel="0" collapsed="false">
      <c r="A5647" s="2" t="s">
        <v>413</v>
      </c>
      <c r="B5647" s="2" t="s">
        <v>414</v>
      </c>
      <c r="C5647" s="2" t="s">
        <v>28</v>
      </c>
      <c r="D5647" s="3" t="n">
        <v>46238</v>
      </c>
      <c r="E5647" s="2" t="str">
        <f aca="false">TEXT(D5647,"dddd")</f>
        <v>Tuesday</v>
      </c>
      <c r="F5647" s="2" t="s">
        <v>457</v>
      </c>
      <c r="G5647" s="2" t="s">
        <v>458</v>
      </c>
      <c r="H5647" s="2" t="s">
        <v>459</v>
      </c>
      <c r="I5647" s="2" t="n">
        <f aca="false">IF(F5647="Present",9,IF(F5647="Half Day",4,0))</f>
        <v>9</v>
      </c>
      <c r="J5647" s="2"/>
      <c r="K5647" s="2"/>
    </row>
    <row r="5648" customFormat="false" ht="15" hidden="false" customHeight="false" outlineLevel="0" collapsed="false">
      <c r="A5648" s="2" t="s">
        <v>413</v>
      </c>
      <c r="B5648" s="2" t="s">
        <v>414</v>
      </c>
      <c r="C5648" s="2" t="s">
        <v>28</v>
      </c>
      <c r="D5648" s="3" t="n">
        <v>46239</v>
      </c>
      <c r="E5648" s="2" t="str">
        <f aca="false">TEXT(D5648,"dddd")</f>
        <v>Wednesday</v>
      </c>
      <c r="F5648" s="2" t="s">
        <v>457</v>
      </c>
      <c r="G5648" s="2" t="s">
        <v>458</v>
      </c>
      <c r="H5648" s="2" t="s">
        <v>459</v>
      </c>
      <c r="I5648" s="2" t="n">
        <f aca="false">IF(F5648="Present",9,IF(F5648="Half Day",4,0))</f>
        <v>9</v>
      </c>
      <c r="J5648" s="2"/>
      <c r="K5648" s="2"/>
    </row>
    <row r="5649" customFormat="false" ht="15" hidden="false" customHeight="false" outlineLevel="0" collapsed="false">
      <c r="A5649" s="2" t="s">
        <v>413</v>
      </c>
      <c r="B5649" s="2" t="s">
        <v>414</v>
      </c>
      <c r="C5649" s="2" t="s">
        <v>28</v>
      </c>
      <c r="D5649" s="3" t="n">
        <v>46240</v>
      </c>
      <c r="E5649" s="2" t="str">
        <f aca="false">TEXT(D5649,"dddd")</f>
        <v>Thursday</v>
      </c>
      <c r="F5649" s="2" t="s">
        <v>457</v>
      </c>
      <c r="G5649" s="2" t="s">
        <v>458</v>
      </c>
      <c r="H5649" s="2" t="s">
        <v>459</v>
      </c>
      <c r="I5649" s="2" t="n">
        <f aca="false">IF(F5649="Present",9,IF(F5649="Half Day",4,0))</f>
        <v>9</v>
      </c>
      <c r="J5649" s="2"/>
      <c r="K5649" s="2"/>
    </row>
    <row r="5650" customFormat="false" ht="15" hidden="false" customHeight="false" outlineLevel="0" collapsed="false">
      <c r="A5650" s="2" t="s">
        <v>413</v>
      </c>
      <c r="B5650" s="2" t="s">
        <v>414</v>
      </c>
      <c r="C5650" s="2" t="s">
        <v>28</v>
      </c>
      <c r="D5650" s="3" t="n">
        <v>46241</v>
      </c>
      <c r="E5650" s="2" t="str">
        <f aca="false">TEXT(D5650,"dddd")</f>
        <v>Friday</v>
      </c>
      <c r="F5650" s="2" t="s">
        <v>463</v>
      </c>
      <c r="G5650" s="2"/>
      <c r="H5650" s="2"/>
      <c r="I5650" s="2" t="n">
        <f aca="false">IF(F5650="Present",9,IF(F5650="Half Day",4,0))</f>
        <v>0</v>
      </c>
      <c r="J5650" s="2" t="s">
        <v>464</v>
      </c>
      <c r="K5650" s="2" t="s">
        <v>465</v>
      </c>
    </row>
    <row r="5651" customFormat="false" ht="15" hidden="false" customHeight="false" outlineLevel="0" collapsed="false">
      <c r="A5651" s="2" t="s">
        <v>413</v>
      </c>
      <c r="B5651" s="2" t="s">
        <v>414</v>
      </c>
      <c r="C5651" s="2" t="s">
        <v>28</v>
      </c>
      <c r="D5651" s="3" t="n">
        <v>46242</v>
      </c>
      <c r="E5651" s="2" t="str">
        <f aca="false">TEXT(D5651,"dddd")</f>
        <v>Saturday</v>
      </c>
      <c r="F5651" s="2" t="s">
        <v>457</v>
      </c>
      <c r="G5651" s="2" t="s">
        <v>458</v>
      </c>
      <c r="H5651" s="2" t="s">
        <v>459</v>
      </c>
      <c r="I5651" s="2" t="n">
        <f aca="false">IF(F5651="Present",9,IF(F5651="Half Day",4,0))</f>
        <v>9</v>
      </c>
      <c r="J5651" s="2"/>
      <c r="K5651" s="2"/>
    </row>
    <row r="5652" customFormat="false" ht="15" hidden="false" customHeight="false" outlineLevel="0" collapsed="false">
      <c r="A5652" s="2" t="s">
        <v>413</v>
      </c>
      <c r="B5652" s="2" t="s">
        <v>414</v>
      </c>
      <c r="C5652" s="2" t="s">
        <v>28</v>
      </c>
      <c r="D5652" s="3" t="n">
        <v>46243</v>
      </c>
      <c r="E5652" s="2" t="str">
        <f aca="false">TEXT(D5652,"dddd")</f>
        <v>Sunday</v>
      </c>
      <c r="F5652" s="2" t="s">
        <v>460</v>
      </c>
      <c r="G5652" s="2"/>
      <c r="H5652" s="2"/>
      <c r="I5652" s="2" t="n">
        <f aca="false">IF(F5652="Present",9,IF(F5652="Half Day",4,0))</f>
        <v>0</v>
      </c>
      <c r="J5652" s="2"/>
      <c r="K5652" s="2" t="s">
        <v>460</v>
      </c>
    </row>
    <row r="5653" customFormat="false" ht="15" hidden="false" customHeight="false" outlineLevel="0" collapsed="false">
      <c r="A5653" s="2" t="s">
        <v>413</v>
      </c>
      <c r="B5653" s="2" t="s">
        <v>414</v>
      </c>
      <c r="C5653" s="2" t="s">
        <v>28</v>
      </c>
      <c r="D5653" s="3" t="n">
        <v>46244</v>
      </c>
      <c r="E5653" s="2" t="str">
        <f aca="false">TEXT(D5653,"dddd")</f>
        <v>Monday</v>
      </c>
      <c r="F5653" s="2" t="s">
        <v>457</v>
      </c>
      <c r="G5653" s="2" t="s">
        <v>458</v>
      </c>
      <c r="H5653" s="2" t="s">
        <v>459</v>
      </c>
      <c r="I5653" s="2" t="n">
        <f aca="false">IF(F5653="Present",9,IF(F5653="Half Day",4,0))</f>
        <v>9</v>
      </c>
      <c r="J5653" s="2"/>
      <c r="K5653" s="2"/>
    </row>
    <row r="5654" customFormat="false" ht="15" hidden="false" customHeight="false" outlineLevel="0" collapsed="false">
      <c r="A5654" s="2" t="s">
        <v>413</v>
      </c>
      <c r="B5654" s="2" t="s">
        <v>414</v>
      </c>
      <c r="C5654" s="2" t="s">
        <v>28</v>
      </c>
      <c r="D5654" s="3" t="n">
        <v>46245</v>
      </c>
      <c r="E5654" s="2" t="str">
        <f aca="false">TEXT(D5654,"dddd")</f>
        <v>Tuesday</v>
      </c>
      <c r="F5654" s="2" t="s">
        <v>457</v>
      </c>
      <c r="G5654" s="2" t="s">
        <v>458</v>
      </c>
      <c r="H5654" s="2" t="s">
        <v>459</v>
      </c>
      <c r="I5654" s="2" t="n">
        <f aca="false">IF(F5654="Present",9,IF(F5654="Half Day",4,0))</f>
        <v>9</v>
      </c>
      <c r="J5654" s="2"/>
      <c r="K5654" s="2"/>
    </row>
    <row r="5655" customFormat="false" ht="15" hidden="false" customHeight="false" outlineLevel="0" collapsed="false">
      <c r="A5655" s="2" t="s">
        <v>413</v>
      </c>
      <c r="B5655" s="2" t="s">
        <v>414</v>
      </c>
      <c r="C5655" s="2" t="s">
        <v>28</v>
      </c>
      <c r="D5655" s="3" t="n">
        <v>46246</v>
      </c>
      <c r="E5655" s="2" t="str">
        <f aca="false">TEXT(D5655,"dddd")</f>
        <v>Wednesday</v>
      </c>
      <c r="F5655" s="2" t="s">
        <v>457</v>
      </c>
      <c r="G5655" s="2" t="s">
        <v>458</v>
      </c>
      <c r="H5655" s="2" t="s">
        <v>459</v>
      </c>
      <c r="I5655" s="2" t="n">
        <f aca="false">IF(F5655="Present",9,IF(F5655="Half Day",4,0))</f>
        <v>9</v>
      </c>
      <c r="J5655" s="2"/>
      <c r="K5655" s="2"/>
    </row>
    <row r="5656" customFormat="false" ht="15" hidden="false" customHeight="false" outlineLevel="0" collapsed="false">
      <c r="A5656" s="2" t="s">
        <v>413</v>
      </c>
      <c r="B5656" s="2" t="s">
        <v>414</v>
      </c>
      <c r="C5656" s="2" t="s">
        <v>28</v>
      </c>
      <c r="D5656" s="3" t="n">
        <v>46247</v>
      </c>
      <c r="E5656" s="2" t="str">
        <f aca="false">TEXT(D5656,"dddd")</f>
        <v>Thursday</v>
      </c>
      <c r="F5656" s="2" t="s">
        <v>461</v>
      </c>
      <c r="G5656" s="2"/>
      <c r="H5656" s="2"/>
      <c r="I5656" s="2" t="n">
        <f aca="false">IF(F5656="Present",9,IF(F5656="Half Day",4,0))</f>
        <v>0</v>
      </c>
      <c r="J5656" s="2"/>
      <c r="K5656" s="2" t="s">
        <v>462</v>
      </c>
    </row>
    <row r="5657" customFormat="false" ht="15" hidden="false" customHeight="false" outlineLevel="0" collapsed="false">
      <c r="A5657" s="2" t="s">
        <v>413</v>
      </c>
      <c r="B5657" s="2" t="s">
        <v>414</v>
      </c>
      <c r="C5657" s="2" t="s">
        <v>28</v>
      </c>
      <c r="D5657" s="3" t="n">
        <v>46248</v>
      </c>
      <c r="E5657" s="2" t="str">
        <f aca="false">TEXT(D5657,"dddd")</f>
        <v>Friday</v>
      </c>
      <c r="F5657" s="2" t="s">
        <v>457</v>
      </c>
      <c r="G5657" s="2" t="s">
        <v>458</v>
      </c>
      <c r="H5657" s="2" t="s">
        <v>459</v>
      </c>
      <c r="I5657" s="2" t="n">
        <f aca="false">IF(F5657="Present",9,IF(F5657="Half Day",4,0))</f>
        <v>9</v>
      </c>
      <c r="J5657" s="2"/>
      <c r="K5657" s="2"/>
    </row>
    <row r="5658" customFormat="false" ht="15" hidden="false" customHeight="false" outlineLevel="0" collapsed="false">
      <c r="A5658" s="2" t="s">
        <v>413</v>
      </c>
      <c r="B5658" s="2" t="s">
        <v>414</v>
      </c>
      <c r="C5658" s="2" t="s">
        <v>28</v>
      </c>
      <c r="D5658" s="3" t="n">
        <v>46249</v>
      </c>
      <c r="E5658" s="2" t="str">
        <f aca="false">TEXT(D5658,"dddd")</f>
        <v>Saturday</v>
      </c>
      <c r="F5658" s="2" t="s">
        <v>463</v>
      </c>
      <c r="G5658" s="2"/>
      <c r="H5658" s="2"/>
      <c r="I5658" s="2" t="n">
        <f aca="false">IF(F5658="Present",9,IF(F5658="Half Day",4,0))</f>
        <v>0</v>
      </c>
      <c r="J5658" s="2" t="s">
        <v>474</v>
      </c>
      <c r="K5658" s="2" t="s">
        <v>475</v>
      </c>
    </row>
    <row r="5659" customFormat="false" ht="15" hidden="false" customHeight="false" outlineLevel="0" collapsed="false">
      <c r="A5659" s="2" t="s">
        <v>413</v>
      </c>
      <c r="B5659" s="2" t="s">
        <v>414</v>
      </c>
      <c r="C5659" s="2" t="s">
        <v>28</v>
      </c>
      <c r="D5659" s="3" t="n">
        <v>46250</v>
      </c>
      <c r="E5659" s="2" t="str">
        <f aca="false">TEXT(D5659,"dddd")</f>
        <v>Sunday</v>
      </c>
      <c r="F5659" s="2" t="s">
        <v>460</v>
      </c>
      <c r="G5659" s="2"/>
      <c r="H5659" s="2"/>
      <c r="I5659" s="2" t="n">
        <f aca="false">IF(F5659="Present",9,IF(F5659="Half Day",4,0))</f>
        <v>0</v>
      </c>
      <c r="J5659" s="2"/>
      <c r="K5659" s="2" t="s">
        <v>460</v>
      </c>
    </row>
    <row r="5660" customFormat="false" ht="15" hidden="false" customHeight="false" outlineLevel="0" collapsed="false">
      <c r="A5660" s="2" t="s">
        <v>413</v>
      </c>
      <c r="B5660" s="2" t="s">
        <v>414</v>
      </c>
      <c r="C5660" s="2" t="s">
        <v>28</v>
      </c>
      <c r="D5660" s="3" t="n">
        <v>46251</v>
      </c>
      <c r="E5660" s="2" t="str">
        <f aca="false">TEXT(D5660,"dddd")</f>
        <v>Monday</v>
      </c>
      <c r="F5660" s="2" t="s">
        <v>457</v>
      </c>
      <c r="G5660" s="2" t="s">
        <v>458</v>
      </c>
      <c r="H5660" s="2" t="s">
        <v>459</v>
      </c>
      <c r="I5660" s="2" t="n">
        <f aca="false">IF(F5660="Present",9,IF(F5660="Half Day",4,0))</f>
        <v>9</v>
      </c>
      <c r="J5660" s="2"/>
      <c r="K5660" s="2"/>
    </row>
    <row r="5661" customFormat="false" ht="15" hidden="false" customHeight="false" outlineLevel="0" collapsed="false">
      <c r="A5661" s="2" t="s">
        <v>413</v>
      </c>
      <c r="B5661" s="2" t="s">
        <v>414</v>
      </c>
      <c r="C5661" s="2" t="s">
        <v>28</v>
      </c>
      <c r="D5661" s="3" t="n">
        <v>46252</v>
      </c>
      <c r="E5661" s="2" t="str">
        <f aca="false">TEXT(D5661,"dddd")</f>
        <v>Tuesday</v>
      </c>
      <c r="F5661" s="2" t="s">
        <v>457</v>
      </c>
      <c r="G5661" s="2" t="s">
        <v>458</v>
      </c>
      <c r="H5661" s="2" t="s">
        <v>459</v>
      </c>
      <c r="I5661" s="2" t="n">
        <f aca="false">IF(F5661="Present",9,IF(F5661="Half Day",4,0))</f>
        <v>9</v>
      </c>
      <c r="J5661" s="2"/>
      <c r="K5661" s="2"/>
    </row>
    <row r="5662" customFormat="false" ht="15" hidden="false" customHeight="false" outlineLevel="0" collapsed="false">
      <c r="A5662" s="2" t="s">
        <v>413</v>
      </c>
      <c r="B5662" s="2" t="s">
        <v>414</v>
      </c>
      <c r="C5662" s="2" t="s">
        <v>28</v>
      </c>
      <c r="D5662" s="3" t="n">
        <v>46253</v>
      </c>
      <c r="E5662" s="2" t="str">
        <f aca="false">TEXT(D5662,"dddd")</f>
        <v>Wednesday</v>
      </c>
      <c r="F5662" s="2" t="s">
        <v>457</v>
      </c>
      <c r="G5662" s="2" t="s">
        <v>458</v>
      </c>
      <c r="H5662" s="2" t="s">
        <v>459</v>
      </c>
      <c r="I5662" s="2" t="n">
        <f aca="false">IF(F5662="Present",9,IF(F5662="Half Day",4,0))</f>
        <v>9</v>
      </c>
      <c r="J5662" s="2"/>
      <c r="K5662" s="2"/>
    </row>
    <row r="5663" customFormat="false" ht="15" hidden="false" customHeight="false" outlineLevel="0" collapsed="false">
      <c r="A5663" s="2" t="s">
        <v>413</v>
      </c>
      <c r="B5663" s="2" t="s">
        <v>414</v>
      </c>
      <c r="C5663" s="2" t="s">
        <v>28</v>
      </c>
      <c r="D5663" s="3" t="n">
        <v>46254</v>
      </c>
      <c r="E5663" s="2" t="str">
        <f aca="false">TEXT(D5663,"dddd")</f>
        <v>Thursday</v>
      </c>
      <c r="F5663" s="2" t="s">
        <v>457</v>
      </c>
      <c r="G5663" s="2" t="s">
        <v>458</v>
      </c>
      <c r="H5663" s="2" t="s">
        <v>459</v>
      </c>
      <c r="I5663" s="2" t="n">
        <f aca="false">IF(F5663="Present",9,IF(F5663="Half Day",4,0))</f>
        <v>9</v>
      </c>
      <c r="J5663" s="2"/>
      <c r="K5663" s="2"/>
    </row>
    <row r="5664" customFormat="false" ht="15" hidden="false" customHeight="false" outlineLevel="0" collapsed="false">
      <c r="A5664" s="2" t="s">
        <v>413</v>
      </c>
      <c r="B5664" s="2" t="s">
        <v>414</v>
      </c>
      <c r="C5664" s="2" t="s">
        <v>28</v>
      </c>
      <c r="D5664" s="3" t="n">
        <v>46255</v>
      </c>
      <c r="E5664" s="2" t="str">
        <f aca="false">TEXT(D5664,"dddd")</f>
        <v>Friday</v>
      </c>
      <c r="F5664" s="2" t="s">
        <v>457</v>
      </c>
      <c r="G5664" s="2" t="s">
        <v>458</v>
      </c>
      <c r="H5664" s="2" t="s">
        <v>459</v>
      </c>
      <c r="I5664" s="2" t="n">
        <f aca="false">IF(F5664="Present",9,IF(F5664="Half Day",4,0))</f>
        <v>9</v>
      </c>
      <c r="J5664" s="2"/>
      <c r="K5664" s="2"/>
    </row>
    <row r="5665" customFormat="false" ht="15" hidden="false" customHeight="false" outlineLevel="0" collapsed="false">
      <c r="A5665" s="2" t="s">
        <v>413</v>
      </c>
      <c r="B5665" s="2" t="s">
        <v>414</v>
      </c>
      <c r="C5665" s="2" t="s">
        <v>28</v>
      </c>
      <c r="D5665" s="3" t="n">
        <v>46256</v>
      </c>
      <c r="E5665" s="2" t="str">
        <f aca="false">TEXT(D5665,"dddd")</f>
        <v>Saturday</v>
      </c>
      <c r="F5665" s="2" t="s">
        <v>457</v>
      </c>
      <c r="G5665" s="2" t="s">
        <v>458</v>
      </c>
      <c r="H5665" s="2" t="s">
        <v>459</v>
      </c>
      <c r="I5665" s="2" t="n">
        <f aca="false">IF(F5665="Present",9,IF(F5665="Half Day",4,0))</f>
        <v>9</v>
      </c>
      <c r="J5665" s="2"/>
      <c r="K5665" s="2"/>
    </row>
    <row r="5666" customFormat="false" ht="15" hidden="false" customHeight="false" outlineLevel="0" collapsed="false">
      <c r="A5666" s="2" t="s">
        <v>413</v>
      </c>
      <c r="B5666" s="2" t="s">
        <v>414</v>
      </c>
      <c r="C5666" s="2" t="s">
        <v>28</v>
      </c>
      <c r="D5666" s="3" t="n">
        <v>46257</v>
      </c>
      <c r="E5666" s="2" t="str">
        <f aca="false">TEXT(D5666,"dddd")</f>
        <v>Sunday</v>
      </c>
      <c r="F5666" s="2" t="s">
        <v>460</v>
      </c>
      <c r="G5666" s="2"/>
      <c r="H5666" s="2"/>
      <c r="I5666" s="2" t="n">
        <f aca="false">IF(F5666="Present",9,IF(F5666="Half Day",4,0))</f>
        <v>0</v>
      </c>
      <c r="J5666" s="2"/>
      <c r="K5666" s="2" t="s">
        <v>460</v>
      </c>
    </row>
    <row r="5667" customFormat="false" ht="15" hidden="false" customHeight="false" outlineLevel="0" collapsed="false">
      <c r="A5667" s="2" t="s">
        <v>413</v>
      </c>
      <c r="B5667" s="2" t="s">
        <v>414</v>
      </c>
      <c r="C5667" s="2" t="s">
        <v>28</v>
      </c>
      <c r="D5667" s="3" t="n">
        <v>46258</v>
      </c>
      <c r="E5667" s="2" t="str">
        <f aca="false">TEXT(D5667,"dddd")</f>
        <v>Monday</v>
      </c>
      <c r="F5667" s="2" t="s">
        <v>457</v>
      </c>
      <c r="G5667" s="2" t="s">
        <v>458</v>
      </c>
      <c r="H5667" s="2" t="s">
        <v>459</v>
      </c>
      <c r="I5667" s="2" t="n">
        <f aca="false">IF(F5667="Present",9,IF(F5667="Half Day",4,0))</f>
        <v>9</v>
      </c>
      <c r="J5667" s="2"/>
      <c r="K5667" s="2"/>
    </row>
    <row r="5668" customFormat="false" ht="15" hidden="false" customHeight="false" outlineLevel="0" collapsed="false">
      <c r="A5668" s="2" t="s">
        <v>413</v>
      </c>
      <c r="B5668" s="2" t="s">
        <v>414</v>
      </c>
      <c r="C5668" s="2" t="s">
        <v>28</v>
      </c>
      <c r="D5668" s="3" t="n">
        <v>46259</v>
      </c>
      <c r="E5668" s="2" t="str">
        <f aca="false">TEXT(D5668,"dddd")</f>
        <v>Tuesday</v>
      </c>
      <c r="F5668" s="2" t="s">
        <v>457</v>
      </c>
      <c r="G5668" s="2" t="s">
        <v>458</v>
      </c>
      <c r="H5668" s="2" t="s">
        <v>459</v>
      </c>
      <c r="I5668" s="2" t="n">
        <f aca="false">IF(F5668="Present",9,IF(F5668="Half Day",4,0))</f>
        <v>9</v>
      </c>
      <c r="J5668" s="2"/>
      <c r="K5668" s="2"/>
    </row>
    <row r="5669" customFormat="false" ht="15" hidden="false" customHeight="false" outlineLevel="0" collapsed="false">
      <c r="A5669" s="2" t="s">
        <v>413</v>
      </c>
      <c r="B5669" s="2" t="s">
        <v>414</v>
      </c>
      <c r="C5669" s="2" t="s">
        <v>28</v>
      </c>
      <c r="D5669" s="3" t="n">
        <v>46260</v>
      </c>
      <c r="E5669" s="2" t="str">
        <f aca="false">TEXT(D5669,"dddd")</f>
        <v>Wednesday</v>
      </c>
      <c r="F5669" s="2" t="s">
        <v>457</v>
      </c>
      <c r="G5669" s="2" t="s">
        <v>458</v>
      </c>
      <c r="H5669" s="2" t="s">
        <v>459</v>
      </c>
      <c r="I5669" s="2" t="n">
        <f aca="false">IF(F5669="Present",9,IF(F5669="Half Day",4,0))</f>
        <v>9</v>
      </c>
      <c r="J5669" s="2"/>
      <c r="K5669" s="2"/>
    </row>
    <row r="5670" customFormat="false" ht="15" hidden="false" customHeight="false" outlineLevel="0" collapsed="false">
      <c r="A5670" s="2" t="s">
        <v>413</v>
      </c>
      <c r="B5670" s="2" t="s">
        <v>414</v>
      </c>
      <c r="C5670" s="2" t="s">
        <v>28</v>
      </c>
      <c r="D5670" s="3" t="n">
        <v>46261</v>
      </c>
      <c r="E5670" s="2" t="str">
        <f aca="false">TEXT(D5670,"dddd")</f>
        <v>Thursday</v>
      </c>
      <c r="F5670" s="2" t="s">
        <v>457</v>
      </c>
      <c r="G5670" s="2" t="s">
        <v>458</v>
      </c>
      <c r="H5670" s="2" t="s">
        <v>459</v>
      </c>
      <c r="I5670" s="2" t="n">
        <f aca="false">IF(F5670="Present",9,IF(F5670="Half Day",4,0))</f>
        <v>9</v>
      </c>
      <c r="J5670" s="2"/>
      <c r="K5670" s="2"/>
    </row>
    <row r="5671" customFormat="false" ht="15" hidden="false" customHeight="false" outlineLevel="0" collapsed="false">
      <c r="A5671" s="2" t="s">
        <v>413</v>
      </c>
      <c r="B5671" s="2" t="s">
        <v>414</v>
      </c>
      <c r="C5671" s="2" t="s">
        <v>28</v>
      </c>
      <c r="D5671" s="3" t="n">
        <v>46262</v>
      </c>
      <c r="E5671" s="2" t="str">
        <f aca="false">TEXT(D5671,"dddd")</f>
        <v>Friday</v>
      </c>
      <c r="F5671" s="2" t="s">
        <v>457</v>
      </c>
      <c r="G5671" s="2" t="s">
        <v>458</v>
      </c>
      <c r="H5671" s="2" t="s">
        <v>459</v>
      </c>
      <c r="I5671" s="2" t="n">
        <f aca="false">IF(F5671="Present",9,IF(F5671="Half Day",4,0))</f>
        <v>9</v>
      </c>
      <c r="J5671" s="2"/>
      <c r="K5671" s="2"/>
    </row>
    <row r="5672" customFormat="false" ht="15" hidden="false" customHeight="false" outlineLevel="0" collapsed="false">
      <c r="A5672" s="2" t="s">
        <v>413</v>
      </c>
      <c r="B5672" s="2" t="s">
        <v>414</v>
      </c>
      <c r="C5672" s="2" t="s">
        <v>28</v>
      </c>
      <c r="D5672" s="3" t="n">
        <v>46263</v>
      </c>
      <c r="E5672" s="2" t="str">
        <f aca="false">TEXT(D5672,"dddd")</f>
        <v>Saturday</v>
      </c>
      <c r="F5672" s="2" t="s">
        <v>457</v>
      </c>
      <c r="G5672" s="2" t="s">
        <v>458</v>
      </c>
      <c r="H5672" s="2" t="s">
        <v>459</v>
      </c>
      <c r="I5672" s="2" t="n">
        <f aca="false">IF(F5672="Present",9,IF(F5672="Half Day",4,0))</f>
        <v>9</v>
      </c>
      <c r="J5672" s="2"/>
      <c r="K5672" s="2"/>
    </row>
    <row r="5673" customFormat="false" ht="15" hidden="false" customHeight="false" outlineLevel="0" collapsed="false">
      <c r="A5673" s="2" t="s">
        <v>413</v>
      </c>
      <c r="B5673" s="2" t="s">
        <v>414</v>
      </c>
      <c r="C5673" s="2" t="s">
        <v>28</v>
      </c>
      <c r="D5673" s="3" t="n">
        <v>46264</v>
      </c>
      <c r="E5673" s="2" t="str">
        <f aca="false">TEXT(D5673,"dddd")</f>
        <v>Sunday</v>
      </c>
      <c r="F5673" s="2" t="s">
        <v>460</v>
      </c>
      <c r="G5673" s="2"/>
      <c r="H5673" s="2"/>
      <c r="I5673" s="2" t="n">
        <f aca="false">IF(F5673="Present",9,IF(F5673="Half Day",4,0))</f>
        <v>0</v>
      </c>
      <c r="J5673" s="2"/>
      <c r="K5673" s="2" t="s">
        <v>460</v>
      </c>
    </row>
    <row r="5674" customFormat="false" ht="15" hidden="false" customHeight="false" outlineLevel="0" collapsed="false">
      <c r="A5674" s="2" t="s">
        <v>413</v>
      </c>
      <c r="B5674" s="2" t="s">
        <v>414</v>
      </c>
      <c r="C5674" s="2" t="s">
        <v>28</v>
      </c>
      <c r="D5674" s="3" t="n">
        <v>46265</v>
      </c>
      <c r="E5674" s="2" t="str">
        <f aca="false">TEXT(D5674,"dddd")</f>
        <v>Monday</v>
      </c>
      <c r="F5674" s="2" t="s">
        <v>457</v>
      </c>
      <c r="G5674" s="2" t="s">
        <v>458</v>
      </c>
      <c r="H5674" s="2" t="s">
        <v>459</v>
      </c>
      <c r="I5674" s="2" t="n">
        <f aca="false">IF(F5674="Present",9,IF(F5674="Half Day",4,0))</f>
        <v>9</v>
      </c>
      <c r="J5674" s="2"/>
      <c r="K5674" s="2"/>
    </row>
    <row r="5675" customFormat="false" ht="15" hidden="false" customHeight="false" outlineLevel="0" collapsed="false">
      <c r="A5675" s="2" t="s">
        <v>415</v>
      </c>
      <c r="B5675" s="2" t="s">
        <v>416</v>
      </c>
      <c r="C5675" s="2" t="s">
        <v>32</v>
      </c>
      <c r="D5675" s="3" t="n">
        <v>46235</v>
      </c>
      <c r="E5675" s="2" t="str">
        <f aca="false">TEXT(D5675,"dddd")</f>
        <v>Saturday</v>
      </c>
      <c r="F5675" s="2" t="s">
        <v>457</v>
      </c>
      <c r="G5675" s="2" t="s">
        <v>458</v>
      </c>
      <c r="H5675" s="2" t="s">
        <v>459</v>
      </c>
      <c r="I5675" s="2" t="n">
        <f aca="false">IF(F5675="Present",9,IF(F5675="Half Day",4,0))</f>
        <v>9</v>
      </c>
      <c r="J5675" s="2"/>
      <c r="K5675" s="2"/>
    </row>
    <row r="5676" customFormat="false" ht="15" hidden="false" customHeight="false" outlineLevel="0" collapsed="false">
      <c r="A5676" s="2" t="s">
        <v>415</v>
      </c>
      <c r="B5676" s="2" t="s">
        <v>416</v>
      </c>
      <c r="C5676" s="2" t="s">
        <v>32</v>
      </c>
      <c r="D5676" s="3" t="n">
        <v>46236</v>
      </c>
      <c r="E5676" s="2" t="str">
        <f aca="false">TEXT(D5676,"dddd")</f>
        <v>Sunday</v>
      </c>
      <c r="F5676" s="2" t="s">
        <v>460</v>
      </c>
      <c r="G5676" s="2"/>
      <c r="H5676" s="2"/>
      <c r="I5676" s="2" t="n">
        <f aca="false">IF(F5676="Present",9,IF(F5676="Half Day",4,0))</f>
        <v>0</v>
      </c>
      <c r="J5676" s="2"/>
      <c r="K5676" s="2" t="s">
        <v>460</v>
      </c>
    </row>
    <row r="5677" customFormat="false" ht="15" hidden="false" customHeight="false" outlineLevel="0" collapsed="false">
      <c r="A5677" s="2" t="s">
        <v>415</v>
      </c>
      <c r="B5677" s="2" t="s">
        <v>416</v>
      </c>
      <c r="C5677" s="2" t="s">
        <v>32</v>
      </c>
      <c r="D5677" s="3" t="n">
        <v>46237</v>
      </c>
      <c r="E5677" s="2" t="str">
        <f aca="false">TEXT(D5677,"dddd")</f>
        <v>Monday</v>
      </c>
      <c r="F5677" s="2" t="s">
        <v>457</v>
      </c>
      <c r="G5677" s="2" t="s">
        <v>458</v>
      </c>
      <c r="H5677" s="2" t="s">
        <v>459</v>
      </c>
      <c r="I5677" s="2" t="n">
        <f aca="false">IF(F5677="Present",9,IF(F5677="Half Day",4,0))</f>
        <v>9</v>
      </c>
      <c r="J5677" s="2"/>
      <c r="K5677" s="2"/>
    </row>
    <row r="5678" customFormat="false" ht="15" hidden="false" customHeight="false" outlineLevel="0" collapsed="false">
      <c r="A5678" s="2" t="s">
        <v>415</v>
      </c>
      <c r="B5678" s="2" t="s">
        <v>416</v>
      </c>
      <c r="C5678" s="2" t="s">
        <v>32</v>
      </c>
      <c r="D5678" s="3" t="n">
        <v>46238</v>
      </c>
      <c r="E5678" s="2" t="str">
        <f aca="false">TEXT(D5678,"dddd")</f>
        <v>Tuesday</v>
      </c>
      <c r="F5678" s="2" t="s">
        <v>457</v>
      </c>
      <c r="G5678" s="2" t="s">
        <v>458</v>
      </c>
      <c r="H5678" s="2" t="s">
        <v>459</v>
      </c>
      <c r="I5678" s="2" t="n">
        <f aca="false">IF(F5678="Present",9,IF(F5678="Half Day",4,0))</f>
        <v>9</v>
      </c>
      <c r="J5678" s="2"/>
      <c r="K5678" s="2"/>
    </row>
    <row r="5679" customFormat="false" ht="15" hidden="false" customHeight="false" outlineLevel="0" collapsed="false">
      <c r="A5679" s="2" t="s">
        <v>415</v>
      </c>
      <c r="B5679" s="2" t="s">
        <v>416</v>
      </c>
      <c r="C5679" s="2" t="s">
        <v>32</v>
      </c>
      <c r="D5679" s="3" t="n">
        <v>46239</v>
      </c>
      <c r="E5679" s="2" t="str">
        <f aca="false">TEXT(D5679,"dddd")</f>
        <v>Wednesday</v>
      </c>
      <c r="F5679" s="2" t="s">
        <v>457</v>
      </c>
      <c r="G5679" s="2" t="s">
        <v>458</v>
      </c>
      <c r="H5679" s="2" t="s">
        <v>459</v>
      </c>
      <c r="I5679" s="2" t="n">
        <f aca="false">IF(F5679="Present",9,IF(F5679="Half Day",4,0))</f>
        <v>9</v>
      </c>
      <c r="J5679" s="2"/>
      <c r="K5679" s="2"/>
    </row>
    <row r="5680" customFormat="false" ht="15" hidden="false" customHeight="false" outlineLevel="0" collapsed="false">
      <c r="A5680" s="2" t="s">
        <v>415</v>
      </c>
      <c r="B5680" s="2" t="s">
        <v>416</v>
      </c>
      <c r="C5680" s="2" t="s">
        <v>32</v>
      </c>
      <c r="D5680" s="3" t="n">
        <v>46240</v>
      </c>
      <c r="E5680" s="2" t="str">
        <f aca="false">TEXT(D5680,"dddd")</f>
        <v>Thursday</v>
      </c>
      <c r="F5680" s="2" t="s">
        <v>457</v>
      </c>
      <c r="G5680" s="2" t="s">
        <v>458</v>
      </c>
      <c r="H5680" s="2" t="s">
        <v>459</v>
      </c>
      <c r="I5680" s="2" t="n">
        <f aca="false">IF(F5680="Present",9,IF(F5680="Half Day",4,0))</f>
        <v>9</v>
      </c>
      <c r="J5680" s="2"/>
      <c r="K5680" s="2"/>
    </row>
    <row r="5681" customFormat="false" ht="15" hidden="false" customHeight="false" outlineLevel="0" collapsed="false">
      <c r="A5681" s="2" t="s">
        <v>415</v>
      </c>
      <c r="B5681" s="2" t="s">
        <v>416</v>
      </c>
      <c r="C5681" s="2" t="s">
        <v>32</v>
      </c>
      <c r="D5681" s="3" t="n">
        <v>46241</v>
      </c>
      <c r="E5681" s="2" t="str">
        <f aca="false">TEXT(D5681,"dddd")</f>
        <v>Friday</v>
      </c>
      <c r="F5681" s="2" t="s">
        <v>457</v>
      </c>
      <c r="G5681" s="2" t="s">
        <v>458</v>
      </c>
      <c r="H5681" s="2" t="s">
        <v>459</v>
      </c>
      <c r="I5681" s="2" t="n">
        <f aca="false">IF(F5681="Present",9,IF(F5681="Half Day",4,0))</f>
        <v>9</v>
      </c>
      <c r="J5681" s="2"/>
      <c r="K5681" s="2"/>
    </row>
    <row r="5682" customFormat="false" ht="15" hidden="false" customHeight="false" outlineLevel="0" collapsed="false">
      <c r="A5682" s="2" t="s">
        <v>415</v>
      </c>
      <c r="B5682" s="2" t="s">
        <v>416</v>
      </c>
      <c r="C5682" s="2" t="s">
        <v>32</v>
      </c>
      <c r="D5682" s="3" t="n">
        <v>46242</v>
      </c>
      <c r="E5682" s="2" t="str">
        <f aca="false">TEXT(D5682,"dddd")</f>
        <v>Saturday</v>
      </c>
      <c r="F5682" s="2" t="s">
        <v>457</v>
      </c>
      <c r="G5682" s="2" t="s">
        <v>458</v>
      </c>
      <c r="H5682" s="2" t="s">
        <v>459</v>
      </c>
      <c r="I5682" s="2" t="n">
        <f aca="false">IF(F5682="Present",9,IF(F5682="Half Day",4,0))</f>
        <v>9</v>
      </c>
      <c r="J5682" s="2"/>
      <c r="K5682" s="2"/>
    </row>
    <row r="5683" customFormat="false" ht="15" hidden="false" customHeight="false" outlineLevel="0" collapsed="false">
      <c r="A5683" s="2" t="s">
        <v>415</v>
      </c>
      <c r="B5683" s="2" t="s">
        <v>416</v>
      </c>
      <c r="C5683" s="2" t="s">
        <v>32</v>
      </c>
      <c r="D5683" s="3" t="n">
        <v>46243</v>
      </c>
      <c r="E5683" s="2" t="str">
        <f aca="false">TEXT(D5683,"dddd")</f>
        <v>Sunday</v>
      </c>
      <c r="F5683" s="2" t="s">
        <v>460</v>
      </c>
      <c r="G5683" s="2"/>
      <c r="H5683" s="2"/>
      <c r="I5683" s="2" t="n">
        <f aca="false">IF(F5683="Present",9,IF(F5683="Half Day",4,0))</f>
        <v>0</v>
      </c>
      <c r="J5683" s="2"/>
      <c r="K5683" s="2" t="s">
        <v>460</v>
      </c>
    </row>
    <row r="5684" customFormat="false" ht="15" hidden="false" customHeight="false" outlineLevel="0" collapsed="false">
      <c r="A5684" s="2" t="s">
        <v>415</v>
      </c>
      <c r="B5684" s="2" t="s">
        <v>416</v>
      </c>
      <c r="C5684" s="2" t="s">
        <v>32</v>
      </c>
      <c r="D5684" s="3" t="n">
        <v>46244</v>
      </c>
      <c r="E5684" s="2" t="str">
        <f aca="false">TEXT(D5684,"dddd")</f>
        <v>Monday</v>
      </c>
      <c r="F5684" s="2" t="s">
        <v>466</v>
      </c>
      <c r="G5684" s="2" t="s">
        <v>458</v>
      </c>
      <c r="H5684" s="2" t="s">
        <v>467</v>
      </c>
      <c r="I5684" s="2" t="n">
        <f aca="false">IF(F5684="Present",9,IF(F5684="Half Day",4,0))</f>
        <v>4</v>
      </c>
      <c r="J5684" s="2"/>
      <c r="K5684" s="2" t="s">
        <v>466</v>
      </c>
    </row>
    <row r="5685" customFormat="false" ht="15" hidden="false" customHeight="false" outlineLevel="0" collapsed="false">
      <c r="A5685" s="2" t="s">
        <v>415</v>
      </c>
      <c r="B5685" s="2" t="s">
        <v>416</v>
      </c>
      <c r="C5685" s="2" t="s">
        <v>32</v>
      </c>
      <c r="D5685" s="3" t="n">
        <v>46245</v>
      </c>
      <c r="E5685" s="2" t="str">
        <f aca="false">TEXT(D5685,"dddd")</f>
        <v>Tuesday</v>
      </c>
      <c r="F5685" s="2" t="s">
        <v>457</v>
      </c>
      <c r="G5685" s="2" t="s">
        <v>458</v>
      </c>
      <c r="H5685" s="2" t="s">
        <v>459</v>
      </c>
      <c r="I5685" s="2" t="n">
        <f aca="false">IF(F5685="Present",9,IF(F5685="Half Day",4,0))</f>
        <v>9</v>
      </c>
      <c r="J5685" s="2"/>
      <c r="K5685" s="2"/>
    </row>
    <row r="5686" customFormat="false" ht="15" hidden="false" customHeight="false" outlineLevel="0" collapsed="false">
      <c r="A5686" s="2" t="s">
        <v>415</v>
      </c>
      <c r="B5686" s="2" t="s">
        <v>416</v>
      </c>
      <c r="C5686" s="2" t="s">
        <v>32</v>
      </c>
      <c r="D5686" s="3" t="n">
        <v>46246</v>
      </c>
      <c r="E5686" s="2" t="str">
        <f aca="false">TEXT(D5686,"dddd")</f>
        <v>Wednesday</v>
      </c>
      <c r="F5686" s="2" t="s">
        <v>457</v>
      </c>
      <c r="G5686" s="2" t="s">
        <v>458</v>
      </c>
      <c r="H5686" s="2" t="s">
        <v>459</v>
      </c>
      <c r="I5686" s="2" t="n">
        <f aca="false">IF(F5686="Present",9,IF(F5686="Half Day",4,0))</f>
        <v>9</v>
      </c>
      <c r="J5686" s="2"/>
      <c r="K5686" s="2"/>
    </row>
    <row r="5687" customFormat="false" ht="15" hidden="false" customHeight="false" outlineLevel="0" collapsed="false">
      <c r="A5687" s="2" t="s">
        <v>415</v>
      </c>
      <c r="B5687" s="2" t="s">
        <v>416</v>
      </c>
      <c r="C5687" s="2" t="s">
        <v>32</v>
      </c>
      <c r="D5687" s="3" t="n">
        <v>46247</v>
      </c>
      <c r="E5687" s="2" t="str">
        <f aca="false">TEXT(D5687,"dddd")</f>
        <v>Thursday</v>
      </c>
      <c r="F5687" s="2" t="s">
        <v>466</v>
      </c>
      <c r="G5687" s="2" t="s">
        <v>458</v>
      </c>
      <c r="H5687" s="2" t="s">
        <v>467</v>
      </c>
      <c r="I5687" s="2" t="n">
        <f aca="false">IF(F5687="Present",9,IF(F5687="Half Day",4,0))</f>
        <v>4</v>
      </c>
      <c r="J5687" s="2"/>
      <c r="K5687" s="2" t="s">
        <v>466</v>
      </c>
    </row>
    <row r="5688" customFormat="false" ht="15" hidden="false" customHeight="false" outlineLevel="0" collapsed="false">
      <c r="A5688" s="2" t="s">
        <v>415</v>
      </c>
      <c r="B5688" s="2" t="s">
        <v>416</v>
      </c>
      <c r="C5688" s="2" t="s">
        <v>32</v>
      </c>
      <c r="D5688" s="3" t="n">
        <v>46248</v>
      </c>
      <c r="E5688" s="2" t="str">
        <f aca="false">TEXT(D5688,"dddd")</f>
        <v>Friday</v>
      </c>
      <c r="F5688" s="2" t="s">
        <v>457</v>
      </c>
      <c r="G5688" s="2" t="s">
        <v>458</v>
      </c>
      <c r="H5688" s="2" t="s">
        <v>459</v>
      </c>
      <c r="I5688" s="2" t="n">
        <f aca="false">IF(F5688="Present",9,IF(F5688="Half Day",4,0))</f>
        <v>9</v>
      </c>
      <c r="J5688" s="2"/>
      <c r="K5688" s="2"/>
    </row>
    <row r="5689" customFormat="false" ht="15" hidden="false" customHeight="false" outlineLevel="0" collapsed="false">
      <c r="A5689" s="2" t="s">
        <v>415</v>
      </c>
      <c r="B5689" s="2" t="s">
        <v>416</v>
      </c>
      <c r="C5689" s="2" t="s">
        <v>32</v>
      </c>
      <c r="D5689" s="3" t="n">
        <v>46249</v>
      </c>
      <c r="E5689" s="2" t="str">
        <f aca="false">TEXT(D5689,"dddd")</f>
        <v>Saturday</v>
      </c>
      <c r="F5689" s="2" t="s">
        <v>457</v>
      </c>
      <c r="G5689" s="2" t="s">
        <v>458</v>
      </c>
      <c r="H5689" s="2" t="s">
        <v>459</v>
      </c>
      <c r="I5689" s="2" t="n">
        <f aca="false">IF(F5689="Present",9,IF(F5689="Half Day",4,0))</f>
        <v>9</v>
      </c>
      <c r="J5689" s="2"/>
      <c r="K5689" s="2"/>
    </row>
    <row r="5690" customFormat="false" ht="15" hidden="false" customHeight="false" outlineLevel="0" collapsed="false">
      <c r="A5690" s="2" t="s">
        <v>415</v>
      </c>
      <c r="B5690" s="2" t="s">
        <v>416</v>
      </c>
      <c r="C5690" s="2" t="s">
        <v>32</v>
      </c>
      <c r="D5690" s="3" t="n">
        <v>46250</v>
      </c>
      <c r="E5690" s="2" t="str">
        <f aca="false">TEXT(D5690,"dddd")</f>
        <v>Sunday</v>
      </c>
      <c r="F5690" s="2" t="s">
        <v>460</v>
      </c>
      <c r="G5690" s="2"/>
      <c r="H5690" s="2"/>
      <c r="I5690" s="2" t="n">
        <f aca="false">IF(F5690="Present",9,IF(F5690="Half Day",4,0))</f>
        <v>0</v>
      </c>
      <c r="J5690" s="2"/>
      <c r="K5690" s="2" t="s">
        <v>460</v>
      </c>
    </row>
    <row r="5691" customFormat="false" ht="15" hidden="false" customHeight="false" outlineLevel="0" collapsed="false">
      <c r="A5691" s="2" t="s">
        <v>415</v>
      </c>
      <c r="B5691" s="2" t="s">
        <v>416</v>
      </c>
      <c r="C5691" s="2" t="s">
        <v>32</v>
      </c>
      <c r="D5691" s="3" t="n">
        <v>46251</v>
      </c>
      <c r="E5691" s="2" t="str">
        <f aca="false">TEXT(D5691,"dddd")</f>
        <v>Monday</v>
      </c>
      <c r="F5691" s="2" t="s">
        <v>457</v>
      </c>
      <c r="G5691" s="2" t="s">
        <v>458</v>
      </c>
      <c r="H5691" s="2" t="s">
        <v>459</v>
      </c>
      <c r="I5691" s="2" t="n">
        <f aca="false">IF(F5691="Present",9,IF(F5691="Half Day",4,0))</f>
        <v>9</v>
      </c>
      <c r="J5691" s="2"/>
      <c r="K5691" s="2"/>
    </row>
    <row r="5692" customFormat="false" ht="15" hidden="false" customHeight="false" outlineLevel="0" collapsed="false">
      <c r="A5692" s="2" t="s">
        <v>415</v>
      </c>
      <c r="B5692" s="2" t="s">
        <v>416</v>
      </c>
      <c r="C5692" s="2" t="s">
        <v>32</v>
      </c>
      <c r="D5692" s="3" t="n">
        <v>46252</v>
      </c>
      <c r="E5692" s="2" t="str">
        <f aca="false">TEXT(D5692,"dddd")</f>
        <v>Tuesday</v>
      </c>
      <c r="F5692" s="2" t="s">
        <v>457</v>
      </c>
      <c r="G5692" s="2" t="s">
        <v>458</v>
      </c>
      <c r="H5692" s="2" t="s">
        <v>459</v>
      </c>
      <c r="I5692" s="2" t="n">
        <f aca="false">IF(F5692="Present",9,IF(F5692="Half Day",4,0))</f>
        <v>9</v>
      </c>
      <c r="J5692" s="2"/>
      <c r="K5692" s="2"/>
    </row>
    <row r="5693" customFormat="false" ht="15" hidden="false" customHeight="false" outlineLevel="0" collapsed="false">
      <c r="A5693" s="2" t="s">
        <v>415</v>
      </c>
      <c r="B5693" s="2" t="s">
        <v>416</v>
      </c>
      <c r="C5693" s="2" t="s">
        <v>32</v>
      </c>
      <c r="D5693" s="3" t="n">
        <v>46253</v>
      </c>
      <c r="E5693" s="2" t="str">
        <f aca="false">TEXT(D5693,"dddd")</f>
        <v>Wednesday</v>
      </c>
      <c r="F5693" s="2" t="s">
        <v>457</v>
      </c>
      <c r="G5693" s="2" t="s">
        <v>458</v>
      </c>
      <c r="H5693" s="2" t="s">
        <v>459</v>
      </c>
      <c r="I5693" s="2" t="n">
        <f aca="false">IF(F5693="Present",9,IF(F5693="Half Day",4,0))</f>
        <v>9</v>
      </c>
      <c r="J5693" s="2"/>
      <c r="K5693" s="2"/>
    </row>
    <row r="5694" customFormat="false" ht="15" hidden="false" customHeight="false" outlineLevel="0" collapsed="false">
      <c r="A5694" s="2" t="s">
        <v>415</v>
      </c>
      <c r="B5694" s="2" t="s">
        <v>416</v>
      </c>
      <c r="C5694" s="2" t="s">
        <v>32</v>
      </c>
      <c r="D5694" s="3" t="n">
        <v>46254</v>
      </c>
      <c r="E5694" s="2" t="str">
        <f aca="false">TEXT(D5694,"dddd")</f>
        <v>Thursday</v>
      </c>
      <c r="F5694" s="2" t="s">
        <v>457</v>
      </c>
      <c r="G5694" s="2" t="s">
        <v>458</v>
      </c>
      <c r="H5694" s="2" t="s">
        <v>459</v>
      </c>
      <c r="I5694" s="2" t="n">
        <f aca="false">IF(F5694="Present",9,IF(F5694="Half Day",4,0))</f>
        <v>9</v>
      </c>
      <c r="J5694" s="2"/>
      <c r="K5694" s="2"/>
    </row>
    <row r="5695" customFormat="false" ht="15" hidden="false" customHeight="false" outlineLevel="0" collapsed="false">
      <c r="A5695" s="2" t="s">
        <v>415</v>
      </c>
      <c r="B5695" s="2" t="s">
        <v>416</v>
      </c>
      <c r="C5695" s="2" t="s">
        <v>32</v>
      </c>
      <c r="D5695" s="3" t="n">
        <v>46255</v>
      </c>
      <c r="E5695" s="2" t="str">
        <f aca="false">TEXT(D5695,"dddd")</f>
        <v>Friday</v>
      </c>
      <c r="F5695" s="2" t="s">
        <v>457</v>
      </c>
      <c r="G5695" s="2" t="s">
        <v>458</v>
      </c>
      <c r="H5695" s="2" t="s">
        <v>459</v>
      </c>
      <c r="I5695" s="2" t="n">
        <f aca="false">IF(F5695="Present",9,IF(F5695="Half Day",4,0))</f>
        <v>9</v>
      </c>
      <c r="J5695" s="2"/>
      <c r="K5695" s="2"/>
    </row>
    <row r="5696" customFormat="false" ht="15" hidden="false" customHeight="false" outlineLevel="0" collapsed="false">
      <c r="A5696" s="2" t="s">
        <v>415</v>
      </c>
      <c r="B5696" s="2" t="s">
        <v>416</v>
      </c>
      <c r="C5696" s="2" t="s">
        <v>32</v>
      </c>
      <c r="D5696" s="3" t="n">
        <v>46256</v>
      </c>
      <c r="E5696" s="2" t="str">
        <f aca="false">TEXT(D5696,"dddd")</f>
        <v>Saturday</v>
      </c>
      <c r="F5696" s="2" t="s">
        <v>457</v>
      </c>
      <c r="G5696" s="2" t="s">
        <v>458</v>
      </c>
      <c r="H5696" s="2" t="s">
        <v>459</v>
      </c>
      <c r="I5696" s="2" t="n">
        <f aca="false">IF(F5696="Present",9,IF(F5696="Half Day",4,0))</f>
        <v>9</v>
      </c>
      <c r="J5696" s="2"/>
      <c r="K5696" s="2"/>
    </row>
    <row r="5697" customFormat="false" ht="15" hidden="false" customHeight="false" outlineLevel="0" collapsed="false">
      <c r="A5697" s="2" t="s">
        <v>415</v>
      </c>
      <c r="B5697" s="2" t="s">
        <v>416</v>
      </c>
      <c r="C5697" s="2" t="s">
        <v>32</v>
      </c>
      <c r="D5697" s="3" t="n">
        <v>46257</v>
      </c>
      <c r="E5697" s="2" t="str">
        <f aca="false">TEXT(D5697,"dddd")</f>
        <v>Sunday</v>
      </c>
      <c r="F5697" s="2" t="s">
        <v>460</v>
      </c>
      <c r="G5697" s="2"/>
      <c r="H5697" s="2"/>
      <c r="I5697" s="2" t="n">
        <f aca="false">IF(F5697="Present",9,IF(F5697="Half Day",4,0))</f>
        <v>0</v>
      </c>
      <c r="J5697" s="2"/>
      <c r="K5697" s="2" t="s">
        <v>460</v>
      </c>
    </row>
    <row r="5698" customFormat="false" ht="15" hidden="false" customHeight="false" outlineLevel="0" collapsed="false">
      <c r="A5698" s="2" t="s">
        <v>415</v>
      </c>
      <c r="B5698" s="2" t="s">
        <v>416</v>
      </c>
      <c r="C5698" s="2" t="s">
        <v>32</v>
      </c>
      <c r="D5698" s="3" t="n">
        <v>46258</v>
      </c>
      <c r="E5698" s="2" t="str">
        <f aca="false">TEXT(D5698,"dddd")</f>
        <v>Monday</v>
      </c>
      <c r="F5698" s="2" t="s">
        <v>457</v>
      </c>
      <c r="G5698" s="2" t="s">
        <v>458</v>
      </c>
      <c r="H5698" s="2" t="s">
        <v>459</v>
      </c>
      <c r="I5698" s="2" t="n">
        <f aca="false">IF(F5698="Present",9,IF(F5698="Half Day",4,0))</f>
        <v>9</v>
      </c>
      <c r="J5698" s="2"/>
      <c r="K5698" s="2"/>
    </row>
    <row r="5699" customFormat="false" ht="15" hidden="false" customHeight="false" outlineLevel="0" collapsed="false">
      <c r="A5699" s="2" t="s">
        <v>415</v>
      </c>
      <c r="B5699" s="2" t="s">
        <v>416</v>
      </c>
      <c r="C5699" s="2" t="s">
        <v>32</v>
      </c>
      <c r="D5699" s="3" t="n">
        <v>46259</v>
      </c>
      <c r="E5699" s="2" t="str">
        <f aca="false">TEXT(D5699,"dddd")</f>
        <v>Tuesday</v>
      </c>
      <c r="F5699" s="2" t="s">
        <v>457</v>
      </c>
      <c r="G5699" s="2" t="s">
        <v>458</v>
      </c>
      <c r="H5699" s="2" t="s">
        <v>459</v>
      </c>
      <c r="I5699" s="2" t="n">
        <f aca="false">IF(F5699="Present",9,IF(F5699="Half Day",4,0))</f>
        <v>9</v>
      </c>
      <c r="J5699" s="2"/>
      <c r="K5699" s="2"/>
    </row>
    <row r="5700" customFormat="false" ht="15" hidden="false" customHeight="false" outlineLevel="0" collapsed="false">
      <c r="A5700" s="2" t="s">
        <v>415</v>
      </c>
      <c r="B5700" s="2" t="s">
        <v>416</v>
      </c>
      <c r="C5700" s="2" t="s">
        <v>32</v>
      </c>
      <c r="D5700" s="3" t="n">
        <v>46260</v>
      </c>
      <c r="E5700" s="2" t="str">
        <f aca="false">TEXT(D5700,"dddd")</f>
        <v>Wednesday</v>
      </c>
      <c r="F5700" s="2" t="s">
        <v>457</v>
      </c>
      <c r="G5700" s="2" t="s">
        <v>458</v>
      </c>
      <c r="H5700" s="2" t="s">
        <v>459</v>
      </c>
      <c r="I5700" s="2" t="n">
        <f aca="false">IF(F5700="Present",9,IF(F5700="Half Day",4,0))</f>
        <v>9</v>
      </c>
      <c r="J5700" s="2"/>
      <c r="K5700" s="2"/>
    </row>
    <row r="5701" customFormat="false" ht="15" hidden="false" customHeight="false" outlineLevel="0" collapsed="false">
      <c r="A5701" s="2" t="s">
        <v>415</v>
      </c>
      <c r="B5701" s="2" t="s">
        <v>416</v>
      </c>
      <c r="C5701" s="2" t="s">
        <v>32</v>
      </c>
      <c r="D5701" s="3" t="n">
        <v>46261</v>
      </c>
      <c r="E5701" s="2" t="str">
        <f aca="false">TEXT(D5701,"dddd")</f>
        <v>Thursday</v>
      </c>
      <c r="F5701" s="2" t="s">
        <v>457</v>
      </c>
      <c r="G5701" s="2" t="s">
        <v>458</v>
      </c>
      <c r="H5701" s="2" t="s">
        <v>459</v>
      </c>
      <c r="I5701" s="2" t="n">
        <f aca="false">IF(F5701="Present",9,IF(F5701="Half Day",4,0))</f>
        <v>9</v>
      </c>
      <c r="J5701" s="2"/>
      <c r="K5701" s="2"/>
    </row>
    <row r="5702" customFormat="false" ht="15" hidden="false" customHeight="false" outlineLevel="0" collapsed="false">
      <c r="A5702" s="2" t="s">
        <v>415</v>
      </c>
      <c r="B5702" s="2" t="s">
        <v>416</v>
      </c>
      <c r="C5702" s="2" t="s">
        <v>32</v>
      </c>
      <c r="D5702" s="3" t="n">
        <v>46262</v>
      </c>
      <c r="E5702" s="2" t="str">
        <f aca="false">TEXT(D5702,"dddd")</f>
        <v>Friday</v>
      </c>
      <c r="F5702" s="2" t="s">
        <v>457</v>
      </c>
      <c r="G5702" s="2" t="s">
        <v>458</v>
      </c>
      <c r="H5702" s="2" t="s">
        <v>459</v>
      </c>
      <c r="I5702" s="2" t="n">
        <f aca="false">IF(F5702="Present",9,IF(F5702="Half Day",4,0))</f>
        <v>9</v>
      </c>
      <c r="J5702" s="2"/>
      <c r="K5702" s="2"/>
    </row>
    <row r="5703" customFormat="false" ht="15" hidden="false" customHeight="false" outlineLevel="0" collapsed="false">
      <c r="A5703" s="2" t="s">
        <v>415</v>
      </c>
      <c r="B5703" s="2" t="s">
        <v>416</v>
      </c>
      <c r="C5703" s="2" t="s">
        <v>32</v>
      </c>
      <c r="D5703" s="3" t="n">
        <v>46263</v>
      </c>
      <c r="E5703" s="2" t="str">
        <f aca="false">TEXT(D5703,"dddd")</f>
        <v>Saturday</v>
      </c>
      <c r="F5703" s="2" t="s">
        <v>457</v>
      </c>
      <c r="G5703" s="2" t="s">
        <v>458</v>
      </c>
      <c r="H5703" s="2" t="s">
        <v>459</v>
      </c>
      <c r="I5703" s="2" t="n">
        <f aca="false">IF(F5703="Present",9,IF(F5703="Half Day",4,0))</f>
        <v>9</v>
      </c>
      <c r="J5703" s="2"/>
      <c r="K5703" s="2"/>
    </row>
    <row r="5704" customFormat="false" ht="15" hidden="false" customHeight="false" outlineLevel="0" collapsed="false">
      <c r="A5704" s="2" t="s">
        <v>415</v>
      </c>
      <c r="B5704" s="2" t="s">
        <v>416</v>
      </c>
      <c r="C5704" s="2" t="s">
        <v>32</v>
      </c>
      <c r="D5704" s="3" t="n">
        <v>46264</v>
      </c>
      <c r="E5704" s="2" t="str">
        <f aca="false">TEXT(D5704,"dddd")</f>
        <v>Sunday</v>
      </c>
      <c r="F5704" s="2" t="s">
        <v>460</v>
      </c>
      <c r="G5704" s="2"/>
      <c r="H5704" s="2"/>
      <c r="I5704" s="2" t="n">
        <f aca="false">IF(F5704="Present",9,IF(F5704="Half Day",4,0))</f>
        <v>0</v>
      </c>
      <c r="J5704" s="2"/>
      <c r="K5704" s="2" t="s">
        <v>460</v>
      </c>
    </row>
    <row r="5705" customFormat="false" ht="15" hidden="false" customHeight="false" outlineLevel="0" collapsed="false">
      <c r="A5705" s="2" t="s">
        <v>415</v>
      </c>
      <c r="B5705" s="2" t="s">
        <v>416</v>
      </c>
      <c r="C5705" s="2" t="s">
        <v>32</v>
      </c>
      <c r="D5705" s="3" t="n">
        <v>46265</v>
      </c>
      <c r="E5705" s="2" t="str">
        <f aca="false">TEXT(D5705,"dddd")</f>
        <v>Monday</v>
      </c>
      <c r="F5705" s="2" t="s">
        <v>457</v>
      </c>
      <c r="G5705" s="2" t="s">
        <v>458</v>
      </c>
      <c r="H5705" s="2" t="s">
        <v>459</v>
      </c>
      <c r="I5705" s="2" t="n">
        <f aca="false">IF(F5705="Present",9,IF(F5705="Half Day",4,0))</f>
        <v>9</v>
      </c>
      <c r="J5705" s="2"/>
      <c r="K5705" s="2"/>
    </row>
    <row r="5706" customFormat="false" ht="15" hidden="false" customHeight="false" outlineLevel="0" collapsed="false">
      <c r="A5706" s="2" t="s">
        <v>417</v>
      </c>
      <c r="B5706" s="2" t="s">
        <v>418</v>
      </c>
      <c r="C5706" s="2" t="s">
        <v>36</v>
      </c>
      <c r="D5706" s="3" t="n">
        <v>46235</v>
      </c>
      <c r="E5706" s="2" t="str">
        <f aca="false">TEXT(D5706,"dddd")</f>
        <v>Saturday</v>
      </c>
      <c r="F5706" s="2" t="s">
        <v>457</v>
      </c>
      <c r="G5706" s="2" t="s">
        <v>458</v>
      </c>
      <c r="H5706" s="2" t="s">
        <v>459</v>
      </c>
      <c r="I5706" s="2" t="n">
        <f aca="false">IF(F5706="Present",9,IF(F5706="Half Day",4,0))</f>
        <v>9</v>
      </c>
      <c r="J5706" s="2"/>
      <c r="K5706" s="2"/>
    </row>
    <row r="5707" customFormat="false" ht="15" hidden="false" customHeight="false" outlineLevel="0" collapsed="false">
      <c r="A5707" s="2" t="s">
        <v>417</v>
      </c>
      <c r="B5707" s="2" t="s">
        <v>418</v>
      </c>
      <c r="C5707" s="2" t="s">
        <v>36</v>
      </c>
      <c r="D5707" s="3" t="n">
        <v>46236</v>
      </c>
      <c r="E5707" s="2" t="str">
        <f aca="false">TEXT(D5707,"dddd")</f>
        <v>Sunday</v>
      </c>
      <c r="F5707" s="2" t="s">
        <v>460</v>
      </c>
      <c r="G5707" s="2"/>
      <c r="H5707" s="2"/>
      <c r="I5707" s="2" t="n">
        <f aca="false">IF(F5707="Present",9,IF(F5707="Half Day",4,0))</f>
        <v>0</v>
      </c>
      <c r="J5707" s="2"/>
      <c r="K5707" s="2" t="s">
        <v>460</v>
      </c>
    </row>
    <row r="5708" customFormat="false" ht="15" hidden="false" customHeight="false" outlineLevel="0" collapsed="false">
      <c r="A5708" s="2" t="s">
        <v>417</v>
      </c>
      <c r="B5708" s="2" t="s">
        <v>418</v>
      </c>
      <c r="C5708" s="2" t="s">
        <v>36</v>
      </c>
      <c r="D5708" s="3" t="n">
        <v>46237</v>
      </c>
      <c r="E5708" s="2" t="str">
        <f aca="false">TEXT(D5708,"dddd")</f>
        <v>Monday</v>
      </c>
      <c r="F5708" s="2" t="s">
        <v>457</v>
      </c>
      <c r="G5708" s="2" t="s">
        <v>458</v>
      </c>
      <c r="H5708" s="2" t="s">
        <v>459</v>
      </c>
      <c r="I5708" s="2" t="n">
        <f aca="false">IF(F5708="Present",9,IF(F5708="Half Day",4,0))</f>
        <v>9</v>
      </c>
      <c r="J5708" s="2"/>
      <c r="K5708" s="2"/>
    </row>
    <row r="5709" customFormat="false" ht="15" hidden="false" customHeight="false" outlineLevel="0" collapsed="false">
      <c r="A5709" s="2" t="s">
        <v>417</v>
      </c>
      <c r="B5709" s="2" t="s">
        <v>418</v>
      </c>
      <c r="C5709" s="2" t="s">
        <v>36</v>
      </c>
      <c r="D5709" s="3" t="n">
        <v>46238</v>
      </c>
      <c r="E5709" s="2" t="str">
        <f aca="false">TEXT(D5709,"dddd")</f>
        <v>Tuesday</v>
      </c>
      <c r="F5709" s="2" t="s">
        <v>457</v>
      </c>
      <c r="G5709" s="2" t="s">
        <v>458</v>
      </c>
      <c r="H5709" s="2" t="s">
        <v>459</v>
      </c>
      <c r="I5709" s="2" t="n">
        <f aca="false">IF(F5709="Present",9,IF(F5709="Half Day",4,0))</f>
        <v>9</v>
      </c>
      <c r="J5709" s="2"/>
      <c r="K5709" s="2"/>
    </row>
    <row r="5710" customFormat="false" ht="15" hidden="false" customHeight="false" outlineLevel="0" collapsed="false">
      <c r="A5710" s="2" t="s">
        <v>417</v>
      </c>
      <c r="B5710" s="2" t="s">
        <v>418</v>
      </c>
      <c r="C5710" s="2" t="s">
        <v>36</v>
      </c>
      <c r="D5710" s="3" t="n">
        <v>46239</v>
      </c>
      <c r="E5710" s="2" t="str">
        <f aca="false">TEXT(D5710,"dddd")</f>
        <v>Wednesday</v>
      </c>
      <c r="F5710" s="2" t="s">
        <v>457</v>
      </c>
      <c r="G5710" s="2" t="s">
        <v>458</v>
      </c>
      <c r="H5710" s="2" t="s">
        <v>459</v>
      </c>
      <c r="I5710" s="2" t="n">
        <f aca="false">IF(F5710="Present",9,IF(F5710="Half Day",4,0))</f>
        <v>9</v>
      </c>
      <c r="J5710" s="2"/>
      <c r="K5710" s="2"/>
    </row>
    <row r="5711" customFormat="false" ht="15" hidden="false" customHeight="false" outlineLevel="0" collapsed="false">
      <c r="A5711" s="2" t="s">
        <v>417</v>
      </c>
      <c r="B5711" s="2" t="s">
        <v>418</v>
      </c>
      <c r="C5711" s="2" t="s">
        <v>36</v>
      </c>
      <c r="D5711" s="3" t="n">
        <v>46240</v>
      </c>
      <c r="E5711" s="2" t="str">
        <f aca="false">TEXT(D5711,"dddd")</f>
        <v>Thursday</v>
      </c>
      <c r="F5711" s="2" t="s">
        <v>457</v>
      </c>
      <c r="G5711" s="2" t="s">
        <v>458</v>
      </c>
      <c r="H5711" s="2" t="s">
        <v>459</v>
      </c>
      <c r="I5711" s="2" t="n">
        <f aca="false">IF(F5711="Present",9,IF(F5711="Half Day",4,0))</f>
        <v>9</v>
      </c>
      <c r="J5711" s="2"/>
      <c r="K5711" s="2"/>
    </row>
    <row r="5712" customFormat="false" ht="15" hidden="false" customHeight="false" outlineLevel="0" collapsed="false">
      <c r="A5712" s="2" t="s">
        <v>417</v>
      </c>
      <c r="B5712" s="2" t="s">
        <v>418</v>
      </c>
      <c r="C5712" s="2" t="s">
        <v>36</v>
      </c>
      <c r="D5712" s="3" t="n">
        <v>46241</v>
      </c>
      <c r="E5712" s="2" t="str">
        <f aca="false">TEXT(D5712,"dddd")</f>
        <v>Friday</v>
      </c>
      <c r="F5712" s="2" t="s">
        <v>457</v>
      </c>
      <c r="G5712" s="2" t="s">
        <v>458</v>
      </c>
      <c r="H5712" s="2" t="s">
        <v>459</v>
      </c>
      <c r="I5712" s="2" t="n">
        <f aca="false">IF(F5712="Present",9,IF(F5712="Half Day",4,0))</f>
        <v>9</v>
      </c>
      <c r="J5712" s="2"/>
      <c r="K5712" s="2"/>
    </row>
    <row r="5713" customFormat="false" ht="15" hidden="false" customHeight="false" outlineLevel="0" collapsed="false">
      <c r="A5713" s="2" t="s">
        <v>417</v>
      </c>
      <c r="B5713" s="2" t="s">
        <v>418</v>
      </c>
      <c r="C5713" s="2" t="s">
        <v>36</v>
      </c>
      <c r="D5713" s="3" t="n">
        <v>46242</v>
      </c>
      <c r="E5713" s="2" t="str">
        <f aca="false">TEXT(D5713,"dddd")</f>
        <v>Saturday</v>
      </c>
      <c r="F5713" s="2" t="s">
        <v>457</v>
      </c>
      <c r="G5713" s="2" t="s">
        <v>458</v>
      </c>
      <c r="H5713" s="2" t="s">
        <v>459</v>
      </c>
      <c r="I5713" s="2" t="n">
        <f aca="false">IF(F5713="Present",9,IF(F5713="Half Day",4,0))</f>
        <v>9</v>
      </c>
      <c r="J5713" s="2"/>
      <c r="K5713" s="2"/>
    </row>
    <row r="5714" customFormat="false" ht="15" hidden="false" customHeight="false" outlineLevel="0" collapsed="false">
      <c r="A5714" s="2" t="s">
        <v>417</v>
      </c>
      <c r="B5714" s="2" t="s">
        <v>418</v>
      </c>
      <c r="C5714" s="2" t="s">
        <v>36</v>
      </c>
      <c r="D5714" s="3" t="n">
        <v>46243</v>
      </c>
      <c r="E5714" s="2" t="str">
        <f aca="false">TEXT(D5714,"dddd")</f>
        <v>Sunday</v>
      </c>
      <c r="F5714" s="2" t="s">
        <v>460</v>
      </c>
      <c r="G5714" s="2"/>
      <c r="H5714" s="2"/>
      <c r="I5714" s="2" t="n">
        <f aca="false">IF(F5714="Present",9,IF(F5714="Half Day",4,0))</f>
        <v>0</v>
      </c>
      <c r="J5714" s="2"/>
      <c r="K5714" s="2" t="s">
        <v>460</v>
      </c>
    </row>
    <row r="5715" customFormat="false" ht="15" hidden="false" customHeight="false" outlineLevel="0" collapsed="false">
      <c r="A5715" s="2" t="s">
        <v>417</v>
      </c>
      <c r="B5715" s="2" t="s">
        <v>418</v>
      </c>
      <c r="C5715" s="2" t="s">
        <v>36</v>
      </c>
      <c r="D5715" s="3" t="n">
        <v>46244</v>
      </c>
      <c r="E5715" s="2" t="str">
        <f aca="false">TEXT(D5715,"dddd")</f>
        <v>Monday</v>
      </c>
      <c r="F5715" s="2" t="s">
        <v>457</v>
      </c>
      <c r="G5715" s="2" t="s">
        <v>458</v>
      </c>
      <c r="H5715" s="2" t="s">
        <v>459</v>
      </c>
      <c r="I5715" s="2" t="n">
        <f aca="false">IF(F5715="Present",9,IF(F5715="Half Day",4,0))</f>
        <v>9</v>
      </c>
      <c r="J5715" s="2"/>
      <c r="K5715" s="2"/>
    </row>
    <row r="5716" customFormat="false" ht="15" hidden="false" customHeight="false" outlineLevel="0" collapsed="false">
      <c r="A5716" s="2" t="s">
        <v>417</v>
      </c>
      <c r="B5716" s="2" t="s">
        <v>418</v>
      </c>
      <c r="C5716" s="2" t="s">
        <v>36</v>
      </c>
      <c r="D5716" s="3" t="n">
        <v>46245</v>
      </c>
      <c r="E5716" s="2" t="str">
        <f aca="false">TEXT(D5716,"dddd")</f>
        <v>Tuesday</v>
      </c>
      <c r="F5716" s="2" t="s">
        <v>457</v>
      </c>
      <c r="G5716" s="2" t="s">
        <v>458</v>
      </c>
      <c r="H5716" s="2" t="s">
        <v>459</v>
      </c>
      <c r="I5716" s="2" t="n">
        <f aca="false">IF(F5716="Present",9,IF(F5716="Half Day",4,0))</f>
        <v>9</v>
      </c>
      <c r="J5716" s="2"/>
      <c r="K5716" s="2"/>
    </row>
    <row r="5717" customFormat="false" ht="15" hidden="false" customHeight="false" outlineLevel="0" collapsed="false">
      <c r="A5717" s="2" t="s">
        <v>417</v>
      </c>
      <c r="B5717" s="2" t="s">
        <v>418</v>
      </c>
      <c r="C5717" s="2" t="s">
        <v>36</v>
      </c>
      <c r="D5717" s="3" t="n">
        <v>46246</v>
      </c>
      <c r="E5717" s="2" t="str">
        <f aca="false">TEXT(D5717,"dddd")</f>
        <v>Wednesday</v>
      </c>
      <c r="F5717" s="2" t="s">
        <v>457</v>
      </c>
      <c r="G5717" s="2" t="s">
        <v>458</v>
      </c>
      <c r="H5717" s="2" t="s">
        <v>459</v>
      </c>
      <c r="I5717" s="2" t="n">
        <f aca="false">IF(F5717="Present",9,IF(F5717="Half Day",4,0))</f>
        <v>9</v>
      </c>
      <c r="J5717" s="2"/>
      <c r="K5717" s="2"/>
    </row>
    <row r="5718" customFormat="false" ht="15" hidden="false" customHeight="false" outlineLevel="0" collapsed="false">
      <c r="A5718" s="2" t="s">
        <v>417</v>
      </c>
      <c r="B5718" s="2" t="s">
        <v>418</v>
      </c>
      <c r="C5718" s="2" t="s">
        <v>36</v>
      </c>
      <c r="D5718" s="3" t="n">
        <v>46247</v>
      </c>
      <c r="E5718" s="2" t="str">
        <f aca="false">TEXT(D5718,"dddd")</f>
        <v>Thursday</v>
      </c>
      <c r="F5718" s="2" t="s">
        <v>457</v>
      </c>
      <c r="G5718" s="2" t="s">
        <v>458</v>
      </c>
      <c r="H5718" s="2" t="s">
        <v>459</v>
      </c>
      <c r="I5718" s="2" t="n">
        <f aca="false">IF(F5718="Present",9,IF(F5718="Half Day",4,0))</f>
        <v>9</v>
      </c>
      <c r="J5718" s="2"/>
      <c r="K5718" s="2"/>
    </row>
    <row r="5719" customFormat="false" ht="15" hidden="false" customHeight="false" outlineLevel="0" collapsed="false">
      <c r="A5719" s="2" t="s">
        <v>417</v>
      </c>
      <c r="B5719" s="2" t="s">
        <v>418</v>
      </c>
      <c r="C5719" s="2" t="s">
        <v>36</v>
      </c>
      <c r="D5719" s="3" t="n">
        <v>46248</v>
      </c>
      <c r="E5719" s="2" t="str">
        <f aca="false">TEXT(D5719,"dddd")</f>
        <v>Friday</v>
      </c>
      <c r="F5719" s="2" t="s">
        <v>457</v>
      </c>
      <c r="G5719" s="2" t="s">
        <v>458</v>
      </c>
      <c r="H5719" s="2" t="s">
        <v>459</v>
      </c>
      <c r="I5719" s="2" t="n">
        <f aca="false">IF(F5719="Present",9,IF(F5719="Half Day",4,0))</f>
        <v>9</v>
      </c>
      <c r="J5719" s="2"/>
      <c r="K5719" s="2"/>
    </row>
    <row r="5720" customFormat="false" ht="15" hidden="false" customHeight="false" outlineLevel="0" collapsed="false">
      <c r="A5720" s="2" t="s">
        <v>417</v>
      </c>
      <c r="B5720" s="2" t="s">
        <v>418</v>
      </c>
      <c r="C5720" s="2" t="s">
        <v>36</v>
      </c>
      <c r="D5720" s="3" t="n">
        <v>46249</v>
      </c>
      <c r="E5720" s="2" t="str">
        <f aca="false">TEXT(D5720,"dddd")</f>
        <v>Saturday</v>
      </c>
      <c r="F5720" s="2" t="s">
        <v>457</v>
      </c>
      <c r="G5720" s="2" t="s">
        <v>458</v>
      </c>
      <c r="H5720" s="2" t="s">
        <v>459</v>
      </c>
      <c r="I5720" s="2" t="n">
        <f aca="false">IF(F5720="Present",9,IF(F5720="Half Day",4,0))</f>
        <v>9</v>
      </c>
      <c r="J5720" s="2"/>
      <c r="K5720" s="2"/>
    </row>
    <row r="5721" customFormat="false" ht="15" hidden="false" customHeight="false" outlineLevel="0" collapsed="false">
      <c r="A5721" s="2" t="s">
        <v>417</v>
      </c>
      <c r="B5721" s="2" t="s">
        <v>418</v>
      </c>
      <c r="C5721" s="2" t="s">
        <v>36</v>
      </c>
      <c r="D5721" s="3" t="n">
        <v>46250</v>
      </c>
      <c r="E5721" s="2" t="str">
        <f aca="false">TEXT(D5721,"dddd")</f>
        <v>Sunday</v>
      </c>
      <c r="F5721" s="2" t="s">
        <v>460</v>
      </c>
      <c r="G5721" s="2"/>
      <c r="H5721" s="2"/>
      <c r="I5721" s="2" t="n">
        <f aca="false">IF(F5721="Present",9,IF(F5721="Half Day",4,0))</f>
        <v>0</v>
      </c>
      <c r="J5721" s="2"/>
      <c r="K5721" s="2" t="s">
        <v>460</v>
      </c>
    </row>
    <row r="5722" customFormat="false" ht="15" hidden="false" customHeight="false" outlineLevel="0" collapsed="false">
      <c r="A5722" s="2" t="s">
        <v>417</v>
      </c>
      <c r="B5722" s="2" t="s">
        <v>418</v>
      </c>
      <c r="C5722" s="2" t="s">
        <v>36</v>
      </c>
      <c r="D5722" s="3" t="n">
        <v>46251</v>
      </c>
      <c r="E5722" s="2" t="str">
        <f aca="false">TEXT(D5722,"dddd")</f>
        <v>Monday</v>
      </c>
      <c r="F5722" s="2" t="s">
        <v>457</v>
      </c>
      <c r="G5722" s="2" t="s">
        <v>458</v>
      </c>
      <c r="H5722" s="2" t="s">
        <v>459</v>
      </c>
      <c r="I5722" s="2" t="n">
        <f aca="false">IF(F5722="Present",9,IF(F5722="Half Day",4,0))</f>
        <v>9</v>
      </c>
      <c r="J5722" s="2"/>
      <c r="K5722" s="2"/>
    </row>
    <row r="5723" customFormat="false" ht="15" hidden="false" customHeight="false" outlineLevel="0" collapsed="false">
      <c r="A5723" s="2" t="s">
        <v>417</v>
      </c>
      <c r="B5723" s="2" t="s">
        <v>418</v>
      </c>
      <c r="C5723" s="2" t="s">
        <v>36</v>
      </c>
      <c r="D5723" s="3" t="n">
        <v>46252</v>
      </c>
      <c r="E5723" s="2" t="str">
        <f aca="false">TEXT(D5723,"dddd")</f>
        <v>Tuesday</v>
      </c>
      <c r="F5723" s="2" t="s">
        <v>457</v>
      </c>
      <c r="G5723" s="2" t="s">
        <v>458</v>
      </c>
      <c r="H5723" s="2" t="s">
        <v>459</v>
      </c>
      <c r="I5723" s="2" t="n">
        <f aca="false">IF(F5723="Present",9,IF(F5723="Half Day",4,0))</f>
        <v>9</v>
      </c>
      <c r="J5723" s="2"/>
      <c r="K5723" s="2"/>
    </row>
    <row r="5724" customFormat="false" ht="15" hidden="false" customHeight="false" outlineLevel="0" collapsed="false">
      <c r="A5724" s="2" t="s">
        <v>417</v>
      </c>
      <c r="B5724" s="2" t="s">
        <v>418</v>
      </c>
      <c r="C5724" s="2" t="s">
        <v>36</v>
      </c>
      <c r="D5724" s="3" t="n">
        <v>46253</v>
      </c>
      <c r="E5724" s="2" t="str">
        <f aca="false">TEXT(D5724,"dddd")</f>
        <v>Wednesday</v>
      </c>
      <c r="F5724" s="2" t="s">
        <v>457</v>
      </c>
      <c r="G5724" s="2" t="s">
        <v>458</v>
      </c>
      <c r="H5724" s="2" t="s">
        <v>459</v>
      </c>
      <c r="I5724" s="2" t="n">
        <f aca="false">IF(F5724="Present",9,IF(F5724="Half Day",4,0))</f>
        <v>9</v>
      </c>
      <c r="J5724" s="2"/>
      <c r="K5724" s="2"/>
    </row>
    <row r="5725" customFormat="false" ht="15" hidden="false" customHeight="false" outlineLevel="0" collapsed="false">
      <c r="A5725" s="2" t="s">
        <v>417</v>
      </c>
      <c r="B5725" s="2" t="s">
        <v>418</v>
      </c>
      <c r="C5725" s="2" t="s">
        <v>36</v>
      </c>
      <c r="D5725" s="3" t="n">
        <v>46254</v>
      </c>
      <c r="E5725" s="2" t="str">
        <f aca="false">TEXT(D5725,"dddd")</f>
        <v>Thursday</v>
      </c>
      <c r="F5725" s="2" t="s">
        <v>457</v>
      </c>
      <c r="G5725" s="2" t="s">
        <v>458</v>
      </c>
      <c r="H5725" s="2" t="s">
        <v>459</v>
      </c>
      <c r="I5725" s="2" t="n">
        <f aca="false">IF(F5725="Present",9,IF(F5725="Half Day",4,0))</f>
        <v>9</v>
      </c>
      <c r="J5725" s="2"/>
      <c r="K5725" s="2"/>
    </row>
    <row r="5726" customFormat="false" ht="15" hidden="false" customHeight="false" outlineLevel="0" collapsed="false">
      <c r="A5726" s="2" t="s">
        <v>417</v>
      </c>
      <c r="B5726" s="2" t="s">
        <v>418</v>
      </c>
      <c r="C5726" s="2" t="s">
        <v>36</v>
      </c>
      <c r="D5726" s="3" t="n">
        <v>46255</v>
      </c>
      <c r="E5726" s="2" t="str">
        <f aca="false">TEXT(D5726,"dddd")</f>
        <v>Friday</v>
      </c>
      <c r="F5726" s="2" t="s">
        <v>457</v>
      </c>
      <c r="G5726" s="2" t="s">
        <v>458</v>
      </c>
      <c r="H5726" s="2" t="s">
        <v>459</v>
      </c>
      <c r="I5726" s="2" t="n">
        <f aca="false">IF(F5726="Present",9,IF(F5726="Half Day",4,0))</f>
        <v>9</v>
      </c>
      <c r="J5726" s="2"/>
      <c r="K5726" s="2"/>
    </row>
    <row r="5727" customFormat="false" ht="15" hidden="false" customHeight="false" outlineLevel="0" collapsed="false">
      <c r="A5727" s="2" t="s">
        <v>417</v>
      </c>
      <c r="B5727" s="2" t="s">
        <v>418</v>
      </c>
      <c r="C5727" s="2" t="s">
        <v>36</v>
      </c>
      <c r="D5727" s="3" t="n">
        <v>46256</v>
      </c>
      <c r="E5727" s="2" t="str">
        <f aca="false">TEXT(D5727,"dddd")</f>
        <v>Saturday</v>
      </c>
      <c r="F5727" s="2" t="s">
        <v>457</v>
      </c>
      <c r="G5727" s="2" t="s">
        <v>458</v>
      </c>
      <c r="H5727" s="2" t="s">
        <v>459</v>
      </c>
      <c r="I5727" s="2" t="n">
        <f aca="false">IF(F5727="Present",9,IF(F5727="Half Day",4,0))</f>
        <v>9</v>
      </c>
      <c r="J5727" s="2"/>
      <c r="K5727" s="2"/>
    </row>
    <row r="5728" customFormat="false" ht="15" hidden="false" customHeight="false" outlineLevel="0" collapsed="false">
      <c r="A5728" s="2" t="s">
        <v>417</v>
      </c>
      <c r="B5728" s="2" t="s">
        <v>418</v>
      </c>
      <c r="C5728" s="2" t="s">
        <v>36</v>
      </c>
      <c r="D5728" s="3" t="n">
        <v>46257</v>
      </c>
      <c r="E5728" s="2" t="str">
        <f aca="false">TEXT(D5728,"dddd")</f>
        <v>Sunday</v>
      </c>
      <c r="F5728" s="2" t="s">
        <v>460</v>
      </c>
      <c r="G5728" s="2"/>
      <c r="H5728" s="2"/>
      <c r="I5728" s="2" t="n">
        <f aca="false">IF(F5728="Present",9,IF(F5728="Half Day",4,0))</f>
        <v>0</v>
      </c>
      <c r="J5728" s="2"/>
      <c r="K5728" s="2" t="s">
        <v>460</v>
      </c>
    </row>
    <row r="5729" customFormat="false" ht="15" hidden="false" customHeight="false" outlineLevel="0" collapsed="false">
      <c r="A5729" s="2" t="s">
        <v>417</v>
      </c>
      <c r="B5729" s="2" t="s">
        <v>418</v>
      </c>
      <c r="C5729" s="2" t="s">
        <v>36</v>
      </c>
      <c r="D5729" s="3" t="n">
        <v>46258</v>
      </c>
      <c r="E5729" s="2" t="str">
        <f aca="false">TEXT(D5729,"dddd")</f>
        <v>Monday</v>
      </c>
      <c r="F5729" s="2" t="s">
        <v>457</v>
      </c>
      <c r="G5729" s="2" t="s">
        <v>458</v>
      </c>
      <c r="H5729" s="2" t="s">
        <v>459</v>
      </c>
      <c r="I5729" s="2" t="n">
        <f aca="false">IF(F5729="Present",9,IF(F5729="Half Day",4,0))</f>
        <v>9</v>
      </c>
      <c r="J5729" s="2"/>
      <c r="K5729" s="2"/>
    </row>
    <row r="5730" customFormat="false" ht="15" hidden="false" customHeight="false" outlineLevel="0" collapsed="false">
      <c r="A5730" s="2" t="s">
        <v>417</v>
      </c>
      <c r="B5730" s="2" t="s">
        <v>418</v>
      </c>
      <c r="C5730" s="2" t="s">
        <v>36</v>
      </c>
      <c r="D5730" s="3" t="n">
        <v>46259</v>
      </c>
      <c r="E5730" s="2" t="str">
        <f aca="false">TEXT(D5730,"dddd")</f>
        <v>Tuesday</v>
      </c>
      <c r="F5730" s="2" t="s">
        <v>457</v>
      </c>
      <c r="G5730" s="2" t="s">
        <v>458</v>
      </c>
      <c r="H5730" s="2" t="s">
        <v>459</v>
      </c>
      <c r="I5730" s="2" t="n">
        <f aca="false">IF(F5730="Present",9,IF(F5730="Half Day",4,0))</f>
        <v>9</v>
      </c>
      <c r="J5730" s="2"/>
      <c r="K5730" s="2"/>
    </row>
    <row r="5731" customFormat="false" ht="15" hidden="false" customHeight="false" outlineLevel="0" collapsed="false">
      <c r="A5731" s="2" t="s">
        <v>417</v>
      </c>
      <c r="B5731" s="2" t="s">
        <v>418</v>
      </c>
      <c r="C5731" s="2" t="s">
        <v>36</v>
      </c>
      <c r="D5731" s="3" t="n">
        <v>46260</v>
      </c>
      <c r="E5731" s="2" t="str">
        <f aca="false">TEXT(D5731,"dddd")</f>
        <v>Wednesday</v>
      </c>
      <c r="F5731" s="2" t="s">
        <v>457</v>
      </c>
      <c r="G5731" s="2" t="s">
        <v>458</v>
      </c>
      <c r="H5731" s="2" t="s">
        <v>459</v>
      </c>
      <c r="I5731" s="2" t="n">
        <f aca="false">IF(F5731="Present",9,IF(F5731="Half Day",4,0))</f>
        <v>9</v>
      </c>
      <c r="J5731" s="2"/>
      <c r="K5731" s="2"/>
    </row>
    <row r="5732" customFormat="false" ht="15" hidden="false" customHeight="false" outlineLevel="0" collapsed="false">
      <c r="A5732" s="2" t="s">
        <v>417</v>
      </c>
      <c r="B5732" s="2" t="s">
        <v>418</v>
      </c>
      <c r="C5732" s="2" t="s">
        <v>36</v>
      </c>
      <c r="D5732" s="3" t="n">
        <v>46261</v>
      </c>
      <c r="E5732" s="2" t="str">
        <f aca="false">TEXT(D5732,"dddd")</f>
        <v>Thursday</v>
      </c>
      <c r="F5732" s="2" t="s">
        <v>457</v>
      </c>
      <c r="G5732" s="2" t="s">
        <v>458</v>
      </c>
      <c r="H5732" s="2" t="s">
        <v>459</v>
      </c>
      <c r="I5732" s="2" t="n">
        <f aca="false">IF(F5732="Present",9,IF(F5732="Half Day",4,0))</f>
        <v>9</v>
      </c>
      <c r="J5732" s="2"/>
      <c r="K5732" s="2"/>
    </row>
    <row r="5733" customFormat="false" ht="15" hidden="false" customHeight="false" outlineLevel="0" collapsed="false">
      <c r="A5733" s="2" t="s">
        <v>417</v>
      </c>
      <c r="B5733" s="2" t="s">
        <v>418</v>
      </c>
      <c r="C5733" s="2" t="s">
        <v>36</v>
      </c>
      <c r="D5733" s="3" t="n">
        <v>46262</v>
      </c>
      <c r="E5733" s="2" t="str">
        <f aca="false">TEXT(D5733,"dddd")</f>
        <v>Friday</v>
      </c>
      <c r="F5733" s="2" t="s">
        <v>457</v>
      </c>
      <c r="G5733" s="2" t="s">
        <v>458</v>
      </c>
      <c r="H5733" s="2" t="s">
        <v>459</v>
      </c>
      <c r="I5733" s="2" t="n">
        <f aca="false">IF(F5733="Present",9,IF(F5733="Half Day",4,0))</f>
        <v>9</v>
      </c>
      <c r="J5733" s="2"/>
      <c r="K5733" s="2"/>
    </row>
    <row r="5734" customFormat="false" ht="15" hidden="false" customHeight="false" outlineLevel="0" collapsed="false">
      <c r="A5734" s="2" t="s">
        <v>417</v>
      </c>
      <c r="B5734" s="2" t="s">
        <v>418</v>
      </c>
      <c r="C5734" s="2" t="s">
        <v>36</v>
      </c>
      <c r="D5734" s="3" t="n">
        <v>46263</v>
      </c>
      <c r="E5734" s="2" t="str">
        <f aca="false">TEXT(D5734,"dddd")</f>
        <v>Saturday</v>
      </c>
      <c r="F5734" s="2" t="s">
        <v>457</v>
      </c>
      <c r="G5734" s="2" t="s">
        <v>458</v>
      </c>
      <c r="H5734" s="2" t="s">
        <v>459</v>
      </c>
      <c r="I5734" s="2" t="n">
        <f aca="false">IF(F5734="Present",9,IF(F5734="Half Day",4,0))</f>
        <v>9</v>
      </c>
      <c r="J5734" s="2"/>
      <c r="K5734" s="2"/>
    </row>
    <row r="5735" customFormat="false" ht="15" hidden="false" customHeight="false" outlineLevel="0" collapsed="false">
      <c r="A5735" s="2" t="s">
        <v>417</v>
      </c>
      <c r="B5735" s="2" t="s">
        <v>418</v>
      </c>
      <c r="C5735" s="2" t="s">
        <v>36</v>
      </c>
      <c r="D5735" s="3" t="n">
        <v>46264</v>
      </c>
      <c r="E5735" s="2" t="str">
        <f aca="false">TEXT(D5735,"dddd")</f>
        <v>Sunday</v>
      </c>
      <c r="F5735" s="2" t="s">
        <v>460</v>
      </c>
      <c r="G5735" s="2"/>
      <c r="H5735" s="2"/>
      <c r="I5735" s="2" t="n">
        <f aca="false">IF(F5735="Present",9,IF(F5735="Half Day",4,0))</f>
        <v>0</v>
      </c>
      <c r="J5735" s="2"/>
      <c r="K5735" s="2" t="s">
        <v>460</v>
      </c>
    </row>
    <row r="5736" customFormat="false" ht="15" hidden="false" customHeight="false" outlineLevel="0" collapsed="false">
      <c r="A5736" s="2" t="s">
        <v>417</v>
      </c>
      <c r="B5736" s="2" t="s">
        <v>418</v>
      </c>
      <c r="C5736" s="2" t="s">
        <v>36</v>
      </c>
      <c r="D5736" s="3" t="n">
        <v>46265</v>
      </c>
      <c r="E5736" s="2" t="str">
        <f aca="false">TEXT(D5736,"dddd")</f>
        <v>Monday</v>
      </c>
      <c r="F5736" s="2" t="s">
        <v>457</v>
      </c>
      <c r="G5736" s="2" t="s">
        <v>458</v>
      </c>
      <c r="H5736" s="2" t="s">
        <v>459</v>
      </c>
      <c r="I5736" s="2" t="n">
        <f aca="false">IF(F5736="Present",9,IF(F5736="Half Day",4,0))</f>
        <v>9</v>
      </c>
      <c r="J5736" s="2"/>
      <c r="K5736" s="2"/>
    </row>
    <row r="5737" customFormat="false" ht="15" hidden="false" customHeight="false" outlineLevel="0" collapsed="false">
      <c r="A5737" s="2" t="s">
        <v>419</v>
      </c>
      <c r="B5737" s="2" t="s">
        <v>420</v>
      </c>
      <c r="C5737" s="2" t="s">
        <v>41</v>
      </c>
      <c r="D5737" s="3" t="n">
        <v>46235</v>
      </c>
      <c r="E5737" s="2" t="str">
        <f aca="false">TEXT(D5737,"dddd")</f>
        <v>Saturday</v>
      </c>
      <c r="F5737" s="2" t="s">
        <v>457</v>
      </c>
      <c r="G5737" s="2" t="s">
        <v>458</v>
      </c>
      <c r="H5737" s="2" t="s">
        <v>459</v>
      </c>
      <c r="I5737" s="2" t="n">
        <f aca="false">IF(F5737="Present",9,IF(F5737="Half Day",4,0))</f>
        <v>9</v>
      </c>
      <c r="J5737" s="2"/>
      <c r="K5737" s="2"/>
    </row>
    <row r="5738" customFormat="false" ht="15" hidden="false" customHeight="false" outlineLevel="0" collapsed="false">
      <c r="A5738" s="2" t="s">
        <v>419</v>
      </c>
      <c r="B5738" s="2" t="s">
        <v>420</v>
      </c>
      <c r="C5738" s="2" t="s">
        <v>41</v>
      </c>
      <c r="D5738" s="3" t="n">
        <v>46236</v>
      </c>
      <c r="E5738" s="2" t="str">
        <f aca="false">TEXT(D5738,"dddd")</f>
        <v>Sunday</v>
      </c>
      <c r="F5738" s="2" t="s">
        <v>460</v>
      </c>
      <c r="G5738" s="2"/>
      <c r="H5738" s="2"/>
      <c r="I5738" s="2" t="n">
        <f aca="false">IF(F5738="Present",9,IF(F5738="Half Day",4,0))</f>
        <v>0</v>
      </c>
      <c r="J5738" s="2"/>
      <c r="K5738" s="2" t="s">
        <v>460</v>
      </c>
    </row>
    <row r="5739" customFormat="false" ht="15" hidden="false" customHeight="false" outlineLevel="0" collapsed="false">
      <c r="A5739" s="2" t="s">
        <v>419</v>
      </c>
      <c r="B5739" s="2" t="s">
        <v>420</v>
      </c>
      <c r="C5739" s="2" t="s">
        <v>41</v>
      </c>
      <c r="D5739" s="3" t="n">
        <v>46237</v>
      </c>
      <c r="E5739" s="2" t="str">
        <f aca="false">TEXT(D5739,"dddd")</f>
        <v>Monday</v>
      </c>
      <c r="F5739" s="2" t="s">
        <v>463</v>
      </c>
      <c r="G5739" s="2"/>
      <c r="H5739" s="2"/>
      <c r="I5739" s="2" t="n">
        <f aca="false">IF(F5739="Present",9,IF(F5739="Half Day",4,0))</f>
        <v>0</v>
      </c>
      <c r="J5739" s="2" t="s">
        <v>468</v>
      </c>
      <c r="K5739" s="2" t="s">
        <v>469</v>
      </c>
    </row>
    <row r="5740" customFormat="false" ht="15" hidden="false" customHeight="false" outlineLevel="0" collapsed="false">
      <c r="A5740" s="2" t="s">
        <v>419</v>
      </c>
      <c r="B5740" s="2" t="s">
        <v>420</v>
      </c>
      <c r="C5740" s="2" t="s">
        <v>41</v>
      </c>
      <c r="D5740" s="3" t="n">
        <v>46238</v>
      </c>
      <c r="E5740" s="2" t="str">
        <f aca="false">TEXT(D5740,"dddd")</f>
        <v>Tuesday</v>
      </c>
      <c r="F5740" s="2" t="s">
        <v>457</v>
      </c>
      <c r="G5740" s="2" t="s">
        <v>458</v>
      </c>
      <c r="H5740" s="2" t="s">
        <v>459</v>
      </c>
      <c r="I5740" s="2" t="n">
        <f aca="false">IF(F5740="Present",9,IF(F5740="Half Day",4,0))</f>
        <v>9</v>
      </c>
      <c r="J5740" s="2"/>
      <c r="K5740" s="2"/>
    </row>
    <row r="5741" customFormat="false" ht="15" hidden="false" customHeight="false" outlineLevel="0" collapsed="false">
      <c r="A5741" s="2" t="s">
        <v>419</v>
      </c>
      <c r="B5741" s="2" t="s">
        <v>420</v>
      </c>
      <c r="C5741" s="2" t="s">
        <v>41</v>
      </c>
      <c r="D5741" s="3" t="n">
        <v>46239</v>
      </c>
      <c r="E5741" s="2" t="str">
        <f aca="false">TEXT(D5741,"dddd")</f>
        <v>Wednesday</v>
      </c>
      <c r="F5741" s="2" t="s">
        <v>461</v>
      </c>
      <c r="G5741" s="2"/>
      <c r="H5741" s="2"/>
      <c r="I5741" s="2" t="n">
        <f aca="false">IF(F5741="Present",9,IF(F5741="Half Day",4,0))</f>
        <v>0</v>
      </c>
      <c r="J5741" s="2"/>
      <c r="K5741" s="2" t="s">
        <v>462</v>
      </c>
    </row>
    <row r="5742" customFormat="false" ht="15" hidden="false" customHeight="false" outlineLevel="0" collapsed="false">
      <c r="A5742" s="2" t="s">
        <v>419</v>
      </c>
      <c r="B5742" s="2" t="s">
        <v>420</v>
      </c>
      <c r="C5742" s="2" t="s">
        <v>41</v>
      </c>
      <c r="D5742" s="3" t="n">
        <v>46240</v>
      </c>
      <c r="E5742" s="2" t="str">
        <f aca="false">TEXT(D5742,"dddd")</f>
        <v>Thursday</v>
      </c>
      <c r="F5742" s="2" t="s">
        <v>457</v>
      </c>
      <c r="G5742" s="2" t="s">
        <v>458</v>
      </c>
      <c r="H5742" s="2" t="s">
        <v>459</v>
      </c>
      <c r="I5742" s="2" t="n">
        <f aca="false">IF(F5742="Present",9,IF(F5742="Half Day",4,0))</f>
        <v>9</v>
      </c>
      <c r="J5742" s="2"/>
      <c r="K5742" s="2"/>
    </row>
    <row r="5743" customFormat="false" ht="15" hidden="false" customHeight="false" outlineLevel="0" collapsed="false">
      <c r="A5743" s="2" t="s">
        <v>419</v>
      </c>
      <c r="B5743" s="2" t="s">
        <v>420</v>
      </c>
      <c r="C5743" s="2" t="s">
        <v>41</v>
      </c>
      <c r="D5743" s="3" t="n">
        <v>46241</v>
      </c>
      <c r="E5743" s="2" t="str">
        <f aca="false">TEXT(D5743,"dddd")</f>
        <v>Friday</v>
      </c>
      <c r="F5743" s="2" t="s">
        <v>457</v>
      </c>
      <c r="G5743" s="2" t="s">
        <v>458</v>
      </c>
      <c r="H5743" s="2" t="s">
        <v>459</v>
      </c>
      <c r="I5743" s="2" t="n">
        <f aca="false">IF(F5743="Present",9,IF(F5743="Half Day",4,0))</f>
        <v>9</v>
      </c>
      <c r="J5743" s="2"/>
      <c r="K5743" s="2"/>
    </row>
    <row r="5744" customFormat="false" ht="15" hidden="false" customHeight="false" outlineLevel="0" collapsed="false">
      <c r="A5744" s="2" t="s">
        <v>419</v>
      </c>
      <c r="B5744" s="2" t="s">
        <v>420</v>
      </c>
      <c r="C5744" s="2" t="s">
        <v>41</v>
      </c>
      <c r="D5744" s="3" t="n">
        <v>46242</v>
      </c>
      <c r="E5744" s="2" t="str">
        <f aca="false">TEXT(D5744,"dddd")</f>
        <v>Saturday</v>
      </c>
      <c r="F5744" s="2" t="s">
        <v>457</v>
      </c>
      <c r="G5744" s="2" t="s">
        <v>458</v>
      </c>
      <c r="H5744" s="2" t="s">
        <v>459</v>
      </c>
      <c r="I5744" s="2" t="n">
        <f aca="false">IF(F5744="Present",9,IF(F5744="Half Day",4,0))</f>
        <v>9</v>
      </c>
      <c r="J5744" s="2"/>
      <c r="K5744" s="2"/>
    </row>
    <row r="5745" customFormat="false" ht="15" hidden="false" customHeight="false" outlineLevel="0" collapsed="false">
      <c r="A5745" s="2" t="s">
        <v>419</v>
      </c>
      <c r="B5745" s="2" t="s">
        <v>420</v>
      </c>
      <c r="C5745" s="2" t="s">
        <v>41</v>
      </c>
      <c r="D5745" s="3" t="n">
        <v>46243</v>
      </c>
      <c r="E5745" s="2" t="str">
        <f aca="false">TEXT(D5745,"dddd")</f>
        <v>Sunday</v>
      </c>
      <c r="F5745" s="2" t="s">
        <v>460</v>
      </c>
      <c r="G5745" s="2"/>
      <c r="H5745" s="2"/>
      <c r="I5745" s="2" t="n">
        <f aca="false">IF(F5745="Present",9,IF(F5745="Half Day",4,0))</f>
        <v>0</v>
      </c>
      <c r="J5745" s="2"/>
      <c r="K5745" s="2" t="s">
        <v>460</v>
      </c>
    </row>
    <row r="5746" customFormat="false" ht="15" hidden="false" customHeight="false" outlineLevel="0" collapsed="false">
      <c r="A5746" s="2" t="s">
        <v>419</v>
      </c>
      <c r="B5746" s="2" t="s">
        <v>420</v>
      </c>
      <c r="C5746" s="2" t="s">
        <v>41</v>
      </c>
      <c r="D5746" s="3" t="n">
        <v>46244</v>
      </c>
      <c r="E5746" s="2" t="str">
        <f aca="false">TEXT(D5746,"dddd")</f>
        <v>Monday</v>
      </c>
      <c r="F5746" s="2" t="s">
        <v>457</v>
      </c>
      <c r="G5746" s="2" t="s">
        <v>458</v>
      </c>
      <c r="H5746" s="2" t="s">
        <v>459</v>
      </c>
      <c r="I5746" s="2" t="n">
        <f aca="false">IF(F5746="Present",9,IF(F5746="Half Day",4,0))</f>
        <v>9</v>
      </c>
      <c r="J5746" s="2"/>
      <c r="K5746" s="2"/>
    </row>
    <row r="5747" customFormat="false" ht="15" hidden="false" customHeight="false" outlineLevel="0" collapsed="false">
      <c r="A5747" s="2" t="s">
        <v>419</v>
      </c>
      <c r="B5747" s="2" t="s">
        <v>420</v>
      </c>
      <c r="C5747" s="2" t="s">
        <v>41</v>
      </c>
      <c r="D5747" s="3" t="n">
        <v>46245</v>
      </c>
      <c r="E5747" s="2" t="str">
        <f aca="false">TEXT(D5747,"dddd")</f>
        <v>Tuesday</v>
      </c>
      <c r="F5747" s="2" t="s">
        <v>457</v>
      </c>
      <c r="G5747" s="2" t="s">
        <v>458</v>
      </c>
      <c r="H5747" s="2" t="s">
        <v>459</v>
      </c>
      <c r="I5747" s="2" t="n">
        <f aca="false">IF(F5747="Present",9,IF(F5747="Half Day",4,0))</f>
        <v>9</v>
      </c>
      <c r="J5747" s="2"/>
      <c r="K5747" s="2"/>
    </row>
    <row r="5748" customFormat="false" ht="15" hidden="false" customHeight="false" outlineLevel="0" collapsed="false">
      <c r="A5748" s="2" t="s">
        <v>419</v>
      </c>
      <c r="B5748" s="2" t="s">
        <v>420</v>
      </c>
      <c r="C5748" s="2" t="s">
        <v>41</v>
      </c>
      <c r="D5748" s="3" t="n">
        <v>46246</v>
      </c>
      <c r="E5748" s="2" t="str">
        <f aca="false">TEXT(D5748,"dddd")</f>
        <v>Wednesday</v>
      </c>
      <c r="F5748" s="2" t="s">
        <v>457</v>
      </c>
      <c r="G5748" s="2" t="s">
        <v>458</v>
      </c>
      <c r="H5748" s="2" t="s">
        <v>459</v>
      </c>
      <c r="I5748" s="2" t="n">
        <f aca="false">IF(F5748="Present",9,IF(F5748="Half Day",4,0))</f>
        <v>9</v>
      </c>
      <c r="J5748" s="2"/>
      <c r="K5748" s="2"/>
    </row>
    <row r="5749" customFormat="false" ht="15" hidden="false" customHeight="false" outlineLevel="0" collapsed="false">
      <c r="A5749" s="2" t="s">
        <v>419</v>
      </c>
      <c r="B5749" s="2" t="s">
        <v>420</v>
      </c>
      <c r="C5749" s="2" t="s">
        <v>41</v>
      </c>
      <c r="D5749" s="3" t="n">
        <v>46247</v>
      </c>
      <c r="E5749" s="2" t="str">
        <f aca="false">TEXT(D5749,"dddd")</f>
        <v>Thursday</v>
      </c>
      <c r="F5749" s="2" t="s">
        <v>457</v>
      </c>
      <c r="G5749" s="2" t="s">
        <v>458</v>
      </c>
      <c r="H5749" s="2" t="s">
        <v>459</v>
      </c>
      <c r="I5749" s="2" t="n">
        <f aca="false">IF(F5749="Present",9,IF(F5749="Half Day",4,0))</f>
        <v>9</v>
      </c>
      <c r="J5749" s="2"/>
      <c r="K5749" s="2"/>
    </row>
    <row r="5750" customFormat="false" ht="15" hidden="false" customHeight="false" outlineLevel="0" collapsed="false">
      <c r="A5750" s="2" t="s">
        <v>419</v>
      </c>
      <c r="B5750" s="2" t="s">
        <v>420</v>
      </c>
      <c r="C5750" s="2" t="s">
        <v>41</v>
      </c>
      <c r="D5750" s="3" t="n">
        <v>46248</v>
      </c>
      <c r="E5750" s="2" t="str">
        <f aca="false">TEXT(D5750,"dddd")</f>
        <v>Friday</v>
      </c>
      <c r="F5750" s="2" t="s">
        <v>461</v>
      </c>
      <c r="G5750" s="2"/>
      <c r="H5750" s="2"/>
      <c r="I5750" s="2" t="n">
        <f aca="false">IF(F5750="Present",9,IF(F5750="Half Day",4,0))</f>
        <v>0</v>
      </c>
      <c r="J5750" s="2"/>
      <c r="K5750" s="2" t="s">
        <v>462</v>
      </c>
    </row>
    <row r="5751" customFormat="false" ht="15" hidden="false" customHeight="false" outlineLevel="0" collapsed="false">
      <c r="A5751" s="2" t="s">
        <v>419</v>
      </c>
      <c r="B5751" s="2" t="s">
        <v>420</v>
      </c>
      <c r="C5751" s="2" t="s">
        <v>41</v>
      </c>
      <c r="D5751" s="3" t="n">
        <v>46249</v>
      </c>
      <c r="E5751" s="2" t="str">
        <f aca="false">TEXT(D5751,"dddd")</f>
        <v>Saturday</v>
      </c>
      <c r="F5751" s="2" t="s">
        <v>457</v>
      </c>
      <c r="G5751" s="2" t="s">
        <v>458</v>
      </c>
      <c r="H5751" s="2" t="s">
        <v>459</v>
      </c>
      <c r="I5751" s="2" t="n">
        <f aca="false">IF(F5751="Present",9,IF(F5751="Half Day",4,0))</f>
        <v>9</v>
      </c>
      <c r="J5751" s="2"/>
      <c r="K5751" s="2"/>
    </row>
    <row r="5752" customFormat="false" ht="15" hidden="false" customHeight="false" outlineLevel="0" collapsed="false">
      <c r="A5752" s="2" t="s">
        <v>419</v>
      </c>
      <c r="B5752" s="2" t="s">
        <v>420</v>
      </c>
      <c r="C5752" s="2" t="s">
        <v>41</v>
      </c>
      <c r="D5752" s="3" t="n">
        <v>46250</v>
      </c>
      <c r="E5752" s="2" t="str">
        <f aca="false">TEXT(D5752,"dddd")</f>
        <v>Sunday</v>
      </c>
      <c r="F5752" s="2" t="s">
        <v>460</v>
      </c>
      <c r="G5752" s="2"/>
      <c r="H5752" s="2"/>
      <c r="I5752" s="2" t="n">
        <f aca="false">IF(F5752="Present",9,IF(F5752="Half Day",4,0))</f>
        <v>0</v>
      </c>
      <c r="J5752" s="2"/>
      <c r="K5752" s="2" t="s">
        <v>460</v>
      </c>
    </row>
    <row r="5753" customFormat="false" ht="15" hidden="false" customHeight="false" outlineLevel="0" collapsed="false">
      <c r="A5753" s="2" t="s">
        <v>419</v>
      </c>
      <c r="B5753" s="2" t="s">
        <v>420</v>
      </c>
      <c r="C5753" s="2" t="s">
        <v>41</v>
      </c>
      <c r="D5753" s="3" t="n">
        <v>46251</v>
      </c>
      <c r="E5753" s="2" t="str">
        <f aca="false">TEXT(D5753,"dddd")</f>
        <v>Monday</v>
      </c>
      <c r="F5753" s="2" t="s">
        <v>457</v>
      </c>
      <c r="G5753" s="2" t="s">
        <v>458</v>
      </c>
      <c r="H5753" s="2" t="s">
        <v>459</v>
      </c>
      <c r="I5753" s="2" t="n">
        <f aca="false">IF(F5753="Present",9,IF(F5753="Half Day",4,0))</f>
        <v>9</v>
      </c>
      <c r="J5753" s="2"/>
      <c r="K5753" s="2"/>
    </row>
    <row r="5754" customFormat="false" ht="15" hidden="false" customHeight="false" outlineLevel="0" collapsed="false">
      <c r="A5754" s="2" t="s">
        <v>419</v>
      </c>
      <c r="B5754" s="2" t="s">
        <v>420</v>
      </c>
      <c r="C5754" s="2" t="s">
        <v>41</v>
      </c>
      <c r="D5754" s="3" t="n">
        <v>46252</v>
      </c>
      <c r="E5754" s="2" t="str">
        <f aca="false">TEXT(D5754,"dddd")</f>
        <v>Tuesday</v>
      </c>
      <c r="F5754" s="2" t="s">
        <v>457</v>
      </c>
      <c r="G5754" s="2" t="s">
        <v>458</v>
      </c>
      <c r="H5754" s="2" t="s">
        <v>459</v>
      </c>
      <c r="I5754" s="2" t="n">
        <f aca="false">IF(F5754="Present",9,IF(F5754="Half Day",4,0))</f>
        <v>9</v>
      </c>
      <c r="J5754" s="2"/>
      <c r="K5754" s="2"/>
    </row>
    <row r="5755" customFormat="false" ht="15" hidden="false" customHeight="false" outlineLevel="0" collapsed="false">
      <c r="A5755" s="2" t="s">
        <v>419</v>
      </c>
      <c r="B5755" s="2" t="s">
        <v>420</v>
      </c>
      <c r="C5755" s="2" t="s">
        <v>41</v>
      </c>
      <c r="D5755" s="3" t="n">
        <v>46253</v>
      </c>
      <c r="E5755" s="2" t="str">
        <f aca="false">TEXT(D5755,"dddd")</f>
        <v>Wednesday</v>
      </c>
      <c r="F5755" s="2" t="s">
        <v>457</v>
      </c>
      <c r="G5755" s="2" t="s">
        <v>458</v>
      </c>
      <c r="H5755" s="2" t="s">
        <v>459</v>
      </c>
      <c r="I5755" s="2" t="n">
        <f aca="false">IF(F5755="Present",9,IF(F5755="Half Day",4,0))</f>
        <v>9</v>
      </c>
      <c r="J5755" s="2"/>
      <c r="K5755" s="2"/>
    </row>
    <row r="5756" customFormat="false" ht="15" hidden="false" customHeight="false" outlineLevel="0" collapsed="false">
      <c r="A5756" s="2" t="s">
        <v>419</v>
      </c>
      <c r="B5756" s="2" t="s">
        <v>420</v>
      </c>
      <c r="C5756" s="2" t="s">
        <v>41</v>
      </c>
      <c r="D5756" s="3" t="n">
        <v>46254</v>
      </c>
      <c r="E5756" s="2" t="str">
        <f aca="false">TEXT(D5756,"dddd")</f>
        <v>Thursday</v>
      </c>
      <c r="F5756" s="2" t="s">
        <v>461</v>
      </c>
      <c r="G5756" s="2"/>
      <c r="H5756" s="2"/>
      <c r="I5756" s="2" t="n">
        <f aca="false">IF(F5756="Present",9,IF(F5756="Half Day",4,0))</f>
        <v>0</v>
      </c>
      <c r="J5756" s="2"/>
      <c r="K5756" s="2" t="s">
        <v>462</v>
      </c>
    </row>
    <row r="5757" customFormat="false" ht="15" hidden="false" customHeight="false" outlineLevel="0" collapsed="false">
      <c r="A5757" s="2" t="s">
        <v>419</v>
      </c>
      <c r="B5757" s="2" t="s">
        <v>420</v>
      </c>
      <c r="C5757" s="2" t="s">
        <v>41</v>
      </c>
      <c r="D5757" s="3" t="n">
        <v>46255</v>
      </c>
      <c r="E5757" s="2" t="str">
        <f aca="false">TEXT(D5757,"dddd")</f>
        <v>Friday</v>
      </c>
      <c r="F5757" s="2" t="s">
        <v>457</v>
      </c>
      <c r="G5757" s="2" t="s">
        <v>458</v>
      </c>
      <c r="H5757" s="2" t="s">
        <v>459</v>
      </c>
      <c r="I5757" s="2" t="n">
        <f aca="false">IF(F5757="Present",9,IF(F5757="Half Day",4,0))</f>
        <v>9</v>
      </c>
      <c r="J5757" s="2"/>
      <c r="K5757" s="2"/>
    </row>
    <row r="5758" customFormat="false" ht="15" hidden="false" customHeight="false" outlineLevel="0" collapsed="false">
      <c r="A5758" s="2" t="s">
        <v>419</v>
      </c>
      <c r="B5758" s="2" t="s">
        <v>420</v>
      </c>
      <c r="C5758" s="2" t="s">
        <v>41</v>
      </c>
      <c r="D5758" s="3" t="n">
        <v>46256</v>
      </c>
      <c r="E5758" s="2" t="str">
        <f aca="false">TEXT(D5758,"dddd")</f>
        <v>Saturday</v>
      </c>
      <c r="F5758" s="2" t="s">
        <v>457</v>
      </c>
      <c r="G5758" s="2" t="s">
        <v>458</v>
      </c>
      <c r="H5758" s="2" t="s">
        <v>459</v>
      </c>
      <c r="I5758" s="2" t="n">
        <f aca="false">IF(F5758="Present",9,IF(F5758="Half Day",4,0))</f>
        <v>9</v>
      </c>
      <c r="J5758" s="2"/>
      <c r="K5758" s="2"/>
    </row>
    <row r="5759" customFormat="false" ht="15" hidden="false" customHeight="false" outlineLevel="0" collapsed="false">
      <c r="A5759" s="2" t="s">
        <v>419</v>
      </c>
      <c r="B5759" s="2" t="s">
        <v>420</v>
      </c>
      <c r="C5759" s="2" t="s">
        <v>41</v>
      </c>
      <c r="D5759" s="3" t="n">
        <v>46257</v>
      </c>
      <c r="E5759" s="2" t="str">
        <f aca="false">TEXT(D5759,"dddd")</f>
        <v>Sunday</v>
      </c>
      <c r="F5759" s="2" t="s">
        <v>460</v>
      </c>
      <c r="G5759" s="2"/>
      <c r="H5759" s="2"/>
      <c r="I5759" s="2" t="n">
        <f aca="false">IF(F5759="Present",9,IF(F5759="Half Day",4,0))</f>
        <v>0</v>
      </c>
      <c r="J5759" s="2"/>
      <c r="K5759" s="2" t="s">
        <v>460</v>
      </c>
    </row>
    <row r="5760" customFormat="false" ht="15" hidden="false" customHeight="false" outlineLevel="0" collapsed="false">
      <c r="A5760" s="2" t="s">
        <v>419</v>
      </c>
      <c r="B5760" s="2" t="s">
        <v>420</v>
      </c>
      <c r="C5760" s="2" t="s">
        <v>41</v>
      </c>
      <c r="D5760" s="3" t="n">
        <v>46258</v>
      </c>
      <c r="E5760" s="2" t="str">
        <f aca="false">TEXT(D5760,"dddd")</f>
        <v>Monday</v>
      </c>
      <c r="F5760" s="2" t="s">
        <v>457</v>
      </c>
      <c r="G5760" s="2" t="s">
        <v>458</v>
      </c>
      <c r="H5760" s="2" t="s">
        <v>459</v>
      </c>
      <c r="I5760" s="2" t="n">
        <f aca="false">IF(F5760="Present",9,IF(F5760="Half Day",4,0))</f>
        <v>9</v>
      </c>
      <c r="J5760" s="2"/>
      <c r="K5760" s="2"/>
    </row>
    <row r="5761" customFormat="false" ht="15" hidden="false" customHeight="false" outlineLevel="0" collapsed="false">
      <c r="A5761" s="2" t="s">
        <v>419</v>
      </c>
      <c r="B5761" s="2" t="s">
        <v>420</v>
      </c>
      <c r="C5761" s="2" t="s">
        <v>41</v>
      </c>
      <c r="D5761" s="3" t="n">
        <v>46259</v>
      </c>
      <c r="E5761" s="2" t="str">
        <f aca="false">TEXT(D5761,"dddd")</f>
        <v>Tuesday</v>
      </c>
      <c r="F5761" s="2" t="s">
        <v>466</v>
      </c>
      <c r="G5761" s="2" t="s">
        <v>458</v>
      </c>
      <c r="H5761" s="2" t="s">
        <v>467</v>
      </c>
      <c r="I5761" s="2" t="n">
        <f aca="false">IF(F5761="Present",9,IF(F5761="Half Day",4,0))</f>
        <v>4</v>
      </c>
      <c r="J5761" s="2"/>
      <c r="K5761" s="2" t="s">
        <v>466</v>
      </c>
    </row>
    <row r="5762" customFormat="false" ht="15" hidden="false" customHeight="false" outlineLevel="0" collapsed="false">
      <c r="A5762" s="2" t="s">
        <v>419</v>
      </c>
      <c r="B5762" s="2" t="s">
        <v>420</v>
      </c>
      <c r="C5762" s="2" t="s">
        <v>41</v>
      </c>
      <c r="D5762" s="3" t="n">
        <v>46260</v>
      </c>
      <c r="E5762" s="2" t="str">
        <f aca="false">TEXT(D5762,"dddd")</f>
        <v>Wednesday</v>
      </c>
      <c r="F5762" s="2" t="s">
        <v>461</v>
      </c>
      <c r="G5762" s="2"/>
      <c r="H5762" s="2"/>
      <c r="I5762" s="2" t="n">
        <f aca="false">IF(F5762="Present",9,IF(F5762="Half Day",4,0))</f>
        <v>0</v>
      </c>
      <c r="J5762" s="2"/>
      <c r="K5762" s="2" t="s">
        <v>462</v>
      </c>
    </row>
    <row r="5763" customFormat="false" ht="15" hidden="false" customHeight="false" outlineLevel="0" collapsed="false">
      <c r="A5763" s="2" t="s">
        <v>419</v>
      </c>
      <c r="B5763" s="2" t="s">
        <v>420</v>
      </c>
      <c r="C5763" s="2" t="s">
        <v>41</v>
      </c>
      <c r="D5763" s="3" t="n">
        <v>46261</v>
      </c>
      <c r="E5763" s="2" t="str">
        <f aca="false">TEXT(D5763,"dddd")</f>
        <v>Thursday</v>
      </c>
      <c r="F5763" s="2" t="s">
        <v>461</v>
      </c>
      <c r="G5763" s="2"/>
      <c r="H5763" s="2"/>
      <c r="I5763" s="2" t="n">
        <f aca="false">IF(F5763="Present",9,IF(F5763="Half Day",4,0))</f>
        <v>0</v>
      </c>
      <c r="J5763" s="2"/>
      <c r="K5763" s="2" t="s">
        <v>462</v>
      </c>
    </row>
    <row r="5764" customFormat="false" ht="15" hidden="false" customHeight="false" outlineLevel="0" collapsed="false">
      <c r="A5764" s="2" t="s">
        <v>419</v>
      </c>
      <c r="B5764" s="2" t="s">
        <v>420</v>
      </c>
      <c r="C5764" s="2" t="s">
        <v>41</v>
      </c>
      <c r="D5764" s="3" t="n">
        <v>46262</v>
      </c>
      <c r="E5764" s="2" t="str">
        <f aca="false">TEXT(D5764,"dddd")</f>
        <v>Friday</v>
      </c>
      <c r="F5764" s="2" t="s">
        <v>457</v>
      </c>
      <c r="G5764" s="2" t="s">
        <v>458</v>
      </c>
      <c r="H5764" s="2" t="s">
        <v>459</v>
      </c>
      <c r="I5764" s="2" t="n">
        <f aca="false">IF(F5764="Present",9,IF(F5764="Half Day",4,0))</f>
        <v>9</v>
      </c>
      <c r="J5764" s="2"/>
      <c r="K5764" s="2"/>
    </row>
    <row r="5765" customFormat="false" ht="15" hidden="false" customHeight="false" outlineLevel="0" collapsed="false">
      <c r="A5765" s="2" t="s">
        <v>419</v>
      </c>
      <c r="B5765" s="2" t="s">
        <v>420</v>
      </c>
      <c r="C5765" s="2" t="s">
        <v>41</v>
      </c>
      <c r="D5765" s="3" t="n">
        <v>46263</v>
      </c>
      <c r="E5765" s="2" t="str">
        <f aca="false">TEXT(D5765,"dddd")</f>
        <v>Saturday</v>
      </c>
      <c r="F5765" s="2" t="s">
        <v>457</v>
      </c>
      <c r="G5765" s="2" t="s">
        <v>458</v>
      </c>
      <c r="H5765" s="2" t="s">
        <v>459</v>
      </c>
      <c r="I5765" s="2" t="n">
        <f aca="false">IF(F5765="Present",9,IF(F5765="Half Day",4,0))</f>
        <v>9</v>
      </c>
      <c r="J5765" s="2"/>
      <c r="K5765" s="2"/>
    </row>
    <row r="5766" customFormat="false" ht="15" hidden="false" customHeight="false" outlineLevel="0" collapsed="false">
      <c r="A5766" s="2" t="s">
        <v>419</v>
      </c>
      <c r="B5766" s="2" t="s">
        <v>420</v>
      </c>
      <c r="C5766" s="2" t="s">
        <v>41</v>
      </c>
      <c r="D5766" s="3" t="n">
        <v>46264</v>
      </c>
      <c r="E5766" s="2" t="str">
        <f aca="false">TEXT(D5766,"dddd")</f>
        <v>Sunday</v>
      </c>
      <c r="F5766" s="2" t="s">
        <v>460</v>
      </c>
      <c r="G5766" s="2"/>
      <c r="H5766" s="2"/>
      <c r="I5766" s="2" t="n">
        <f aca="false">IF(F5766="Present",9,IF(F5766="Half Day",4,0))</f>
        <v>0</v>
      </c>
      <c r="J5766" s="2"/>
      <c r="K5766" s="2" t="s">
        <v>460</v>
      </c>
    </row>
    <row r="5767" customFormat="false" ht="15" hidden="false" customHeight="false" outlineLevel="0" collapsed="false">
      <c r="A5767" s="2" t="s">
        <v>419</v>
      </c>
      <c r="B5767" s="2" t="s">
        <v>420</v>
      </c>
      <c r="C5767" s="2" t="s">
        <v>41</v>
      </c>
      <c r="D5767" s="3" t="n">
        <v>46265</v>
      </c>
      <c r="E5767" s="2" t="str">
        <f aca="false">TEXT(D5767,"dddd")</f>
        <v>Monday</v>
      </c>
      <c r="F5767" s="2" t="s">
        <v>457</v>
      </c>
      <c r="G5767" s="2" t="s">
        <v>458</v>
      </c>
      <c r="H5767" s="2" t="s">
        <v>459</v>
      </c>
      <c r="I5767" s="2" t="n">
        <f aca="false">IF(F5767="Present",9,IF(F5767="Half Day",4,0))</f>
        <v>9</v>
      </c>
      <c r="J5767" s="2"/>
      <c r="K5767" s="2"/>
    </row>
    <row r="5768" customFormat="false" ht="15" hidden="false" customHeight="false" outlineLevel="0" collapsed="false">
      <c r="A5768" s="2" t="s">
        <v>421</v>
      </c>
      <c r="B5768" s="2" t="s">
        <v>422</v>
      </c>
      <c r="C5768" s="2" t="s">
        <v>45</v>
      </c>
      <c r="D5768" s="3" t="n">
        <v>46235</v>
      </c>
      <c r="E5768" s="2" t="str">
        <f aca="false">TEXT(D5768,"dddd")</f>
        <v>Saturday</v>
      </c>
      <c r="F5768" s="2" t="s">
        <v>457</v>
      </c>
      <c r="G5768" s="2" t="s">
        <v>458</v>
      </c>
      <c r="H5768" s="2" t="s">
        <v>459</v>
      </c>
      <c r="I5768" s="2" t="n">
        <f aca="false">IF(F5768="Present",9,IF(F5768="Half Day",4,0))</f>
        <v>9</v>
      </c>
      <c r="J5768" s="2"/>
      <c r="K5768" s="2"/>
    </row>
    <row r="5769" customFormat="false" ht="15" hidden="false" customHeight="false" outlineLevel="0" collapsed="false">
      <c r="A5769" s="2" t="s">
        <v>421</v>
      </c>
      <c r="B5769" s="2" t="s">
        <v>422</v>
      </c>
      <c r="C5769" s="2" t="s">
        <v>45</v>
      </c>
      <c r="D5769" s="3" t="n">
        <v>46236</v>
      </c>
      <c r="E5769" s="2" t="str">
        <f aca="false">TEXT(D5769,"dddd")</f>
        <v>Sunday</v>
      </c>
      <c r="F5769" s="2" t="s">
        <v>460</v>
      </c>
      <c r="G5769" s="2"/>
      <c r="H5769" s="2"/>
      <c r="I5769" s="2" t="n">
        <f aca="false">IF(F5769="Present",9,IF(F5769="Half Day",4,0))</f>
        <v>0</v>
      </c>
      <c r="J5769" s="2"/>
      <c r="K5769" s="2" t="s">
        <v>460</v>
      </c>
    </row>
    <row r="5770" customFormat="false" ht="15" hidden="false" customHeight="false" outlineLevel="0" collapsed="false">
      <c r="A5770" s="2" t="s">
        <v>421</v>
      </c>
      <c r="B5770" s="2" t="s">
        <v>422</v>
      </c>
      <c r="C5770" s="2" t="s">
        <v>45</v>
      </c>
      <c r="D5770" s="3" t="n">
        <v>46237</v>
      </c>
      <c r="E5770" s="2" t="str">
        <f aca="false">TEXT(D5770,"dddd")</f>
        <v>Monday</v>
      </c>
      <c r="F5770" s="2" t="s">
        <v>457</v>
      </c>
      <c r="G5770" s="2" t="s">
        <v>458</v>
      </c>
      <c r="H5770" s="2" t="s">
        <v>459</v>
      </c>
      <c r="I5770" s="2" t="n">
        <f aca="false">IF(F5770="Present",9,IF(F5770="Half Day",4,0))</f>
        <v>9</v>
      </c>
      <c r="J5770" s="2"/>
      <c r="K5770" s="2"/>
    </row>
    <row r="5771" customFormat="false" ht="15" hidden="false" customHeight="false" outlineLevel="0" collapsed="false">
      <c r="A5771" s="2" t="s">
        <v>421</v>
      </c>
      <c r="B5771" s="2" t="s">
        <v>422</v>
      </c>
      <c r="C5771" s="2" t="s">
        <v>45</v>
      </c>
      <c r="D5771" s="3" t="n">
        <v>46238</v>
      </c>
      <c r="E5771" s="2" t="str">
        <f aca="false">TEXT(D5771,"dddd")</f>
        <v>Tuesday</v>
      </c>
      <c r="F5771" s="2" t="s">
        <v>457</v>
      </c>
      <c r="G5771" s="2" t="s">
        <v>458</v>
      </c>
      <c r="H5771" s="2" t="s">
        <v>459</v>
      </c>
      <c r="I5771" s="2" t="n">
        <f aca="false">IF(F5771="Present",9,IF(F5771="Half Day",4,0))</f>
        <v>9</v>
      </c>
      <c r="J5771" s="2"/>
      <c r="K5771" s="2"/>
    </row>
    <row r="5772" customFormat="false" ht="15" hidden="false" customHeight="false" outlineLevel="0" collapsed="false">
      <c r="A5772" s="2" t="s">
        <v>421</v>
      </c>
      <c r="B5772" s="2" t="s">
        <v>422</v>
      </c>
      <c r="C5772" s="2" t="s">
        <v>45</v>
      </c>
      <c r="D5772" s="3" t="n">
        <v>46239</v>
      </c>
      <c r="E5772" s="2" t="str">
        <f aca="false">TEXT(D5772,"dddd")</f>
        <v>Wednesday</v>
      </c>
      <c r="F5772" s="2" t="s">
        <v>457</v>
      </c>
      <c r="G5772" s="2" t="s">
        <v>458</v>
      </c>
      <c r="H5772" s="2" t="s">
        <v>459</v>
      </c>
      <c r="I5772" s="2" t="n">
        <f aca="false">IF(F5772="Present",9,IF(F5772="Half Day",4,0))</f>
        <v>9</v>
      </c>
      <c r="J5772" s="2"/>
      <c r="K5772" s="2"/>
    </row>
    <row r="5773" customFormat="false" ht="15" hidden="false" customHeight="false" outlineLevel="0" collapsed="false">
      <c r="A5773" s="2" t="s">
        <v>421</v>
      </c>
      <c r="B5773" s="2" t="s">
        <v>422</v>
      </c>
      <c r="C5773" s="2" t="s">
        <v>45</v>
      </c>
      <c r="D5773" s="3" t="n">
        <v>46240</v>
      </c>
      <c r="E5773" s="2" t="str">
        <f aca="false">TEXT(D5773,"dddd")</f>
        <v>Thursday</v>
      </c>
      <c r="F5773" s="2" t="s">
        <v>461</v>
      </c>
      <c r="G5773" s="2"/>
      <c r="H5773" s="2"/>
      <c r="I5773" s="2" t="n">
        <f aca="false">IF(F5773="Present",9,IF(F5773="Half Day",4,0))</f>
        <v>0</v>
      </c>
      <c r="J5773" s="2"/>
      <c r="K5773" s="2" t="s">
        <v>462</v>
      </c>
    </row>
    <row r="5774" customFormat="false" ht="15" hidden="false" customHeight="false" outlineLevel="0" collapsed="false">
      <c r="A5774" s="2" t="s">
        <v>421</v>
      </c>
      <c r="B5774" s="2" t="s">
        <v>422</v>
      </c>
      <c r="C5774" s="2" t="s">
        <v>45</v>
      </c>
      <c r="D5774" s="3" t="n">
        <v>46241</v>
      </c>
      <c r="E5774" s="2" t="str">
        <f aca="false">TEXT(D5774,"dddd")</f>
        <v>Friday</v>
      </c>
      <c r="F5774" s="2" t="s">
        <v>457</v>
      </c>
      <c r="G5774" s="2" t="s">
        <v>458</v>
      </c>
      <c r="H5774" s="2" t="s">
        <v>459</v>
      </c>
      <c r="I5774" s="2" t="n">
        <f aca="false">IF(F5774="Present",9,IF(F5774="Half Day",4,0))</f>
        <v>9</v>
      </c>
      <c r="J5774" s="2"/>
      <c r="K5774" s="2"/>
    </row>
    <row r="5775" customFormat="false" ht="15" hidden="false" customHeight="false" outlineLevel="0" collapsed="false">
      <c r="A5775" s="2" t="s">
        <v>421</v>
      </c>
      <c r="B5775" s="2" t="s">
        <v>422</v>
      </c>
      <c r="C5775" s="2" t="s">
        <v>45</v>
      </c>
      <c r="D5775" s="3" t="n">
        <v>46242</v>
      </c>
      <c r="E5775" s="2" t="str">
        <f aca="false">TEXT(D5775,"dddd")</f>
        <v>Saturday</v>
      </c>
      <c r="F5775" s="2" t="s">
        <v>461</v>
      </c>
      <c r="G5775" s="2"/>
      <c r="H5775" s="2"/>
      <c r="I5775" s="2" t="n">
        <f aca="false">IF(F5775="Present",9,IF(F5775="Half Day",4,0))</f>
        <v>0</v>
      </c>
      <c r="J5775" s="2"/>
      <c r="K5775" s="2" t="s">
        <v>462</v>
      </c>
    </row>
    <row r="5776" customFormat="false" ht="15" hidden="false" customHeight="false" outlineLevel="0" collapsed="false">
      <c r="A5776" s="2" t="s">
        <v>421</v>
      </c>
      <c r="B5776" s="2" t="s">
        <v>422</v>
      </c>
      <c r="C5776" s="2" t="s">
        <v>45</v>
      </c>
      <c r="D5776" s="3" t="n">
        <v>46243</v>
      </c>
      <c r="E5776" s="2" t="str">
        <f aca="false">TEXT(D5776,"dddd")</f>
        <v>Sunday</v>
      </c>
      <c r="F5776" s="2" t="s">
        <v>460</v>
      </c>
      <c r="G5776" s="2"/>
      <c r="H5776" s="2"/>
      <c r="I5776" s="2" t="n">
        <f aca="false">IF(F5776="Present",9,IF(F5776="Half Day",4,0))</f>
        <v>0</v>
      </c>
      <c r="J5776" s="2"/>
      <c r="K5776" s="2" t="s">
        <v>460</v>
      </c>
    </row>
    <row r="5777" customFormat="false" ht="15" hidden="false" customHeight="false" outlineLevel="0" collapsed="false">
      <c r="A5777" s="2" t="s">
        <v>421</v>
      </c>
      <c r="B5777" s="2" t="s">
        <v>422</v>
      </c>
      <c r="C5777" s="2" t="s">
        <v>45</v>
      </c>
      <c r="D5777" s="3" t="n">
        <v>46244</v>
      </c>
      <c r="E5777" s="2" t="str">
        <f aca="false">TEXT(D5777,"dddd")</f>
        <v>Monday</v>
      </c>
      <c r="F5777" s="2" t="s">
        <v>457</v>
      </c>
      <c r="G5777" s="2" t="s">
        <v>458</v>
      </c>
      <c r="H5777" s="2" t="s">
        <v>459</v>
      </c>
      <c r="I5777" s="2" t="n">
        <f aca="false">IF(F5777="Present",9,IF(F5777="Half Day",4,0))</f>
        <v>9</v>
      </c>
      <c r="J5777" s="2"/>
      <c r="K5777" s="2"/>
    </row>
    <row r="5778" customFormat="false" ht="15" hidden="false" customHeight="false" outlineLevel="0" collapsed="false">
      <c r="A5778" s="2" t="s">
        <v>421</v>
      </c>
      <c r="B5778" s="2" t="s">
        <v>422</v>
      </c>
      <c r="C5778" s="2" t="s">
        <v>45</v>
      </c>
      <c r="D5778" s="3" t="n">
        <v>46245</v>
      </c>
      <c r="E5778" s="2" t="str">
        <f aca="false">TEXT(D5778,"dddd")</f>
        <v>Tuesday</v>
      </c>
      <c r="F5778" s="2" t="s">
        <v>457</v>
      </c>
      <c r="G5778" s="2" t="s">
        <v>458</v>
      </c>
      <c r="H5778" s="2" t="s">
        <v>459</v>
      </c>
      <c r="I5778" s="2" t="n">
        <f aca="false">IF(F5778="Present",9,IF(F5778="Half Day",4,0))</f>
        <v>9</v>
      </c>
      <c r="J5778" s="2"/>
      <c r="K5778" s="2"/>
    </row>
    <row r="5779" customFormat="false" ht="15" hidden="false" customHeight="false" outlineLevel="0" collapsed="false">
      <c r="A5779" s="2" t="s">
        <v>421</v>
      </c>
      <c r="B5779" s="2" t="s">
        <v>422</v>
      </c>
      <c r="C5779" s="2" t="s">
        <v>45</v>
      </c>
      <c r="D5779" s="3" t="n">
        <v>46246</v>
      </c>
      <c r="E5779" s="2" t="str">
        <f aca="false">TEXT(D5779,"dddd")</f>
        <v>Wednesday</v>
      </c>
      <c r="F5779" s="2" t="s">
        <v>457</v>
      </c>
      <c r="G5779" s="2" t="s">
        <v>458</v>
      </c>
      <c r="H5779" s="2" t="s">
        <v>459</v>
      </c>
      <c r="I5779" s="2" t="n">
        <f aca="false">IF(F5779="Present",9,IF(F5779="Half Day",4,0))</f>
        <v>9</v>
      </c>
      <c r="J5779" s="2"/>
      <c r="K5779" s="2"/>
    </row>
    <row r="5780" customFormat="false" ht="15" hidden="false" customHeight="false" outlineLevel="0" collapsed="false">
      <c r="A5780" s="2" t="s">
        <v>421</v>
      </c>
      <c r="B5780" s="2" t="s">
        <v>422</v>
      </c>
      <c r="C5780" s="2" t="s">
        <v>45</v>
      </c>
      <c r="D5780" s="3" t="n">
        <v>46247</v>
      </c>
      <c r="E5780" s="2" t="str">
        <f aca="false">TEXT(D5780,"dddd")</f>
        <v>Thursday</v>
      </c>
      <c r="F5780" s="2" t="s">
        <v>457</v>
      </c>
      <c r="G5780" s="2" t="s">
        <v>458</v>
      </c>
      <c r="H5780" s="2" t="s">
        <v>459</v>
      </c>
      <c r="I5780" s="2" t="n">
        <f aca="false">IF(F5780="Present",9,IF(F5780="Half Day",4,0))</f>
        <v>9</v>
      </c>
      <c r="J5780" s="2"/>
      <c r="K5780" s="2"/>
    </row>
    <row r="5781" customFormat="false" ht="15" hidden="false" customHeight="false" outlineLevel="0" collapsed="false">
      <c r="A5781" s="2" t="s">
        <v>421</v>
      </c>
      <c r="B5781" s="2" t="s">
        <v>422</v>
      </c>
      <c r="C5781" s="2" t="s">
        <v>45</v>
      </c>
      <c r="D5781" s="3" t="n">
        <v>46248</v>
      </c>
      <c r="E5781" s="2" t="str">
        <f aca="false">TEXT(D5781,"dddd")</f>
        <v>Friday</v>
      </c>
      <c r="F5781" s="2" t="s">
        <v>457</v>
      </c>
      <c r="G5781" s="2" t="s">
        <v>458</v>
      </c>
      <c r="H5781" s="2" t="s">
        <v>459</v>
      </c>
      <c r="I5781" s="2" t="n">
        <f aca="false">IF(F5781="Present",9,IF(F5781="Half Day",4,0))</f>
        <v>9</v>
      </c>
      <c r="J5781" s="2"/>
      <c r="K5781" s="2"/>
    </row>
    <row r="5782" customFormat="false" ht="15" hidden="false" customHeight="false" outlineLevel="0" collapsed="false">
      <c r="A5782" s="2" t="s">
        <v>421</v>
      </c>
      <c r="B5782" s="2" t="s">
        <v>422</v>
      </c>
      <c r="C5782" s="2" t="s">
        <v>45</v>
      </c>
      <c r="D5782" s="3" t="n">
        <v>46249</v>
      </c>
      <c r="E5782" s="2" t="str">
        <f aca="false">TEXT(D5782,"dddd")</f>
        <v>Saturday</v>
      </c>
      <c r="F5782" s="2" t="s">
        <v>461</v>
      </c>
      <c r="G5782" s="2"/>
      <c r="H5782" s="2"/>
      <c r="I5782" s="2" t="n">
        <f aca="false">IF(F5782="Present",9,IF(F5782="Half Day",4,0))</f>
        <v>0</v>
      </c>
      <c r="J5782" s="2"/>
      <c r="K5782" s="2" t="s">
        <v>462</v>
      </c>
    </row>
    <row r="5783" customFormat="false" ht="15" hidden="false" customHeight="false" outlineLevel="0" collapsed="false">
      <c r="A5783" s="2" t="s">
        <v>421</v>
      </c>
      <c r="B5783" s="2" t="s">
        <v>422</v>
      </c>
      <c r="C5783" s="2" t="s">
        <v>45</v>
      </c>
      <c r="D5783" s="3" t="n">
        <v>46250</v>
      </c>
      <c r="E5783" s="2" t="str">
        <f aca="false">TEXT(D5783,"dddd")</f>
        <v>Sunday</v>
      </c>
      <c r="F5783" s="2" t="s">
        <v>460</v>
      </c>
      <c r="G5783" s="2"/>
      <c r="H5783" s="2"/>
      <c r="I5783" s="2" t="n">
        <f aca="false">IF(F5783="Present",9,IF(F5783="Half Day",4,0))</f>
        <v>0</v>
      </c>
      <c r="J5783" s="2"/>
      <c r="K5783" s="2" t="s">
        <v>460</v>
      </c>
    </row>
    <row r="5784" customFormat="false" ht="15" hidden="false" customHeight="false" outlineLevel="0" collapsed="false">
      <c r="A5784" s="2" t="s">
        <v>421</v>
      </c>
      <c r="B5784" s="2" t="s">
        <v>422</v>
      </c>
      <c r="C5784" s="2" t="s">
        <v>45</v>
      </c>
      <c r="D5784" s="3" t="n">
        <v>46251</v>
      </c>
      <c r="E5784" s="2" t="str">
        <f aca="false">TEXT(D5784,"dddd")</f>
        <v>Monday</v>
      </c>
      <c r="F5784" s="2" t="s">
        <v>457</v>
      </c>
      <c r="G5784" s="2" t="s">
        <v>458</v>
      </c>
      <c r="H5784" s="2" t="s">
        <v>459</v>
      </c>
      <c r="I5784" s="2" t="n">
        <f aca="false">IF(F5784="Present",9,IF(F5784="Half Day",4,0))</f>
        <v>9</v>
      </c>
      <c r="J5784" s="2"/>
      <c r="K5784" s="2"/>
    </row>
    <row r="5785" customFormat="false" ht="15" hidden="false" customHeight="false" outlineLevel="0" collapsed="false">
      <c r="A5785" s="2" t="s">
        <v>421</v>
      </c>
      <c r="B5785" s="2" t="s">
        <v>422</v>
      </c>
      <c r="C5785" s="2" t="s">
        <v>45</v>
      </c>
      <c r="D5785" s="3" t="n">
        <v>46252</v>
      </c>
      <c r="E5785" s="2" t="str">
        <f aca="false">TEXT(D5785,"dddd")</f>
        <v>Tuesday</v>
      </c>
      <c r="F5785" s="2" t="s">
        <v>457</v>
      </c>
      <c r="G5785" s="2" t="s">
        <v>458</v>
      </c>
      <c r="H5785" s="2" t="s">
        <v>459</v>
      </c>
      <c r="I5785" s="2" t="n">
        <f aca="false">IF(F5785="Present",9,IF(F5785="Half Day",4,0))</f>
        <v>9</v>
      </c>
      <c r="J5785" s="2"/>
      <c r="K5785" s="2"/>
    </row>
    <row r="5786" customFormat="false" ht="15" hidden="false" customHeight="false" outlineLevel="0" collapsed="false">
      <c r="A5786" s="2" t="s">
        <v>421</v>
      </c>
      <c r="B5786" s="2" t="s">
        <v>422</v>
      </c>
      <c r="C5786" s="2" t="s">
        <v>45</v>
      </c>
      <c r="D5786" s="3" t="n">
        <v>46253</v>
      </c>
      <c r="E5786" s="2" t="str">
        <f aca="false">TEXT(D5786,"dddd")</f>
        <v>Wednesday</v>
      </c>
      <c r="F5786" s="2" t="s">
        <v>457</v>
      </c>
      <c r="G5786" s="2" t="s">
        <v>458</v>
      </c>
      <c r="H5786" s="2" t="s">
        <v>459</v>
      </c>
      <c r="I5786" s="2" t="n">
        <f aca="false">IF(F5786="Present",9,IF(F5786="Half Day",4,0))</f>
        <v>9</v>
      </c>
      <c r="J5786" s="2"/>
      <c r="K5786" s="2"/>
    </row>
    <row r="5787" customFormat="false" ht="15" hidden="false" customHeight="false" outlineLevel="0" collapsed="false">
      <c r="A5787" s="2" t="s">
        <v>421</v>
      </c>
      <c r="B5787" s="2" t="s">
        <v>422</v>
      </c>
      <c r="C5787" s="2" t="s">
        <v>45</v>
      </c>
      <c r="D5787" s="3" t="n">
        <v>46254</v>
      </c>
      <c r="E5787" s="2" t="str">
        <f aca="false">TEXT(D5787,"dddd")</f>
        <v>Thursday</v>
      </c>
      <c r="F5787" s="2" t="s">
        <v>457</v>
      </c>
      <c r="G5787" s="2" t="s">
        <v>458</v>
      </c>
      <c r="H5787" s="2" t="s">
        <v>459</v>
      </c>
      <c r="I5787" s="2" t="n">
        <f aca="false">IF(F5787="Present",9,IF(F5787="Half Day",4,0))</f>
        <v>9</v>
      </c>
      <c r="J5787" s="2"/>
      <c r="K5787" s="2"/>
    </row>
    <row r="5788" customFormat="false" ht="15" hidden="false" customHeight="false" outlineLevel="0" collapsed="false">
      <c r="A5788" s="2" t="s">
        <v>421</v>
      </c>
      <c r="B5788" s="2" t="s">
        <v>422</v>
      </c>
      <c r="C5788" s="2" t="s">
        <v>45</v>
      </c>
      <c r="D5788" s="3" t="n">
        <v>46255</v>
      </c>
      <c r="E5788" s="2" t="str">
        <f aca="false">TEXT(D5788,"dddd")</f>
        <v>Friday</v>
      </c>
      <c r="F5788" s="2" t="s">
        <v>457</v>
      </c>
      <c r="G5788" s="2" t="s">
        <v>458</v>
      </c>
      <c r="H5788" s="2" t="s">
        <v>459</v>
      </c>
      <c r="I5788" s="2" t="n">
        <f aca="false">IF(F5788="Present",9,IF(F5788="Half Day",4,0))</f>
        <v>9</v>
      </c>
      <c r="J5788" s="2"/>
      <c r="K5788" s="2"/>
    </row>
    <row r="5789" customFormat="false" ht="15" hidden="false" customHeight="false" outlineLevel="0" collapsed="false">
      <c r="A5789" s="2" t="s">
        <v>421</v>
      </c>
      <c r="B5789" s="2" t="s">
        <v>422</v>
      </c>
      <c r="C5789" s="2" t="s">
        <v>45</v>
      </c>
      <c r="D5789" s="3" t="n">
        <v>46256</v>
      </c>
      <c r="E5789" s="2" t="str">
        <f aca="false">TEXT(D5789,"dddd")</f>
        <v>Saturday</v>
      </c>
      <c r="F5789" s="2" t="s">
        <v>457</v>
      </c>
      <c r="G5789" s="2" t="s">
        <v>458</v>
      </c>
      <c r="H5789" s="2" t="s">
        <v>459</v>
      </c>
      <c r="I5789" s="2" t="n">
        <f aca="false">IF(F5789="Present",9,IF(F5789="Half Day",4,0))</f>
        <v>9</v>
      </c>
      <c r="J5789" s="2"/>
      <c r="K5789" s="2"/>
    </row>
    <row r="5790" customFormat="false" ht="15" hidden="false" customHeight="false" outlineLevel="0" collapsed="false">
      <c r="A5790" s="2" t="s">
        <v>421</v>
      </c>
      <c r="B5790" s="2" t="s">
        <v>422</v>
      </c>
      <c r="C5790" s="2" t="s">
        <v>45</v>
      </c>
      <c r="D5790" s="3" t="n">
        <v>46257</v>
      </c>
      <c r="E5790" s="2" t="str">
        <f aca="false">TEXT(D5790,"dddd")</f>
        <v>Sunday</v>
      </c>
      <c r="F5790" s="2" t="s">
        <v>460</v>
      </c>
      <c r="G5790" s="2"/>
      <c r="H5790" s="2"/>
      <c r="I5790" s="2" t="n">
        <f aca="false">IF(F5790="Present",9,IF(F5790="Half Day",4,0))</f>
        <v>0</v>
      </c>
      <c r="J5790" s="2"/>
      <c r="K5790" s="2" t="s">
        <v>460</v>
      </c>
    </row>
    <row r="5791" customFormat="false" ht="15" hidden="false" customHeight="false" outlineLevel="0" collapsed="false">
      <c r="A5791" s="2" t="s">
        <v>421</v>
      </c>
      <c r="B5791" s="2" t="s">
        <v>422</v>
      </c>
      <c r="C5791" s="2" t="s">
        <v>45</v>
      </c>
      <c r="D5791" s="3" t="n">
        <v>46258</v>
      </c>
      <c r="E5791" s="2" t="str">
        <f aca="false">TEXT(D5791,"dddd")</f>
        <v>Monday</v>
      </c>
      <c r="F5791" s="2" t="s">
        <v>457</v>
      </c>
      <c r="G5791" s="2" t="s">
        <v>458</v>
      </c>
      <c r="H5791" s="2" t="s">
        <v>459</v>
      </c>
      <c r="I5791" s="2" t="n">
        <f aca="false">IF(F5791="Present",9,IF(F5791="Half Day",4,0))</f>
        <v>9</v>
      </c>
      <c r="J5791" s="2"/>
      <c r="K5791" s="2"/>
    </row>
    <row r="5792" customFormat="false" ht="15" hidden="false" customHeight="false" outlineLevel="0" collapsed="false">
      <c r="A5792" s="2" t="s">
        <v>421</v>
      </c>
      <c r="B5792" s="2" t="s">
        <v>422</v>
      </c>
      <c r="C5792" s="2" t="s">
        <v>45</v>
      </c>
      <c r="D5792" s="3" t="n">
        <v>46259</v>
      </c>
      <c r="E5792" s="2" t="str">
        <f aca="false">TEXT(D5792,"dddd")</f>
        <v>Tuesday</v>
      </c>
      <c r="F5792" s="2" t="s">
        <v>463</v>
      </c>
      <c r="G5792" s="2"/>
      <c r="H5792" s="2"/>
      <c r="I5792" s="2" t="n">
        <f aca="false">IF(F5792="Present",9,IF(F5792="Half Day",4,0))</f>
        <v>0</v>
      </c>
      <c r="J5792" s="2" t="s">
        <v>474</v>
      </c>
      <c r="K5792" s="2" t="s">
        <v>475</v>
      </c>
    </row>
    <row r="5793" customFormat="false" ht="15" hidden="false" customHeight="false" outlineLevel="0" collapsed="false">
      <c r="A5793" s="2" t="s">
        <v>421</v>
      </c>
      <c r="B5793" s="2" t="s">
        <v>422</v>
      </c>
      <c r="C5793" s="2" t="s">
        <v>45</v>
      </c>
      <c r="D5793" s="3" t="n">
        <v>46260</v>
      </c>
      <c r="E5793" s="2" t="str">
        <f aca="false">TEXT(D5793,"dddd")</f>
        <v>Wednesday</v>
      </c>
      <c r="F5793" s="2" t="s">
        <v>461</v>
      </c>
      <c r="G5793" s="2"/>
      <c r="H5793" s="2"/>
      <c r="I5793" s="2" t="n">
        <f aca="false">IF(F5793="Present",9,IF(F5793="Half Day",4,0))</f>
        <v>0</v>
      </c>
      <c r="J5793" s="2"/>
      <c r="K5793" s="2" t="s">
        <v>462</v>
      </c>
    </row>
    <row r="5794" customFormat="false" ht="15" hidden="false" customHeight="false" outlineLevel="0" collapsed="false">
      <c r="A5794" s="2" t="s">
        <v>421</v>
      </c>
      <c r="B5794" s="2" t="s">
        <v>422</v>
      </c>
      <c r="C5794" s="2" t="s">
        <v>45</v>
      </c>
      <c r="D5794" s="3" t="n">
        <v>46261</v>
      </c>
      <c r="E5794" s="2" t="str">
        <f aca="false">TEXT(D5794,"dddd")</f>
        <v>Thursday</v>
      </c>
      <c r="F5794" s="2" t="s">
        <v>457</v>
      </c>
      <c r="G5794" s="2" t="s">
        <v>458</v>
      </c>
      <c r="H5794" s="2" t="s">
        <v>459</v>
      </c>
      <c r="I5794" s="2" t="n">
        <f aca="false">IF(F5794="Present",9,IF(F5794="Half Day",4,0))</f>
        <v>9</v>
      </c>
      <c r="J5794" s="2"/>
      <c r="K5794" s="2"/>
    </row>
    <row r="5795" customFormat="false" ht="15" hidden="false" customHeight="false" outlineLevel="0" collapsed="false">
      <c r="A5795" s="2" t="s">
        <v>421</v>
      </c>
      <c r="B5795" s="2" t="s">
        <v>422</v>
      </c>
      <c r="C5795" s="2" t="s">
        <v>45</v>
      </c>
      <c r="D5795" s="3" t="n">
        <v>46262</v>
      </c>
      <c r="E5795" s="2" t="str">
        <f aca="false">TEXT(D5795,"dddd")</f>
        <v>Friday</v>
      </c>
      <c r="F5795" s="2" t="s">
        <v>457</v>
      </c>
      <c r="G5795" s="2" t="s">
        <v>458</v>
      </c>
      <c r="H5795" s="2" t="s">
        <v>459</v>
      </c>
      <c r="I5795" s="2" t="n">
        <f aca="false">IF(F5795="Present",9,IF(F5795="Half Day",4,0))</f>
        <v>9</v>
      </c>
      <c r="J5795" s="2"/>
      <c r="K5795" s="2"/>
    </row>
    <row r="5796" customFormat="false" ht="15" hidden="false" customHeight="false" outlineLevel="0" collapsed="false">
      <c r="A5796" s="2" t="s">
        <v>421</v>
      </c>
      <c r="B5796" s="2" t="s">
        <v>422</v>
      </c>
      <c r="C5796" s="2" t="s">
        <v>45</v>
      </c>
      <c r="D5796" s="3" t="n">
        <v>46263</v>
      </c>
      <c r="E5796" s="2" t="str">
        <f aca="false">TEXT(D5796,"dddd")</f>
        <v>Saturday</v>
      </c>
      <c r="F5796" s="2" t="s">
        <v>457</v>
      </c>
      <c r="G5796" s="2" t="s">
        <v>458</v>
      </c>
      <c r="H5796" s="2" t="s">
        <v>459</v>
      </c>
      <c r="I5796" s="2" t="n">
        <f aca="false">IF(F5796="Present",9,IF(F5796="Half Day",4,0))</f>
        <v>9</v>
      </c>
      <c r="J5796" s="2"/>
      <c r="K5796" s="2"/>
    </row>
    <row r="5797" customFormat="false" ht="15" hidden="false" customHeight="false" outlineLevel="0" collapsed="false">
      <c r="A5797" s="2" t="s">
        <v>421</v>
      </c>
      <c r="B5797" s="2" t="s">
        <v>422</v>
      </c>
      <c r="C5797" s="2" t="s">
        <v>45</v>
      </c>
      <c r="D5797" s="3" t="n">
        <v>46264</v>
      </c>
      <c r="E5797" s="2" t="str">
        <f aca="false">TEXT(D5797,"dddd")</f>
        <v>Sunday</v>
      </c>
      <c r="F5797" s="2" t="s">
        <v>460</v>
      </c>
      <c r="G5797" s="2"/>
      <c r="H5797" s="2"/>
      <c r="I5797" s="2" t="n">
        <f aca="false">IF(F5797="Present",9,IF(F5797="Half Day",4,0))</f>
        <v>0</v>
      </c>
      <c r="J5797" s="2"/>
      <c r="K5797" s="2" t="s">
        <v>460</v>
      </c>
    </row>
    <row r="5798" customFormat="false" ht="15" hidden="false" customHeight="false" outlineLevel="0" collapsed="false">
      <c r="A5798" s="2" t="s">
        <v>421</v>
      </c>
      <c r="B5798" s="2" t="s">
        <v>422</v>
      </c>
      <c r="C5798" s="2" t="s">
        <v>45</v>
      </c>
      <c r="D5798" s="3" t="n">
        <v>46265</v>
      </c>
      <c r="E5798" s="2" t="str">
        <f aca="false">TEXT(D5798,"dddd")</f>
        <v>Monday</v>
      </c>
      <c r="F5798" s="2" t="s">
        <v>461</v>
      </c>
      <c r="G5798" s="2"/>
      <c r="H5798" s="2"/>
      <c r="I5798" s="2" t="n">
        <f aca="false">IF(F5798="Present",9,IF(F5798="Half Day",4,0))</f>
        <v>0</v>
      </c>
      <c r="J5798" s="2"/>
      <c r="K5798" s="2" t="s">
        <v>462</v>
      </c>
    </row>
    <row r="5799" customFormat="false" ht="15" hidden="false" customHeight="false" outlineLevel="0" collapsed="false">
      <c r="A5799" s="2" t="s">
        <v>423</v>
      </c>
      <c r="B5799" s="2" t="s">
        <v>424</v>
      </c>
      <c r="C5799" s="2" t="s">
        <v>49</v>
      </c>
      <c r="D5799" s="3" t="n">
        <v>46235</v>
      </c>
      <c r="E5799" s="2" t="str">
        <f aca="false">TEXT(D5799,"dddd")</f>
        <v>Saturday</v>
      </c>
      <c r="F5799" s="2" t="s">
        <v>457</v>
      </c>
      <c r="G5799" s="2" t="s">
        <v>458</v>
      </c>
      <c r="H5799" s="2" t="s">
        <v>459</v>
      </c>
      <c r="I5799" s="2" t="n">
        <f aca="false">IF(F5799="Present",9,IF(F5799="Half Day",4,0))</f>
        <v>9</v>
      </c>
      <c r="J5799" s="2"/>
      <c r="K5799" s="2"/>
    </row>
    <row r="5800" customFormat="false" ht="15" hidden="false" customHeight="false" outlineLevel="0" collapsed="false">
      <c r="A5800" s="2" t="s">
        <v>423</v>
      </c>
      <c r="B5800" s="2" t="s">
        <v>424</v>
      </c>
      <c r="C5800" s="2" t="s">
        <v>49</v>
      </c>
      <c r="D5800" s="3" t="n">
        <v>46236</v>
      </c>
      <c r="E5800" s="2" t="str">
        <f aca="false">TEXT(D5800,"dddd")</f>
        <v>Sunday</v>
      </c>
      <c r="F5800" s="2" t="s">
        <v>460</v>
      </c>
      <c r="G5800" s="2"/>
      <c r="H5800" s="2"/>
      <c r="I5800" s="2" t="n">
        <f aca="false">IF(F5800="Present",9,IF(F5800="Half Day",4,0))</f>
        <v>0</v>
      </c>
      <c r="J5800" s="2"/>
      <c r="K5800" s="2" t="s">
        <v>460</v>
      </c>
    </row>
    <row r="5801" customFormat="false" ht="15" hidden="false" customHeight="false" outlineLevel="0" collapsed="false">
      <c r="A5801" s="2" t="s">
        <v>423</v>
      </c>
      <c r="B5801" s="2" t="s">
        <v>424</v>
      </c>
      <c r="C5801" s="2" t="s">
        <v>49</v>
      </c>
      <c r="D5801" s="3" t="n">
        <v>46237</v>
      </c>
      <c r="E5801" s="2" t="str">
        <f aca="false">TEXT(D5801,"dddd")</f>
        <v>Monday</v>
      </c>
      <c r="F5801" s="2" t="s">
        <v>457</v>
      </c>
      <c r="G5801" s="2" t="s">
        <v>458</v>
      </c>
      <c r="H5801" s="2" t="s">
        <v>459</v>
      </c>
      <c r="I5801" s="2" t="n">
        <f aca="false">IF(F5801="Present",9,IF(F5801="Half Day",4,0))</f>
        <v>9</v>
      </c>
      <c r="J5801" s="2"/>
      <c r="K5801" s="2"/>
    </row>
    <row r="5802" customFormat="false" ht="15" hidden="false" customHeight="false" outlineLevel="0" collapsed="false">
      <c r="A5802" s="2" t="s">
        <v>423</v>
      </c>
      <c r="B5802" s="2" t="s">
        <v>424</v>
      </c>
      <c r="C5802" s="2" t="s">
        <v>49</v>
      </c>
      <c r="D5802" s="3" t="n">
        <v>46238</v>
      </c>
      <c r="E5802" s="2" t="str">
        <f aca="false">TEXT(D5802,"dddd")</f>
        <v>Tuesday</v>
      </c>
      <c r="F5802" s="2" t="s">
        <v>461</v>
      </c>
      <c r="G5802" s="2"/>
      <c r="H5802" s="2"/>
      <c r="I5802" s="2" t="n">
        <f aca="false">IF(F5802="Present",9,IF(F5802="Half Day",4,0))</f>
        <v>0</v>
      </c>
      <c r="J5802" s="2"/>
      <c r="K5802" s="2" t="s">
        <v>462</v>
      </c>
    </row>
    <row r="5803" customFormat="false" ht="15" hidden="false" customHeight="false" outlineLevel="0" collapsed="false">
      <c r="A5803" s="2" t="s">
        <v>423</v>
      </c>
      <c r="B5803" s="2" t="s">
        <v>424</v>
      </c>
      <c r="C5803" s="2" t="s">
        <v>49</v>
      </c>
      <c r="D5803" s="3" t="n">
        <v>46239</v>
      </c>
      <c r="E5803" s="2" t="str">
        <f aca="false">TEXT(D5803,"dddd")</f>
        <v>Wednesday</v>
      </c>
      <c r="F5803" s="2" t="s">
        <v>457</v>
      </c>
      <c r="G5803" s="2" t="s">
        <v>458</v>
      </c>
      <c r="H5803" s="2" t="s">
        <v>459</v>
      </c>
      <c r="I5803" s="2" t="n">
        <f aca="false">IF(F5803="Present",9,IF(F5803="Half Day",4,0))</f>
        <v>9</v>
      </c>
      <c r="J5803" s="2"/>
      <c r="K5803" s="2"/>
    </row>
    <row r="5804" customFormat="false" ht="15" hidden="false" customHeight="false" outlineLevel="0" collapsed="false">
      <c r="A5804" s="2" t="s">
        <v>423</v>
      </c>
      <c r="B5804" s="2" t="s">
        <v>424</v>
      </c>
      <c r="C5804" s="2" t="s">
        <v>49</v>
      </c>
      <c r="D5804" s="3" t="n">
        <v>46240</v>
      </c>
      <c r="E5804" s="2" t="str">
        <f aca="false">TEXT(D5804,"dddd")</f>
        <v>Thursday</v>
      </c>
      <c r="F5804" s="2" t="s">
        <v>457</v>
      </c>
      <c r="G5804" s="2" t="s">
        <v>458</v>
      </c>
      <c r="H5804" s="2" t="s">
        <v>459</v>
      </c>
      <c r="I5804" s="2" t="n">
        <f aca="false">IF(F5804="Present",9,IF(F5804="Half Day",4,0))</f>
        <v>9</v>
      </c>
      <c r="J5804" s="2"/>
      <c r="K5804" s="2"/>
    </row>
    <row r="5805" customFormat="false" ht="15" hidden="false" customHeight="false" outlineLevel="0" collapsed="false">
      <c r="A5805" s="2" t="s">
        <v>423</v>
      </c>
      <c r="B5805" s="2" t="s">
        <v>424</v>
      </c>
      <c r="C5805" s="2" t="s">
        <v>49</v>
      </c>
      <c r="D5805" s="3" t="n">
        <v>46241</v>
      </c>
      <c r="E5805" s="2" t="str">
        <f aca="false">TEXT(D5805,"dddd")</f>
        <v>Friday</v>
      </c>
      <c r="F5805" s="2" t="s">
        <v>457</v>
      </c>
      <c r="G5805" s="2" t="s">
        <v>458</v>
      </c>
      <c r="H5805" s="2" t="s">
        <v>459</v>
      </c>
      <c r="I5805" s="2" t="n">
        <f aca="false">IF(F5805="Present",9,IF(F5805="Half Day",4,0))</f>
        <v>9</v>
      </c>
      <c r="J5805" s="2"/>
      <c r="K5805" s="2"/>
    </row>
    <row r="5806" customFormat="false" ht="15" hidden="false" customHeight="false" outlineLevel="0" collapsed="false">
      <c r="A5806" s="2" t="s">
        <v>423</v>
      </c>
      <c r="B5806" s="2" t="s">
        <v>424</v>
      </c>
      <c r="C5806" s="2" t="s">
        <v>49</v>
      </c>
      <c r="D5806" s="3" t="n">
        <v>46242</v>
      </c>
      <c r="E5806" s="2" t="str">
        <f aca="false">TEXT(D5806,"dddd")</f>
        <v>Saturday</v>
      </c>
      <c r="F5806" s="2" t="s">
        <v>457</v>
      </c>
      <c r="G5806" s="2" t="s">
        <v>458</v>
      </c>
      <c r="H5806" s="2" t="s">
        <v>459</v>
      </c>
      <c r="I5806" s="2" t="n">
        <f aca="false">IF(F5806="Present",9,IF(F5806="Half Day",4,0))</f>
        <v>9</v>
      </c>
      <c r="J5806" s="2"/>
      <c r="K5806" s="2"/>
    </row>
    <row r="5807" customFormat="false" ht="15" hidden="false" customHeight="false" outlineLevel="0" collapsed="false">
      <c r="A5807" s="2" t="s">
        <v>423</v>
      </c>
      <c r="B5807" s="2" t="s">
        <v>424</v>
      </c>
      <c r="C5807" s="2" t="s">
        <v>49</v>
      </c>
      <c r="D5807" s="3" t="n">
        <v>46243</v>
      </c>
      <c r="E5807" s="2" t="str">
        <f aca="false">TEXT(D5807,"dddd")</f>
        <v>Sunday</v>
      </c>
      <c r="F5807" s="2" t="s">
        <v>460</v>
      </c>
      <c r="G5807" s="2"/>
      <c r="H5807" s="2"/>
      <c r="I5807" s="2" t="n">
        <f aca="false">IF(F5807="Present",9,IF(F5807="Half Day",4,0))</f>
        <v>0</v>
      </c>
      <c r="J5807" s="2"/>
      <c r="K5807" s="2" t="s">
        <v>460</v>
      </c>
    </row>
    <row r="5808" customFormat="false" ht="15" hidden="false" customHeight="false" outlineLevel="0" collapsed="false">
      <c r="A5808" s="2" t="s">
        <v>423</v>
      </c>
      <c r="B5808" s="2" t="s">
        <v>424</v>
      </c>
      <c r="C5808" s="2" t="s">
        <v>49</v>
      </c>
      <c r="D5808" s="3" t="n">
        <v>46244</v>
      </c>
      <c r="E5808" s="2" t="str">
        <f aca="false">TEXT(D5808,"dddd")</f>
        <v>Monday</v>
      </c>
      <c r="F5808" s="2" t="s">
        <v>457</v>
      </c>
      <c r="G5808" s="2" t="s">
        <v>458</v>
      </c>
      <c r="H5808" s="2" t="s">
        <v>459</v>
      </c>
      <c r="I5808" s="2" t="n">
        <f aca="false">IF(F5808="Present",9,IF(F5808="Half Day",4,0))</f>
        <v>9</v>
      </c>
      <c r="J5808" s="2"/>
      <c r="K5808" s="2"/>
    </row>
    <row r="5809" customFormat="false" ht="15" hidden="false" customHeight="false" outlineLevel="0" collapsed="false">
      <c r="A5809" s="2" t="s">
        <v>423</v>
      </c>
      <c r="B5809" s="2" t="s">
        <v>424</v>
      </c>
      <c r="C5809" s="2" t="s">
        <v>49</v>
      </c>
      <c r="D5809" s="3" t="n">
        <v>46245</v>
      </c>
      <c r="E5809" s="2" t="str">
        <f aca="false">TEXT(D5809,"dddd")</f>
        <v>Tuesday</v>
      </c>
      <c r="F5809" s="2" t="s">
        <v>457</v>
      </c>
      <c r="G5809" s="2" t="s">
        <v>458</v>
      </c>
      <c r="H5809" s="2" t="s">
        <v>459</v>
      </c>
      <c r="I5809" s="2" t="n">
        <f aca="false">IF(F5809="Present",9,IF(F5809="Half Day",4,0))</f>
        <v>9</v>
      </c>
      <c r="J5809" s="2"/>
      <c r="K5809" s="2"/>
    </row>
    <row r="5810" customFormat="false" ht="15" hidden="false" customHeight="false" outlineLevel="0" collapsed="false">
      <c r="A5810" s="2" t="s">
        <v>423</v>
      </c>
      <c r="B5810" s="2" t="s">
        <v>424</v>
      </c>
      <c r="C5810" s="2" t="s">
        <v>49</v>
      </c>
      <c r="D5810" s="3" t="n">
        <v>46246</v>
      </c>
      <c r="E5810" s="2" t="str">
        <f aca="false">TEXT(D5810,"dddd")</f>
        <v>Wednesday</v>
      </c>
      <c r="F5810" s="2" t="s">
        <v>457</v>
      </c>
      <c r="G5810" s="2" t="s">
        <v>458</v>
      </c>
      <c r="H5810" s="2" t="s">
        <v>459</v>
      </c>
      <c r="I5810" s="2" t="n">
        <f aca="false">IF(F5810="Present",9,IF(F5810="Half Day",4,0))</f>
        <v>9</v>
      </c>
      <c r="J5810" s="2"/>
      <c r="K5810" s="2"/>
    </row>
    <row r="5811" customFormat="false" ht="15" hidden="false" customHeight="false" outlineLevel="0" collapsed="false">
      <c r="A5811" s="2" t="s">
        <v>423</v>
      </c>
      <c r="B5811" s="2" t="s">
        <v>424</v>
      </c>
      <c r="C5811" s="2" t="s">
        <v>49</v>
      </c>
      <c r="D5811" s="3" t="n">
        <v>46247</v>
      </c>
      <c r="E5811" s="2" t="str">
        <f aca="false">TEXT(D5811,"dddd")</f>
        <v>Thursday</v>
      </c>
      <c r="F5811" s="2" t="s">
        <v>457</v>
      </c>
      <c r="G5811" s="2" t="s">
        <v>458</v>
      </c>
      <c r="H5811" s="2" t="s">
        <v>459</v>
      </c>
      <c r="I5811" s="2" t="n">
        <f aca="false">IF(F5811="Present",9,IF(F5811="Half Day",4,0))</f>
        <v>9</v>
      </c>
      <c r="J5811" s="2"/>
      <c r="K5811" s="2"/>
    </row>
    <row r="5812" customFormat="false" ht="15" hidden="false" customHeight="false" outlineLevel="0" collapsed="false">
      <c r="A5812" s="2" t="s">
        <v>423</v>
      </c>
      <c r="B5812" s="2" t="s">
        <v>424</v>
      </c>
      <c r="C5812" s="2" t="s">
        <v>49</v>
      </c>
      <c r="D5812" s="3" t="n">
        <v>46248</v>
      </c>
      <c r="E5812" s="2" t="str">
        <f aca="false">TEXT(D5812,"dddd")</f>
        <v>Friday</v>
      </c>
      <c r="F5812" s="2" t="s">
        <v>457</v>
      </c>
      <c r="G5812" s="2" t="s">
        <v>458</v>
      </c>
      <c r="H5812" s="2" t="s">
        <v>459</v>
      </c>
      <c r="I5812" s="2" t="n">
        <f aca="false">IF(F5812="Present",9,IF(F5812="Half Day",4,0))</f>
        <v>9</v>
      </c>
      <c r="J5812" s="2"/>
      <c r="K5812" s="2"/>
    </row>
    <row r="5813" customFormat="false" ht="15" hidden="false" customHeight="false" outlineLevel="0" collapsed="false">
      <c r="A5813" s="2" t="s">
        <v>423</v>
      </c>
      <c r="B5813" s="2" t="s">
        <v>424</v>
      </c>
      <c r="C5813" s="2" t="s">
        <v>49</v>
      </c>
      <c r="D5813" s="3" t="n">
        <v>46249</v>
      </c>
      <c r="E5813" s="2" t="str">
        <f aca="false">TEXT(D5813,"dddd")</f>
        <v>Saturday</v>
      </c>
      <c r="F5813" s="2" t="s">
        <v>457</v>
      </c>
      <c r="G5813" s="2" t="s">
        <v>458</v>
      </c>
      <c r="H5813" s="2" t="s">
        <v>459</v>
      </c>
      <c r="I5813" s="2" t="n">
        <f aca="false">IF(F5813="Present",9,IF(F5813="Half Day",4,0))</f>
        <v>9</v>
      </c>
      <c r="J5813" s="2"/>
      <c r="K5813" s="2"/>
    </row>
    <row r="5814" customFormat="false" ht="15" hidden="false" customHeight="false" outlineLevel="0" collapsed="false">
      <c r="A5814" s="2" t="s">
        <v>423</v>
      </c>
      <c r="B5814" s="2" t="s">
        <v>424</v>
      </c>
      <c r="C5814" s="2" t="s">
        <v>49</v>
      </c>
      <c r="D5814" s="3" t="n">
        <v>46250</v>
      </c>
      <c r="E5814" s="2" t="str">
        <f aca="false">TEXT(D5814,"dddd")</f>
        <v>Sunday</v>
      </c>
      <c r="F5814" s="2" t="s">
        <v>460</v>
      </c>
      <c r="G5814" s="2"/>
      <c r="H5814" s="2"/>
      <c r="I5814" s="2" t="n">
        <f aca="false">IF(F5814="Present",9,IF(F5814="Half Day",4,0))</f>
        <v>0</v>
      </c>
      <c r="J5814" s="2"/>
      <c r="K5814" s="2" t="s">
        <v>460</v>
      </c>
    </row>
    <row r="5815" customFormat="false" ht="15" hidden="false" customHeight="false" outlineLevel="0" collapsed="false">
      <c r="A5815" s="2" t="s">
        <v>423</v>
      </c>
      <c r="B5815" s="2" t="s">
        <v>424</v>
      </c>
      <c r="C5815" s="2" t="s">
        <v>49</v>
      </c>
      <c r="D5815" s="3" t="n">
        <v>46251</v>
      </c>
      <c r="E5815" s="2" t="str">
        <f aca="false">TEXT(D5815,"dddd")</f>
        <v>Monday</v>
      </c>
      <c r="F5815" s="2" t="s">
        <v>457</v>
      </c>
      <c r="G5815" s="2" t="s">
        <v>458</v>
      </c>
      <c r="H5815" s="2" t="s">
        <v>459</v>
      </c>
      <c r="I5815" s="2" t="n">
        <f aca="false">IF(F5815="Present",9,IF(F5815="Half Day",4,0))</f>
        <v>9</v>
      </c>
      <c r="J5815" s="2"/>
      <c r="K5815" s="2"/>
    </row>
    <row r="5816" customFormat="false" ht="15" hidden="false" customHeight="false" outlineLevel="0" collapsed="false">
      <c r="A5816" s="2" t="s">
        <v>423</v>
      </c>
      <c r="B5816" s="2" t="s">
        <v>424</v>
      </c>
      <c r="C5816" s="2" t="s">
        <v>49</v>
      </c>
      <c r="D5816" s="3" t="n">
        <v>46252</v>
      </c>
      <c r="E5816" s="2" t="str">
        <f aca="false">TEXT(D5816,"dddd")</f>
        <v>Tuesday</v>
      </c>
      <c r="F5816" s="2" t="s">
        <v>463</v>
      </c>
      <c r="G5816" s="2"/>
      <c r="H5816" s="2"/>
      <c r="I5816" s="2" t="n">
        <f aca="false">IF(F5816="Present",9,IF(F5816="Half Day",4,0))</f>
        <v>0</v>
      </c>
      <c r="J5816" s="2" t="s">
        <v>468</v>
      </c>
      <c r="K5816" s="2" t="s">
        <v>469</v>
      </c>
    </row>
    <row r="5817" customFormat="false" ht="15" hidden="false" customHeight="false" outlineLevel="0" collapsed="false">
      <c r="A5817" s="2" t="s">
        <v>423</v>
      </c>
      <c r="B5817" s="2" t="s">
        <v>424</v>
      </c>
      <c r="C5817" s="2" t="s">
        <v>49</v>
      </c>
      <c r="D5817" s="3" t="n">
        <v>46253</v>
      </c>
      <c r="E5817" s="2" t="str">
        <f aca="false">TEXT(D5817,"dddd")</f>
        <v>Wednesday</v>
      </c>
      <c r="F5817" s="2" t="s">
        <v>457</v>
      </c>
      <c r="G5817" s="2" t="s">
        <v>458</v>
      </c>
      <c r="H5817" s="2" t="s">
        <v>459</v>
      </c>
      <c r="I5817" s="2" t="n">
        <f aca="false">IF(F5817="Present",9,IF(F5817="Half Day",4,0))</f>
        <v>9</v>
      </c>
      <c r="J5817" s="2"/>
      <c r="K5817" s="2"/>
    </row>
    <row r="5818" customFormat="false" ht="15" hidden="false" customHeight="false" outlineLevel="0" collapsed="false">
      <c r="A5818" s="2" t="s">
        <v>423</v>
      </c>
      <c r="B5818" s="2" t="s">
        <v>424</v>
      </c>
      <c r="C5818" s="2" t="s">
        <v>49</v>
      </c>
      <c r="D5818" s="3" t="n">
        <v>46254</v>
      </c>
      <c r="E5818" s="2" t="str">
        <f aca="false">TEXT(D5818,"dddd")</f>
        <v>Thursday</v>
      </c>
      <c r="F5818" s="2" t="s">
        <v>457</v>
      </c>
      <c r="G5818" s="2" t="s">
        <v>458</v>
      </c>
      <c r="H5818" s="2" t="s">
        <v>459</v>
      </c>
      <c r="I5818" s="2" t="n">
        <f aca="false">IF(F5818="Present",9,IF(F5818="Half Day",4,0))</f>
        <v>9</v>
      </c>
      <c r="J5818" s="2"/>
      <c r="K5818" s="2"/>
    </row>
    <row r="5819" customFormat="false" ht="15" hidden="false" customHeight="false" outlineLevel="0" collapsed="false">
      <c r="A5819" s="2" t="s">
        <v>423</v>
      </c>
      <c r="B5819" s="2" t="s">
        <v>424</v>
      </c>
      <c r="C5819" s="2" t="s">
        <v>49</v>
      </c>
      <c r="D5819" s="3" t="n">
        <v>46255</v>
      </c>
      <c r="E5819" s="2" t="str">
        <f aca="false">TEXT(D5819,"dddd")</f>
        <v>Friday</v>
      </c>
      <c r="F5819" s="2" t="s">
        <v>457</v>
      </c>
      <c r="G5819" s="2" t="s">
        <v>458</v>
      </c>
      <c r="H5819" s="2" t="s">
        <v>459</v>
      </c>
      <c r="I5819" s="2" t="n">
        <f aca="false">IF(F5819="Present",9,IF(F5819="Half Day",4,0))</f>
        <v>9</v>
      </c>
      <c r="J5819" s="2"/>
      <c r="K5819" s="2"/>
    </row>
    <row r="5820" customFormat="false" ht="15" hidden="false" customHeight="false" outlineLevel="0" collapsed="false">
      <c r="A5820" s="2" t="s">
        <v>423</v>
      </c>
      <c r="B5820" s="2" t="s">
        <v>424</v>
      </c>
      <c r="C5820" s="2" t="s">
        <v>49</v>
      </c>
      <c r="D5820" s="3" t="n">
        <v>46256</v>
      </c>
      <c r="E5820" s="2" t="str">
        <f aca="false">TEXT(D5820,"dddd")</f>
        <v>Saturday</v>
      </c>
      <c r="F5820" s="2" t="s">
        <v>457</v>
      </c>
      <c r="G5820" s="2" t="s">
        <v>458</v>
      </c>
      <c r="H5820" s="2" t="s">
        <v>459</v>
      </c>
      <c r="I5820" s="2" t="n">
        <f aca="false">IF(F5820="Present",9,IF(F5820="Half Day",4,0))</f>
        <v>9</v>
      </c>
      <c r="J5820" s="2"/>
      <c r="K5820" s="2"/>
    </row>
    <row r="5821" customFormat="false" ht="15" hidden="false" customHeight="false" outlineLevel="0" collapsed="false">
      <c r="A5821" s="2" t="s">
        <v>423</v>
      </c>
      <c r="B5821" s="2" t="s">
        <v>424</v>
      </c>
      <c r="C5821" s="2" t="s">
        <v>49</v>
      </c>
      <c r="D5821" s="3" t="n">
        <v>46257</v>
      </c>
      <c r="E5821" s="2" t="str">
        <f aca="false">TEXT(D5821,"dddd")</f>
        <v>Sunday</v>
      </c>
      <c r="F5821" s="2" t="s">
        <v>460</v>
      </c>
      <c r="G5821" s="2"/>
      <c r="H5821" s="2"/>
      <c r="I5821" s="2" t="n">
        <f aca="false">IF(F5821="Present",9,IF(F5821="Half Day",4,0))</f>
        <v>0</v>
      </c>
      <c r="J5821" s="2"/>
      <c r="K5821" s="2" t="s">
        <v>460</v>
      </c>
    </row>
    <row r="5822" customFormat="false" ht="15" hidden="false" customHeight="false" outlineLevel="0" collapsed="false">
      <c r="A5822" s="2" t="s">
        <v>423</v>
      </c>
      <c r="B5822" s="2" t="s">
        <v>424</v>
      </c>
      <c r="C5822" s="2" t="s">
        <v>49</v>
      </c>
      <c r="D5822" s="3" t="n">
        <v>46258</v>
      </c>
      <c r="E5822" s="2" t="str">
        <f aca="false">TEXT(D5822,"dddd")</f>
        <v>Monday</v>
      </c>
      <c r="F5822" s="2" t="s">
        <v>457</v>
      </c>
      <c r="G5822" s="2" t="s">
        <v>458</v>
      </c>
      <c r="H5822" s="2" t="s">
        <v>459</v>
      </c>
      <c r="I5822" s="2" t="n">
        <f aca="false">IF(F5822="Present",9,IF(F5822="Half Day",4,0))</f>
        <v>9</v>
      </c>
      <c r="J5822" s="2"/>
      <c r="K5822" s="2"/>
    </row>
    <row r="5823" customFormat="false" ht="15" hidden="false" customHeight="false" outlineLevel="0" collapsed="false">
      <c r="A5823" s="2" t="s">
        <v>423</v>
      </c>
      <c r="B5823" s="2" t="s">
        <v>424</v>
      </c>
      <c r="C5823" s="2" t="s">
        <v>49</v>
      </c>
      <c r="D5823" s="3" t="n">
        <v>46259</v>
      </c>
      <c r="E5823" s="2" t="str">
        <f aca="false">TEXT(D5823,"dddd")</f>
        <v>Tuesday</v>
      </c>
      <c r="F5823" s="2" t="s">
        <v>457</v>
      </c>
      <c r="G5823" s="2" t="s">
        <v>458</v>
      </c>
      <c r="H5823" s="2" t="s">
        <v>459</v>
      </c>
      <c r="I5823" s="2" t="n">
        <f aca="false">IF(F5823="Present",9,IF(F5823="Half Day",4,0))</f>
        <v>9</v>
      </c>
      <c r="J5823" s="2"/>
      <c r="K5823" s="2"/>
    </row>
    <row r="5824" customFormat="false" ht="15" hidden="false" customHeight="false" outlineLevel="0" collapsed="false">
      <c r="A5824" s="2" t="s">
        <v>423</v>
      </c>
      <c r="B5824" s="2" t="s">
        <v>424</v>
      </c>
      <c r="C5824" s="2" t="s">
        <v>49</v>
      </c>
      <c r="D5824" s="3" t="n">
        <v>46260</v>
      </c>
      <c r="E5824" s="2" t="str">
        <f aca="false">TEXT(D5824,"dddd")</f>
        <v>Wednesday</v>
      </c>
      <c r="F5824" s="2" t="s">
        <v>457</v>
      </c>
      <c r="G5824" s="2" t="s">
        <v>458</v>
      </c>
      <c r="H5824" s="2" t="s">
        <v>459</v>
      </c>
      <c r="I5824" s="2" t="n">
        <f aca="false">IF(F5824="Present",9,IF(F5824="Half Day",4,0))</f>
        <v>9</v>
      </c>
      <c r="J5824" s="2"/>
      <c r="K5824" s="2"/>
    </row>
    <row r="5825" customFormat="false" ht="15" hidden="false" customHeight="false" outlineLevel="0" collapsed="false">
      <c r="A5825" s="2" t="s">
        <v>423</v>
      </c>
      <c r="B5825" s="2" t="s">
        <v>424</v>
      </c>
      <c r="C5825" s="2" t="s">
        <v>49</v>
      </c>
      <c r="D5825" s="3" t="n">
        <v>46261</v>
      </c>
      <c r="E5825" s="2" t="str">
        <f aca="false">TEXT(D5825,"dddd")</f>
        <v>Thursday</v>
      </c>
      <c r="F5825" s="2" t="s">
        <v>457</v>
      </c>
      <c r="G5825" s="2" t="s">
        <v>458</v>
      </c>
      <c r="H5825" s="2" t="s">
        <v>459</v>
      </c>
      <c r="I5825" s="2" t="n">
        <f aca="false">IF(F5825="Present",9,IF(F5825="Half Day",4,0))</f>
        <v>9</v>
      </c>
      <c r="J5825" s="2"/>
      <c r="K5825" s="2"/>
    </row>
    <row r="5826" customFormat="false" ht="15" hidden="false" customHeight="false" outlineLevel="0" collapsed="false">
      <c r="A5826" s="2" t="s">
        <v>423</v>
      </c>
      <c r="B5826" s="2" t="s">
        <v>424</v>
      </c>
      <c r="C5826" s="2" t="s">
        <v>49</v>
      </c>
      <c r="D5826" s="3" t="n">
        <v>46262</v>
      </c>
      <c r="E5826" s="2" t="str">
        <f aca="false">TEXT(D5826,"dddd")</f>
        <v>Friday</v>
      </c>
      <c r="F5826" s="2" t="s">
        <v>461</v>
      </c>
      <c r="G5826" s="2"/>
      <c r="H5826" s="2"/>
      <c r="I5826" s="2" t="n">
        <f aca="false">IF(F5826="Present",9,IF(F5826="Half Day",4,0))</f>
        <v>0</v>
      </c>
      <c r="J5826" s="2"/>
      <c r="K5826" s="2" t="s">
        <v>462</v>
      </c>
    </row>
    <row r="5827" customFormat="false" ht="15" hidden="false" customHeight="false" outlineLevel="0" collapsed="false">
      <c r="A5827" s="2" t="s">
        <v>423</v>
      </c>
      <c r="B5827" s="2" t="s">
        <v>424</v>
      </c>
      <c r="C5827" s="2" t="s">
        <v>49</v>
      </c>
      <c r="D5827" s="3" t="n">
        <v>46263</v>
      </c>
      <c r="E5827" s="2" t="str">
        <f aca="false">TEXT(D5827,"dddd")</f>
        <v>Saturday</v>
      </c>
      <c r="F5827" s="2" t="s">
        <v>457</v>
      </c>
      <c r="G5827" s="2" t="s">
        <v>458</v>
      </c>
      <c r="H5827" s="2" t="s">
        <v>459</v>
      </c>
      <c r="I5827" s="2" t="n">
        <f aca="false">IF(F5827="Present",9,IF(F5827="Half Day",4,0))</f>
        <v>9</v>
      </c>
      <c r="J5827" s="2"/>
      <c r="K5827" s="2"/>
    </row>
    <row r="5828" customFormat="false" ht="15" hidden="false" customHeight="false" outlineLevel="0" collapsed="false">
      <c r="A5828" s="2" t="s">
        <v>423</v>
      </c>
      <c r="B5828" s="2" t="s">
        <v>424</v>
      </c>
      <c r="C5828" s="2" t="s">
        <v>49</v>
      </c>
      <c r="D5828" s="3" t="n">
        <v>46264</v>
      </c>
      <c r="E5828" s="2" t="str">
        <f aca="false">TEXT(D5828,"dddd")</f>
        <v>Sunday</v>
      </c>
      <c r="F5828" s="2" t="s">
        <v>460</v>
      </c>
      <c r="G5828" s="2"/>
      <c r="H5828" s="2"/>
      <c r="I5828" s="2" t="n">
        <f aca="false">IF(F5828="Present",9,IF(F5828="Half Day",4,0))</f>
        <v>0</v>
      </c>
      <c r="J5828" s="2"/>
      <c r="K5828" s="2" t="s">
        <v>460</v>
      </c>
    </row>
    <row r="5829" customFormat="false" ht="15" hidden="false" customHeight="false" outlineLevel="0" collapsed="false">
      <c r="A5829" s="2" t="s">
        <v>423</v>
      </c>
      <c r="B5829" s="2" t="s">
        <v>424</v>
      </c>
      <c r="C5829" s="2" t="s">
        <v>49</v>
      </c>
      <c r="D5829" s="3" t="n">
        <v>46265</v>
      </c>
      <c r="E5829" s="2" t="str">
        <f aca="false">TEXT(D5829,"dddd")</f>
        <v>Monday</v>
      </c>
      <c r="F5829" s="2" t="s">
        <v>457</v>
      </c>
      <c r="G5829" s="2" t="s">
        <v>458</v>
      </c>
      <c r="H5829" s="2" t="s">
        <v>459</v>
      </c>
      <c r="I5829" s="2" t="n">
        <f aca="false">IF(F5829="Present",9,IF(F5829="Half Day",4,0))</f>
        <v>9</v>
      </c>
      <c r="J5829" s="2"/>
      <c r="K5829" s="2"/>
    </row>
    <row r="5830" customFormat="false" ht="15" hidden="false" customHeight="false" outlineLevel="0" collapsed="false">
      <c r="A5830" s="2" t="s">
        <v>425</v>
      </c>
      <c r="B5830" s="2" t="s">
        <v>426</v>
      </c>
      <c r="C5830" s="2" t="s">
        <v>53</v>
      </c>
      <c r="D5830" s="3" t="n">
        <v>46235</v>
      </c>
      <c r="E5830" s="2" t="str">
        <f aca="false">TEXT(D5830,"dddd")</f>
        <v>Saturday</v>
      </c>
      <c r="F5830" s="2" t="s">
        <v>457</v>
      </c>
      <c r="G5830" s="2" t="s">
        <v>458</v>
      </c>
      <c r="H5830" s="2" t="s">
        <v>459</v>
      </c>
      <c r="I5830" s="2" t="n">
        <f aca="false">IF(F5830="Present",9,IF(F5830="Half Day",4,0))</f>
        <v>9</v>
      </c>
      <c r="J5830" s="2"/>
      <c r="K5830" s="2"/>
    </row>
    <row r="5831" customFormat="false" ht="15" hidden="false" customHeight="false" outlineLevel="0" collapsed="false">
      <c r="A5831" s="2" t="s">
        <v>425</v>
      </c>
      <c r="B5831" s="2" t="s">
        <v>426</v>
      </c>
      <c r="C5831" s="2" t="s">
        <v>53</v>
      </c>
      <c r="D5831" s="3" t="n">
        <v>46236</v>
      </c>
      <c r="E5831" s="2" t="str">
        <f aca="false">TEXT(D5831,"dddd")</f>
        <v>Sunday</v>
      </c>
      <c r="F5831" s="2" t="s">
        <v>460</v>
      </c>
      <c r="G5831" s="2"/>
      <c r="H5831" s="2"/>
      <c r="I5831" s="2" t="n">
        <f aca="false">IF(F5831="Present",9,IF(F5831="Half Day",4,0))</f>
        <v>0</v>
      </c>
      <c r="J5831" s="2"/>
      <c r="K5831" s="2" t="s">
        <v>460</v>
      </c>
    </row>
    <row r="5832" customFormat="false" ht="15" hidden="false" customHeight="false" outlineLevel="0" collapsed="false">
      <c r="A5832" s="2" t="s">
        <v>425</v>
      </c>
      <c r="B5832" s="2" t="s">
        <v>426</v>
      </c>
      <c r="C5832" s="2" t="s">
        <v>53</v>
      </c>
      <c r="D5832" s="3" t="n">
        <v>46237</v>
      </c>
      <c r="E5832" s="2" t="str">
        <f aca="false">TEXT(D5832,"dddd")</f>
        <v>Monday</v>
      </c>
      <c r="F5832" s="2" t="s">
        <v>457</v>
      </c>
      <c r="G5832" s="2" t="s">
        <v>458</v>
      </c>
      <c r="H5832" s="2" t="s">
        <v>459</v>
      </c>
      <c r="I5832" s="2" t="n">
        <f aca="false">IF(F5832="Present",9,IF(F5832="Half Day",4,0))</f>
        <v>9</v>
      </c>
      <c r="J5832" s="2"/>
      <c r="K5832" s="2"/>
    </row>
    <row r="5833" customFormat="false" ht="15" hidden="false" customHeight="false" outlineLevel="0" collapsed="false">
      <c r="A5833" s="2" t="s">
        <v>425</v>
      </c>
      <c r="B5833" s="2" t="s">
        <v>426</v>
      </c>
      <c r="C5833" s="2" t="s">
        <v>53</v>
      </c>
      <c r="D5833" s="3" t="n">
        <v>46238</v>
      </c>
      <c r="E5833" s="2" t="str">
        <f aca="false">TEXT(D5833,"dddd")</f>
        <v>Tuesday</v>
      </c>
      <c r="F5833" s="2" t="s">
        <v>466</v>
      </c>
      <c r="G5833" s="2" t="s">
        <v>458</v>
      </c>
      <c r="H5833" s="2" t="s">
        <v>467</v>
      </c>
      <c r="I5833" s="2" t="n">
        <f aca="false">IF(F5833="Present",9,IF(F5833="Half Day",4,0))</f>
        <v>4</v>
      </c>
      <c r="J5833" s="2"/>
      <c r="K5833" s="2" t="s">
        <v>466</v>
      </c>
    </row>
    <row r="5834" customFormat="false" ht="15" hidden="false" customHeight="false" outlineLevel="0" collapsed="false">
      <c r="A5834" s="2" t="s">
        <v>425</v>
      </c>
      <c r="B5834" s="2" t="s">
        <v>426</v>
      </c>
      <c r="C5834" s="2" t="s">
        <v>53</v>
      </c>
      <c r="D5834" s="3" t="n">
        <v>46239</v>
      </c>
      <c r="E5834" s="2" t="str">
        <f aca="false">TEXT(D5834,"dddd")</f>
        <v>Wednesday</v>
      </c>
      <c r="F5834" s="2" t="s">
        <v>457</v>
      </c>
      <c r="G5834" s="2" t="s">
        <v>458</v>
      </c>
      <c r="H5834" s="2" t="s">
        <v>459</v>
      </c>
      <c r="I5834" s="2" t="n">
        <f aca="false">IF(F5834="Present",9,IF(F5834="Half Day",4,0))</f>
        <v>9</v>
      </c>
      <c r="J5834" s="2"/>
      <c r="K5834" s="2"/>
    </row>
    <row r="5835" customFormat="false" ht="15" hidden="false" customHeight="false" outlineLevel="0" collapsed="false">
      <c r="A5835" s="2" t="s">
        <v>425</v>
      </c>
      <c r="B5835" s="2" t="s">
        <v>426</v>
      </c>
      <c r="C5835" s="2" t="s">
        <v>53</v>
      </c>
      <c r="D5835" s="3" t="n">
        <v>46240</v>
      </c>
      <c r="E5835" s="2" t="str">
        <f aca="false">TEXT(D5835,"dddd")</f>
        <v>Thursday</v>
      </c>
      <c r="F5835" s="2" t="s">
        <v>466</v>
      </c>
      <c r="G5835" s="2" t="s">
        <v>458</v>
      </c>
      <c r="H5835" s="2" t="s">
        <v>467</v>
      </c>
      <c r="I5835" s="2" t="n">
        <f aca="false">IF(F5835="Present",9,IF(F5835="Half Day",4,0))</f>
        <v>4</v>
      </c>
      <c r="J5835" s="2"/>
      <c r="K5835" s="2" t="s">
        <v>466</v>
      </c>
    </row>
    <row r="5836" customFormat="false" ht="15" hidden="false" customHeight="false" outlineLevel="0" collapsed="false">
      <c r="A5836" s="2" t="s">
        <v>425</v>
      </c>
      <c r="B5836" s="2" t="s">
        <v>426</v>
      </c>
      <c r="C5836" s="2" t="s">
        <v>53</v>
      </c>
      <c r="D5836" s="3" t="n">
        <v>46241</v>
      </c>
      <c r="E5836" s="2" t="str">
        <f aca="false">TEXT(D5836,"dddd")</f>
        <v>Friday</v>
      </c>
      <c r="F5836" s="2" t="s">
        <v>457</v>
      </c>
      <c r="G5836" s="2" t="s">
        <v>458</v>
      </c>
      <c r="H5836" s="2" t="s">
        <v>459</v>
      </c>
      <c r="I5836" s="2" t="n">
        <f aca="false">IF(F5836="Present",9,IF(F5836="Half Day",4,0))</f>
        <v>9</v>
      </c>
      <c r="J5836" s="2"/>
      <c r="K5836" s="2"/>
    </row>
    <row r="5837" customFormat="false" ht="15" hidden="false" customHeight="false" outlineLevel="0" collapsed="false">
      <c r="A5837" s="2" t="s">
        <v>425</v>
      </c>
      <c r="B5837" s="2" t="s">
        <v>426</v>
      </c>
      <c r="C5837" s="2" t="s">
        <v>53</v>
      </c>
      <c r="D5837" s="3" t="n">
        <v>46242</v>
      </c>
      <c r="E5837" s="2" t="str">
        <f aca="false">TEXT(D5837,"dddd")</f>
        <v>Saturday</v>
      </c>
      <c r="F5837" s="2" t="s">
        <v>457</v>
      </c>
      <c r="G5837" s="2" t="s">
        <v>458</v>
      </c>
      <c r="H5837" s="2" t="s">
        <v>459</v>
      </c>
      <c r="I5837" s="2" t="n">
        <f aca="false">IF(F5837="Present",9,IF(F5837="Half Day",4,0))</f>
        <v>9</v>
      </c>
      <c r="J5837" s="2"/>
      <c r="K5837" s="2"/>
    </row>
    <row r="5838" customFormat="false" ht="15" hidden="false" customHeight="false" outlineLevel="0" collapsed="false">
      <c r="A5838" s="2" t="s">
        <v>425</v>
      </c>
      <c r="B5838" s="2" t="s">
        <v>426</v>
      </c>
      <c r="C5838" s="2" t="s">
        <v>53</v>
      </c>
      <c r="D5838" s="3" t="n">
        <v>46243</v>
      </c>
      <c r="E5838" s="2" t="str">
        <f aca="false">TEXT(D5838,"dddd")</f>
        <v>Sunday</v>
      </c>
      <c r="F5838" s="2" t="s">
        <v>460</v>
      </c>
      <c r="G5838" s="2"/>
      <c r="H5838" s="2"/>
      <c r="I5838" s="2" t="n">
        <f aca="false">IF(F5838="Present",9,IF(F5838="Half Day",4,0))</f>
        <v>0</v>
      </c>
      <c r="J5838" s="2"/>
      <c r="K5838" s="2" t="s">
        <v>460</v>
      </c>
    </row>
    <row r="5839" customFormat="false" ht="15" hidden="false" customHeight="false" outlineLevel="0" collapsed="false">
      <c r="A5839" s="2" t="s">
        <v>425</v>
      </c>
      <c r="B5839" s="2" t="s">
        <v>426</v>
      </c>
      <c r="C5839" s="2" t="s">
        <v>53</v>
      </c>
      <c r="D5839" s="3" t="n">
        <v>46244</v>
      </c>
      <c r="E5839" s="2" t="str">
        <f aca="false">TEXT(D5839,"dddd")</f>
        <v>Monday</v>
      </c>
      <c r="F5839" s="2" t="s">
        <v>457</v>
      </c>
      <c r="G5839" s="2" t="s">
        <v>458</v>
      </c>
      <c r="H5839" s="2" t="s">
        <v>459</v>
      </c>
      <c r="I5839" s="2" t="n">
        <f aca="false">IF(F5839="Present",9,IF(F5839="Half Day",4,0))</f>
        <v>9</v>
      </c>
      <c r="J5839" s="2"/>
      <c r="K5839" s="2"/>
    </row>
    <row r="5840" customFormat="false" ht="15" hidden="false" customHeight="false" outlineLevel="0" collapsed="false">
      <c r="A5840" s="2" t="s">
        <v>425</v>
      </c>
      <c r="B5840" s="2" t="s">
        <v>426</v>
      </c>
      <c r="C5840" s="2" t="s">
        <v>53</v>
      </c>
      <c r="D5840" s="3" t="n">
        <v>46245</v>
      </c>
      <c r="E5840" s="2" t="str">
        <f aca="false">TEXT(D5840,"dddd")</f>
        <v>Tuesday</v>
      </c>
      <c r="F5840" s="2" t="s">
        <v>457</v>
      </c>
      <c r="G5840" s="2" t="s">
        <v>458</v>
      </c>
      <c r="H5840" s="2" t="s">
        <v>459</v>
      </c>
      <c r="I5840" s="2" t="n">
        <f aca="false">IF(F5840="Present",9,IF(F5840="Half Day",4,0))</f>
        <v>9</v>
      </c>
      <c r="J5840" s="2"/>
      <c r="K5840" s="2"/>
    </row>
    <row r="5841" customFormat="false" ht="15" hidden="false" customHeight="false" outlineLevel="0" collapsed="false">
      <c r="A5841" s="2" t="s">
        <v>425</v>
      </c>
      <c r="B5841" s="2" t="s">
        <v>426</v>
      </c>
      <c r="C5841" s="2" t="s">
        <v>53</v>
      </c>
      <c r="D5841" s="3" t="n">
        <v>46246</v>
      </c>
      <c r="E5841" s="2" t="str">
        <f aca="false">TEXT(D5841,"dddd")</f>
        <v>Wednesday</v>
      </c>
      <c r="F5841" s="2" t="s">
        <v>457</v>
      </c>
      <c r="G5841" s="2" t="s">
        <v>458</v>
      </c>
      <c r="H5841" s="2" t="s">
        <v>459</v>
      </c>
      <c r="I5841" s="2" t="n">
        <f aca="false">IF(F5841="Present",9,IF(F5841="Half Day",4,0))</f>
        <v>9</v>
      </c>
      <c r="J5841" s="2"/>
      <c r="K5841" s="2"/>
    </row>
    <row r="5842" customFormat="false" ht="15" hidden="false" customHeight="false" outlineLevel="0" collapsed="false">
      <c r="A5842" s="2" t="s">
        <v>425</v>
      </c>
      <c r="B5842" s="2" t="s">
        <v>426</v>
      </c>
      <c r="C5842" s="2" t="s">
        <v>53</v>
      </c>
      <c r="D5842" s="3" t="n">
        <v>46247</v>
      </c>
      <c r="E5842" s="2" t="str">
        <f aca="false">TEXT(D5842,"dddd")</f>
        <v>Thursday</v>
      </c>
      <c r="F5842" s="2" t="s">
        <v>457</v>
      </c>
      <c r="G5842" s="2" t="s">
        <v>458</v>
      </c>
      <c r="H5842" s="2" t="s">
        <v>459</v>
      </c>
      <c r="I5842" s="2" t="n">
        <f aca="false">IF(F5842="Present",9,IF(F5842="Half Day",4,0))</f>
        <v>9</v>
      </c>
      <c r="J5842" s="2"/>
      <c r="K5842" s="2"/>
    </row>
    <row r="5843" customFormat="false" ht="15" hidden="false" customHeight="false" outlineLevel="0" collapsed="false">
      <c r="A5843" s="2" t="s">
        <v>425</v>
      </c>
      <c r="B5843" s="2" t="s">
        <v>426</v>
      </c>
      <c r="C5843" s="2" t="s">
        <v>53</v>
      </c>
      <c r="D5843" s="3" t="n">
        <v>46248</v>
      </c>
      <c r="E5843" s="2" t="str">
        <f aca="false">TEXT(D5843,"dddd")</f>
        <v>Friday</v>
      </c>
      <c r="F5843" s="2" t="s">
        <v>457</v>
      </c>
      <c r="G5843" s="2" t="s">
        <v>458</v>
      </c>
      <c r="H5843" s="2" t="s">
        <v>459</v>
      </c>
      <c r="I5843" s="2" t="n">
        <f aca="false">IF(F5843="Present",9,IF(F5843="Half Day",4,0))</f>
        <v>9</v>
      </c>
      <c r="J5843" s="2"/>
      <c r="K5843" s="2"/>
    </row>
    <row r="5844" customFormat="false" ht="15" hidden="false" customHeight="false" outlineLevel="0" collapsed="false">
      <c r="A5844" s="2" t="s">
        <v>425</v>
      </c>
      <c r="B5844" s="2" t="s">
        <v>426</v>
      </c>
      <c r="C5844" s="2" t="s">
        <v>53</v>
      </c>
      <c r="D5844" s="3" t="n">
        <v>46249</v>
      </c>
      <c r="E5844" s="2" t="str">
        <f aca="false">TEXT(D5844,"dddd")</f>
        <v>Saturday</v>
      </c>
      <c r="F5844" s="2" t="s">
        <v>457</v>
      </c>
      <c r="G5844" s="2" t="s">
        <v>458</v>
      </c>
      <c r="H5844" s="2" t="s">
        <v>459</v>
      </c>
      <c r="I5844" s="2" t="n">
        <f aca="false">IF(F5844="Present",9,IF(F5844="Half Day",4,0))</f>
        <v>9</v>
      </c>
      <c r="J5844" s="2"/>
      <c r="K5844" s="2"/>
    </row>
    <row r="5845" customFormat="false" ht="15" hidden="false" customHeight="false" outlineLevel="0" collapsed="false">
      <c r="A5845" s="2" t="s">
        <v>425</v>
      </c>
      <c r="B5845" s="2" t="s">
        <v>426</v>
      </c>
      <c r="C5845" s="2" t="s">
        <v>53</v>
      </c>
      <c r="D5845" s="3" t="n">
        <v>46250</v>
      </c>
      <c r="E5845" s="2" t="str">
        <f aca="false">TEXT(D5845,"dddd")</f>
        <v>Sunday</v>
      </c>
      <c r="F5845" s="2" t="s">
        <v>460</v>
      </c>
      <c r="G5845" s="2"/>
      <c r="H5845" s="2"/>
      <c r="I5845" s="2" t="n">
        <f aca="false">IF(F5845="Present",9,IF(F5845="Half Day",4,0))</f>
        <v>0</v>
      </c>
      <c r="J5845" s="2"/>
      <c r="K5845" s="2" t="s">
        <v>460</v>
      </c>
    </row>
    <row r="5846" customFormat="false" ht="15" hidden="false" customHeight="false" outlineLevel="0" collapsed="false">
      <c r="A5846" s="2" t="s">
        <v>425</v>
      </c>
      <c r="B5846" s="2" t="s">
        <v>426</v>
      </c>
      <c r="C5846" s="2" t="s">
        <v>53</v>
      </c>
      <c r="D5846" s="3" t="n">
        <v>46251</v>
      </c>
      <c r="E5846" s="2" t="str">
        <f aca="false">TEXT(D5846,"dddd")</f>
        <v>Monday</v>
      </c>
      <c r="F5846" s="2" t="s">
        <v>457</v>
      </c>
      <c r="G5846" s="2" t="s">
        <v>458</v>
      </c>
      <c r="H5846" s="2" t="s">
        <v>459</v>
      </c>
      <c r="I5846" s="2" t="n">
        <f aca="false">IF(F5846="Present",9,IF(F5846="Half Day",4,0))</f>
        <v>9</v>
      </c>
      <c r="J5846" s="2"/>
      <c r="K5846" s="2"/>
    </row>
    <row r="5847" customFormat="false" ht="15" hidden="false" customHeight="false" outlineLevel="0" collapsed="false">
      <c r="A5847" s="2" t="s">
        <v>425</v>
      </c>
      <c r="B5847" s="2" t="s">
        <v>426</v>
      </c>
      <c r="C5847" s="2" t="s">
        <v>53</v>
      </c>
      <c r="D5847" s="3" t="n">
        <v>46252</v>
      </c>
      <c r="E5847" s="2" t="str">
        <f aca="false">TEXT(D5847,"dddd")</f>
        <v>Tuesday</v>
      </c>
      <c r="F5847" s="2" t="s">
        <v>457</v>
      </c>
      <c r="G5847" s="2" t="s">
        <v>458</v>
      </c>
      <c r="H5847" s="2" t="s">
        <v>459</v>
      </c>
      <c r="I5847" s="2" t="n">
        <f aca="false">IF(F5847="Present",9,IF(F5847="Half Day",4,0))</f>
        <v>9</v>
      </c>
      <c r="J5847" s="2"/>
      <c r="K5847" s="2"/>
    </row>
    <row r="5848" customFormat="false" ht="15" hidden="false" customHeight="false" outlineLevel="0" collapsed="false">
      <c r="A5848" s="2" t="s">
        <v>425</v>
      </c>
      <c r="B5848" s="2" t="s">
        <v>426</v>
      </c>
      <c r="C5848" s="2" t="s">
        <v>53</v>
      </c>
      <c r="D5848" s="3" t="n">
        <v>46253</v>
      </c>
      <c r="E5848" s="2" t="str">
        <f aca="false">TEXT(D5848,"dddd")</f>
        <v>Wednesday</v>
      </c>
      <c r="F5848" s="2" t="s">
        <v>457</v>
      </c>
      <c r="G5848" s="2" t="s">
        <v>458</v>
      </c>
      <c r="H5848" s="2" t="s">
        <v>459</v>
      </c>
      <c r="I5848" s="2" t="n">
        <f aca="false">IF(F5848="Present",9,IF(F5848="Half Day",4,0))</f>
        <v>9</v>
      </c>
      <c r="J5848" s="2"/>
      <c r="K5848" s="2"/>
    </row>
    <row r="5849" customFormat="false" ht="15" hidden="false" customHeight="false" outlineLevel="0" collapsed="false">
      <c r="A5849" s="2" t="s">
        <v>425</v>
      </c>
      <c r="B5849" s="2" t="s">
        <v>426</v>
      </c>
      <c r="C5849" s="2" t="s">
        <v>53</v>
      </c>
      <c r="D5849" s="3" t="n">
        <v>46254</v>
      </c>
      <c r="E5849" s="2" t="str">
        <f aca="false">TEXT(D5849,"dddd")</f>
        <v>Thursday</v>
      </c>
      <c r="F5849" s="2" t="s">
        <v>457</v>
      </c>
      <c r="G5849" s="2" t="s">
        <v>458</v>
      </c>
      <c r="H5849" s="2" t="s">
        <v>459</v>
      </c>
      <c r="I5849" s="2" t="n">
        <f aca="false">IF(F5849="Present",9,IF(F5849="Half Day",4,0))</f>
        <v>9</v>
      </c>
      <c r="J5849" s="2"/>
      <c r="K5849" s="2"/>
    </row>
    <row r="5850" customFormat="false" ht="15" hidden="false" customHeight="false" outlineLevel="0" collapsed="false">
      <c r="A5850" s="2" t="s">
        <v>425</v>
      </c>
      <c r="B5850" s="2" t="s">
        <v>426</v>
      </c>
      <c r="C5850" s="2" t="s">
        <v>53</v>
      </c>
      <c r="D5850" s="3" t="n">
        <v>46255</v>
      </c>
      <c r="E5850" s="2" t="str">
        <f aca="false">TEXT(D5850,"dddd")</f>
        <v>Friday</v>
      </c>
      <c r="F5850" s="2" t="s">
        <v>457</v>
      </c>
      <c r="G5850" s="2" t="s">
        <v>458</v>
      </c>
      <c r="H5850" s="2" t="s">
        <v>459</v>
      </c>
      <c r="I5850" s="2" t="n">
        <f aca="false">IF(F5850="Present",9,IF(F5850="Half Day",4,0))</f>
        <v>9</v>
      </c>
      <c r="J5850" s="2"/>
      <c r="K5850" s="2"/>
    </row>
    <row r="5851" customFormat="false" ht="15" hidden="false" customHeight="false" outlineLevel="0" collapsed="false">
      <c r="A5851" s="2" t="s">
        <v>425</v>
      </c>
      <c r="B5851" s="2" t="s">
        <v>426</v>
      </c>
      <c r="C5851" s="2" t="s">
        <v>53</v>
      </c>
      <c r="D5851" s="3" t="n">
        <v>46256</v>
      </c>
      <c r="E5851" s="2" t="str">
        <f aca="false">TEXT(D5851,"dddd")</f>
        <v>Saturday</v>
      </c>
      <c r="F5851" s="2" t="s">
        <v>457</v>
      </c>
      <c r="G5851" s="2" t="s">
        <v>458</v>
      </c>
      <c r="H5851" s="2" t="s">
        <v>459</v>
      </c>
      <c r="I5851" s="2" t="n">
        <f aca="false">IF(F5851="Present",9,IF(F5851="Half Day",4,0))</f>
        <v>9</v>
      </c>
      <c r="J5851" s="2"/>
      <c r="K5851" s="2"/>
    </row>
    <row r="5852" customFormat="false" ht="15" hidden="false" customHeight="false" outlineLevel="0" collapsed="false">
      <c r="A5852" s="2" t="s">
        <v>425</v>
      </c>
      <c r="B5852" s="2" t="s">
        <v>426</v>
      </c>
      <c r="C5852" s="2" t="s">
        <v>53</v>
      </c>
      <c r="D5852" s="3" t="n">
        <v>46257</v>
      </c>
      <c r="E5852" s="2" t="str">
        <f aca="false">TEXT(D5852,"dddd")</f>
        <v>Sunday</v>
      </c>
      <c r="F5852" s="2" t="s">
        <v>460</v>
      </c>
      <c r="G5852" s="2"/>
      <c r="H5852" s="2"/>
      <c r="I5852" s="2" t="n">
        <f aca="false">IF(F5852="Present",9,IF(F5852="Half Day",4,0))</f>
        <v>0</v>
      </c>
      <c r="J5852" s="2"/>
      <c r="K5852" s="2" t="s">
        <v>460</v>
      </c>
    </row>
    <row r="5853" customFormat="false" ht="15" hidden="false" customHeight="false" outlineLevel="0" collapsed="false">
      <c r="A5853" s="2" t="s">
        <v>425</v>
      </c>
      <c r="B5853" s="2" t="s">
        <v>426</v>
      </c>
      <c r="C5853" s="2" t="s">
        <v>53</v>
      </c>
      <c r="D5853" s="3" t="n">
        <v>46258</v>
      </c>
      <c r="E5853" s="2" t="str">
        <f aca="false">TEXT(D5853,"dddd")</f>
        <v>Monday</v>
      </c>
      <c r="F5853" s="2" t="s">
        <v>457</v>
      </c>
      <c r="G5853" s="2" t="s">
        <v>458</v>
      </c>
      <c r="H5853" s="2" t="s">
        <v>459</v>
      </c>
      <c r="I5853" s="2" t="n">
        <f aca="false">IF(F5853="Present",9,IF(F5853="Half Day",4,0))</f>
        <v>9</v>
      </c>
      <c r="J5853" s="2"/>
      <c r="K5853" s="2"/>
    </row>
    <row r="5854" customFormat="false" ht="15" hidden="false" customHeight="false" outlineLevel="0" collapsed="false">
      <c r="A5854" s="2" t="s">
        <v>425</v>
      </c>
      <c r="B5854" s="2" t="s">
        <v>426</v>
      </c>
      <c r="C5854" s="2" t="s">
        <v>53</v>
      </c>
      <c r="D5854" s="3" t="n">
        <v>46259</v>
      </c>
      <c r="E5854" s="2" t="str">
        <f aca="false">TEXT(D5854,"dddd")</f>
        <v>Tuesday</v>
      </c>
      <c r="F5854" s="2" t="s">
        <v>457</v>
      </c>
      <c r="G5854" s="2" t="s">
        <v>458</v>
      </c>
      <c r="H5854" s="2" t="s">
        <v>459</v>
      </c>
      <c r="I5854" s="2" t="n">
        <f aca="false">IF(F5854="Present",9,IF(F5854="Half Day",4,0))</f>
        <v>9</v>
      </c>
      <c r="J5854" s="2"/>
      <c r="K5854" s="2"/>
    </row>
    <row r="5855" customFormat="false" ht="15" hidden="false" customHeight="false" outlineLevel="0" collapsed="false">
      <c r="A5855" s="2" t="s">
        <v>425</v>
      </c>
      <c r="B5855" s="2" t="s">
        <v>426</v>
      </c>
      <c r="C5855" s="2" t="s">
        <v>53</v>
      </c>
      <c r="D5855" s="3" t="n">
        <v>46260</v>
      </c>
      <c r="E5855" s="2" t="str">
        <f aca="false">TEXT(D5855,"dddd")</f>
        <v>Wednesday</v>
      </c>
      <c r="F5855" s="2" t="s">
        <v>457</v>
      </c>
      <c r="G5855" s="2" t="s">
        <v>458</v>
      </c>
      <c r="H5855" s="2" t="s">
        <v>459</v>
      </c>
      <c r="I5855" s="2" t="n">
        <f aca="false">IF(F5855="Present",9,IF(F5855="Half Day",4,0))</f>
        <v>9</v>
      </c>
      <c r="J5855" s="2"/>
      <c r="K5855" s="2"/>
    </row>
    <row r="5856" customFormat="false" ht="15" hidden="false" customHeight="false" outlineLevel="0" collapsed="false">
      <c r="A5856" s="2" t="s">
        <v>425</v>
      </c>
      <c r="B5856" s="2" t="s">
        <v>426</v>
      </c>
      <c r="C5856" s="2" t="s">
        <v>53</v>
      </c>
      <c r="D5856" s="3" t="n">
        <v>46261</v>
      </c>
      <c r="E5856" s="2" t="str">
        <f aca="false">TEXT(D5856,"dddd")</f>
        <v>Thursday</v>
      </c>
      <c r="F5856" s="2" t="s">
        <v>457</v>
      </c>
      <c r="G5856" s="2" t="s">
        <v>458</v>
      </c>
      <c r="H5856" s="2" t="s">
        <v>459</v>
      </c>
      <c r="I5856" s="2" t="n">
        <f aca="false">IF(F5856="Present",9,IF(F5856="Half Day",4,0))</f>
        <v>9</v>
      </c>
      <c r="J5856" s="2"/>
      <c r="K5856" s="2"/>
    </row>
    <row r="5857" customFormat="false" ht="15" hidden="false" customHeight="false" outlineLevel="0" collapsed="false">
      <c r="A5857" s="2" t="s">
        <v>425</v>
      </c>
      <c r="B5857" s="2" t="s">
        <v>426</v>
      </c>
      <c r="C5857" s="2" t="s">
        <v>53</v>
      </c>
      <c r="D5857" s="3" t="n">
        <v>46262</v>
      </c>
      <c r="E5857" s="2" t="str">
        <f aca="false">TEXT(D5857,"dddd")</f>
        <v>Friday</v>
      </c>
      <c r="F5857" s="2" t="s">
        <v>457</v>
      </c>
      <c r="G5857" s="2" t="s">
        <v>458</v>
      </c>
      <c r="H5857" s="2" t="s">
        <v>459</v>
      </c>
      <c r="I5857" s="2" t="n">
        <f aca="false">IF(F5857="Present",9,IF(F5857="Half Day",4,0))</f>
        <v>9</v>
      </c>
      <c r="J5857" s="2"/>
      <c r="K5857" s="2"/>
    </row>
    <row r="5858" customFormat="false" ht="15" hidden="false" customHeight="false" outlineLevel="0" collapsed="false">
      <c r="A5858" s="2" t="s">
        <v>425</v>
      </c>
      <c r="B5858" s="2" t="s">
        <v>426</v>
      </c>
      <c r="C5858" s="2" t="s">
        <v>53</v>
      </c>
      <c r="D5858" s="3" t="n">
        <v>46263</v>
      </c>
      <c r="E5858" s="2" t="str">
        <f aca="false">TEXT(D5858,"dddd")</f>
        <v>Saturday</v>
      </c>
      <c r="F5858" s="2" t="s">
        <v>457</v>
      </c>
      <c r="G5858" s="2" t="s">
        <v>458</v>
      </c>
      <c r="H5858" s="2" t="s">
        <v>459</v>
      </c>
      <c r="I5858" s="2" t="n">
        <f aca="false">IF(F5858="Present",9,IF(F5858="Half Day",4,0))</f>
        <v>9</v>
      </c>
      <c r="J5858" s="2"/>
      <c r="K5858" s="2"/>
    </row>
    <row r="5859" customFormat="false" ht="15" hidden="false" customHeight="false" outlineLevel="0" collapsed="false">
      <c r="A5859" s="2" t="s">
        <v>425</v>
      </c>
      <c r="B5859" s="2" t="s">
        <v>426</v>
      </c>
      <c r="C5859" s="2" t="s">
        <v>53</v>
      </c>
      <c r="D5859" s="3" t="n">
        <v>46264</v>
      </c>
      <c r="E5859" s="2" t="str">
        <f aca="false">TEXT(D5859,"dddd")</f>
        <v>Sunday</v>
      </c>
      <c r="F5859" s="2" t="s">
        <v>460</v>
      </c>
      <c r="G5859" s="2"/>
      <c r="H5859" s="2"/>
      <c r="I5859" s="2" t="n">
        <f aca="false">IF(F5859="Present",9,IF(F5859="Half Day",4,0))</f>
        <v>0</v>
      </c>
      <c r="J5859" s="2"/>
      <c r="K5859" s="2" t="s">
        <v>460</v>
      </c>
    </row>
    <row r="5860" customFormat="false" ht="15" hidden="false" customHeight="false" outlineLevel="0" collapsed="false">
      <c r="A5860" s="2" t="s">
        <v>425</v>
      </c>
      <c r="B5860" s="2" t="s">
        <v>426</v>
      </c>
      <c r="C5860" s="2" t="s">
        <v>53</v>
      </c>
      <c r="D5860" s="3" t="n">
        <v>46265</v>
      </c>
      <c r="E5860" s="2" t="str">
        <f aca="false">TEXT(D5860,"dddd")</f>
        <v>Monday</v>
      </c>
      <c r="F5860" s="2" t="s">
        <v>457</v>
      </c>
      <c r="G5860" s="2" t="s">
        <v>458</v>
      </c>
      <c r="H5860" s="2" t="s">
        <v>459</v>
      </c>
      <c r="I5860" s="2" t="n">
        <f aca="false">IF(F5860="Present",9,IF(F5860="Half Day",4,0))</f>
        <v>9</v>
      </c>
      <c r="J5860" s="2"/>
      <c r="K5860" s="2"/>
    </row>
    <row r="5861" customFormat="false" ht="15" hidden="false" customHeight="false" outlineLevel="0" collapsed="false">
      <c r="A5861" s="2" t="s">
        <v>427</v>
      </c>
      <c r="B5861" s="2" t="s">
        <v>428</v>
      </c>
      <c r="C5861" s="2" t="s">
        <v>57</v>
      </c>
      <c r="D5861" s="3" t="n">
        <v>46235</v>
      </c>
      <c r="E5861" s="2" t="str">
        <f aca="false">TEXT(D5861,"dddd")</f>
        <v>Saturday</v>
      </c>
      <c r="F5861" s="2" t="s">
        <v>457</v>
      </c>
      <c r="G5861" s="2" t="s">
        <v>458</v>
      </c>
      <c r="H5861" s="2" t="s">
        <v>459</v>
      </c>
      <c r="I5861" s="2" t="n">
        <f aca="false">IF(F5861="Present",9,IF(F5861="Half Day",4,0))</f>
        <v>9</v>
      </c>
      <c r="J5861" s="2"/>
      <c r="K5861" s="2"/>
    </row>
    <row r="5862" customFormat="false" ht="15" hidden="false" customHeight="false" outlineLevel="0" collapsed="false">
      <c r="A5862" s="2" t="s">
        <v>427</v>
      </c>
      <c r="B5862" s="2" t="s">
        <v>428</v>
      </c>
      <c r="C5862" s="2" t="s">
        <v>57</v>
      </c>
      <c r="D5862" s="3" t="n">
        <v>46236</v>
      </c>
      <c r="E5862" s="2" t="str">
        <f aca="false">TEXT(D5862,"dddd")</f>
        <v>Sunday</v>
      </c>
      <c r="F5862" s="2" t="s">
        <v>460</v>
      </c>
      <c r="G5862" s="2"/>
      <c r="H5862" s="2"/>
      <c r="I5862" s="2" t="n">
        <f aca="false">IF(F5862="Present",9,IF(F5862="Half Day",4,0))</f>
        <v>0</v>
      </c>
      <c r="J5862" s="2"/>
      <c r="K5862" s="2" t="s">
        <v>460</v>
      </c>
    </row>
    <row r="5863" customFormat="false" ht="15" hidden="false" customHeight="false" outlineLevel="0" collapsed="false">
      <c r="A5863" s="2" t="s">
        <v>427</v>
      </c>
      <c r="B5863" s="2" t="s">
        <v>428</v>
      </c>
      <c r="C5863" s="2" t="s">
        <v>57</v>
      </c>
      <c r="D5863" s="3" t="n">
        <v>46237</v>
      </c>
      <c r="E5863" s="2" t="str">
        <f aca="false">TEXT(D5863,"dddd")</f>
        <v>Monday</v>
      </c>
      <c r="F5863" s="2" t="s">
        <v>457</v>
      </c>
      <c r="G5863" s="2" t="s">
        <v>458</v>
      </c>
      <c r="H5863" s="2" t="s">
        <v>459</v>
      </c>
      <c r="I5863" s="2" t="n">
        <f aca="false">IF(F5863="Present",9,IF(F5863="Half Day",4,0))</f>
        <v>9</v>
      </c>
      <c r="J5863" s="2"/>
      <c r="K5863" s="2"/>
    </row>
    <row r="5864" customFormat="false" ht="15" hidden="false" customHeight="false" outlineLevel="0" collapsed="false">
      <c r="A5864" s="2" t="s">
        <v>427</v>
      </c>
      <c r="B5864" s="2" t="s">
        <v>428</v>
      </c>
      <c r="C5864" s="2" t="s">
        <v>57</v>
      </c>
      <c r="D5864" s="3" t="n">
        <v>46238</v>
      </c>
      <c r="E5864" s="2" t="str">
        <f aca="false">TEXT(D5864,"dddd")</f>
        <v>Tuesday</v>
      </c>
      <c r="F5864" s="2" t="s">
        <v>457</v>
      </c>
      <c r="G5864" s="2" t="s">
        <v>458</v>
      </c>
      <c r="H5864" s="2" t="s">
        <v>459</v>
      </c>
      <c r="I5864" s="2" t="n">
        <f aca="false">IF(F5864="Present",9,IF(F5864="Half Day",4,0))</f>
        <v>9</v>
      </c>
      <c r="J5864" s="2"/>
      <c r="K5864" s="2"/>
    </row>
    <row r="5865" customFormat="false" ht="15" hidden="false" customHeight="false" outlineLevel="0" collapsed="false">
      <c r="A5865" s="2" t="s">
        <v>427</v>
      </c>
      <c r="B5865" s="2" t="s">
        <v>428</v>
      </c>
      <c r="C5865" s="2" t="s">
        <v>57</v>
      </c>
      <c r="D5865" s="3" t="n">
        <v>46239</v>
      </c>
      <c r="E5865" s="2" t="str">
        <f aca="false">TEXT(D5865,"dddd")</f>
        <v>Wednesday</v>
      </c>
      <c r="F5865" s="2" t="s">
        <v>457</v>
      </c>
      <c r="G5865" s="2" t="s">
        <v>458</v>
      </c>
      <c r="H5865" s="2" t="s">
        <v>459</v>
      </c>
      <c r="I5865" s="2" t="n">
        <f aca="false">IF(F5865="Present",9,IF(F5865="Half Day",4,0))</f>
        <v>9</v>
      </c>
      <c r="J5865" s="2"/>
      <c r="K5865" s="2"/>
    </row>
    <row r="5866" customFormat="false" ht="15" hidden="false" customHeight="false" outlineLevel="0" collapsed="false">
      <c r="A5866" s="2" t="s">
        <v>427</v>
      </c>
      <c r="B5866" s="2" t="s">
        <v>428</v>
      </c>
      <c r="C5866" s="2" t="s">
        <v>57</v>
      </c>
      <c r="D5866" s="3" t="n">
        <v>46240</v>
      </c>
      <c r="E5866" s="2" t="str">
        <f aca="false">TEXT(D5866,"dddd")</f>
        <v>Thursday</v>
      </c>
      <c r="F5866" s="2" t="s">
        <v>457</v>
      </c>
      <c r="G5866" s="2" t="s">
        <v>458</v>
      </c>
      <c r="H5866" s="2" t="s">
        <v>459</v>
      </c>
      <c r="I5866" s="2" t="n">
        <f aca="false">IF(F5866="Present",9,IF(F5866="Half Day",4,0))</f>
        <v>9</v>
      </c>
      <c r="J5866" s="2"/>
      <c r="K5866" s="2"/>
    </row>
    <row r="5867" customFormat="false" ht="15" hidden="false" customHeight="false" outlineLevel="0" collapsed="false">
      <c r="A5867" s="2" t="s">
        <v>427</v>
      </c>
      <c r="B5867" s="2" t="s">
        <v>428</v>
      </c>
      <c r="C5867" s="2" t="s">
        <v>57</v>
      </c>
      <c r="D5867" s="3" t="n">
        <v>46241</v>
      </c>
      <c r="E5867" s="2" t="str">
        <f aca="false">TEXT(D5867,"dddd")</f>
        <v>Friday</v>
      </c>
      <c r="F5867" s="2" t="s">
        <v>457</v>
      </c>
      <c r="G5867" s="2" t="s">
        <v>458</v>
      </c>
      <c r="H5867" s="2" t="s">
        <v>459</v>
      </c>
      <c r="I5867" s="2" t="n">
        <f aca="false">IF(F5867="Present",9,IF(F5867="Half Day",4,0))</f>
        <v>9</v>
      </c>
      <c r="J5867" s="2"/>
      <c r="K5867" s="2"/>
    </row>
    <row r="5868" customFormat="false" ht="15" hidden="false" customHeight="false" outlineLevel="0" collapsed="false">
      <c r="A5868" s="2" t="s">
        <v>427</v>
      </c>
      <c r="B5868" s="2" t="s">
        <v>428</v>
      </c>
      <c r="C5868" s="2" t="s">
        <v>57</v>
      </c>
      <c r="D5868" s="3" t="n">
        <v>46242</v>
      </c>
      <c r="E5868" s="2" t="str">
        <f aca="false">TEXT(D5868,"dddd")</f>
        <v>Saturday</v>
      </c>
      <c r="F5868" s="2" t="s">
        <v>457</v>
      </c>
      <c r="G5868" s="2" t="s">
        <v>458</v>
      </c>
      <c r="H5868" s="2" t="s">
        <v>459</v>
      </c>
      <c r="I5868" s="2" t="n">
        <f aca="false">IF(F5868="Present",9,IF(F5868="Half Day",4,0))</f>
        <v>9</v>
      </c>
      <c r="J5868" s="2"/>
      <c r="K5868" s="2"/>
    </row>
    <row r="5869" customFormat="false" ht="15" hidden="false" customHeight="false" outlineLevel="0" collapsed="false">
      <c r="A5869" s="2" t="s">
        <v>427</v>
      </c>
      <c r="B5869" s="2" t="s">
        <v>428</v>
      </c>
      <c r="C5869" s="2" t="s">
        <v>57</v>
      </c>
      <c r="D5869" s="3" t="n">
        <v>46243</v>
      </c>
      <c r="E5869" s="2" t="str">
        <f aca="false">TEXT(D5869,"dddd")</f>
        <v>Sunday</v>
      </c>
      <c r="F5869" s="2" t="s">
        <v>460</v>
      </c>
      <c r="G5869" s="2"/>
      <c r="H5869" s="2"/>
      <c r="I5869" s="2" t="n">
        <f aca="false">IF(F5869="Present",9,IF(F5869="Half Day",4,0))</f>
        <v>0</v>
      </c>
      <c r="J5869" s="2"/>
      <c r="K5869" s="2" t="s">
        <v>460</v>
      </c>
    </row>
    <row r="5870" customFormat="false" ht="15" hidden="false" customHeight="false" outlineLevel="0" collapsed="false">
      <c r="A5870" s="2" t="s">
        <v>427</v>
      </c>
      <c r="B5870" s="2" t="s">
        <v>428</v>
      </c>
      <c r="C5870" s="2" t="s">
        <v>57</v>
      </c>
      <c r="D5870" s="3" t="n">
        <v>46244</v>
      </c>
      <c r="E5870" s="2" t="str">
        <f aca="false">TEXT(D5870,"dddd")</f>
        <v>Monday</v>
      </c>
      <c r="F5870" s="2" t="s">
        <v>457</v>
      </c>
      <c r="G5870" s="2" t="s">
        <v>458</v>
      </c>
      <c r="H5870" s="2" t="s">
        <v>459</v>
      </c>
      <c r="I5870" s="2" t="n">
        <f aca="false">IF(F5870="Present",9,IF(F5870="Half Day",4,0))</f>
        <v>9</v>
      </c>
      <c r="J5870" s="2"/>
      <c r="K5870" s="2"/>
    </row>
    <row r="5871" customFormat="false" ht="15" hidden="false" customHeight="false" outlineLevel="0" collapsed="false">
      <c r="A5871" s="2" t="s">
        <v>427</v>
      </c>
      <c r="B5871" s="2" t="s">
        <v>428</v>
      </c>
      <c r="C5871" s="2" t="s">
        <v>57</v>
      </c>
      <c r="D5871" s="3" t="n">
        <v>46245</v>
      </c>
      <c r="E5871" s="2" t="str">
        <f aca="false">TEXT(D5871,"dddd")</f>
        <v>Tuesday</v>
      </c>
      <c r="F5871" s="2" t="s">
        <v>457</v>
      </c>
      <c r="G5871" s="2" t="s">
        <v>458</v>
      </c>
      <c r="H5871" s="2" t="s">
        <v>459</v>
      </c>
      <c r="I5871" s="2" t="n">
        <f aca="false">IF(F5871="Present",9,IF(F5871="Half Day",4,0))</f>
        <v>9</v>
      </c>
      <c r="J5871" s="2"/>
      <c r="K5871" s="2"/>
    </row>
    <row r="5872" customFormat="false" ht="15" hidden="false" customHeight="false" outlineLevel="0" collapsed="false">
      <c r="A5872" s="2" t="s">
        <v>427</v>
      </c>
      <c r="B5872" s="2" t="s">
        <v>428</v>
      </c>
      <c r="C5872" s="2" t="s">
        <v>57</v>
      </c>
      <c r="D5872" s="3" t="n">
        <v>46246</v>
      </c>
      <c r="E5872" s="2" t="str">
        <f aca="false">TEXT(D5872,"dddd")</f>
        <v>Wednesday</v>
      </c>
      <c r="F5872" s="2" t="s">
        <v>461</v>
      </c>
      <c r="G5872" s="2"/>
      <c r="H5872" s="2"/>
      <c r="I5872" s="2" t="n">
        <f aca="false">IF(F5872="Present",9,IF(F5872="Half Day",4,0))</f>
        <v>0</v>
      </c>
      <c r="J5872" s="2"/>
      <c r="K5872" s="2" t="s">
        <v>462</v>
      </c>
    </row>
    <row r="5873" customFormat="false" ht="15" hidden="false" customHeight="false" outlineLevel="0" collapsed="false">
      <c r="A5873" s="2" t="s">
        <v>427</v>
      </c>
      <c r="B5873" s="2" t="s">
        <v>428</v>
      </c>
      <c r="C5873" s="2" t="s">
        <v>57</v>
      </c>
      <c r="D5873" s="3" t="n">
        <v>46247</v>
      </c>
      <c r="E5873" s="2" t="str">
        <f aca="false">TEXT(D5873,"dddd")</f>
        <v>Thursday</v>
      </c>
      <c r="F5873" s="2" t="s">
        <v>457</v>
      </c>
      <c r="G5873" s="2" t="s">
        <v>458</v>
      </c>
      <c r="H5873" s="2" t="s">
        <v>459</v>
      </c>
      <c r="I5873" s="2" t="n">
        <f aca="false">IF(F5873="Present",9,IF(F5873="Half Day",4,0))</f>
        <v>9</v>
      </c>
      <c r="J5873" s="2"/>
      <c r="K5873" s="2"/>
    </row>
    <row r="5874" customFormat="false" ht="15" hidden="false" customHeight="false" outlineLevel="0" collapsed="false">
      <c r="A5874" s="2" t="s">
        <v>427</v>
      </c>
      <c r="B5874" s="2" t="s">
        <v>428</v>
      </c>
      <c r="C5874" s="2" t="s">
        <v>57</v>
      </c>
      <c r="D5874" s="3" t="n">
        <v>46248</v>
      </c>
      <c r="E5874" s="2" t="str">
        <f aca="false">TEXT(D5874,"dddd")</f>
        <v>Friday</v>
      </c>
      <c r="F5874" s="2" t="s">
        <v>457</v>
      </c>
      <c r="G5874" s="2" t="s">
        <v>458</v>
      </c>
      <c r="H5874" s="2" t="s">
        <v>459</v>
      </c>
      <c r="I5874" s="2" t="n">
        <f aca="false">IF(F5874="Present",9,IF(F5874="Half Day",4,0))</f>
        <v>9</v>
      </c>
      <c r="J5874" s="2"/>
      <c r="K5874" s="2"/>
    </row>
    <row r="5875" customFormat="false" ht="15" hidden="false" customHeight="false" outlineLevel="0" collapsed="false">
      <c r="A5875" s="2" t="s">
        <v>427</v>
      </c>
      <c r="B5875" s="2" t="s">
        <v>428</v>
      </c>
      <c r="C5875" s="2" t="s">
        <v>57</v>
      </c>
      <c r="D5875" s="3" t="n">
        <v>46249</v>
      </c>
      <c r="E5875" s="2" t="str">
        <f aca="false">TEXT(D5875,"dddd")</f>
        <v>Saturday</v>
      </c>
      <c r="F5875" s="2" t="s">
        <v>457</v>
      </c>
      <c r="G5875" s="2" t="s">
        <v>458</v>
      </c>
      <c r="H5875" s="2" t="s">
        <v>459</v>
      </c>
      <c r="I5875" s="2" t="n">
        <f aca="false">IF(F5875="Present",9,IF(F5875="Half Day",4,0))</f>
        <v>9</v>
      </c>
      <c r="J5875" s="2"/>
      <c r="K5875" s="2"/>
    </row>
    <row r="5876" customFormat="false" ht="15" hidden="false" customHeight="false" outlineLevel="0" collapsed="false">
      <c r="A5876" s="2" t="s">
        <v>427</v>
      </c>
      <c r="B5876" s="2" t="s">
        <v>428</v>
      </c>
      <c r="C5876" s="2" t="s">
        <v>57</v>
      </c>
      <c r="D5876" s="3" t="n">
        <v>46250</v>
      </c>
      <c r="E5876" s="2" t="str">
        <f aca="false">TEXT(D5876,"dddd")</f>
        <v>Sunday</v>
      </c>
      <c r="F5876" s="2" t="s">
        <v>460</v>
      </c>
      <c r="G5876" s="2"/>
      <c r="H5876" s="2"/>
      <c r="I5876" s="2" t="n">
        <f aca="false">IF(F5876="Present",9,IF(F5876="Half Day",4,0))</f>
        <v>0</v>
      </c>
      <c r="J5876" s="2"/>
      <c r="K5876" s="2" t="s">
        <v>460</v>
      </c>
    </row>
    <row r="5877" customFormat="false" ht="15" hidden="false" customHeight="false" outlineLevel="0" collapsed="false">
      <c r="A5877" s="2" t="s">
        <v>427</v>
      </c>
      <c r="B5877" s="2" t="s">
        <v>428</v>
      </c>
      <c r="C5877" s="2" t="s">
        <v>57</v>
      </c>
      <c r="D5877" s="3" t="n">
        <v>46251</v>
      </c>
      <c r="E5877" s="2" t="str">
        <f aca="false">TEXT(D5877,"dddd")</f>
        <v>Monday</v>
      </c>
      <c r="F5877" s="2" t="s">
        <v>457</v>
      </c>
      <c r="G5877" s="2" t="s">
        <v>458</v>
      </c>
      <c r="H5877" s="2" t="s">
        <v>459</v>
      </c>
      <c r="I5877" s="2" t="n">
        <f aca="false">IF(F5877="Present",9,IF(F5877="Half Day",4,0))</f>
        <v>9</v>
      </c>
      <c r="J5877" s="2"/>
      <c r="K5877" s="2"/>
    </row>
    <row r="5878" customFormat="false" ht="15" hidden="false" customHeight="false" outlineLevel="0" collapsed="false">
      <c r="A5878" s="2" t="s">
        <v>427</v>
      </c>
      <c r="B5878" s="2" t="s">
        <v>428</v>
      </c>
      <c r="C5878" s="2" t="s">
        <v>57</v>
      </c>
      <c r="D5878" s="3" t="n">
        <v>46252</v>
      </c>
      <c r="E5878" s="2" t="str">
        <f aca="false">TEXT(D5878,"dddd")</f>
        <v>Tuesday</v>
      </c>
      <c r="F5878" s="2" t="s">
        <v>457</v>
      </c>
      <c r="G5878" s="2" t="s">
        <v>458</v>
      </c>
      <c r="H5878" s="2" t="s">
        <v>459</v>
      </c>
      <c r="I5878" s="2" t="n">
        <f aca="false">IF(F5878="Present",9,IF(F5878="Half Day",4,0))</f>
        <v>9</v>
      </c>
      <c r="J5878" s="2"/>
      <c r="K5878" s="2"/>
    </row>
    <row r="5879" customFormat="false" ht="15" hidden="false" customHeight="false" outlineLevel="0" collapsed="false">
      <c r="A5879" s="2" t="s">
        <v>427</v>
      </c>
      <c r="B5879" s="2" t="s">
        <v>428</v>
      </c>
      <c r="C5879" s="2" t="s">
        <v>57</v>
      </c>
      <c r="D5879" s="3" t="n">
        <v>46253</v>
      </c>
      <c r="E5879" s="2" t="str">
        <f aca="false">TEXT(D5879,"dddd")</f>
        <v>Wednesday</v>
      </c>
      <c r="F5879" s="2" t="s">
        <v>457</v>
      </c>
      <c r="G5879" s="2" t="s">
        <v>458</v>
      </c>
      <c r="H5879" s="2" t="s">
        <v>459</v>
      </c>
      <c r="I5879" s="2" t="n">
        <f aca="false">IF(F5879="Present",9,IF(F5879="Half Day",4,0))</f>
        <v>9</v>
      </c>
      <c r="J5879" s="2"/>
      <c r="K5879" s="2"/>
    </row>
    <row r="5880" customFormat="false" ht="15" hidden="false" customHeight="false" outlineLevel="0" collapsed="false">
      <c r="A5880" s="2" t="s">
        <v>427</v>
      </c>
      <c r="B5880" s="2" t="s">
        <v>428</v>
      </c>
      <c r="C5880" s="2" t="s">
        <v>57</v>
      </c>
      <c r="D5880" s="3" t="n">
        <v>46254</v>
      </c>
      <c r="E5880" s="2" t="str">
        <f aca="false">TEXT(D5880,"dddd")</f>
        <v>Thursday</v>
      </c>
      <c r="F5880" s="2" t="s">
        <v>457</v>
      </c>
      <c r="G5880" s="2" t="s">
        <v>458</v>
      </c>
      <c r="H5880" s="2" t="s">
        <v>459</v>
      </c>
      <c r="I5880" s="2" t="n">
        <f aca="false">IF(F5880="Present",9,IF(F5880="Half Day",4,0))</f>
        <v>9</v>
      </c>
      <c r="J5880" s="2"/>
      <c r="K5880" s="2"/>
    </row>
    <row r="5881" customFormat="false" ht="15" hidden="false" customHeight="false" outlineLevel="0" collapsed="false">
      <c r="A5881" s="2" t="s">
        <v>427</v>
      </c>
      <c r="B5881" s="2" t="s">
        <v>428</v>
      </c>
      <c r="C5881" s="2" t="s">
        <v>57</v>
      </c>
      <c r="D5881" s="3" t="n">
        <v>46255</v>
      </c>
      <c r="E5881" s="2" t="str">
        <f aca="false">TEXT(D5881,"dddd")</f>
        <v>Friday</v>
      </c>
      <c r="F5881" s="2" t="s">
        <v>457</v>
      </c>
      <c r="G5881" s="2" t="s">
        <v>458</v>
      </c>
      <c r="H5881" s="2" t="s">
        <v>459</v>
      </c>
      <c r="I5881" s="2" t="n">
        <f aca="false">IF(F5881="Present",9,IF(F5881="Half Day",4,0))</f>
        <v>9</v>
      </c>
      <c r="J5881" s="2"/>
      <c r="K5881" s="2"/>
    </row>
    <row r="5882" customFormat="false" ht="15" hidden="false" customHeight="false" outlineLevel="0" collapsed="false">
      <c r="A5882" s="2" t="s">
        <v>427</v>
      </c>
      <c r="B5882" s="2" t="s">
        <v>428</v>
      </c>
      <c r="C5882" s="2" t="s">
        <v>57</v>
      </c>
      <c r="D5882" s="3" t="n">
        <v>46256</v>
      </c>
      <c r="E5882" s="2" t="str">
        <f aca="false">TEXT(D5882,"dddd")</f>
        <v>Saturday</v>
      </c>
      <c r="F5882" s="2" t="s">
        <v>457</v>
      </c>
      <c r="G5882" s="2" t="s">
        <v>458</v>
      </c>
      <c r="H5882" s="2" t="s">
        <v>459</v>
      </c>
      <c r="I5882" s="2" t="n">
        <f aca="false">IF(F5882="Present",9,IF(F5882="Half Day",4,0))</f>
        <v>9</v>
      </c>
      <c r="J5882" s="2"/>
      <c r="K5882" s="2"/>
    </row>
    <row r="5883" customFormat="false" ht="15" hidden="false" customHeight="false" outlineLevel="0" collapsed="false">
      <c r="A5883" s="2" t="s">
        <v>427</v>
      </c>
      <c r="B5883" s="2" t="s">
        <v>428</v>
      </c>
      <c r="C5883" s="2" t="s">
        <v>57</v>
      </c>
      <c r="D5883" s="3" t="n">
        <v>46257</v>
      </c>
      <c r="E5883" s="2" t="str">
        <f aca="false">TEXT(D5883,"dddd")</f>
        <v>Sunday</v>
      </c>
      <c r="F5883" s="2" t="s">
        <v>460</v>
      </c>
      <c r="G5883" s="2"/>
      <c r="H5883" s="2"/>
      <c r="I5883" s="2" t="n">
        <f aca="false">IF(F5883="Present",9,IF(F5883="Half Day",4,0))</f>
        <v>0</v>
      </c>
      <c r="J5883" s="2"/>
      <c r="K5883" s="2" t="s">
        <v>460</v>
      </c>
    </row>
    <row r="5884" customFormat="false" ht="15" hidden="false" customHeight="false" outlineLevel="0" collapsed="false">
      <c r="A5884" s="2" t="s">
        <v>427</v>
      </c>
      <c r="B5884" s="2" t="s">
        <v>428</v>
      </c>
      <c r="C5884" s="2" t="s">
        <v>57</v>
      </c>
      <c r="D5884" s="3" t="n">
        <v>46258</v>
      </c>
      <c r="E5884" s="2" t="str">
        <f aca="false">TEXT(D5884,"dddd")</f>
        <v>Monday</v>
      </c>
      <c r="F5884" s="2" t="s">
        <v>457</v>
      </c>
      <c r="G5884" s="2" t="s">
        <v>458</v>
      </c>
      <c r="H5884" s="2" t="s">
        <v>459</v>
      </c>
      <c r="I5884" s="2" t="n">
        <f aca="false">IF(F5884="Present",9,IF(F5884="Half Day",4,0))</f>
        <v>9</v>
      </c>
      <c r="J5884" s="2"/>
      <c r="K5884" s="2"/>
    </row>
    <row r="5885" customFormat="false" ht="15" hidden="false" customHeight="false" outlineLevel="0" collapsed="false">
      <c r="A5885" s="2" t="s">
        <v>427</v>
      </c>
      <c r="B5885" s="2" t="s">
        <v>428</v>
      </c>
      <c r="C5885" s="2" t="s">
        <v>57</v>
      </c>
      <c r="D5885" s="3" t="n">
        <v>46259</v>
      </c>
      <c r="E5885" s="2" t="str">
        <f aca="false">TEXT(D5885,"dddd")</f>
        <v>Tuesday</v>
      </c>
      <c r="F5885" s="2" t="s">
        <v>457</v>
      </c>
      <c r="G5885" s="2" t="s">
        <v>458</v>
      </c>
      <c r="H5885" s="2" t="s">
        <v>459</v>
      </c>
      <c r="I5885" s="2" t="n">
        <f aca="false">IF(F5885="Present",9,IF(F5885="Half Day",4,0))</f>
        <v>9</v>
      </c>
      <c r="J5885" s="2"/>
      <c r="K5885" s="2"/>
    </row>
    <row r="5886" customFormat="false" ht="15" hidden="false" customHeight="false" outlineLevel="0" collapsed="false">
      <c r="A5886" s="2" t="s">
        <v>427</v>
      </c>
      <c r="B5886" s="2" t="s">
        <v>428</v>
      </c>
      <c r="C5886" s="2" t="s">
        <v>57</v>
      </c>
      <c r="D5886" s="3" t="n">
        <v>46260</v>
      </c>
      <c r="E5886" s="2" t="str">
        <f aca="false">TEXT(D5886,"dddd")</f>
        <v>Wednesday</v>
      </c>
      <c r="F5886" s="2" t="s">
        <v>457</v>
      </c>
      <c r="G5886" s="2" t="s">
        <v>458</v>
      </c>
      <c r="H5886" s="2" t="s">
        <v>459</v>
      </c>
      <c r="I5886" s="2" t="n">
        <f aca="false">IF(F5886="Present",9,IF(F5886="Half Day",4,0))</f>
        <v>9</v>
      </c>
      <c r="J5886" s="2"/>
      <c r="K5886" s="2"/>
    </row>
    <row r="5887" customFormat="false" ht="15" hidden="false" customHeight="false" outlineLevel="0" collapsed="false">
      <c r="A5887" s="2" t="s">
        <v>427</v>
      </c>
      <c r="B5887" s="2" t="s">
        <v>428</v>
      </c>
      <c r="C5887" s="2" t="s">
        <v>57</v>
      </c>
      <c r="D5887" s="3" t="n">
        <v>46261</v>
      </c>
      <c r="E5887" s="2" t="str">
        <f aca="false">TEXT(D5887,"dddd")</f>
        <v>Thursday</v>
      </c>
      <c r="F5887" s="2" t="s">
        <v>457</v>
      </c>
      <c r="G5887" s="2" t="s">
        <v>458</v>
      </c>
      <c r="H5887" s="2" t="s">
        <v>459</v>
      </c>
      <c r="I5887" s="2" t="n">
        <f aca="false">IF(F5887="Present",9,IF(F5887="Half Day",4,0))</f>
        <v>9</v>
      </c>
      <c r="J5887" s="2"/>
      <c r="K5887" s="2"/>
    </row>
    <row r="5888" customFormat="false" ht="15" hidden="false" customHeight="false" outlineLevel="0" collapsed="false">
      <c r="A5888" s="2" t="s">
        <v>427</v>
      </c>
      <c r="B5888" s="2" t="s">
        <v>428</v>
      </c>
      <c r="C5888" s="2" t="s">
        <v>57</v>
      </c>
      <c r="D5888" s="3" t="n">
        <v>46262</v>
      </c>
      <c r="E5888" s="2" t="str">
        <f aca="false">TEXT(D5888,"dddd")</f>
        <v>Friday</v>
      </c>
      <c r="F5888" s="2" t="s">
        <v>457</v>
      </c>
      <c r="G5888" s="2" t="s">
        <v>458</v>
      </c>
      <c r="H5888" s="2" t="s">
        <v>459</v>
      </c>
      <c r="I5888" s="2" t="n">
        <f aca="false">IF(F5888="Present",9,IF(F5888="Half Day",4,0))</f>
        <v>9</v>
      </c>
      <c r="J5888" s="2"/>
      <c r="K5888" s="2"/>
    </row>
    <row r="5889" customFormat="false" ht="15" hidden="false" customHeight="false" outlineLevel="0" collapsed="false">
      <c r="A5889" s="2" t="s">
        <v>427</v>
      </c>
      <c r="B5889" s="2" t="s">
        <v>428</v>
      </c>
      <c r="C5889" s="2" t="s">
        <v>57</v>
      </c>
      <c r="D5889" s="3" t="n">
        <v>46263</v>
      </c>
      <c r="E5889" s="2" t="str">
        <f aca="false">TEXT(D5889,"dddd")</f>
        <v>Saturday</v>
      </c>
      <c r="F5889" s="2" t="s">
        <v>457</v>
      </c>
      <c r="G5889" s="2" t="s">
        <v>458</v>
      </c>
      <c r="H5889" s="2" t="s">
        <v>459</v>
      </c>
      <c r="I5889" s="2" t="n">
        <f aca="false">IF(F5889="Present",9,IF(F5889="Half Day",4,0))</f>
        <v>9</v>
      </c>
      <c r="J5889" s="2"/>
      <c r="K5889" s="2"/>
    </row>
    <row r="5890" customFormat="false" ht="15" hidden="false" customHeight="false" outlineLevel="0" collapsed="false">
      <c r="A5890" s="2" t="s">
        <v>427</v>
      </c>
      <c r="B5890" s="2" t="s">
        <v>428</v>
      </c>
      <c r="C5890" s="2" t="s">
        <v>57</v>
      </c>
      <c r="D5890" s="3" t="n">
        <v>46264</v>
      </c>
      <c r="E5890" s="2" t="str">
        <f aca="false">TEXT(D5890,"dddd")</f>
        <v>Sunday</v>
      </c>
      <c r="F5890" s="2" t="s">
        <v>460</v>
      </c>
      <c r="G5890" s="2"/>
      <c r="H5890" s="2"/>
      <c r="I5890" s="2" t="n">
        <f aca="false">IF(F5890="Present",9,IF(F5890="Half Day",4,0))</f>
        <v>0</v>
      </c>
      <c r="J5890" s="2"/>
      <c r="K5890" s="2" t="s">
        <v>460</v>
      </c>
    </row>
    <row r="5891" customFormat="false" ht="15" hidden="false" customHeight="false" outlineLevel="0" collapsed="false">
      <c r="A5891" s="2" t="s">
        <v>427</v>
      </c>
      <c r="B5891" s="2" t="s">
        <v>428</v>
      </c>
      <c r="C5891" s="2" t="s">
        <v>57</v>
      </c>
      <c r="D5891" s="3" t="n">
        <v>46265</v>
      </c>
      <c r="E5891" s="2" t="str">
        <f aca="false">TEXT(D5891,"dddd")</f>
        <v>Monday</v>
      </c>
      <c r="F5891" s="2" t="s">
        <v>457</v>
      </c>
      <c r="G5891" s="2" t="s">
        <v>458</v>
      </c>
      <c r="H5891" s="2" t="s">
        <v>459</v>
      </c>
      <c r="I5891" s="2" t="n">
        <f aca="false">IF(F5891="Present",9,IF(F5891="Half Day",4,0))</f>
        <v>9</v>
      </c>
      <c r="J5891" s="2"/>
      <c r="K5891" s="2"/>
    </row>
    <row r="5892" customFormat="false" ht="15" hidden="false" customHeight="false" outlineLevel="0" collapsed="false">
      <c r="A5892" s="2" t="s">
        <v>429</v>
      </c>
      <c r="B5892" s="2" t="s">
        <v>430</v>
      </c>
      <c r="C5892" s="2" t="s">
        <v>17</v>
      </c>
      <c r="D5892" s="3" t="n">
        <v>46235</v>
      </c>
      <c r="E5892" s="2" t="str">
        <f aca="false">TEXT(D5892,"dddd")</f>
        <v>Saturday</v>
      </c>
      <c r="F5892" s="2" t="s">
        <v>457</v>
      </c>
      <c r="G5892" s="2" t="s">
        <v>458</v>
      </c>
      <c r="H5892" s="2" t="s">
        <v>459</v>
      </c>
      <c r="I5892" s="2" t="n">
        <f aca="false">IF(F5892="Present",9,IF(F5892="Half Day",4,0))</f>
        <v>9</v>
      </c>
      <c r="J5892" s="2"/>
      <c r="K5892" s="2"/>
    </row>
    <row r="5893" customFormat="false" ht="15" hidden="false" customHeight="false" outlineLevel="0" collapsed="false">
      <c r="A5893" s="2" t="s">
        <v>429</v>
      </c>
      <c r="B5893" s="2" t="s">
        <v>430</v>
      </c>
      <c r="C5893" s="2" t="s">
        <v>17</v>
      </c>
      <c r="D5893" s="3" t="n">
        <v>46236</v>
      </c>
      <c r="E5893" s="2" t="str">
        <f aca="false">TEXT(D5893,"dddd")</f>
        <v>Sunday</v>
      </c>
      <c r="F5893" s="2" t="s">
        <v>460</v>
      </c>
      <c r="G5893" s="2"/>
      <c r="H5893" s="2"/>
      <c r="I5893" s="2" t="n">
        <f aca="false">IF(F5893="Present",9,IF(F5893="Half Day",4,0))</f>
        <v>0</v>
      </c>
      <c r="J5893" s="2"/>
      <c r="K5893" s="2" t="s">
        <v>460</v>
      </c>
    </row>
    <row r="5894" customFormat="false" ht="15" hidden="false" customHeight="false" outlineLevel="0" collapsed="false">
      <c r="A5894" s="2" t="s">
        <v>429</v>
      </c>
      <c r="B5894" s="2" t="s">
        <v>430</v>
      </c>
      <c r="C5894" s="2" t="s">
        <v>17</v>
      </c>
      <c r="D5894" s="3" t="n">
        <v>46237</v>
      </c>
      <c r="E5894" s="2" t="str">
        <f aca="false">TEXT(D5894,"dddd")</f>
        <v>Monday</v>
      </c>
      <c r="F5894" s="2" t="s">
        <v>463</v>
      </c>
      <c r="G5894" s="2"/>
      <c r="H5894" s="2"/>
      <c r="I5894" s="2" t="n">
        <f aca="false">IF(F5894="Present",9,IF(F5894="Half Day",4,0))</f>
        <v>0</v>
      </c>
      <c r="J5894" s="2" t="s">
        <v>464</v>
      </c>
      <c r="K5894" s="2" t="s">
        <v>465</v>
      </c>
    </row>
    <row r="5895" customFormat="false" ht="15" hidden="false" customHeight="false" outlineLevel="0" collapsed="false">
      <c r="A5895" s="2" t="s">
        <v>429</v>
      </c>
      <c r="B5895" s="2" t="s">
        <v>430</v>
      </c>
      <c r="C5895" s="2" t="s">
        <v>17</v>
      </c>
      <c r="D5895" s="3" t="n">
        <v>46238</v>
      </c>
      <c r="E5895" s="2" t="str">
        <f aca="false">TEXT(D5895,"dddd")</f>
        <v>Tuesday</v>
      </c>
      <c r="F5895" s="2" t="s">
        <v>461</v>
      </c>
      <c r="G5895" s="2"/>
      <c r="H5895" s="2"/>
      <c r="I5895" s="2" t="n">
        <f aca="false">IF(F5895="Present",9,IF(F5895="Half Day",4,0))</f>
        <v>0</v>
      </c>
      <c r="J5895" s="2"/>
      <c r="K5895" s="2" t="s">
        <v>462</v>
      </c>
    </row>
    <row r="5896" customFormat="false" ht="15" hidden="false" customHeight="false" outlineLevel="0" collapsed="false">
      <c r="A5896" s="2" t="s">
        <v>429</v>
      </c>
      <c r="B5896" s="2" t="s">
        <v>430</v>
      </c>
      <c r="C5896" s="2" t="s">
        <v>17</v>
      </c>
      <c r="D5896" s="3" t="n">
        <v>46239</v>
      </c>
      <c r="E5896" s="2" t="str">
        <f aca="false">TEXT(D5896,"dddd")</f>
        <v>Wednesday</v>
      </c>
      <c r="F5896" s="2" t="s">
        <v>457</v>
      </c>
      <c r="G5896" s="2" t="s">
        <v>458</v>
      </c>
      <c r="H5896" s="2" t="s">
        <v>459</v>
      </c>
      <c r="I5896" s="2" t="n">
        <f aca="false">IF(F5896="Present",9,IF(F5896="Half Day",4,0))</f>
        <v>9</v>
      </c>
      <c r="J5896" s="2"/>
      <c r="K5896" s="2"/>
    </row>
    <row r="5897" customFormat="false" ht="15" hidden="false" customHeight="false" outlineLevel="0" collapsed="false">
      <c r="A5897" s="2" t="s">
        <v>429</v>
      </c>
      <c r="B5897" s="2" t="s">
        <v>430</v>
      </c>
      <c r="C5897" s="2" t="s">
        <v>17</v>
      </c>
      <c r="D5897" s="3" t="n">
        <v>46240</v>
      </c>
      <c r="E5897" s="2" t="str">
        <f aca="false">TEXT(D5897,"dddd")</f>
        <v>Thursday</v>
      </c>
      <c r="F5897" s="2" t="s">
        <v>457</v>
      </c>
      <c r="G5897" s="2" t="s">
        <v>458</v>
      </c>
      <c r="H5897" s="2" t="s">
        <v>459</v>
      </c>
      <c r="I5897" s="2" t="n">
        <f aca="false">IF(F5897="Present",9,IF(F5897="Half Day",4,0))</f>
        <v>9</v>
      </c>
      <c r="J5897" s="2"/>
      <c r="K5897" s="2"/>
    </row>
    <row r="5898" customFormat="false" ht="15" hidden="false" customHeight="false" outlineLevel="0" collapsed="false">
      <c r="A5898" s="2" t="s">
        <v>429</v>
      </c>
      <c r="B5898" s="2" t="s">
        <v>430</v>
      </c>
      <c r="C5898" s="2" t="s">
        <v>17</v>
      </c>
      <c r="D5898" s="3" t="n">
        <v>46241</v>
      </c>
      <c r="E5898" s="2" t="str">
        <f aca="false">TEXT(D5898,"dddd")</f>
        <v>Friday</v>
      </c>
      <c r="F5898" s="2" t="s">
        <v>461</v>
      </c>
      <c r="G5898" s="2"/>
      <c r="H5898" s="2"/>
      <c r="I5898" s="2" t="n">
        <f aca="false">IF(F5898="Present",9,IF(F5898="Half Day",4,0))</f>
        <v>0</v>
      </c>
      <c r="J5898" s="2"/>
      <c r="K5898" s="2" t="s">
        <v>462</v>
      </c>
    </row>
    <row r="5899" customFormat="false" ht="15" hidden="false" customHeight="false" outlineLevel="0" collapsed="false">
      <c r="A5899" s="2" t="s">
        <v>429</v>
      </c>
      <c r="B5899" s="2" t="s">
        <v>430</v>
      </c>
      <c r="C5899" s="2" t="s">
        <v>17</v>
      </c>
      <c r="D5899" s="3" t="n">
        <v>46242</v>
      </c>
      <c r="E5899" s="2" t="str">
        <f aca="false">TEXT(D5899,"dddd")</f>
        <v>Saturday</v>
      </c>
      <c r="F5899" s="2" t="s">
        <v>461</v>
      </c>
      <c r="G5899" s="2"/>
      <c r="H5899" s="2"/>
      <c r="I5899" s="2" t="n">
        <f aca="false">IF(F5899="Present",9,IF(F5899="Half Day",4,0))</f>
        <v>0</v>
      </c>
      <c r="J5899" s="2"/>
      <c r="K5899" s="2" t="s">
        <v>462</v>
      </c>
    </row>
    <row r="5900" customFormat="false" ht="15" hidden="false" customHeight="false" outlineLevel="0" collapsed="false">
      <c r="A5900" s="2" t="s">
        <v>429</v>
      </c>
      <c r="B5900" s="2" t="s">
        <v>430</v>
      </c>
      <c r="C5900" s="2" t="s">
        <v>17</v>
      </c>
      <c r="D5900" s="3" t="n">
        <v>46243</v>
      </c>
      <c r="E5900" s="2" t="str">
        <f aca="false">TEXT(D5900,"dddd")</f>
        <v>Sunday</v>
      </c>
      <c r="F5900" s="2" t="s">
        <v>460</v>
      </c>
      <c r="G5900" s="2"/>
      <c r="H5900" s="2"/>
      <c r="I5900" s="2" t="n">
        <f aca="false">IF(F5900="Present",9,IF(F5900="Half Day",4,0))</f>
        <v>0</v>
      </c>
      <c r="J5900" s="2"/>
      <c r="K5900" s="2" t="s">
        <v>460</v>
      </c>
    </row>
    <row r="5901" customFormat="false" ht="15" hidden="false" customHeight="false" outlineLevel="0" collapsed="false">
      <c r="A5901" s="2" t="s">
        <v>429</v>
      </c>
      <c r="B5901" s="2" t="s">
        <v>430</v>
      </c>
      <c r="C5901" s="2" t="s">
        <v>17</v>
      </c>
      <c r="D5901" s="3" t="n">
        <v>46244</v>
      </c>
      <c r="E5901" s="2" t="str">
        <f aca="false">TEXT(D5901,"dddd")</f>
        <v>Monday</v>
      </c>
      <c r="F5901" s="2" t="s">
        <v>457</v>
      </c>
      <c r="G5901" s="2" t="s">
        <v>458</v>
      </c>
      <c r="H5901" s="2" t="s">
        <v>459</v>
      </c>
      <c r="I5901" s="2" t="n">
        <f aca="false">IF(F5901="Present",9,IF(F5901="Half Day",4,0))</f>
        <v>9</v>
      </c>
      <c r="J5901" s="2"/>
      <c r="K5901" s="2"/>
    </row>
    <row r="5902" customFormat="false" ht="15" hidden="false" customHeight="false" outlineLevel="0" collapsed="false">
      <c r="A5902" s="2" t="s">
        <v>429</v>
      </c>
      <c r="B5902" s="2" t="s">
        <v>430</v>
      </c>
      <c r="C5902" s="2" t="s">
        <v>17</v>
      </c>
      <c r="D5902" s="3" t="n">
        <v>46245</v>
      </c>
      <c r="E5902" s="2" t="str">
        <f aca="false">TEXT(D5902,"dddd")</f>
        <v>Tuesday</v>
      </c>
      <c r="F5902" s="2" t="s">
        <v>461</v>
      </c>
      <c r="G5902" s="2"/>
      <c r="H5902" s="2"/>
      <c r="I5902" s="2" t="n">
        <f aca="false">IF(F5902="Present",9,IF(F5902="Half Day",4,0))</f>
        <v>0</v>
      </c>
      <c r="J5902" s="2"/>
      <c r="K5902" s="2" t="s">
        <v>462</v>
      </c>
    </row>
    <row r="5903" customFormat="false" ht="15" hidden="false" customHeight="false" outlineLevel="0" collapsed="false">
      <c r="A5903" s="2" t="s">
        <v>429</v>
      </c>
      <c r="B5903" s="2" t="s">
        <v>430</v>
      </c>
      <c r="C5903" s="2" t="s">
        <v>17</v>
      </c>
      <c r="D5903" s="3" t="n">
        <v>46246</v>
      </c>
      <c r="E5903" s="2" t="str">
        <f aca="false">TEXT(D5903,"dddd")</f>
        <v>Wednesday</v>
      </c>
      <c r="F5903" s="2" t="s">
        <v>457</v>
      </c>
      <c r="G5903" s="2" t="s">
        <v>458</v>
      </c>
      <c r="H5903" s="2" t="s">
        <v>459</v>
      </c>
      <c r="I5903" s="2" t="n">
        <f aca="false">IF(F5903="Present",9,IF(F5903="Half Day",4,0))</f>
        <v>9</v>
      </c>
      <c r="J5903" s="2"/>
      <c r="K5903" s="2"/>
    </row>
    <row r="5904" customFormat="false" ht="15" hidden="false" customHeight="false" outlineLevel="0" collapsed="false">
      <c r="A5904" s="2" t="s">
        <v>429</v>
      </c>
      <c r="B5904" s="2" t="s">
        <v>430</v>
      </c>
      <c r="C5904" s="2" t="s">
        <v>17</v>
      </c>
      <c r="D5904" s="3" t="n">
        <v>46247</v>
      </c>
      <c r="E5904" s="2" t="str">
        <f aca="false">TEXT(D5904,"dddd")</f>
        <v>Thursday</v>
      </c>
      <c r="F5904" s="2" t="s">
        <v>466</v>
      </c>
      <c r="G5904" s="2" t="s">
        <v>458</v>
      </c>
      <c r="H5904" s="2" t="s">
        <v>467</v>
      </c>
      <c r="I5904" s="2" t="n">
        <f aca="false">IF(F5904="Present",9,IF(F5904="Half Day",4,0))</f>
        <v>4</v>
      </c>
      <c r="J5904" s="2"/>
      <c r="K5904" s="2" t="s">
        <v>466</v>
      </c>
    </row>
    <row r="5905" customFormat="false" ht="15" hidden="false" customHeight="false" outlineLevel="0" collapsed="false">
      <c r="A5905" s="2" t="s">
        <v>429</v>
      </c>
      <c r="B5905" s="2" t="s">
        <v>430</v>
      </c>
      <c r="C5905" s="2" t="s">
        <v>17</v>
      </c>
      <c r="D5905" s="3" t="n">
        <v>46248</v>
      </c>
      <c r="E5905" s="2" t="str">
        <f aca="false">TEXT(D5905,"dddd")</f>
        <v>Friday</v>
      </c>
      <c r="F5905" s="2" t="s">
        <v>457</v>
      </c>
      <c r="G5905" s="2" t="s">
        <v>458</v>
      </c>
      <c r="H5905" s="2" t="s">
        <v>459</v>
      </c>
      <c r="I5905" s="2" t="n">
        <f aca="false">IF(F5905="Present",9,IF(F5905="Half Day",4,0))</f>
        <v>9</v>
      </c>
      <c r="J5905" s="2"/>
      <c r="K5905" s="2"/>
    </row>
    <row r="5906" customFormat="false" ht="15" hidden="false" customHeight="false" outlineLevel="0" collapsed="false">
      <c r="A5906" s="2" t="s">
        <v>429</v>
      </c>
      <c r="B5906" s="2" t="s">
        <v>430</v>
      </c>
      <c r="C5906" s="2" t="s">
        <v>17</v>
      </c>
      <c r="D5906" s="3" t="n">
        <v>46249</v>
      </c>
      <c r="E5906" s="2" t="str">
        <f aca="false">TEXT(D5906,"dddd")</f>
        <v>Saturday</v>
      </c>
      <c r="F5906" s="2" t="s">
        <v>457</v>
      </c>
      <c r="G5906" s="2" t="s">
        <v>458</v>
      </c>
      <c r="H5906" s="2" t="s">
        <v>459</v>
      </c>
      <c r="I5906" s="2" t="n">
        <f aca="false">IF(F5906="Present",9,IF(F5906="Half Day",4,0))</f>
        <v>9</v>
      </c>
      <c r="J5906" s="2"/>
      <c r="K5906" s="2"/>
    </row>
    <row r="5907" customFormat="false" ht="15" hidden="false" customHeight="false" outlineLevel="0" collapsed="false">
      <c r="A5907" s="2" t="s">
        <v>429</v>
      </c>
      <c r="B5907" s="2" t="s">
        <v>430</v>
      </c>
      <c r="C5907" s="2" t="s">
        <v>17</v>
      </c>
      <c r="D5907" s="3" t="n">
        <v>46250</v>
      </c>
      <c r="E5907" s="2" t="str">
        <f aca="false">TEXT(D5907,"dddd")</f>
        <v>Sunday</v>
      </c>
      <c r="F5907" s="2" t="s">
        <v>460</v>
      </c>
      <c r="G5907" s="2"/>
      <c r="H5907" s="2"/>
      <c r="I5907" s="2" t="n">
        <f aca="false">IF(F5907="Present",9,IF(F5907="Half Day",4,0))</f>
        <v>0</v>
      </c>
      <c r="J5907" s="2"/>
      <c r="K5907" s="2" t="s">
        <v>460</v>
      </c>
    </row>
    <row r="5908" customFormat="false" ht="15" hidden="false" customHeight="false" outlineLevel="0" collapsed="false">
      <c r="A5908" s="2" t="s">
        <v>429</v>
      </c>
      <c r="B5908" s="2" t="s">
        <v>430</v>
      </c>
      <c r="C5908" s="2" t="s">
        <v>17</v>
      </c>
      <c r="D5908" s="3" t="n">
        <v>46251</v>
      </c>
      <c r="E5908" s="2" t="str">
        <f aca="false">TEXT(D5908,"dddd")</f>
        <v>Monday</v>
      </c>
      <c r="F5908" s="2" t="s">
        <v>461</v>
      </c>
      <c r="G5908" s="2"/>
      <c r="H5908" s="2"/>
      <c r="I5908" s="2" t="n">
        <f aca="false">IF(F5908="Present",9,IF(F5908="Half Day",4,0))</f>
        <v>0</v>
      </c>
      <c r="J5908" s="2"/>
      <c r="K5908" s="2" t="s">
        <v>462</v>
      </c>
    </row>
    <row r="5909" customFormat="false" ht="15" hidden="false" customHeight="false" outlineLevel="0" collapsed="false">
      <c r="A5909" s="2" t="s">
        <v>429</v>
      </c>
      <c r="B5909" s="2" t="s">
        <v>430</v>
      </c>
      <c r="C5909" s="2" t="s">
        <v>17</v>
      </c>
      <c r="D5909" s="3" t="n">
        <v>46252</v>
      </c>
      <c r="E5909" s="2" t="str">
        <f aca="false">TEXT(D5909,"dddd")</f>
        <v>Tuesday</v>
      </c>
      <c r="F5909" s="2" t="s">
        <v>461</v>
      </c>
      <c r="G5909" s="2"/>
      <c r="H5909" s="2"/>
      <c r="I5909" s="2" t="n">
        <f aca="false">IF(F5909="Present",9,IF(F5909="Half Day",4,0))</f>
        <v>0</v>
      </c>
      <c r="J5909" s="2"/>
      <c r="K5909" s="2" t="s">
        <v>462</v>
      </c>
    </row>
    <row r="5910" customFormat="false" ht="15" hidden="false" customHeight="false" outlineLevel="0" collapsed="false">
      <c r="A5910" s="2" t="s">
        <v>429</v>
      </c>
      <c r="B5910" s="2" t="s">
        <v>430</v>
      </c>
      <c r="C5910" s="2" t="s">
        <v>17</v>
      </c>
      <c r="D5910" s="3" t="n">
        <v>46253</v>
      </c>
      <c r="E5910" s="2" t="str">
        <f aca="false">TEXT(D5910,"dddd")</f>
        <v>Wednesday</v>
      </c>
      <c r="F5910" s="2" t="s">
        <v>457</v>
      </c>
      <c r="G5910" s="2" t="s">
        <v>458</v>
      </c>
      <c r="H5910" s="2" t="s">
        <v>459</v>
      </c>
      <c r="I5910" s="2" t="n">
        <f aca="false">IF(F5910="Present",9,IF(F5910="Half Day",4,0))</f>
        <v>9</v>
      </c>
      <c r="J5910" s="2"/>
      <c r="K5910" s="2"/>
    </row>
    <row r="5911" customFormat="false" ht="15" hidden="false" customHeight="false" outlineLevel="0" collapsed="false">
      <c r="A5911" s="2" t="s">
        <v>429</v>
      </c>
      <c r="B5911" s="2" t="s">
        <v>430</v>
      </c>
      <c r="C5911" s="2" t="s">
        <v>17</v>
      </c>
      <c r="D5911" s="3" t="n">
        <v>46254</v>
      </c>
      <c r="E5911" s="2" t="str">
        <f aca="false">TEXT(D5911,"dddd")</f>
        <v>Thursday</v>
      </c>
      <c r="F5911" s="2" t="s">
        <v>457</v>
      </c>
      <c r="G5911" s="2" t="s">
        <v>458</v>
      </c>
      <c r="H5911" s="2" t="s">
        <v>459</v>
      </c>
      <c r="I5911" s="2" t="n">
        <f aca="false">IF(F5911="Present",9,IF(F5911="Half Day",4,0))</f>
        <v>9</v>
      </c>
      <c r="J5911" s="2"/>
      <c r="K5911" s="2"/>
    </row>
    <row r="5912" customFormat="false" ht="15" hidden="false" customHeight="false" outlineLevel="0" collapsed="false">
      <c r="A5912" s="2" t="s">
        <v>429</v>
      </c>
      <c r="B5912" s="2" t="s">
        <v>430</v>
      </c>
      <c r="C5912" s="2" t="s">
        <v>17</v>
      </c>
      <c r="D5912" s="3" t="n">
        <v>46255</v>
      </c>
      <c r="E5912" s="2" t="str">
        <f aca="false">TEXT(D5912,"dddd")</f>
        <v>Friday</v>
      </c>
      <c r="F5912" s="2" t="s">
        <v>466</v>
      </c>
      <c r="G5912" s="2" t="s">
        <v>458</v>
      </c>
      <c r="H5912" s="2" t="s">
        <v>467</v>
      </c>
      <c r="I5912" s="2" t="n">
        <f aca="false">IF(F5912="Present",9,IF(F5912="Half Day",4,0))</f>
        <v>4</v>
      </c>
      <c r="J5912" s="2"/>
      <c r="K5912" s="2" t="s">
        <v>466</v>
      </c>
    </row>
    <row r="5913" customFormat="false" ht="15" hidden="false" customHeight="false" outlineLevel="0" collapsed="false">
      <c r="A5913" s="2" t="s">
        <v>429</v>
      </c>
      <c r="B5913" s="2" t="s">
        <v>430</v>
      </c>
      <c r="C5913" s="2" t="s">
        <v>17</v>
      </c>
      <c r="D5913" s="3" t="n">
        <v>46256</v>
      </c>
      <c r="E5913" s="2" t="str">
        <f aca="false">TEXT(D5913,"dddd")</f>
        <v>Saturday</v>
      </c>
      <c r="F5913" s="2" t="s">
        <v>457</v>
      </c>
      <c r="G5913" s="2" t="s">
        <v>458</v>
      </c>
      <c r="H5913" s="2" t="s">
        <v>459</v>
      </c>
      <c r="I5913" s="2" t="n">
        <f aca="false">IF(F5913="Present",9,IF(F5913="Half Day",4,0))</f>
        <v>9</v>
      </c>
      <c r="J5913" s="2"/>
      <c r="K5913" s="2"/>
    </row>
    <row r="5914" customFormat="false" ht="15" hidden="false" customHeight="false" outlineLevel="0" collapsed="false">
      <c r="A5914" s="2" t="s">
        <v>429</v>
      </c>
      <c r="B5914" s="2" t="s">
        <v>430</v>
      </c>
      <c r="C5914" s="2" t="s">
        <v>17</v>
      </c>
      <c r="D5914" s="3" t="n">
        <v>46257</v>
      </c>
      <c r="E5914" s="2" t="str">
        <f aca="false">TEXT(D5914,"dddd")</f>
        <v>Sunday</v>
      </c>
      <c r="F5914" s="2" t="s">
        <v>460</v>
      </c>
      <c r="G5914" s="2"/>
      <c r="H5914" s="2"/>
      <c r="I5914" s="2" t="n">
        <f aca="false">IF(F5914="Present",9,IF(F5914="Half Day",4,0))</f>
        <v>0</v>
      </c>
      <c r="J5914" s="2"/>
      <c r="K5914" s="2" t="s">
        <v>460</v>
      </c>
    </row>
    <row r="5915" customFormat="false" ht="15" hidden="false" customHeight="false" outlineLevel="0" collapsed="false">
      <c r="A5915" s="2" t="s">
        <v>429</v>
      </c>
      <c r="B5915" s="2" t="s">
        <v>430</v>
      </c>
      <c r="C5915" s="2" t="s">
        <v>17</v>
      </c>
      <c r="D5915" s="3" t="n">
        <v>46258</v>
      </c>
      <c r="E5915" s="2" t="str">
        <f aca="false">TEXT(D5915,"dddd")</f>
        <v>Monday</v>
      </c>
      <c r="F5915" s="2" t="s">
        <v>457</v>
      </c>
      <c r="G5915" s="2" t="s">
        <v>458</v>
      </c>
      <c r="H5915" s="2" t="s">
        <v>459</v>
      </c>
      <c r="I5915" s="2" t="n">
        <f aca="false">IF(F5915="Present",9,IF(F5915="Half Day",4,0))</f>
        <v>9</v>
      </c>
      <c r="J5915" s="2"/>
      <c r="K5915" s="2"/>
    </row>
    <row r="5916" customFormat="false" ht="15" hidden="false" customHeight="false" outlineLevel="0" collapsed="false">
      <c r="A5916" s="2" t="s">
        <v>429</v>
      </c>
      <c r="B5916" s="2" t="s">
        <v>430</v>
      </c>
      <c r="C5916" s="2" t="s">
        <v>17</v>
      </c>
      <c r="D5916" s="3" t="n">
        <v>46259</v>
      </c>
      <c r="E5916" s="2" t="str">
        <f aca="false">TEXT(D5916,"dddd")</f>
        <v>Tuesday</v>
      </c>
      <c r="F5916" s="2" t="s">
        <v>457</v>
      </c>
      <c r="G5916" s="2" t="s">
        <v>458</v>
      </c>
      <c r="H5916" s="2" t="s">
        <v>459</v>
      </c>
      <c r="I5916" s="2" t="n">
        <f aca="false">IF(F5916="Present",9,IF(F5916="Half Day",4,0))</f>
        <v>9</v>
      </c>
      <c r="J5916" s="2"/>
      <c r="K5916" s="2"/>
    </row>
    <row r="5917" customFormat="false" ht="15" hidden="false" customHeight="false" outlineLevel="0" collapsed="false">
      <c r="A5917" s="2" t="s">
        <v>429</v>
      </c>
      <c r="B5917" s="2" t="s">
        <v>430</v>
      </c>
      <c r="C5917" s="2" t="s">
        <v>17</v>
      </c>
      <c r="D5917" s="3" t="n">
        <v>46260</v>
      </c>
      <c r="E5917" s="2" t="str">
        <f aca="false">TEXT(D5917,"dddd")</f>
        <v>Wednesday</v>
      </c>
      <c r="F5917" s="2" t="s">
        <v>457</v>
      </c>
      <c r="G5917" s="2" t="s">
        <v>458</v>
      </c>
      <c r="H5917" s="2" t="s">
        <v>459</v>
      </c>
      <c r="I5917" s="2" t="n">
        <f aca="false">IF(F5917="Present",9,IF(F5917="Half Day",4,0))</f>
        <v>9</v>
      </c>
      <c r="J5917" s="2"/>
      <c r="K5917" s="2"/>
    </row>
    <row r="5918" customFormat="false" ht="15" hidden="false" customHeight="false" outlineLevel="0" collapsed="false">
      <c r="A5918" s="2" t="s">
        <v>429</v>
      </c>
      <c r="B5918" s="2" t="s">
        <v>430</v>
      </c>
      <c r="C5918" s="2" t="s">
        <v>17</v>
      </c>
      <c r="D5918" s="3" t="n">
        <v>46261</v>
      </c>
      <c r="E5918" s="2" t="str">
        <f aca="false">TEXT(D5918,"dddd")</f>
        <v>Thursday</v>
      </c>
      <c r="F5918" s="2" t="s">
        <v>461</v>
      </c>
      <c r="G5918" s="2"/>
      <c r="H5918" s="2"/>
      <c r="I5918" s="2" t="n">
        <f aca="false">IF(F5918="Present",9,IF(F5918="Half Day",4,0))</f>
        <v>0</v>
      </c>
      <c r="J5918" s="2"/>
      <c r="K5918" s="2" t="s">
        <v>462</v>
      </c>
    </row>
    <row r="5919" customFormat="false" ht="15" hidden="false" customHeight="false" outlineLevel="0" collapsed="false">
      <c r="A5919" s="2" t="s">
        <v>429</v>
      </c>
      <c r="B5919" s="2" t="s">
        <v>430</v>
      </c>
      <c r="C5919" s="2" t="s">
        <v>17</v>
      </c>
      <c r="D5919" s="3" t="n">
        <v>46262</v>
      </c>
      <c r="E5919" s="2" t="str">
        <f aca="false">TEXT(D5919,"dddd")</f>
        <v>Friday</v>
      </c>
      <c r="F5919" s="2" t="s">
        <v>457</v>
      </c>
      <c r="G5919" s="2" t="s">
        <v>458</v>
      </c>
      <c r="H5919" s="2" t="s">
        <v>459</v>
      </c>
      <c r="I5919" s="2" t="n">
        <f aca="false">IF(F5919="Present",9,IF(F5919="Half Day",4,0))</f>
        <v>9</v>
      </c>
      <c r="J5919" s="2"/>
      <c r="K5919" s="2"/>
    </row>
    <row r="5920" customFormat="false" ht="15" hidden="false" customHeight="false" outlineLevel="0" collapsed="false">
      <c r="A5920" s="2" t="s">
        <v>429</v>
      </c>
      <c r="B5920" s="2" t="s">
        <v>430</v>
      </c>
      <c r="C5920" s="2" t="s">
        <v>17</v>
      </c>
      <c r="D5920" s="3" t="n">
        <v>46263</v>
      </c>
      <c r="E5920" s="2" t="str">
        <f aca="false">TEXT(D5920,"dddd")</f>
        <v>Saturday</v>
      </c>
      <c r="F5920" s="2" t="s">
        <v>457</v>
      </c>
      <c r="G5920" s="2" t="s">
        <v>458</v>
      </c>
      <c r="H5920" s="2" t="s">
        <v>459</v>
      </c>
      <c r="I5920" s="2" t="n">
        <f aca="false">IF(F5920="Present",9,IF(F5920="Half Day",4,0))</f>
        <v>9</v>
      </c>
      <c r="J5920" s="2"/>
      <c r="K5920" s="2"/>
    </row>
    <row r="5921" customFormat="false" ht="15" hidden="false" customHeight="false" outlineLevel="0" collapsed="false">
      <c r="A5921" s="2" t="s">
        <v>429</v>
      </c>
      <c r="B5921" s="2" t="s">
        <v>430</v>
      </c>
      <c r="C5921" s="2" t="s">
        <v>17</v>
      </c>
      <c r="D5921" s="3" t="n">
        <v>46264</v>
      </c>
      <c r="E5921" s="2" t="str">
        <f aca="false">TEXT(D5921,"dddd")</f>
        <v>Sunday</v>
      </c>
      <c r="F5921" s="2" t="s">
        <v>460</v>
      </c>
      <c r="G5921" s="2"/>
      <c r="H5921" s="2"/>
      <c r="I5921" s="2" t="n">
        <f aca="false">IF(F5921="Present",9,IF(F5921="Half Day",4,0))</f>
        <v>0</v>
      </c>
      <c r="J5921" s="2"/>
      <c r="K5921" s="2" t="s">
        <v>460</v>
      </c>
    </row>
    <row r="5922" customFormat="false" ht="15" hidden="false" customHeight="false" outlineLevel="0" collapsed="false">
      <c r="A5922" s="2" t="s">
        <v>429</v>
      </c>
      <c r="B5922" s="2" t="s">
        <v>430</v>
      </c>
      <c r="C5922" s="2" t="s">
        <v>17</v>
      </c>
      <c r="D5922" s="3" t="n">
        <v>46265</v>
      </c>
      <c r="E5922" s="2" t="str">
        <f aca="false">TEXT(D5922,"dddd")</f>
        <v>Monday</v>
      </c>
      <c r="F5922" s="2" t="s">
        <v>457</v>
      </c>
      <c r="G5922" s="2" t="s">
        <v>458</v>
      </c>
      <c r="H5922" s="2" t="s">
        <v>459</v>
      </c>
      <c r="I5922" s="2" t="n">
        <f aca="false">IF(F5922="Present",9,IF(F5922="Half Day",4,0))</f>
        <v>9</v>
      </c>
      <c r="J5922" s="2"/>
      <c r="K5922" s="2"/>
    </row>
    <row r="5923" customFormat="false" ht="15" hidden="false" customHeight="false" outlineLevel="0" collapsed="false">
      <c r="A5923" s="2" t="s">
        <v>431</v>
      </c>
      <c r="B5923" s="2" t="s">
        <v>432</v>
      </c>
      <c r="C5923" s="2" t="s">
        <v>24</v>
      </c>
      <c r="D5923" s="3" t="n">
        <v>46235</v>
      </c>
      <c r="E5923" s="2" t="str">
        <f aca="false">TEXT(D5923,"dddd")</f>
        <v>Saturday</v>
      </c>
      <c r="F5923" s="2" t="s">
        <v>457</v>
      </c>
      <c r="G5923" s="2" t="s">
        <v>458</v>
      </c>
      <c r="H5923" s="2" t="s">
        <v>459</v>
      </c>
      <c r="I5923" s="2" t="n">
        <f aca="false">IF(F5923="Present",9,IF(F5923="Half Day",4,0))</f>
        <v>9</v>
      </c>
      <c r="J5923" s="2"/>
      <c r="K5923" s="2"/>
    </row>
    <row r="5924" customFormat="false" ht="15" hidden="false" customHeight="false" outlineLevel="0" collapsed="false">
      <c r="A5924" s="2" t="s">
        <v>431</v>
      </c>
      <c r="B5924" s="2" t="s">
        <v>432</v>
      </c>
      <c r="C5924" s="2" t="s">
        <v>24</v>
      </c>
      <c r="D5924" s="3" t="n">
        <v>46236</v>
      </c>
      <c r="E5924" s="2" t="str">
        <f aca="false">TEXT(D5924,"dddd")</f>
        <v>Sunday</v>
      </c>
      <c r="F5924" s="2" t="s">
        <v>460</v>
      </c>
      <c r="G5924" s="2"/>
      <c r="H5924" s="2"/>
      <c r="I5924" s="2" t="n">
        <f aca="false">IF(F5924="Present",9,IF(F5924="Half Day",4,0))</f>
        <v>0</v>
      </c>
      <c r="J5924" s="2"/>
      <c r="K5924" s="2" t="s">
        <v>460</v>
      </c>
    </row>
    <row r="5925" customFormat="false" ht="15" hidden="false" customHeight="false" outlineLevel="0" collapsed="false">
      <c r="A5925" s="2" t="s">
        <v>431</v>
      </c>
      <c r="B5925" s="2" t="s">
        <v>432</v>
      </c>
      <c r="C5925" s="2" t="s">
        <v>24</v>
      </c>
      <c r="D5925" s="3" t="n">
        <v>46237</v>
      </c>
      <c r="E5925" s="2" t="str">
        <f aca="false">TEXT(D5925,"dddd")</f>
        <v>Monday</v>
      </c>
      <c r="F5925" s="2" t="s">
        <v>457</v>
      </c>
      <c r="G5925" s="2" t="s">
        <v>458</v>
      </c>
      <c r="H5925" s="2" t="s">
        <v>459</v>
      </c>
      <c r="I5925" s="2" t="n">
        <f aca="false">IF(F5925="Present",9,IF(F5925="Half Day",4,0))</f>
        <v>9</v>
      </c>
      <c r="J5925" s="2"/>
      <c r="K5925" s="2"/>
    </row>
    <row r="5926" customFormat="false" ht="15" hidden="false" customHeight="false" outlineLevel="0" collapsed="false">
      <c r="A5926" s="2" t="s">
        <v>431</v>
      </c>
      <c r="B5926" s="2" t="s">
        <v>432</v>
      </c>
      <c r="C5926" s="2" t="s">
        <v>24</v>
      </c>
      <c r="D5926" s="3" t="n">
        <v>46238</v>
      </c>
      <c r="E5926" s="2" t="str">
        <f aca="false">TEXT(D5926,"dddd")</f>
        <v>Tuesday</v>
      </c>
      <c r="F5926" s="2" t="s">
        <v>461</v>
      </c>
      <c r="G5926" s="2"/>
      <c r="H5926" s="2"/>
      <c r="I5926" s="2" t="n">
        <f aca="false">IF(F5926="Present",9,IF(F5926="Half Day",4,0))</f>
        <v>0</v>
      </c>
      <c r="J5926" s="2"/>
      <c r="K5926" s="2" t="s">
        <v>462</v>
      </c>
    </row>
    <row r="5927" customFormat="false" ht="15" hidden="false" customHeight="false" outlineLevel="0" collapsed="false">
      <c r="A5927" s="2" t="s">
        <v>431</v>
      </c>
      <c r="B5927" s="2" t="s">
        <v>432</v>
      </c>
      <c r="C5927" s="2" t="s">
        <v>24</v>
      </c>
      <c r="D5927" s="3" t="n">
        <v>46239</v>
      </c>
      <c r="E5927" s="2" t="str">
        <f aca="false">TEXT(D5927,"dddd")</f>
        <v>Wednesday</v>
      </c>
      <c r="F5927" s="2" t="s">
        <v>457</v>
      </c>
      <c r="G5927" s="2" t="s">
        <v>458</v>
      </c>
      <c r="H5927" s="2" t="s">
        <v>459</v>
      </c>
      <c r="I5927" s="2" t="n">
        <f aca="false">IF(F5927="Present",9,IF(F5927="Half Day",4,0))</f>
        <v>9</v>
      </c>
      <c r="J5927" s="2"/>
      <c r="K5927" s="2"/>
    </row>
    <row r="5928" customFormat="false" ht="15" hidden="false" customHeight="false" outlineLevel="0" collapsed="false">
      <c r="A5928" s="2" t="s">
        <v>431</v>
      </c>
      <c r="B5928" s="2" t="s">
        <v>432</v>
      </c>
      <c r="C5928" s="2" t="s">
        <v>24</v>
      </c>
      <c r="D5928" s="3" t="n">
        <v>46240</v>
      </c>
      <c r="E5928" s="2" t="str">
        <f aca="false">TEXT(D5928,"dddd")</f>
        <v>Thursday</v>
      </c>
      <c r="F5928" s="2" t="s">
        <v>457</v>
      </c>
      <c r="G5928" s="2" t="s">
        <v>458</v>
      </c>
      <c r="H5928" s="2" t="s">
        <v>459</v>
      </c>
      <c r="I5928" s="2" t="n">
        <f aca="false">IF(F5928="Present",9,IF(F5928="Half Day",4,0))</f>
        <v>9</v>
      </c>
      <c r="J5928" s="2"/>
      <c r="K5928" s="2"/>
    </row>
    <row r="5929" customFormat="false" ht="15" hidden="false" customHeight="false" outlineLevel="0" collapsed="false">
      <c r="A5929" s="2" t="s">
        <v>431</v>
      </c>
      <c r="B5929" s="2" t="s">
        <v>432</v>
      </c>
      <c r="C5929" s="2" t="s">
        <v>24</v>
      </c>
      <c r="D5929" s="3" t="n">
        <v>46241</v>
      </c>
      <c r="E5929" s="2" t="str">
        <f aca="false">TEXT(D5929,"dddd")</f>
        <v>Friday</v>
      </c>
      <c r="F5929" s="2" t="s">
        <v>457</v>
      </c>
      <c r="G5929" s="2" t="s">
        <v>458</v>
      </c>
      <c r="H5929" s="2" t="s">
        <v>459</v>
      </c>
      <c r="I5929" s="2" t="n">
        <f aca="false">IF(F5929="Present",9,IF(F5929="Half Day",4,0))</f>
        <v>9</v>
      </c>
      <c r="J5929" s="2"/>
      <c r="K5929" s="2"/>
    </row>
    <row r="5930" customFormat="false" ht="15" hidden="false" customHeight="false" outlineLevel="0" collapsed="false">
      <c r="A5930" s="2" t="s">
        <v>431</v>
      </c>
      <c r="B5930" s="2" t="s">
        <v>432</v>
      </c>
      <c r="C5930" s="2" t="s">
        <v>24</v>
      </c>
      <c r="D5930" s="3" t="n">
        <v>46242</v>
      </c>
      <c r="E5930" s="2" t="str">
        <f aca="false">TEXT(D5930,"dddd")</f>
        <v>Saturday</v>
      </c>
      <c r="F5930" s="2" t="s">
        <v>457</v>
      </c>
      <c r="G5930" s="2" t="s">
        <v>458</v>
      </c>
      <c r="H5930" s="2" t="s">
        <v>459</v>
      </c>
      <c r="I5930" s="2" t="n">
        <f aca="false">IF(F5930="Present",9,IF(F5930="Half Day",4,0))</f>
        <v>9</v>
      </c>
      <c r="J5930" s="2"/>
      <c r="K5930" s="2"/>
    </row>
    <row r="5931" customFormat="false" ht="15" hidden="false" customHeight="false" outlineLevel="0" collapsed="false">
      <c r="A5931" s="2" t="s">
        <v>431</v>
      </c>
      <c r="B5931" s="2" t="s">
        <v>432</v>
      </c>
      <c r="C5931" s="2" t="s">
        <v>24</v>
      </c>
      <c r="D5931" s="3" t="n">
        <v>46243</v>
      </c>
      <c r="E5931" s="2" t="str">
        <f aca="false">TEXT(D5931,"dddd")</f>
        <v>Sunday</v>
      </c>
      <c r="F5931" s="2" t="s">
        <v>460</v>
      </c>
      <c r="G5931" s="2"/>
      <c r="H5931" s="2"/>
      <c r="I5931" s="2" t="n">
        <f aca="false">IF(F5931="Present",9,IF(F5931="Half Day",4,0))</f>
        <v>0</v>
      </c>
      <c r="J5931" s="2"/>
      <c r="K5931" s="2" t="s">
        <v>460</v>
      </c>
    </row>
    <row r="5932" customFormat="false" ht="15" hidden="false" customHeight="false" outlineLevel="0" collapsed="false">
      <c r="A5932" s="2" t="s">
        <v>431</v>
      </c>
      <c r="B5932" s="2" t="s">
        <v>432</v>
      </c>
      <c r="C5932" s="2" t="s">
        <v>24</v>
      </c>
      <c r="D5932" s="3" t="n">
        <v>46244</v>
      </c>
      <c r="E5932" s="2" t="str">
        <f aca="false">TEXT(D5932,"dddd")</f>
        <v>Monday</v>
      </c>
      <c r="F5932" s="2" t="s">
        <v>457</v>
      </c>
      <c r="G5932" s="2" t="s">
        <v>458</v>
      </c>
      <c r="H5932" s="2" t="s">
        <v>459</v>
      </c>
      <c r="I5932" s="2" t="n">
        <f aca="false">IF(F5932="Present",9,IF(F5932="Half Day",4,0))</f>
        <v>9</v>
      </c>
      <c r="J5932" s="2"/>
      <c r="K5932" s="2"/>
    </row>
    <row r="5933" customFormat="false" ht="15" hidden="false" customHeight="false" outlineLevel="0" collapsed="false">
      <c r="A5933" s="2" t="s">
        <v>431</v>
      </c>
      <c r="B5933" s="2" t="s">
        <v>432</v>
      </c>
      <c r="C5933" s="2" t="s">
        <v>24</v>
      </c>
      <c r="D5933" s="3" t="n">
        <v>46245</v>
      </c>
      <c r="E5933" s="2" t="str">
        <f aca="false">TEXT(D5933,"dddd")</f>
        <v>Tuesday</v>
      </c>
      <c r="F5933" s="2" t="s">
        <v>466</v>
      </c>
      <c r="G5933" s="2" t="s">
        <v>458</v>
      </c>
      <c r="H5933" s="2" t="s">
        <v>467</v>
      </c>
      <c r="I5933" s="2" t="n">
        <f aca="false">IF(F5933="Present",9,IF(F5933="Half Day",4,0))</f>
        <v>4</v>
      </c>
      <c r="J5933" s="2"/>
      <c r="K5933" s="2" t="s">
        <v>466</v>
      </c>
    </row>
    <row r="5934" customFormat="false" ht="15" hidden="false" customHeight="false" outlineLevel="0" collapsed="false">
      <c r="A5934" s="2" t="s">
        <v>431</v>
      </c>
      <c r="B5934" s="2" t="s">
        <v>432</v>
      </c>
      <c r="C5934" s="2" t="s">
        <v>24</v>
      </c>
      <c r="D5934" s="3" t="n">
        <v>46246</v>
      </c>
      <c r="E5934" s="2" t="str">
        <f aca="false">TEXT(D5934,"dddd")</f>
        <v>Wednesday</v>
      </c>
      <c r="F5934" s="2" t="s">
        <v>457</v>
      </c>
      <c r="G5934" s="2" t="s">
        <v>458</v>
      </c>
      <c r="H5934" s="2" t="s">
        <v>459</v>
      </c>
      <c r="I5934" s="2" t="n">
        <f aca="false">IF(F5934="Present",9,IF(F5934="Half Day",4,0))</f>
        <v>9</v>
      </c>
      <c r="J5934" s="2"/>
      <c r="K5934" s="2"/>
    </row>
    <row r="5935" customFormat="false" ht="15" hidden="false" customHeight="false" outlineLevel="0" collapsed="false">
      <c r="A5935" s="2" t="s">
        <v>431</v>
      </c>
      <c r="B5935" s="2" t="s">
        <v>432</v>
      </c>
      <c r="C5935" s="2" t="s">
        <v>24</v>
      </c>
      <c r="D5935" s="3" t="n">
        <v>46247</v>
      </c>
      <c r="E5935" s="2" t="str">
        <f aca="false">TEXT(D5935,"dddd")</f>
        <v>Thursday</v>
      </c>
      <c r="F5935" s="2" t="s">
        <v>457</v>
      </c>
      <c r="G5935" s="2" t="s">
        <v>458</v>
      </c>
      <c r="H5935" s="2" t="s">
        <v>459</v>
      </c>
      <c r="I5935" s="2" t="n">
        <f aca="false">IF(F5935="Present",9,IF(F5935="Half Day",4,0))</f>
        <v>9</v>
      </c>
      <c r="J5935" s="2"/>
      <c r="K5935" s="2"/>
    </row>
    <row r="5936" customFormat="false" ht="15" hidden="false" customHeight="false" outlineLevel="0" collapsed="false">
      <c r="A5936" s="2" t="s">
        <v>431</v>
      </c>
      <c r="B5936" s="2" t="s">
        <v>432</v>
      </c>
      <c r="C5936" s="2" t="s">
        <v>24</v>
      </c>
      <c r="D5936" s="3" t="n">
        <v>46248</v>
      </c>
      <c r="E5936" s="2" t="str">
        <f aca="false">TEXT(D5936,"dddd")</f>
        <v>Friday</v>
      </c>
      <c r="F5936" s="2" t="s">
        <v>466</v>
      </c>
      <c r="G5936" s="2" t="s">
        <v>458</v>
      </c>
      <c r="H5936" s="2" t="s">
        <v>467</v>
      </c>
      <c r="I5936" s="2" t="n">
        <f aca="false">IF(F5936="Present",9,IF(F5936="Half Day",4,0))</f>
        <v>4</v>
      </c>
      <c r="J5936" s="2"/>
      <c r="K5936" s="2" t="s">
        <v>466</v>
      </c>
    </row>
    <row r="5937" customFormat="false" ht="15" hidden="false" customHeight="false" outlineLevel="0" collapsed="false">
      <c r="A5937" s="2" t="s">
        <v>431</v>
      </c>
      <c r="B5937" s="2" t="s">
        <v>432</v>
      </c>
      <c r="C5937" s="2" t="s">
        <v>24</v>
      </c>
      <c r="D5937" s="3" t="n">
        <v>46249</v>
      </c>
      <c r="E5937" s="2" t="str">
        <f aca="false">TEXT(D5937,"dddd")</f>
        <v>Saturday</v>
      </c>
      <c r="F5937" s="2" t="s">
        <v>457</v>
      </c>
      <c r="G5937" s="2" t="s">
        <v>458</v>
      </c>
      <c r="H5937" s="2" t="s">
        <v>459</v>
      </c>
      <c r="I5937" s="2" t="n">
        <f aca="false">IF(F5937="Present",9,IF(F5937="Half Day",4,0))</f>
        <v>9</v>
      </c>
      <c r="J5937" s="2"/>
      <c r="K5937" s="2"/>
    </row>
    <row r="5938" customFormat="false" ht="15" hidden="false" customHeight="false" outlineLevel="0" collapsed="false">
      <c r="A5938" s="2" t="s">
        <v>431</v>
      </c>
      <c r="B5938" s="2" t="s">
        <v>432</v>
      </c>
      <c r="C5938" s="2" t="s">
        <v>24</v>
      </c>
      <c r="D5938" s="3" t="n">
        <v>46250</v>
      </c>
      <c r="E5938" s="2" t="str">
        <f aca="false">TEXT(D5938,"dddd")</f>
        <v>Sunday</v>
      </c>
      <c r="F5938" s="2" t="s">
        <v>460</v>
      </c>
      <c r="G5938" s="2"/>
      <c r="H5938" s="2"/>
      <c r="I5938" s="2" t="n">
        <f aca="false">IF(F5938="Present",9,IF(F5938="Half Day",4,0))</f>
        <v>0</v>
      </c>
      <c r="J5938" s="2"/>
      <c r="K5938" s="2" t="s">
        <v>460</v>
      </c>
    </row>
    <row r="5939" customFormat="false" ht="15" hidden="false" customHeight="false" outlineLevel="0" collapsed="false">
      <c r="A5939" s="2" t="s">
        <v>431</v>
      </c>
      <c r="B5939" s="2" t="s">
        <v>432</v>
      </c>
      <c r="C5939" s="2" t="s">
        <v>24</v>
      </c>
      <c r="D5939" s="3" t="n">
        <v>46251</v>
      </c>
      <c r="E5939" s="2" t="str">
        <f aca="false">TEXT(D5939,"dddd")</f>
        <v>Monday</v>
      </c>
      <c r="F5939" s="2" t="s">
        <v>457</v>
      </c>
      <c r="G5939" s="2" t="s">
        <v>458</v>
      </c>
      <c r="H5939" s="2" t="s">
        <v>459</v>
      </c>
      <c r="I5939" s="2" t="n">
        <f aca="false">IF(F5939="Present",9,IF(F5939="Half Day",4,0))</f>
        <v>9</v>
      </c>
      <c r="J5939" s="2"/>
      <c r="K5939" s="2"/>
    </row>
    <row r="5940" customFormat="false" ht="15" hidden="false" customHeight="false" outlineLevel="0" collapsed="false">
      <c r="A5940" s="2" t="s">
        <v>431</v>
      </c>
      <c r="B5940" s="2" t="s">
        <v>432</v>
      </c>
      <c r="C5940" s="2" t="s">
        <v>24</v>
      </c>
      <c r="D5940" s="3" t="n">
        <v>46252</v>
      </c>
      <c r="E5940" s="2" t="str">
        <f aca="false">TEXT(D5940,"dddd")</f>
        <v>Tuesday</v>
      </c>
      <c r="F5940" s="2" t="s">
        <v>457</v>
      </c>
      <c r="G5940" s="2" t="s">
        <v>458</v>
      </c>
      <c r="H5940" s="2" t="s">
        <v>459</v>
      </c>
      <c r="I5940" s="2" t="n">
        <f aca="false">IF(F5940="Present",9,IF(F5940="Half Day",4,0))</f>
        <v>9</v>
      </c>
      <c r="J5940" s="2"/>
      <c r="K5940" s="2"/>
    </row>
    <row r="5941" customFormat="false" ht="15" hidden="false" customHeight="false" outlineLevel="0" collapsed="false">
      <c r="A5941" s="2" t="s">
        <v>431</v>
      </c>
      <c r="B5941" s="2" t="s">
        <v>432</v>
      </c>
      <c r="C5941" s="2" t="s">
        <v>24</v>
      </c>
      <c r="D5941" s="3" t="n">
        <v>46253</v>
      </c>
      <c r="E5941" s="2" t="str">
        <f aca="false">TEXT(D5941,"dddd")</f>
        <v>Wednesday</v>
      </c>
      <c r="F5941" s="2" t="s">
        <v>457</v>
      </c>
      <c r="G5941" s="2" t="s">
        <v>458</v>
      </c>
      <c r="H5941" s="2" t="s">
        <v>459</v>
      </c>
      <c r="I5941" s="2" t="n">
        <f aca="false">IF(F5941="Present",9,IF(F5941="Half Day",4,0))</f>
        <v>9</v>
      </c>
      <c r="J5941" s="2"/>
      <c r="K5941" s="2"/>
    </row>
    <row r="5942" customFormat="false" ht="15" hidden="false" customHeight="false" outlineLevel="0" collapsed="false">
      <c r="A5942" s="2" t="s">
        <v>431</v>
      </c>
      <c r="B5942" s="2" t="s">
        <v>432</v>
      </c>
      <c r="C5942" s="2" t="s">
        <v>24</v>
      </c>
      <c r="D5942" s="3" t="n">
        <v>46254</v>
      </c>
      <c r="E5942" s="2" t="str">
        <f aca="false">TEXT(D5942,"dddd")</f>
        <v>Thursday</v>
      </c>
      <c r="F5942" s="2" t="s">
        <v>457</v>
      </c>
      <c r="G5942" s="2" t="s">
        <v>458</v>
      </c>
      <c r="H5942" s="2" t="s">
        <v>459</v>
      </c>
      <c r="I5942" s="2" t="n">
        <f aca="false">IF(F5942="Present",9,IF(F5942="Half Day",4,0))</f>
        <v>9</v>
      </c>
      <c r="J5942" s="2"/>
      <c r="K5942" s="2"/>
    </row>
    <row r="5943" customFormat="false" ht="15" hidden="false" customHeight="false" outlineLevel="0" collapsed="false">
      <c r="A5943" s="2" t="s">
        <v>431</v>
      </c>
      <c r="B5943" s="2" t="s">
        <v>432</v>
      </c>
      <c r="C5943" s="2" t="s">
        <v>24</v>
      </c>
      <c r="D5943" s="3" t="n">
        <v>46255</v>
      </c>
      <c r="E5943" s="2" t="str">
        <f aca="false">TEXT(D5943,"dddd")</f>
        <v>Friday</v>
      </c>
      <c r="F5943" s="2" t="s">
        <v>457</v>
      </c>
      <c r="G5943" s="2" t="s">
        <v>458</v>
      </c>
      <c r="H5943" s="2" t="s">
        <v>459</v>
      </c>
      <c r="I5943" s="2" t="n">
        <f aca="false">IF(F5943="Present",9,IF(F5943="Half Day",4,0))</f>
        <v>9</v>
      </c>
      <c r="J5943" s="2"/>
      <c r="K5943" s="2"/>
    </row>
    <row r="5944" customFormat="false" ht="15" hidden="false" customHeight="false" outlineLevel="0" collapsed="false">
      <c r="A5944" s="2" t="s">
        <v>431</v>
      </c>
      <c r="B5944" s="2" t="s">
        <v>432</v>
      </c>
      <c r="C5944" s="2" t="s">
        <v>24</v>
      </c>
      <c r="D5944" s="3" t="n">
        <v>46256</v>
      </c>
      <c r="E5944" s="2" t="str">
        <f aca="false">TEXT(D5944,"dddd")</f>
        <v>Saturday</v>
      </c>
      <c r="F5944" s="2" t="s">
        <v>457</v>
      </c>
      <c r="G5944" s="2" t="s">
        <v>458</v>
      </c>
      <c r="H5944" s="2" t="s">
        <v>459</v>
      </c>
      <c r="I5944" s="2" t="n">
        <f aca="false">IF(F5944="Present",9,IF(F5944="Half Day",4,0))</f>
        <v>9</v>
      </c>
      <c r="J5944" s="2"/>
      <c r="K5944" s="2"/>
    </row>
    <row r="5945" customFormat="false" ht="15" hidden="false" customHeight="false" outlineLevel="0" collapsed="false">
      <c r="A5945" s="2" t="s">
        <v>431</v>
      </c>
      <c r="B5945" s="2" t="s">
        <v>432</v>
      </c>
      <c r="C5945" s="2" t="s">
        <v>24</v>
      </c>
      <c r="D5945" s="3" t="n">
        <v>46257</v>
      </c>
      <c r="E5945" s="2" t="str">
        <f aca="false">TEXT(D5945,"dddd")</f>
        <v>Sunday</v>
      </c>
      <c r="F5945" s="2" t="s">
        <v>460</v>
      </c>
      <c r="G5945" s="2"/>
      <c r="H5945" s="2"/>
      <c r="I5945" s="2" t="n">
        <f aca="false">IF(F5945="Present",9,IF(F5945="Half Day",4,0))</f>
        <v>0</v>
      </c>
      <c r="J5945" s="2"/>
      <c r="K5945" s="2" t="s">
        <v>460</v>
      </c>
    </row>
    <row r="5946" customFormat="false" ht="15" hidden="false" customHeight="false" outlineLevel="0" collapsed="false">
      <c r="A5946" s="2" t="s">
        <v>431</v>
      </c>
      <c r="B5946" s="2" t="s">
        <v>432</v>
      </c>
      <c r="C5946" s="2" t="s">
        <v>24</v>
      </c>
      <c r="D5946" s="3" t="n">
        <v>46258</v>
      </c>
      <c r="E5946" s="2" t="str">
        <f aca="false">TEXT(D5946,"dddd")</f>
        <v>Monday</v>
      </c>
      <c r="F5946" s="2" t="s">
        <v>457</v>
      </c>
      <c r="G5946" s="2" t="s">
        <v>458</v>
      </c>
      <c r="H5946" s="2" t="s">
        <v>459</v>
      </c>
      <c r="I5946" s="2" t="n">
        <f aca="false">IF(F5946="Present",9,IF(F5946="Half Day",4,0))</f>
        <v>9</v>
      </c>
      <c r="J5946" s="2"/>
      <c r="K5946" s="2"/>
    </row>
    <row r="5947" customFormat="false" ht="15" hidden="false" customHeight="false" outlineLevel="0" collapsed="false">
      <c r="A5947" s="2" t="s">
        <v>431</v>
      </c>
      <c r="B5947" s="2" t="s">
        <v>432</v>
      </c>
      <c r="C5947" s="2" t="s">
        <v>24</v>
      </c>
      <c r="D5947" s="3" t="n">
        <v>46259</v>
      </c>
      <c r="E5947" s="2" t="str">
        <f aca="false">TEXT(D5947,"dddd")</f>
        <v>Tuesday</v>
      </c>
      <c r="F5947" s="2" t="s">
        <v>461</v>
      </c>
      <c r="G5947" s="2"/>
      <c r="H5947" s="2"/>
      <c r="I5947" s="2" t="n">
        <f aca="false">IF(F5947="Present",9,IF(F5947="Half Day",4,0))</f>
        <v>0</v>
      </c>
      <c r="J5947" s="2"/>
      <c r="K5947" s="2" t="s">
        <v>462</v>
      </c>
    </row>
    <row r="5948" customFormat="false" ht="15" hidden="false" customHeight="false" outlineLevel="0" collapsed="false">
      <c r="A5948" s="2" t="s">
        <v>431</v>
      </c>
      <c r="B5948" s="2" t="s">
        <v>432</v>
      </c>
      <c r="C5948" s="2" t="s">
        <v>24</v>
      </c>
      <c r="D5948" s="3" t="n">
        <v>46260</v>
      </c>
      <c r="E5948" s="2" t="str">
        <f aca="false">TEXT(D5948,"dddd")</f>
        <v>Wednesday</v>
      </c>
      <c r="F5948" s="2" t="s">
        <v>457</v>
      </c>
      <c r="G5948" s="2" t="s">
        <v>458</v>
      </c>
      <c r="H5948" s="2" t="s">
        <v>459</v>
      </c>
      <c r="I5948" s="2" t="n">
        <f aca="false">IF(F5948="Present",9,IF(F5948="Half Day",4,0))</f>
        <v>9</v>
      </c>
      <c r="J5948" s="2"/>
      <c r="K5948" s="2"/>
    </row>
    <row r="5949" customFormat="false" ht="15" hidden="false" customHeight="false" outlineLevel="0" collapsed="false">
      <c r="A5949" s="2" t="s">
        <v>431</v>
      </c>
      <c r="B5949" s="2" t="s">
        <v>432</v>
      </c>
      <c r="C5949" s="2" t="s">
        <v>24</v>
      </c>
      <c r="D5949" s="3" t="n">
        <v>46261</v>
      </c>
      <c r="E5949" s="2" t="str">
        <f aca="false">TEXT(D5949,"dddd")</f>
        <v>Thursday</v>
      </c>
      <c r="F5949" s="2" t="s">
        <v>457</v>
      </c>
      <c r="G5949" s="2" t="s">
        <v>458</v>
      </c>
      <c r="H5949" s="2" t="s">
        <v>459</v>
      </c>
      <c r="I5949" s="2" t="n">
        <f aca="false">IF(F5949="Present",9,IF(F5949="Half Day",4,0))</f>
        <v>9</v>
      </c>
      <c r="J5949" s="2"/>
      <c r="K5949" s="2"/>
    </row>
    <row r="5950" customFormat="false" ht="15" hidden="false" customHeight="false" outlineLevel="0" collapsed="false">
      <c r="A5950" s="2" t="s">
        <v>431</v>
      </c>
      <c r="B5950" s="2" t="s">
        <v>432</v>
      </c>
      <c r="C5950" s="2" t="s">
        <v>24</v>
      </c>
      <c r="D5950" s="3" t="n">
        <v>46262</v>
      </c>
      <c r="E5950" s="2" t="str">
        <f aca="false">TEXT(D5950,"dddd")</f>
        <v>Friday</v>
      </c>
      <c r="F5950" s="2" t="s">
        <v>457</v>
      </c>
      <c r="G5950" s="2" t="s">
        <v>458</v>
      </c>
      <c r="H5950" s="2" t="s">
        <v>459</v>
      </c>
      <c r="I5950" s="2" t="n">
        <f aca="false">IF(F5950="Present",9,IF(F5950="Half Day",4,0))</f>
        <v>9</v>
      </c>
      <c r="J5950" s="2"/>
      <c r="K5950" s="2"/>
    </row>
    <row r="5951" customFormat="false" ht="15" hidden="false" customHeight="false" outlineLevel="0" collapsed="false">
      <c r="A5951" s="2" t="s">
        <v>431</v>
      </c>
      <c r="B5951" s="2" t="s">
        <v>432</v>
      </c>
      <c r="C5951" s="2" t="s">
        <v>24</v>
      </c>
      <c r="D5951" s="3" t="n">
        <v>46263</v>
      </c>
      <c r="E5951" s="2" t="str">
        <f aca="false">TEXT(D5951,"dddd")</f>
        <v>Saturday</v>
      </c>
      <c r="F5951" s="2" t="s">
        <v>457</v>
      </c>
      <c r="G5951" s="2" t="s">
        <v>458</v>
      </c>
      <c r="H5951" s="2" t="s">
        <v>459</v>
      </c>
      <c r="I5951" s="2" t="n">
        <f aca="false">IF(F5951="Present",9,IF(F5951="Half Day",4,0))</f>
        <v>9</v>
      </c>
      <c r="J5951" s="2"/>
      <c r="K5951" s="2"/>
    </row>
    <row r="5952" customFormat="false" ht="15" hidden="false" customHeight="false" outlineLevel="0" collapsed="false">
      <c r="A5952" s="2" t="s">
        <v>431</v>
      </c>
      <c r="B5952" s="2" t="s">
        <v>432</v>
      </c>
      <c r="C5952" s="2" t="s">
        <v>24</v>
      </c>
      <c r="D5952" s="3" t="n">
        <v>46264</v>
      </c>
      <c r="E5952" s="2" t="str">
        <f aca="false">TEXT(D5952,"dddd")</f>
        <v>Sunday</v>
      </c>
      <c r="F5952" s="2" t="s">
        <v>460</v>
      </c>
      <c r="G5952" s="2"/>
      <c r="H5952" s="2"/>
      <c r="I5952" s="2" t="n">
        <f aca="false">IF(F5952="Present",9,IF(F5952="Half Day",4,0))</f>
        <v>0</v>
      </c>
      <c r="J5952" s="2"/>
      <c r="K5952" s="2" t="s">
        <v>460</v>
      </c>
    </row>
    <row r="5953" customFormat="false" ht="15" hidden="false" customHeight="false" outlineLevel="0" collapsed="false">
      <c r="A5953" s="2" t="s">
        <v>431</v>
      </c>
      <c r="B5953" s="2" t="s">
        <v>432</v>
      </c>
      <c r="C5953" s="2" t="s">
        <v>24</v>
      </c>
      <c r="D5953" s="3" t="n">
        <v>46265</v>
      </c>
      <c r="E5953" s="2" t="str">
        <f aca="false">TEXT(D5953,"dddd")</f>
        <v>Monday</v>
      </c>
      <c r="F5953" s="2" t="s">
        <v>461</v>
      </c>
      <c r="G5953" s="2"/>
      <c r="H5953" s="2"/>
      <c r="I5953" s="2" t="n">
        <f aca="false">IF(F5953="Present",9,IF(F5953="Half Day",4,0))</f>
        <v>0</v>
      </c>
      <c r="J5953" s="2"/>
      <c r="K5953" s="2" t="s">
        <v>462</v>
      </c>
    </row>
    <row r="5954" customFormat="false" ht="15" hidden="false" customHeight="false" outlineLevel="0" collapsed="false">
      <c r="A5954" s="2" t="s">
        <v>433</v>
      </c>
      <c r="B5954" s="2" t="s">
        <v>434</v>
      </c>
      <c r="C5954" s="2" t="s">
        <v>28</v>
      </c>
      <c r="D5954" s="3" t="n">
        <v>46235</v>
      </c>
      <c r="E5954" s="2" t="str">
        <f aca="false">TEXT(D5954,"dddd")</f>
        <v>Saturday</v>
      </c>
      <c r="F5954" s="2" t="s">
        <v>457</v>
      </c>
      <c r="G5954" s="2" t="s">
        <v>458</v>
      </c>
      <c r="H5954" s="2" t="s">
        <v>459</v>
      </c>
      <c r="I5954" s="2" t="n">
        <f aca="false">IF(F5954="Present",9,IF(F5954="Half Day",4,0))</f>
        <v>9</v>
      </c>
      <c r="J5954" s="2"/>
      <c r="K5954" s="2"/>
    </row>
    <row r="5955" customFormat="false" ht="15" hidden="false" customHeight="false" outlineLevel="0" collapsed="false">
      <c r="A5955" s="2" t="s">
        <v>433</v>
      </c>
      <c r="B5955" s="2" t="s">
        <v>434</v>
      </c>
      <c r="C5955" s="2" t="s">
        <v>28</v>
      </c>
      <c r="D5955" s="3" t="n">
        <v>46236</v>
      </c>
      <c r="E5955" s="2" t="str">
        <f aca="false">TEXT(D5955,"dddd")</f>
        <v>Sunday</v>
      </c>
      <c r="F5955" s="2" t="s">
        <v>460</v>
      </c>
      <c r="G5955" s="2"/>
      <c r="H5955" s="2"/>
      <c r="I5955" s="2" t="n">
        <f aca="false">IF(F5955="Present",9,IF(F5955="Half Day",4,0))</f>
        <v>0</v>
      </c>
      <c r="J5955" s="2"/>
      <c r="K5955" s="2" t="s">
        <v>460</v>
      </c>
    </row>
    <row r="5956" customFormat="false" ht="15" hidden="false" customHeight="false" outlineLevel="0" collapsed="false">
      <c r="A5956" s="2" t="s">
        <v>433</v>
      </c>
      <c r="B5956" s="2" t="s">
        <v>434</v>
      </c>
      <c r="C5956" s="2" t="s">
        <v>28</v>
      </c>
      <c r="D5956" s="3" t="n">
        <v>46237</v>
      </c>
      <c r="E5956" s="2" t="str">
        <f aca="false">TEXT(D5956,"dddd")</f>
        <v>Monday</v>
      </c>
      <c r="F5956" s="2" t="s">
        <v>457</v>
      </c>
      <c r="G5956" s="2" t="s">
        <v>458</v>
      </c>
      <c r="H5956" s="2" t="s">
        <v>459</v>
      </c>
      <c r="I5956" s="2" t="n">
        <f aca="false">IF(F5956="Present",9,IF(F5956="Half Day",4,0))</f>
        <v>9</v>
      </c>
      <c r="J5956" s="2"/>
      <c r="K5956" s="2"/>
    </row>
    <row r="5957" customFormat="false" ht="15" hidden="false" customHeight="false" outlineLevel="0" collapsed="false">
      <c r="A5957" s="2" t="s">
        <v>433</v>
      </c>
      <c r="B5957" s="2" t="s">
        <v>434</v>
      </c>
      <c r="C5957" s="2" t="s">
        <v>28</v>
      </c>
      <c r="D5957" s="3" t="n">
        <v>46238</v>
      </c>
      <c r="E5957" s="2" t="str">
        <f aca="false">TEXT(D5957,"dddd")</f>
        <v>Tuesday</v>
      </c>
      <c r="F5957" s="2" t="s">
        <v>457</v>
      </c>
      <c r="G5957" s="2" t="s">
        <v>458</v>
      </c>
      <c r="H5957" s="2" t="s">
        <v>459</v>
      </c>
      <c r="I5957" s="2" t="n">
        <f aca="false">IF(F5957="Present",9,IF(F5957="Half Day",4,0))</f>
        <v>9</v>
      </c>
      <c r="J5957" s="2"/>
      <c r="K5957" s="2"/>
    </row>
    <row r="5958" customFormat="false" ht="15" hidden="false" customHeight="false" outlineLevel="0" collapsed="false">
      <c r="A5958" s="2" t="s">
        <v>433</v>
      </c>
      <c r="B5958" s="2" t="s">
        <v>434</v>
      </c>
      <c r="C5958" s="2" t="s">
        <v>28</v>
      </c>
      <c r="D5958" s="3" t="n">
        <v>46239</v>
      </c>
      <c r="E5958" s="2" t="str">
        <f aca="false">TEXT(D5958,"dddd")</f>
        <v>Wednesday</v>
      </c>
      <c r="F5958" s="2" t="s">
        <v>457</v>
      </c>
      <c r="G5958" s="2" t="s">
        <v>458</v>
      </c>
      <c r="H5958" s="2" t="s">
        <v>459</v>
      </c>
      <c r="I5958" s="2" t="n">
        <f aca="false">IF(F5958="Present",9,IF(F5958="Half Day",4,0))</f>
        <v>9</v>
      </c>
      <c r="J5958" s="2"/>
      <c r="K5958" s="2"/>
    </row>
    <row r="5959" customFormat="false" ht="15" hidden="false" customHeight="false" outlineLevel="0" collapsed="false">
      <c r="A5959" s="2" t="s">
        <v>433</v>
      </c>
      <c r="B5959" s="2" t="s">
        <v>434</v>
      </c>
      <c r="C5959" s="2" t="s">
        <v>28</v>
      </c>
      <c r="D5959" s="3" t="n">
        <v>46240</v>
      </c>
      <c r="E5959" s="2" t="str">
        <f aca="false">TEXT(D5959,"dddd")</f>
        <v>Thursday</v>
      </c>
      <c r="F5959" s="2" t="s">
        <v>457</v>
      </c>
      <c r="G5959" s="2" t="s">
        <v>458</v>
      </c>
      <c r="H5959" s="2" t="s">
        <v>459</v>
      </c>
      <c r="I5959" s="2" t="n">
        <f aca="false">IF(F5959="Present",9,IF(F5959="Half Day",4,0))</f>
        <v>9</v>
      </c>
      <c r="J5959" s="2"/>
      <c r="K5959" s="2"/>
    </row>
    <row r="5960" customFormat="false" ht="15" hidden="false" customHeight="false" outlineLevel="0" collapsed="false">
      <c r="A5960" s="2" t="s">
        <v>433</v>
      </c>
      <c r="B5960" s="2" t="s">
        <v>434</v>
      </c>
      <c r="C5960" s="2" t="s">
        <v>28</v>
      </c>
      <c r="D5960" s="3" t="n">
        <v>46241</v>
      </c>
      <c r="E5960" s="2" t="str">
        <f aca="false">TEXT(D5960,"dddd")</f>
        <v>Friday</v>
      </c>
      <c r="F5960" s="2" t="s">
        <v>466</v>
      </c>
      <c r="G5960" s="2" t="s">
        <v>458</v>
      </c>
      <c r="H5960" s="2" t="s">
        <v>467</v>
      </c>
      <c r="I5960" s="2" t="n">
        <f aca="false">IF(F5960="Present",9,IF(F5960="Half Day",4,0))</f>
        <v>4</v>
      </c>
      <c r="J5960" s="2"/>
      <c r="K5960" s="2" t="s">
        <v>466</v>
      </c>
    </row>
    <row r="5961" customFormat="false" ht="15" hidden="false" customHeight="false" outlineLevel="0" collapsed="false">
      <c r="A5961" s="2" t="s">
        <v>433</v>
      </c>
      <c r="B5961" s="2" t="s">
        <v>434</v>
      </c>
      <c r="C5961" s="2" t="s">
        <v>28</v>
      </c>
      <c r="D5961" s="3" t="n">
        <v>46242</v>
      </c>
      <c r="E5961" s="2" t="str">
        <f aca="false">TEXT(D5961,"dddd")</f>
        <v>Saturday</v>
      </c>
      <c r="F5961" s="2" t="s">
        <v>457</v>
      </c>
      <c r="G5961" s="2" t="s">
        <v>458</v>
      </c>
      <c r="H5961" s="2" t="s">
        <v>459</v>
      </c>
      <c r="I5961" s="2" t="n">
        <f aca="false">IF(F5961="Present",9,IF(F5961="Half Day",4,0))</f>
        <v>9</v>
      </c>
      <c r="J5961" s="2"/>
      <c r="K5961" s="2"/>
    </row>
    <row r="5962" customFormat="false" ht="15" hidden="false" customHeight="false" outlineLevel="0" collapsed="false">
      <c r="A5962" s="2" t="s">
        <v>433</v>
      </c>
      <c r="B5962" s="2" t="s">
        <v>434</v>
      </c>
      <c r="C5962" s="2" t="s">
        <v>28</v>
      </c>
      <c r="D5962" s="3" t="n">
        <v>46243</v>
      </c>
      <c r="E5962" s="2" t="str">
        <f aca="false">TEXT(D5962,"dddd")</f>
        <v>Sunday</v>
      </c>
      <c r="F5962" s="2" t="s">
        <v>460</v>
      </c>
      <c r="G5962" s="2"/>
      <c r="H5962" s="2"/>
      <c r="I5962" s="2" t="n">
        <f aca="false">IF(F5962="Present",9,IF(F5962="Half Day",4,0))</f>
        <v>0</v>
      </c>
      <c r="J5962" s="2"/>
      <c r="K5962" s="2" t="s">
        <v>460</v>
      </c>
    </row>
    <row r="5963" customFormat="false" ht="15" hidden="false" customHeight="false" outlineLevel="0" collapsed="false">
      <c r="A5963" s="2" t="s">
        <v>433</v>
      </c>
      <c r="B5963" s="2" t="s">
        <v>434</v>
      </c>
      <c r="C5963" s="2" t="s">
        <v>28</v>
      </c>
      <c r="D5963" s="3" t="n">
        <v>46244</v>
      </c>
      <c r="E5963" s="2" t="str">
        <f aca="false">TEXT(D5963,"dddd")</f>
        <v>Monday</v>
      </c>
      <c r="F5963" s="2" t="s">
        <v>457</v>
      </c>
      <c r="G5963" s="2" t="s">
        <v>458</v>
      </c>
      <c r="H5963" s="2" t="s">
        <v>459</v>
      </c>
      <c r="I5963" s="2" t="n">
        <f aca="false">IF(F5963="Present",9,IF(F5963="Half Day",4,0))</f>
        <v>9</v>
      </c>
      <c r="J5963" s="2"/>
      <c r="K5963" s="2"/>
    </row>
    <row r="5964" customFormat="false" ht="15" hidden="false" customHeight="false" outlineLevel="0" collapsed="false">
      <c r="A5964" s="2" t="s">
        <v>433</v>
      </c>
      <c r="B5964" s="2" t="s">
        <v>434</v>
      </c>
      <c r="C5964" s="2" t="s">
        <v>28</v>
      </c>
      <c r="D5964" s="3" t="n">
        <v>46245</v>
      </c>
      <c r="E5964" s="2" t="str">
        <f aca="false">TEXT(D5964,"dddd")</f>
        <v>Tuesday</v>
      </c>
      <c r="F5964" s="2" t="s">
        <v>457</v>
      </c>
      <c r="G5964" s="2" t="s">
        <v>458</v>
      </c>
      <c r="H5964" s="2" t="s">
        <v>459</v>
      </c>
      <c r="I5964" s="2" t="n">
        <f aca="false">IF(F5964="Present",9,IF(F5964="Half Day",4,0))</f>
        <v>9</v>
      </c>
      <c r="J5964" s="2"/>
      <c r="K5964" s="2"/>
    </row>
    <row r="5965" customFormat="false" ht="15" hidden="false" customHeight="false" outlineLevel="0" collapsed="false">
      <c r="A5965" s="2" t="s">
        <v>433</v>
      </c>
      <c r="B5965" s="2" t="s">
        <v>434</v>
      </c>
      <c r="C5965" s="2" t="s">
        <v>28</v>
      </c>
      <c r="D5965" s="3" t="n">
        <v>46246</v>
      </c>
      <c r="E5965" s="2" t="str">
        <f aca="false">TEXT(D5965,"dddd")</f>
        <v>Wednesday</v>
      </c>
      <c r="F5965" s="2" t="s">
        <v>457</v>
      </c>
      <c r="G5965" s="2" t="s">
        <v>458</v>
      </c>
      <c r="H5965" s="2" t="s">
        <v>459</v>
      </c>
      <c r="I5965" s="2" t="n">
        <f aca="false">IF(F5965="Present",9,IF(F5965="Half Day",4,0))</f>
        <v>9</v>
      </c>
      <c r="J5965" s="2"/>
      <c r="K5965" s="2"/>
    </row>
    <row r="5966" customFormat="false" ht="15" hidden="false" customHeight="false" outlineLevel="0" collapsed="false">
      <c r="A5966" s="2" t="s">
        <v>433</v>
      </c>
      <c r="B5966" s="2" t="s">
        <v>434</v>
      </c>
      <c r="C5966" s="2" t="s">
        <v>28</v>
      </c>
      <c r="D5966" s="3" t="n">
        <v>46247</v>
      </c>
      <c r="E5966" s="2" t="str">
        <f aca="false">TEXT(D5966,"dddd")</f>
        <v>Thursday</v>
      </c>
      <c r="F5966" s="2" t="s">
        <v>457</v>
      </c>
      <c r="G5966" s="2" t="s">
        <v>458</v>
      </c>
      <c r="H5966" s="2" t="s">
        <v>459</v>
      </c>
      <c r="I5966" s="2" t="n">
        <f aca="false">IF(F5966="Present",9,IF(F5966="Half Day",4,0))</f>
        <v>9</v>
      </c>
      <c r="J5966" s="2"/>
      <c r="K5966" s="2"/>
    </row>
    <row r="5967" customFormat="false" ht="15" hidden="false" customHeight="false" outlineLevel="0" collapsed="false">
      <c r="A5967" s="2" t="s">
        <v>433</v>
      </c>
      <c r="B5967" s="2" t="s">
        <v>434</v>
      </c>
      <c r="C5967" s="2" t="s">
        <v>28</v>
      </c>
      <c r="D5967" s="3" t="n">
        <v>46248</v>
      </c>
      <c r="E5967" s="2" t="str">
        <f aca="false">TEXT(D5967,"dddd")</f>
        <v>Friday</v>
      </c>
      <c r="F5967" s="2" t="s">
        <v>457</v>
      </c>
      <c r="G5967" s="2" t="s">
        <v>458</v>
      </c>
      <c r="H5967" s="2" t="s">
        <v>459</v>
      </c>
      <c r="I5967" s="2" t="n">
        <f aca="false">IF(F5967="Present",9,IF(F5967="Half Day",4,0))</f>
        <v>9</v>
      </c>
      <c r="J5967" s="2"/>
      <c r="K5967" s="2"/>
    </row>
    <row r="5968" customFormat="false" ht="15" hidden="false" customHeight="false" outlineLevel="0" collapsed="false">
      <c r="A5968" s="2" t="s">
        <v>433</v>
      </c>
      <c r="B5968" s="2" t="s">
        <v>434</v>
      </c>
      <c r="C5968" s="2" t="s">
        <v>28</v>
      </c>
      <c r="D5968" s="3" t="n">
        <v>46249</v>
      </c>
      <c r="E5968" s="2" t="str">
        <f aca="false">TEXT(D5968,"dddd")</f>
        <v>Saturday</v>
      </c>
      <c r="F5968" s="2" t="s">
        <v>457</v>
      </c>
      <c r="G5968" s="2" t="s">
        <v>458</v>
      </c>
      <c r="H5968" s="2" t="s">
        <v>459</v>
      </c>
      <c r="I5968" s="2" t="n">
        <f aca="false">IF(F5968="Present",9,IF(F5968="Half Day",4,0))</f>
        <v>9</v>
      </c>
      <c r="J5968" s="2"/>
      <c r="K5968" s="2"/>
    </row>
    <row r="5969" customFormat="false" ht="15" hidden="false" customHeight="false" outlineLevel="0" collapsed="false">
      <c r="A5969" s="2" t="s">
        <v>433</v>
      </c>
      <c r="B5969" s="2" t="s">
        <v>434</v>
      </c>
      <c r="C5969" s="2" t="s">
        <v>28</v>
      </c>
      <c r="D5969" s="3" t="n">
        <v>46250</v>
      </c>
      <c r="E5969" s="2" t="str">
        <f aca="false">TEXT(D5969,"dddd")</f>
        <v>Sunday</v>
      </c>
      <c r="F5969" s="2" t="s">
        <v>460</v>
      </c>
      <c r="G5969" s="2"/>
      <c r="H5969" s="2"/>
      <c r="I5969" s="2" t="n">
        <f aca="false">IF(F5969="Present",9,IF(F5969="Half Day",4,0))</f>
        <v>0</v>
      </c>
      <c r="J5969" s="2"/>
      <c r="K5969" s="2" t="s">
        <v>460</v>
      </c>
    </row>
    <row r="5970" customFormat="false" ht="15" hidden="false" customHeight="false" outlineLevel="0" collapsed="false">
      <c r="A5970" s="2" t="s">
        <v>433</v>
      </c>
      <c r="B5970" s="2" t="s">
        <v>434</v>
      </c>
      <c r="C5970" s="2" t="s">
        <v>28</v>
      </c>
      <c r="D5970" s="3" t="n">
        <v>46251</v>
      </c>
      <c r="E5970" s="2" t="str">
        <f aca="false">TEXT(D5970,"dddd")</f>
        <v>Monday</v>
      </c>
      <c r="F5970" s="2" t="s">
        <v>457</v>
      </c>
      <c r="G5970" s="2" t="s">
        <v>458</v>
      </c>
      <c r="H5970" s="2" t="s">
        <v>459</v>
      </c>
      <c r="I5970" s="2" t="n">
        <f aca="false">IF(F5970="Present",9,IF(F5970="Half Day",4,0))</f>
        <v>9</v>
      </c>
      <c r="J5970" s="2"/>
      <c r="K5970" s="2"/>
    </row>
    <row r="5971" customFormat="false" ht="15" hidden="false" customHeight="false" outlineLevel="0" collapsed="false">
      <c r="A5971" s="2" t="s">
        <v>433</v>
      </c>
      <c r="B5971" s="2" t="s">
        <v>434</v>
      </c>
      <c r="C5971" s="2" t="s">
        <v>28</v>
      </c>
      <c r="D5971" s="3" t="n">
        <v>46252</v>
      </c>
      <c r="E5971" s="2" t="str">
        <f aca="false">TEXT(D5971,"dddd")</f>
        <v>Tuesday</v>
      </c>
      <c r="F5971" s="2" t="s">
        <v>461</v>
      </c>
      <c r="G5971" s="2"/>
      <c r="H5971" s="2"/>
      <c r="I5971" s="2" t="n">
        <f aca="false">IF(F5971="Present",9,IF(F5971="Half Day",4,0))</f>
        <v>0</v>
      </c>
      <c r="J5971" s="2"/>
      <c r="K5971" s="2" t="s">
        <v>462</v>
      </c>
    </row>
    <row r="5972" customFormat="false" ht="15" hidden="false" customHeight="false" outlineLevel="0" collapsed="false">
      <c r="A5972" s="2" t="s">
        <v>433</v>
      </c>
      <c r="B5972" s="2" t="s">
        <v>434</v>
      </c>
      <c r="C5972" s="2" t="s">
        <v>28</v>
      </c>
      <c r="D5972" s="3" t="n">
        <v>46253</v>
      </c>
      <c r="E5972" s="2" t="str">
        <f aca="false">TEXT(D5972,"dddd")</f>
        <v>Wednesday</v>
      </c>
      <c r="F5972" s="2" t="s">
        <v>457</v>
      </c>
      <c r="G5972" s="2" t="s">
        <v>458</v>
      </c>
      <c r="H5972" s="2" t="s">
        <v>459</v>
      </c>
      <c r="I5972" s="2" t="n">
        <f aca="false">IF(F5972="Present",9,IF(F5972="Half Day",4,0))</f>
        <v>9</v>
      </c>
      <c r="J5972" s="2"/>
      <c r="K5972" s="2"/>
    </row>
    <row r="5973" customFormat="false" ht="15" hidden="false" customHeight="false" outlineLevel="0" collapsed="false">
      <c r="A5973" s="2" t="s">
        <v>433</v>
      </c>
      <c r="B5973" s="2" t="s">
        <v>434</v>
      </c>
      <c r="C5973" s="2" t="s">
        <v>28</v>
      </c>
      <c r="D5973" s="3" t="n">
        <v>46254</v>
      </c>
      <c r="E5973" s="2" t="str">
        <f aca="false">TEXT(D5973,"dddd")</f>
        <v>Thursday</v>
      </c>
      <c r="F5973" s="2" t="s">
        <v>457</v>
      </c>
      <c r="G5973" s="2" t="s">
        <v>458</v>
      </c>
      <c r="H5973" s="2" t="s">
        <v>459</v>
      </c>
      <c r="I5973" s="2" t="n">
        <f aca="false">IF(F5973="Present",9,IF(F5973="Half Day",4,0))</f>
        <v>9</v>
      </c>
      <c r="J5973" s="2"/>
      <c r="K5973" s="2"/>
    </row>
    <row r="5974" customFormat="false" ht="15" hidden="false" customHeight="false" outlineLevel="0" collapsed="false">
      <c r="A5974" s="2" t="s">
        <v>433</v>
      </c>
      <c r="B5974" s="2" t="s">
        <v>434</v>
      </c>
      <c r="C5974" s="2" t="s">
        <v>28</v>
      </c>
      <c r="D5974" s="3" t="n">
        <v>46255</v>
      </c>
      <c r="E5974" s="2" t="str">
        <f aca="false">TEXT(D5974,"dddd")</f>
        <v>Friday</v>
      </c>
      <c r="F5974" s="2" t="s">
        <v>457</v>
      </c>
      <c r="G5974" s="2" t="s">
        <v>458</v>
      </c>
      <c r="H5974" s="2" t="s">
        <v>459</v>
      </c>
      <c r="I5974" s="2" t="n">
        <f aca="false">IF(F5974="Present",9,IF(F5974="Half Day",4,0))</f>
        <v>9</v>
      </c>
      <c r="J5974" s="2"/>
      <c r="K5974" s="2"/>
    </row>
    <row r="5975" customFormat="false" ht="15" hidden="false" customHeight="false" outlineLevel="0" collapsed="false">
      <c r="A5975" s="2" t="s">
        <v>433</v>
      </c>
      <c r="B5975" s="2" t="s">
        <v>434</v>
      </c>
      <c r="C5975" s="2" t="s">
        <v>28</v>
      </c>
      <c r="D5975" s="3" t="n">
        <v>46256</v>
      </c>
      <c r="E5975" s="2" t="str">
        <f aca="false">TEXT(D5975,"dddd")</f>
        <v>Saturday</v>
      </c>
      <c r="F5975" s="2" t="s">
        <v>457</v>
      </c>
      <c r="G5975" s="2" t="s">
        <v>458</v>
      </c>
      <c r="H5975" s="2" t="s">
        <v>459</v>
      </c>
      <c r="I5975" s="2" t="n">
        <f aca="false">IF(F5975="Present",9,IF(F5975="Half Day",4,0))</f>
        <v>9</v>
      </c>
      <c r="J5975" s="2"/>
      <c r="K5975" s="2"/>
    </row>
    <row r="5976" customFormat="false" ht="15" hidden="false" customHeight="false" outlineLevel="0" collapsed="false">
      <c r="A5976" s="2" t="s">
        <v>433</v>
      </c>
      <c r="B5976" s="2" t="s">
        <v>434</v>
      </c>
      <c r="C5976" s="2" t="s">
        <v>28</v>
      </c>
      <c r="D5976" s="3" t="n">
        <v>46257</v>
      </c>
      <c r="E5976" s="2" t="str">
        <f aca="false">TEXT(D5976,"dddd")</f>
        <v>Sunday</v>
      </c>
      <c r="F5976" s="2" t="s">
        <v>460</v>
      </c>
      <c r="G5976" s="2"/>
      <c r="H5976" s="2"/>
      <c r="I5976" s="2" t="n">
        <f aca="false">IF(F5976="Present",9,IF(F5976="Half Day",4,0))</f>
        <v>0</v>
      </c>
      <c r="J5976" s="2"/>
      <c r="K5976" s="2" t="s">
        <v>460</v>
      </c>
    </row>
    <row r="5977" customFormat="false" ht="15" hidden="false" customHeight="false" outlineLevel="0" collapsed="false">
      <c r="A5977" s="2" t="s">
        <v>433</v>
      </c>
      <c r="B5977" s="2" t="s">
        <v>434</v>
      </c>
      <c r="C5977" s="2" t="s">
        <v>28</v>
      </c>
      <c r="D5977" s="3" t="n">
        <v>46258</v>
      </c>
      <c r="E5977" s="2" t="str">
        <f aca="false">TEXT(D5977,"dddd")</f>
        <v>Monday</v>
      </c>
      <c r="F5977" s="2" t="s">
        <v>457</v>
      </c>
      <c r="G5977" s="2" t="s">
        <v>458</v>
      </c>
      <c r="H5977" s="2" t="s">
        <v>459</v>
      </c>
      <c r="I5977" s="2" t="n">
        <f aca="false">IF(F5977="Present",9,IF(F5977="Half Day",4,0))</f>
        <v>9</v>
      </c>
      <c r="J5977" s="2"/>
      <c r="K5977" s="2"/>
    </row>
    <row r="5978" customFormat="false" ht="15" hidden="false" customHeight="false" outlineLevel="0" collapsed="false">
      <c r="A5978" s="2" t="s">
        <v>433</v>
      </c>
      <c r="B5978" s="2" t="s">
        <v>434</v>
      </c>
      <c r="C5978" s="2" t="s">
        <v>28</v>
      </c>
      <c r="D5978" s="3" t="n">
        <v>46259</v>
      </c>
      <c r="E5978" s="2" t="str">
        <f aca="false">TEXT(D5978,"dddd")</f>
        <v>Tuesday</v>
      </c>
      <c r="F5978" s="2" t="s">
        <v>461</v>
      </c>
      <c r="G5978" s="2"/>
      <c r="H5978" s="2"/>
      <c r="I5978" s="2" t="n">
        <f aca="false">IF(F5978="Present",9,IF(F5978="Half Day",4,0))</f>
        <v>0</v>
      </c>
      <c r="J5978" s="2"/>
      <c r="K5978" s="2" t="s">
        <v>462</v>
      </c>
    </row>
    <row r="5979" customFormat="false" ht="15" hidden="false" customHeight="false" outlineLevel="0" collapsed="false">
      <c r="A5979" s="2" t="s">
        <v>433</v>
      </c>
      <c r="B5979" s="2" t="s">
        <v>434</v>
      </c>
      <c r="C5979" s="2" t="s">
        <v>28</v>
      </c>
      <c r="D5979" s="3" t="n">
        <v>46260</v>
      </c>
      <c r="E5979" s="2" t="str">
        <f aca="false">TEXT(D5979,"dddd")</f>
        <v>Wednesday</v>
      </c>
      <c r="F5979" s="2" t="s">
        <v>457</v>
      </c>
      <c r="G5979" s="2" t="s">
        <v>458</v>
      </c>
      <c r="H5979" s="2" t="s">
        <v>459</v>
      </c>
      <c r="I5979" s="2" t="n">
        <f aca="false">IF(F5979="Present",9,IF(F5979="Half Day",4,0))</f>
        <v>9</v>
      </c>
      <c r="J5979" s="2"/>
      <c r="K5979" s="2"/>
    </row>
    <row r="5980" customFormat="false" ht="15" hidden="false" customHeight="false" outlineLevel="0" collapsed="false">
      <c r="A5980" s="2" t="s">
        <v>433</v>
      </c>
      <c r="B5980" s="2" t="s">
        <v>434</v>
      </c>
      <c r="C5980" s="2" t="s">
        <v>28</v>
      </c>
      <c r="D5980" s="3" t="n">
        <v>46261</v>
      </c>
      <c r="E5980" s="2" t="str">
        <f aca="false">TEXT(D5980,"dddd")</f>
        <v>Thursday</v>
      </c>
      <c r="F5980" s="2" t="s">
        <v>457</v>
      </c>
      <c r="G5980" s="2" t="s">
        <v>458</v>
      </c>
      <c r="H5980" s="2" t="s">
        <v>459</v>
      </c>
      <c r="I5980" s="2" t="n">
        <f aca="false">IF(F5980="Present",9,IF(F5980="Half Day",4,0))</f>
        <v>9</v>
      </c>
      <c r="J5980" s="2"/>
      <c r="K5980" s="2"/>
    </row>
    <row r="5981" customFormat="false" ht="15" hidden="false" customHeight="false" outlineLevel="0" collapsed="false">
      <c r="A5981" s="2" t="s">
        <v>433</v>
      </c>
      <c r="B5981" s="2" t="s">
        <v>434</v>
      </c>
      <c r="C5981" s="2" t="s">
        <v>28</v>
      </c>
      <c r="D5981" s="3" t="n">
        <v>46262</v>
      </c>
      <c r="E5981" s="2" t="str">
        <f aca="false">TEXT(D5981,"dddd")</f>
        <v>Friday</v>
      </c>
      <c r="F5981" s="2" t="s">
        <v>461</v>
      </c>
      <c r="G5981" s="2"/>
      <c r="H5981" s="2"/>
      <c r="I5981" s="2" t="n">
        <f aca="false">IF(F5981="Present",9,IF(F5981="Half Day",4,0))</f>
        <v>0</v>
      </c>
      <c r="J5981" s="2"/>
      <c r="K5981" s="2" t="s">
        <v>462</v>
      </c>
    </row>
    <row r="5982" customFormat="false" ht="15" hidden="false" customHeight="false" outlineLevel="0" collapsed="false">
      <c r="A5982" s="2" t="s">
        <v>433</v>
      </c>
      <c r="B5982" s="2" t="s">
        <v>434</v>
      </c>
      <c r="C5982" s="2" t="s">
        <v>28</v>
      </c>
      <c r="D5982" s="3" t="n">
        <v>46263</v>
      </c>
      <c r="E5982" s="2" t="str">
        <f aca="false">TEXT(D5982,"dddd")</f>
        <v>Saturday</v>
      </c>
      <c r="F5982" s="2" t="s">
        <v>457</v>
      </c>
      <c r="G5982" s="2" t="s">
        <v>458</v>
      </c>
      <c r="H5982" s="2" t="s">
        <v>459</v>
      </c>
      <c r="I5982" s="2" t="n">
        <f aca="false">IF(F5982="Present",9,IF(F5982="Half Day",4,0))</f>
        <v>9</v>
      </c>
      <c r="J5982" s="2"/>
      <c r="K5982" s="2"/>
    </row>
    <row r="5983" customFormat="false" ht="15" hidden="false" customHeight="false" outlineLevel="0" collapsed="false">
      <c r="A5983" s="2" t="s">
        <v>433</v>
      </c>
      <c r="B5983" s="2" t="s">
        <v>434</v>
      </c>
      <c r="C5983" s="2" t="s">
        <v>28</v>
      </c>
      <c r="D5983" s="3" t="n">
        <v>46264</v>
      </c>
      <c r="E5983" s="2" t="str">
        <f aca="false">TEXT(D5983,"dddd")</f>
        <v>Sunday</v>
      </c>
      <c r="F5983" s="2" t="s">
        <v>460</v>
      </c>
      <c r="G5983" s="2"/>
      <c r="H5983" s="2"/>
      <c r="I5983" s="2" t="n">
        <f aca="false">IF(F5983="Present",9,IF(F5983="Half Day",4,0))</f>
        <v>0</v>
      </c>
      <c r="J5983" s="2"/>
      <c r="K5983" s="2" t="s">
        <v>460</v>
      </c>
    </row>
    <row r="5984" customFormat="false" ht="15" hidden="false" customHeight="false" outlineLevel="0" collapsed="false">
      <c r="A5984" s="2" t="s">
        <v>433</v>
      </c>
      <c r="B5984" s="2" t="s">
        <v>434</v>
      </c>
      <c r="C5984" s="2" t="s">
        <v>28</v>
      </c>
      <c r="D5984" s="3" t="n">
        <v>46265</v>
      </c>
      <c r="E5984" s="2" t="str">
        <f aca="false">TEXT(D5984,"dddd")</f>
        <v>Monday</v>
      </c>
      <c r="F5984" s="2" t="s">
        <v>457</v>
      </c>
      <c r="G5984" s="2" t="s">
        <v>458</v>
      </c>
      <c r="H5984" s="2" t="s">
        <v>459</v>
      </c>
      <c r="I5984" s="2" t="n">
        <f aca="false">IF(F5984="Present",9,IF(F5984="Half Day",4,0))</f>
        <v>9</v>
      </c>
      <c r="J5984" s="2"/>
      <c r="K5984" s="2"/>
    </row>
    <row r="5985" customFormat="false" ht="15" hidden="false" customHeight="false" outlineLevel="0" collapsed="false">
      <c r="A5985" s="2" t="s">
        <v>435</v>
      </c>
      <c r="B5985" s="2" t="s">
        <v>436</v>
      </c>
      <c r="C5985" s="2" t="s">
        <v>32</v>
      </c>
      <c r="D5985" s="3" t="n">
        <v>46235</v>
      </c>
      <c r="E5985" s="2" t="str">
        <f aca="false">TEXT(D5985,"dddd")</f>
        <v>Saturday</v>
      </c>
      <c r="F5985" s="2" t="s">
        <v>457</v>
      </c>
      <c r="G5985" s="2" t="s">
        <v>458</v>
      </c>
      <c r="H5985" s="2" t="s">
        <v>459</v>
      </c>
      <c r="I5985" s="2" t="n">
        <f aca="false">IF(F5985="Present",9,IF(F5985="Half Day",4,0))</f>
        <v>9</v>
      </c>
      <c r="J5985" s="2"/>
      <c r="K5985" s="2"/>
    </row>
    <row r="5986" customFormat="false" ht="15" hidden="false" customHeight="false" outlineLevel="0" collapsed="false">
      <c r="A5986" s="2" t="s">
        <v>435</v>
      </c>
      <c r="B5986" s="2" t="s">
        <v>436</v>
      </c>
      <c r="C5986" s="2" t="s">
        <v>32</v>
      </c>
      <c r="D5986" s="3" t="n">
        <v>46236</v>
      </c>
      <c r="E5986" s="2" t="str">
        <f aca="false">TEXT(D5986,"dddd")</f>
        <v>Sunday</v>
      </c>
      <c r="F5986" s="2" t="s">
        <v>460</v>
      </c>
      <c r="G5986" s="2"/>
      <c r="H5986" s="2"/>
      <c r="I5986" s="2" t="n">
        <f aca="false">IF(F5986="Present",9,IF(F5986="Half Day",4,0))</f>
        <v>0</v>
      </c>
      <c r="J5986" s="2"/>
      <c r="K5986" s="2" t="s">
        <v>460</v>
      </c>
    </row>
    <row r="5987" customFormat="false" ht="15" hidden="false" customHeight="false" outlineLevel="0" collapsed="false">
      <c r="A5987" s="2" t="s">
        <v>435</v>
      </c>
      <c r="B5987" s="2" t="s">
        <v>436</v>
      </c>
      <c r="C5987" s="2" t="s">
        <v>32</v>
      </c>
      <c r="D5987" s="3" t="n">
        <v>46237</v>
      </c>
      <c r="E5987" s="2" t="str">
        <f aca="false">TEXT(D5987,"dddd")</f>
        <v>Monday</v>
      </c>
      <c r="F5987" s="2" t="s">
        <v>457</v>
      </c>
      <c r="G5987" s="2" t="s">
        <v>458</v>
      </c>
      <c r="H5987" s="2" t="s">
        <v>459</v>
      </c>
      <c r="I5987" s="2" t="n">
        <f aca="false">IF(F5987="Present",9,IF(F5987="Half Day",4,0))</f>
        <v>9</v>
      </c>
      <c r="J5987" s="2"/>
      <c r="K5987" s="2"/>
    </row>
    <row r="5988" customFormat="false" ht="15" hidden="false" customHeight="false" outlineLevel="0" collapsed="false">
      <c r="A5988" s="2" t="s">
        <v>435</v>
      </c>
      <c r="B5988" s="2" t="s">
        <v>436</v>
      </c>
      <c r="C5988" s="2" t="s">
        <v>32</v>
      </c>
      <c r="D5988" s="3" t="n">
        <v>46238</v>
      </c>
      <c r="E5988" s="2" t="str">
        <f aca="false">TEXT(D5988,"dddd")</f>
        <v>Tuesday</v>
      </c>
      <c r="F5988" s="2" t="s">
        <v>457</v>
      </c>
      <c r="G5988" s="2" t="s">
        <v>458</v>
      </c>
      <c r="H5988" s="2" t="s">
        <v>459</v>
      </c>
      <c r="I5988" s="2" t="n">
        <f aca="false">IF(F5988="Present",9,IF(F5988="Half Day",4,0))</f>
        <v>9</v>
      </c>
      <c r="J5988" s="2"/>
      <c r="K5988" s="2"/>
    </row>
    <row r="5989" customFormat="false" ht="15" hidden="false" customHeight="false" outlineLevel="0" collapsed="false">
      <c r="A5989" s="2" t="s">
        <v>435</v>
      </c>
      <c r="B5989" s="2" t="s">
        <v>436</v>
      </c>
      <c r="C5989" s="2" t="s">
        <v>32</v>
      </c>
      <c r="D5989" s="3" t="n">
        <v>46239</v>
      </c>
      <c r="E5989" s="2" t="str">
        <f aca="false">TEXT(D5989,"dddd")</f>
        <v>Wednesday</v>
      </c>
      <c r="F5989" s="2" t="s">
        <v>457</v>
      </c>
      <c r="G5989" s="2" t="s">
        <v>458</v>
      </c>
      <c r="H5989" s="2" t="s">
        <v>459</v>
      </c>
      <c r="I5989" s="2" t="n">
        <f aca="false">IF(F5989="Present",9,IF(F5989="Half Day",4,0))</f>
        <v>9</v>
      </c>
      <c r="J5989" s="2"/>
      <c r="K5989" s="2"/>
    </row>
    <row r="5990" customFormat="false" ht="15" hidden="false" customHeight="false" outlineLevel="0" collapsed="false">
      <c r="A5990" s="2" t="s">
        <v>435</v>
      </c>
      <c r="B5990" s="2" t="s">
        <v>436</v>
      </c>
      <c r="C5990" s="2" t="s">
        <v>32</v>
      </c>
      <c r="D5990" s="3" t="n">
        <v>46240</v>
      </c>
      <c r="E5990" s="2" t="str">
        <f aca="false">TEXT(D5990,"dddd")</f>
        <v>Thursday</v>
      </c>
      <c r="F5990" s="2" t="s">
        <v>457</v>
      </c>
      <c r="G5990" s="2" t="s">
        <v>458</v>
      </c>
      <c r="H5990" s="2" t="s">
        <v>459</v>
      </c>
      <c r="I5990" s="2" t="n">
        <f aca="false">IF(F5990="Present",9,IF(F5990="Half Day",4,0))</f>
        <v>9</v>
      </c>
      <c r="J5990" s="2"/>
      <c r="K5990" s="2"/>
    </row>
    <row r="5991" customFormat="false" ht="15" hidden="false" customHeight="false" outlineLevel="0" collapsed="false">
      <c r="A5991" s="2" t="s">
        <v>435</v>
      </c>
      <c r="B5991" s="2" t="s">
        <v>436</v>
      </c>
      <c r="C5991" s="2" t="s">
        <v>32</v>
      </c>
      <c r="D5991" s="3" t="n">
        <v>46241</v>
      </c>
      <c r="E5991" s="2" t="str">
        <f aca="false">TEXT(D5991,"dddd")</f>
        <v>Friday</v>
      </c>
      <c r="F5991" s="2" t="s">
        <v>457</v>
      </c>
      <c r="G5991" s="2" t="s">
        <v>458</v>
      </c>
      <c r="H5991" s="2" t="s">
        <v>459</v>
      </c>
      <c r="I5991" s="2" t="n">
        <f aca="false">IF(F5991="Present",9,IF(F5991="Half Day",4,0))</f>
        <v>9</v>
      </c>
      <c r="J5991" s="2"/>
      <c r="K5991" s="2"/>
    </row>
    <row r="5992" customFormat="false" ht="15" hidden="false" customHeight="false" outlineLevel="0" collapsed="false">
      <c r="A5992" s="2" t="s">
        <v>435</v>
      </c>
      <c r="B5992" s="2" t="s">
        <v>436</v>
      </c>
      <c r="C5992" s="2" t="s">
        <v>32</v>
      </c>
      <c r="D5992" s="3" t="n">
        <v>46242</v>
      </c>
      <c r="E5992" s="2" t="str">
        <f aca="false">TEXT(D5992,"dddd")</f>
        <v>Saturday</v>
      </c>
      <c r="F5992" s="2" t="s">
        <v>457</v>
      </c>
      <c r="G5992" s="2" t="s">
        <v>458</v>
      </c>
      <c r="H5992" s="2" t="s">
        <v>459</v>
      </c>
      <c r="I5992" s="2" t="n">
        <f aca="false">IF(F5992="Present",9,IF(F5992="Half Day",4,0))</f>
        <v>9</v>
      </c>
      <c r="J5992" s="2"/>
      <c r="K5992" s="2"/>
    </row>
    <row r="5993" customFormat="false" ht="15" hidden="false" customHeight="false" outlineLevel="0" collapsed="false">
      <c r="A5993" s="2" t="s">
        <v>435</v>
      </c>
      <c r="B5993" s="2" t="s">
        <v>436</v>
      </c>
      <c r="C5993" s="2" t="s">
        <v>32</v>
      </c>
      <c r="D5993" s="3" t="n">
        <v>46243</v>
      </c>
      <c r="E5993" s="2" t="str">
        <f aca="false">TEXT(D5993,"dddd")</f>
        <v>Sunday</v>
      </c>
      <c r="F5993" s="2" t="s">
        <v>460</v>
      </c>
      <c r="G5993" s="2"/>
      <c r="H5993" s="2"/>
      <c r="I5993" s="2" t="n">
        <f aca="false">IF(F5993="Present",9,IF(F5993="Half Day",4,0))</f>
        <v>0</v>
      </c>
      <c r="J5993" s="2"/>
      <c r="K5993" s="2" t="s">
        <v>460</v>
      </c>
    </row>
    <row r="5994" customFormat="false" ht="15" hidden="false" customHeight="false" outlineLevel="0" collapsed="false">
      <c r="A5994" s="2" t="s">
        <v>435</v>
      </c>
      <c r="B5994" s="2" t="s">
        <v>436</v>
      </c>
      <c r="C5994" s="2" t="s">
        <v>32</v>
      </c>
      <c r="D5994" s="3" t="n">
        <v>46244</v>
      </c>
      <c r="E5994" s="2" t="str">
        <f aca="false">TEXT(D5994,"dddd")</f>
        <v>Monday</v>
      </c>
      <c r="F5994" s="2" t="s">
        <v>457</v>
      </c>
      <c r="G5994" s="2" t="s">
        <v>458</v>
      </c>
      <c r="H5994" s="2" t="s">
        <v>459</v>
      </c>
      <c r="I5994" s="2" t="n">
        <f aca="false">IF(F5994="Present",9,IF(F5994="Half Day",4,0))</f>
        <v>9</v>
      </c>
      <c r="J5994" s="2"/>
      <c r="K5994" s="2"/>
    </row>
    <row r="5995" customFormat="false" ht="15" hidden="false" customHeight="false" outlineLevel="0" collapsed="false">
      <c r="A5995" s="2" t="s">
        <v>435</v>
      </c>
      <c r="B5995" s="2" t="s">
        <v>436</v>
      </c>
      <c r="C5995" s="2" t="s">
        <v>32</v>
      </c>
      <c r="D5995" s="3" t="n">
        <v>46245</v>
      </c>
      <c r="E5995" s="2" t="str">
        <f aca="false">TEXT(D5995,"dddd")</f>
        <v>Tuesday</v>
      </c>
      <c r="F5995" s="2" t="s">
        <v>457</v>
      </c>
      <c r="G5995" s="2" t="s">
        <v>458</v>
      </c>
      <c r="H5995" s="2" t="s">
        <v>459</v>
      </c>
      <c r="I5995" s="2" t="n">
        <f aca="false">IF(F5995="Present",9,IF(F5995="Half Day",4,0))</f>
        <v>9</v>
      </c>
      <c r="J5995" s="2"/>
      <c r="K5995" s="2"/>
    </row>
    <row r="5996" customFormat="false" ht="15" hidden="false" customHeight="false" outlineLevel="0" collapsed="false">
      <c r="A5996" s="2" t="s">
        <v>435</v>
      </c>
      <c r="B5996" s="2" t="s">
        <v>436</v>
      </c>
      <c r="C5996" s="2" t="s">
        <v>32</v>
      </c>
      <c r="D5996" s="3" t="n">
        <v>46246</v>
      </c>
      <c r="E5996" s="2" t="str">
        <f aca="false">TEXT(D5996,"dddd")</f>
        <v>Wednesday</v>
      </c>
      <c r="F5996" s="2" t="s">
        <v>463</v>
      </c>
      <c r="G5996" s="2"/>
      <c r="H5996" s="2"/>
      <c r="I5996" s="2" t="n">
        <f aca="false">IF(F5996="Present",9,IF(F5996="Half Day",4,0))</f>
        <v>0</v>
      </c>
      <c r="J5996" s="2" t="s">
        <v>464</v>
      </c>
      <c r="K5996" s="2" t="s">
        <v>465</v>
      </c>
    </row>
    <row r="5997" customFormat="false" ht="15" hidden="false" customHeight="false" outlineLevel="0" collapsed="false">
      <c r="A5997" s="2" t="s">
        <v>435</v>
      </c>
      <c r="B5997" s="2" t="s">
        <v>436</v>
      </c>
      <c r="C5997" s="2" t="s">
        <v>32</v>
      </c>
      <c r="D5997" s="3" t="n">
        <v>46247</v>
      </c>
      <c r="E5997" s="2" t="str">
        <f aca="false">TEXT(D5997,"dddd")</f>
        <v>Thursday</v>
      </c>
      <c r="F5997" s="2" t="s">
        <v>457</v>
      </c>
      <c r="G5997" s="2" t="s">
        <v>458</v>
      </c>
      <c r="H5997" s="2" t="s">
        <v>459</v>
      </c>
      <c r="I5997" s="2" t="n">
        <f aca="false">IF(F5997="Present",9,IF(F5997="Half Day",4,0))</f>
        <v>9</v>
      </c>
      <c r="J5997" s="2"/>
      <c r="K5997" s="2"/>
    </row>
    <row r="5998" customFormat="false" ht="15" hidden="false" customHeight="false" outlineLevel="0" collapsed="false">
      <c r="A5998" s="2" t="s">
        <v>435</v>
      </c>
      <c r="B5998" s="2" t="s">
        <v>436</v>
      </c>
      <c r="C5998" s="2" t="s">
        <v>32</v>
      </c>
      <c r="D5998" s="3" t="n">
        <v>46248</v>
      </c>
      <c r="E5998" s="2" t="str">
        <f aca="false">TEXT(D5998,"dddd")</f>
        <v>Friday</v>
      </c>
      <c r="F5998" s="2" t="s">
        <v>457</v>
      </c>
      <c r="G5998" s="2" t="s">
        <v>458</v>
      </c>
      <c r="H5998" s="2" t="s">
        <v>459</v>
      </c>
      <c r="I5998" s="2" t="n">
        <f aca="false">IF(F5998="Present",9,IF(F5998="Half Day",4,0))</f>
        <v>9</v>
      </c>
      <c r="J5998" s="2"/>
      <c r="K5998" s="2"/>
    </row>
    <row r="5999" customFormat="false" ht="15" hidden="false" customHeight="false" outlineLevel="0" collapsed="false">
      <c r="A5999" s="2" t="s">
        <v>435</v>
      </c>
      <c r="B5999" s="2" t="s">
        <v>436</v>
      </c>
      <c r="C5999" s="2" t="s">
        <v>32</v>
      </c>
      <c r="D5999" s="3" t="n">
        <v>46249</v>
      </c>
      <c r="E5999" s="2" t="str">
        <f aca="false">TEXT(D5999,"dddd")</f>
        <v>Saturday</v>
      </c>
      <c r="F5999" s="2" t="s">
        <v>461</v>
      </c>
      <c r="G5999" s="2"/>
      <c r="H5999" s="2"/>
      <c r="I5999" s="2" t="n">
        <f aca="false">IF(F5999="Present",9,IF(F5999="Half Day",4,0))</f>
        <v>0</v>
      </c>
      <c r="J5999" s="2"/>
      <c r="K5999" s="2" t="s">
        <v>462</v>
      </c>
    </row>
    <row r="6000" customFormat="false" ht="15" hidden="false" customHeight="false" outlineLevel="0" collapsed="false">
      <c r="A6000" s="2" t="s">
        <v>435</v>
      </c>
      <c r="B6000" s="2" t="s">
        <v>436</v>
      </c>
      <c r="C6000" s="2" t="s">
        <v>32</v>
      </c>
      <c r="D6000" s="3" t="n">
        <v>46250</v>
      </c>
      <c r="E6000" s="2" t="str">
        <f aca="false">TEXT(D6000,"dddd")</f>
        <v>Sunday</v>
      </c>
      <c r="F6000" s="2" t="s">
        <v>460</v>
      </c>
      <c r="G6000" s="2"/>
      <c r="H6000" s="2"/>
      <c r="I6000" s="2" t="n">
        <f aca="false">IF(F6000="Present",9,IF(F6000="Half Day",4,0))</f>
        <v>0</v>
      </c>
      <c r="J6000" s="2"/>
      <c r="K6000" s="2" t="s">
        <v>460</v>
      </c>
    </row>
    <row r="6001" customFormat="false" ht="15" hidden="false" customHeight="false" outlineLevel="0" collapsed="false">
      <c r="A6001" s="2" t="s">
        <v>435</v>
      </c>
      <c r="B6001" s="2" t="s">
        <v>436</v>
      </c>
      <c r="C6001" s="2" t="s">
        <v>32</v>
      </c>
      <c r="D6001" s="3" t="n">
        <v>46251</v>
      </c>
      <c r="E6001" s="2" t="str">
        <f aca="false">TEXT(D6001,"dddd")</f>
        <v>Monday</v>
      </c>
      <c r="F6001" s="2" t="s">
        <v>457</v>
      </c>
      <c r="G6001" s="2" t="s">
        <v>458</v>
      </c>
      <c r="H6001" s="2" t="s">
        <v>459</v>
      </c>
      <c r="I6001" s="2" t="n">
        <f aca="false">IF(F6001="Present",9,IF(F6001="Half Day",4,0))</f>
        <v>9</v>
      </c>
      <c r="J6001" s="2"/>
      <c r="K6001" s="2"/>
    </row>
    <row r="6002" customFormat="false" ht="15" hidden="false" customHeight="false" outlineLevel="0" collapsed="false">
      <c r="A6002" s="2" t="s">
        <v>435</v>
      </c>
      <c r="B6002" s="2" t="s">
        <v>436</v>
      </c>
      <c r="C6002" s="2" t="s">
        <v>32</v>
      </c>
      <c r="D6002" s="3" t="n">
        <v>46252</v>
      </c>
      <c r="E6002" s="2" t="str">
        <f aca="false">TEXT(D6002,"dddd")</f>
        <v>Tuesday</v>
      </c>
      <c r="F6002" s="2" t="s">
        <v>457</v>
      </c>
      <c r="G6002" s="2" t="s">
        <v>458</v>
      </c>
      <c r="H6002" s="2" t="s">
        <v>459</v>
      </c>
      <c r="I6002" s="2" t="n">
        <f aca="false">IF(F6002="Present",9,IF(F6002="Half Day",4,0))</f>
        <v>9</v>
      </c>
      <c r="J6002" s="2"/>
      <c r="K6002" s="2"/>
    </row>
    <row r="6003" customFormat="false" ht="15" hidden="false" customHeight="false" outlineLevel="0" collapsed="false">
      <c r="A6003" s="2" t="s">
        <v>435</v>
      </c>
      <c r="B6003" s="2" t="s">
        <v>436</v>
      </c>
      <c r="C6003" s="2" t="s">
        <v>32</v>
      </c>
      <c r="D6003" s="3" t="n">
        <v>46253</v>
      </c>
      <c r="E6003" s="2" t="str">
        <f aca="false">TEXT(D6003,"dddd")</f>
        <v>Wednesday</v>
      </c>
      <c r="F6003" s="2" t="s">
        <v>466</v>
      </c>
      <c r="G6003" s="2" t="s">
        <v>458</v>
      </c>
      <c r="H6003" s="2" t="s">
        <v>467</v>
      </c>
      <c r="I6003" s="2" t="n">
        <f aca="false">IF(F6003="Present",9,IF(F6003="Half Day",4,0))</f>
        <v>4</v>
      </c>
      <c r="J6003" s="2"/>
      <c r="K6003" s="2" t="s">
        <v>466</v>
      </c>
    </row>
    <row r="6004" customFormat="false" ht="15" hidden="false" customHeight="false" outlineLevel="0" collapsed="false">
      <c r="A6004" s="2" t="s">
        <v>435</v>
      </c>
      <c r="B6004" s="2" t="s">
        <v>436</v>
      </c>
      <c r="C6004" s="2" t="s">
        <v>32</v>
      </c>
      <c r="D6004" s="3" t="n">
        <v>46254</v>
      </c>
      <c r="E6004" s="2" t="str">
        <f aca="false">TEXT(D6004,"dddd")</f>
        <v>Thursday</v>
      </c>
      <c r="F6004" s="2" t="s">
        <v>461</v>
      </c>
      <c r="G6004" s="2"/>
      <c r="H6004" s="2"/>
      <c r="I6004" s="2" t="n">
        <f aca="false">IF(F6004="Present",9,IF(F6004="Half Day",4,0))</f>
        <v>0</v>
      </c>
      <c r="J6004" s="2"/>
      <c r="K6004" s="2" t="s">
        <v>462</v>
      </c>
    </row>
    <row r="6005" customFormat="false" ht="15" hidden="false" customHeight="false" outlineLevel="0" collapsed="false">
      <c r="A6005" s="2" t="s">
        <v>435</v>
      </c>
      <c r="B6005" s="2" t="s">
        <v>436</v>
      </c>
      <c r="C6005" s="2" t="s">
        <v>32</v>
      </c>
      <c r="D6005" s="3" t="n">
        <v>46255</v>
      </c>
      <c r="E6005" s="2" t="str">
        <f aca="false">TEXT(D6005,"dddd")</f>
        <v>Friday</v>
      </c>
      <c r="F6005" s="2" t="s">
        <v>461</v>
      </c>
      <c r="G6005" s="2"/>
      <c r="H6005" s="2"/>
      <c r="I6005" s="2" t="n">
        <f aca="false">IF(F6005="Present",9,IF(F6005="Half Day",4,0))</f>
        <v>0</v>
      </c>
      <c r="J6005" s="2"/>
      <c r="K6005" s="2" t="s">
        <v>462</v>
      </c>
    </row>
    <row r="6006" customFormat="false" ht="15" hidden="false" customHeight="false" outlineLevel="0" collapsed="false">
      <c r="A6006" s="2" t="s">
        <v>435</v>
      </c>
      <c r="B6006" s="2" t="s">
        <v>436</v>
      </c>
      <c r="C6006" s="2" t="s">
        <v>32</v>
      </c>
      <c r="D6006" s="3" t="n">
        <v>46256</v>
      </c>
      <c r="E6006" s="2" t="str">
        <f aca="false">TEXT(D6006,"dddd")</f>
        <v>Saturday</v>
      </c>
      <c r="F6006" s="2" t="s">
        <v>457</v>
      </c>
      <c r="G6006" s="2" t="s">
        <v>458</v>
      </c>
      <c r="H6006" s="2" t="s">
        <v>459</v>
      </c>
      <c r="I6006" s="2" t="n">
        <f aca="false">IF(F6006="Present",9,IF(F6006="Half Day",4,0))</f>
        <v>9</v>
      </c>
      <c r="J6006" s="2"/>
      <c r="K6006" s="2"/>
    </row>
    <row r="6007" customFormat="false" ht="15" hidden="false" customHeight="false" outlineLevel="0" collapsed="false">
      <c r="A6007" s="2" t="s">
        <v>435</v>
      </c>
      <c r="B6007" s="2" t="s">
        <v>436</v>
      </c>
      <c r="C6007" s="2" t="s">
        <v>32</v>
      </c>
      <c r="D6007" s="3" t="n">
        <v>46257</v>
      </c>
      <c r="E6007" s="2" t="str">
        <f aca="false">TEXT(D6007,"dddd")</f>
        <v>Sunday</v>
      </c>
      <c r="F6007" s="2" t="s">
        <v>460</v>
      </c>
      <c r="G6007" s="2"/>
      <c r="H6007" s="2"/>
      <c r="I6007" s="2" t="n">
        <f aca="false">IF(F6007="Present",9,IF(F6007="Half Day",4,0))</f>
        <v>0</v>
      </c>
      <c r="J6007" s="2"/>
      <c r="K6007" s="2" t="s">
        <v>460</v>
      </c>
    </row>
    <row r="6008" customFormat="false" ht="15" hidden="false" customHeight="false" outlineLevel="0" collapsed="false">
      <c r="A6008" s="2" t="s">
        <v>435</v>
      </c>
      <c r="B6008" s="2" t="s">
        <v>436</v>
      </c>
      <c r="C6008" s="2" t="s">
        <v>32</v>
      </c>
      <c r="D6008" s="3" t="n">
        <v>46258</v>
      </c>
      <c r="E6008" s="2" t="str">
        <f aca="false">TEXT(D6008,"dddd")</f>
        <v>Monday</v>
      </c>
      <c r="F6008" s="2" t="s">
        <v>457</v>
      </c>
      <c r="G6008" s="2" t="s">
        <v>458</v>
      </c>
      <c r="H6008" s="2" t="s">
        <v>459</v>
      </c>
      <c r="I6008" s="2" t="n">
        <f aca="false">IF(F6008="Present",9,IF(F6008="Half Day",4,0))</f>
        <v>9</v>
      </c>
      <c r="J6008" s="2"/>
      <c r="K6008" s="2"/>
    </row>
    <row r="6009" customFormat="false" ht="15" hidden="false" customHeight="false" outlineLevel="0" collapsed="false">
      <c r="A6009" s="2" t="s">
        <v>435</v>
      </c>
      <c r="B6009" s="2" t="s">
        <v>436</v>
      </c>
      <c r="C6009" s="2" t="s">
        <v>32</v>
      </c>
      <c r="D6009" s="3" t="n">
        <v>46259</v>
      </c>
      <c r="E6009" s="2" t="str">
        <f aca="false">TEXT(D6009,"dddd")</f>
        <v>Tuesday</v>
      </c>
      <c r="F6009" s="2" t="s">
        <v>466</v>
      </c>
      <c r="G6009" s="2" t="s">
        <v>458</v>
      </c>
      <c r="H6009" s="2" t="s">
        <v>467</v>
      </c>
      <c r="I6009" s="2" t="n">
        <f aca="false">IF(F6009="Present",9,IF(F6009="Half Day",4,0))</f>
        <v>4</v>
      </c>
      <c r="J6009" s="2"/>
      <c r="K6009" s="2" t="s">
        <v>466</v>
      </c>
    </row>
    <row r="6010" customFormat="false" ht="15" hidden="false" customHeight="false" outlineLevel="0" collapsed="false">
      <c r="A6010" s="2" t="s">
        <v>435</v>
      </c>
      <c r="B6010" s="2" t="s">
        <v>436</v>
      </c>
      <c r="C6010" s="2" t="s">
        <v>32</v>
      </c>
      <c r="D6010" s="3" t="n">
        <v>46260</v>
      </c>
      <c r="E6010" s="2" t="str">
        <f aca="false">TEXT(D6010,"dddd")</f>
        <v>Wednesday</v>
      </c>
      <c r="F6010" s="2" t="s">
        <v>461</v>
      </c>
      <c r="G6010" s="2"/>
      <c r="H6010" s="2"/>
      <c r="I6010" s="2" t="n">
        <f aca="false">IF(F6010="Present",9,IF(F6010="Half Day",4,0))</f>
        <v>0</v>
      </c>
      <c r="J6010" s="2"/>
      <c r="K6010" s="2" t="s">
        <v>462</v>
      </c>
    </row>
    <row r="6011" customFormat="false" ht="15" hidden="false" customHeight="false" outlineLevel="0" collapsed="false">
      <c r="A6011" s="2" t="s">
        <v>435</v>
      </c>
      <c r="B6011" s="2" t="s">
        <v>436</v>
      </c>
      <c r="C6011" s="2" t="s">
        <v>32</v>
      </c>
      <c r="D6011" s="3" t="n">
        <v>46261</v>
      </c>
      <c r="E6011" s="2" t="str">
        <f aca="false">TEXT(D6011,"dddd")</f>
        <v>Thursday</v>
      </c>
      <c r="F6011" s="2" t="s">
        <v>457</v>
      </c>
      <c r="G6011" s="2" t="s">
        <v>458</v>
      </c>
      <c r="H6011" s="2" t="s">
        <v>459</v>
      </c>
      <c r="I6011" s="2" t="n">
        <f aca="false">IF(F6011="Present",9,IF(F6011="Half Day",4,0))</f>
        <v>9</v>
      </c>
      <c r="J6011" s="2"/>
      <c r="K6011" s="2"/>
    </row>
    <row r="6012" customFormat="false" ht="15" hidden="false" customHeight="false" outlineLevel="0" collapsed="false">
      <c r="A6012" s="2" t="s">
        <v>435</v>
      </c>
      <c r="B6012" s="2" t="s">
        <v>436</v>
      </c>
      <c r="C6012" s="2" t="s">
        <v>32</v>
      </c>
      <c r="D6012" s="3" t="n">
        <v>46262</v>
      </c>
      <c r="E6012" s="2" t="str">
        <f aca="false">TEXT(D6012,"dddd")</f>
        <v>Friday</v>
      </c>
      <c r="F6012" s="2" t="s">
        <v>457</v>
      </c>
      <c r="G6012" s="2" t="s">
        <v>458</v>
      </c>
      <c r="H6012" s="2" t="s">
        <v>459</v>
      </c>
      <c r="I6012" s="2" t="n">
        <f aca="false">IF(F6012="Present",9,IF(F6012="Half Day",4,0))</f>
        <v>9</v>
      </c>
      <c r="J6012" s="2"/>
      <c r="K6012" s="2"/>
    </row>
    <row r="6013" customFormat="false" ht="15" hidden="false" customHeight="false" outlineLevel="0" collapsed="false">
      <c r="A6013" s="2" t="s">
        <v>435</v>
      </c>
      <c r="B6013" s="2" t="s">
        <v>436</v>
      </c>
      <c r="C6013" s="2" t="s">
        <v>32</v>
      </c>
      <c r="D6013" s="3" t="n">
        <v>46263</v>
      </c>
      <c r="E6013" s="2" t="str">
        <f aca="false">TEXT(D6013,"dddd")</f>
        <v>Saturday</v>
      </c>
      <c r="F6013" s="2" t="s">
        <v>457</v>
      </c>
      <c r="G6013" s="2" t="s">
        <v>458</v>
      </c>
      <c r="H6013" s="2" t="s">
        <v>459</v>
      </c>
      <c r="I6013" s="2" t="n">
        <f aca="false">IF(F6013="Present",9,IF(F6013="Half Day",4,0))</f>
        <v>9</v>
      </c>
      <c r="J6013" s="2"/>
      <c r="K6013" s="2"/>
    </row>
    <row r="6014" customFormat="false" ht="15" hidden="false" customHeight="false" outlineLevel="0" collapsed="false">
      <c r="A6014" s="2" t="s">
        <v>435</v>
      </c>
      <c r="B6014" s="2" t="s">
        <v>436</v>
      </c>
      <c r="C6014" s="2" t="s">
        <v>32</v>
      </c>
      <c r="D6014" s="3" t="n">
        <v>46264</v>
      </c>
      <c r="E6014" s="2" t="str">
        <f aca="false">TEXT(D6014,"dddd")</f>
        <v>Sunday</v>
      </c>
      <c r="F6014" s="2" t="s">
        <v>460</v>
      </c>
      <c r="G6014" s="2"/>
      <c r="H6014" s="2"/>
      <c r="I6014" s="2" t="n">
        <f aca="false">IF(F6014="Present",9,IF(F6014="Half Day",4,0))</f>
        <v>0</v>
      </c>
      <c r="J6014" s="2"/>
      <c r="K6014" s="2" t="s">
        <v>460</v>
      </c>
    </row>
    <row r="6015" customFormat="false" ht="15" hidden="false" customHeight="false" outlineLevel="0" collapsed="false">
      <c r="A6015" s="2" t="s">
        <v>435</v>
      </c>
      <c r="B6015" s="2" t="s">
        <v>436</v>
      </c>
      <c r="C6015" s="2" t="s">
        <v>32</v>
      </c>
      <c r="D6015" s="3" t="n">
        <v>46265</v>
      </c>
      <c r="E6015" s="2" t="str">
        <f aca="false">TEXT(D6015,"dddd")</f>
        <v>Monday</v>
      </c>
      <c r="F6015" s="2" t="s">
        <v>461</v>
      </c>
      <c r="G6015" s="2"/>
      <c r="H6015" s="2"/>
      <c r="I6015" s="2" t="n">
        <f aca="false">IF(F6015="Present",9,IF(F6015="Half Day",4,0))</f>
        <v>0</v>
      </c>
      <c r="J6015" s="2"/>
      <c r="K6015" s="2" t="s">
        <v>462</v>
      </c>
    </row>
    <row r="6016" customFormat="false" ht="15" hidden="false" customHeight="false" outlineLevel="0" collapsed="false">
      <c r="A6016" s="2" t="s">
        <v>437</v>
      </c>
      <c r="B6016" s="2" t="s">
        <v>438</v>
      </c>
      <c r="C6016" s="2" t="s">
        <v>36</v>
      </c>
      <c r="D6016" s="3" t="n">
        <v>46235</v>
      </c>
      <c r="E6016" s="2" t="str">
        <f aca="false">TEXT(D6016,"dddd")</f>
        <v>Saturday</v>
      </c>
      <c r="F6016" s="2" t="s">
        <v>457</v>
      </c>
      <c r="G6016" s="2" t="s">
        <v>458</v>
      </c>
      <c r="H6016" s="2" t="s">
        <v>459</v>
      </c>
      <c r="I6016" s="2" t="n">
        <f aca="false">IF(F6016="Present",9,IF(F6016="Half Day",4,0))</f>
        <v>9</v>
      </c>
      <c r="J6016" s="2"/>
      <c r="K6016" s="2"/>
    </row>
    <row r="6017" customFormat="false" ht="15" hidden="false" customHeight="false" outlineLevel="0" collapsed="false">
      <c r="A6017" s="2" t="s">
        <v>437</v>
      </c>
      <c r="B6017" s="2" t="s">
        <v>438</v>
      </c>
      <c r="C6017" s="2" t="s">
        <v>36</v>
      </c>
      <c r="D6017" s="3" t="n">
        <v>46236</v>
      </c>
      <c r="E6017" s="2" t="str">
        <f aca="false">TEXT(D6017,"dddd")</f>
        <v>Sunday</v>
      </c>
      <c r="F6017" s="2" t="s">
        <v>460</v>
      </c>
      <c r="G6017" s="2"/>
      <c r="H6017" s="2"/>
      <c r="I6017" s="2" t="n">
        <f aca="false">IF(F6017="Present",9,IF(F6017="Half Day",4,0))</f>
        <v>0</v>
      </c>
      <c r="J6017" s="2"/>
      <c r="K6017" s="2" t="s">
        <v>460</v>
      </c>
    </row>
    <row r="6018" customFormat="false" ht="15" hidden="false" customHeight="false" outlineLevel="0" collapsed="false">
      <c r="A6018" s="2" t="s">
        <v>437</v>
      </c>
      <c r="B6018" s="2" t="s">
        <v>438</v>
      </c>
      <c r="C6018" s="2" t="s">
        <v>36</v>
      </c>
      <c r="D6018" s="3" t="n">
        <v>46237</v>
      </c>
      <c r="E6018" s="2" t="str">
        <f aca="false">TEXT(D6018,"dddd")</f>
        <v>Monday</v>
      </c>
      <c r="F6018" s="2" t="s">
        <v>457</v>
      </c>
      <c r="G6018" s="2" t="s">
        <v>458</v>
      </c>
      <c r="H6018" s="2" t="s">
        <v>459</v>
      </c>
      <c r="I6018" s="2" t="n">
        <f aca="false">IF(F6018="Present",9,IF(F6018="Half Day",4,0))</f>
        <v>9</v>
      </c>
      <c r="J6018" s="2"/>
      <c r="K6018" s="2"/>
    </row>
    <row r="6019" customFormat="false" ht="15" hidden="false" customHeight="false" outlineLevel="0" collapsed="false">
      <c r="A6019" s="2" t="s">
        <v>437</v>
      </c>
      <c r="B6019" s="2" t="s">
        <v>438</v>
      </c>
      <c r="C6019" s="2" t="s">
        <v>36</v>
      </c>
      <c r="D6019" s="3" t="n">
        <v>46238</v>
      </c>
      <c r="E6019" s="2" t="str">
        <f aca="false">TEXT(D6019,"dddd")</f>
        <v>Tuesday</v>
      </c>
      <c r="F6019" s="2" t="s">
        <v>461</v>
      </c>
      <c r="G6019" s="2"/>
      <c r="H6019" s="2"/>
      <c r="I6019" s="2" t="n">
        <f aca="false">IF(F6019="Present",9,IF(F6019="Half Day",4,0))</f>
        <v>0</v>
      </c>
      <c r="J6019" s="2"/>
      <c r="K6019" s="2" t="s">
        <v>462</v>
      </c>
    </row>
    <row r="6020" customFormat="false" ht="15" hidden="false" customHeight="false" outlineLevel="0" collapsed="false">
      <c r="A6020" s="2" t="s">
        <v>437</v>
      </c>
      <c r="B6020" s="2" t="s">
        <v>438</v>
      </c>
      <c r="C6020" s="2" t="s">
        <v>36</v>
      </c>
      <c r="D6020" s="3" t="n">
        <v>46239</v>
      </c>
      <c r="E6020" s="2" t="str">
        <f aca="false">TEXT(D6020,"dddd")</f>
        <v>Wednesday</v>
      </c>
      <c r="F6020" s="2" t="s">
        <v>457</v>
      </c>
      <c r="G6020" s="2" t="s">
        <v>458</v>
      </c>
      <c r="H6020" s="2" t="s">
        <v>459</v>
      </c>
      <c r="I6020" s="2" t="n">
        <f aca="false">IF(F6020="Present",9,IF(F6020="Half Day",4,0))</f>
        <v>9</v>
      </c>
      <c r="J6020" s="2"/>
      <c r="K6020" s="2"/>
    </row>
    <row r="6021" customFormat="false" ht="15" hidden="false" customHeight="false" outlineLevel="0" collapsed="false">
      <c r="A6021" s="2" t="s">
        <v>437</v>
      </c>
      <c r="B6021" s="2" t="s">
        <v>438</v>
      </c>
      <c r="C6021" s="2" t="s">
        <v>36</v>
      </c>
      <c r="D6021" s="3" t="n">
        <v>46240</v>
      </c>
      <c r="E6021" s="2" t="str">
        <f aca="false">TEXT(D6021,"dddd")</f>
        <v>Thursday</v>
      </c>
      <c r="F6021" s="2" t="s">
        <v>463</v>
      </c>
      <c r="G6021" s="2"/>
      <c r="H6021" s="2"/>
      <c r="I6021" s="2" t="n">
        <f aca="false">IF(F6021="Present",9,IF(F6021="Half Day",4,0))</f>
        <v>0</v>
      </c>
      <c r="J6021" s="2" t="s">
        <v>464</v>
      </c>
      <c r="K6021" s="2" t="s">
        <v>465</v>
      </c>
    </row>
    <row r="6022" customFormat="false" ht="15" hidden="false" customHeight="false" outlineLevel="0" collapsed="false">
      <c r="A6022" s="2" t="s">
        <v>437</v>
      </c>
      <c r="B6022" s="2" t="s">
        <v>438</v>
      </c>
      <c r="C6022" s="2" t="s">
        <v>36</v>
      </c>
      <c r="D6022" s="3" t="n">
        <v>46241</v>
      </c>
      <c r="E6022" s="2" t="str">
        <f aca="false">TEXT(D6022,"dddd")</f>
        <v>Friday</v>
      </c>
      <c r="F6022" s="2" t="s">
        <v>461</v>
      </c>
      <c r="G6022" s="2"/>
      <c r="H6022" s="2"/>
      <c r="I6022" s="2" t="n">
        <f aca="false">IF(F6022="Present",9,IF(F6022="Half Day",4,0))</f>
        <v>0</v>
      </c>
      <c r="J6022" s="2"/>
      <c r="K6022" s="2" t="s">
        <v>462</v>
      </c>
    </row>
    <row r="6023" customFormat="false" ht="15" hidden="false" customHeight="false" outlineLevel="0" collapsed="false">
      <c r="A6023" s="2" t="s">
        <v>437</v>
      </c>
      <c r="B6023" s="2" t="s">
        <v>438</v>
      </c>
      <c r="C6023" s="2" t="s">
        <v>36</v>
      </c>
      <c r="D6023" s="3" t="n">
        <v>46242</v>
      </c>
      <c r="E6023" s="2" t="str">
        <f aca="false">TEXT(D6023,"dddd")</f>
        <v>Saturday</v>
      </c>
      <c r="F6023" s="2" t="s">
        <v>457</v>
      </c>
      <c r="G6023" s="2" t="s">
        <v>458</v>
      </c>
      <c r="H6023" s="2" t="s">
        <v>459</v>
      </c>
      <c r="I6023" s="2" t="n">
        <f aca="false">IF(F6023="Present",9,IF(F6023="Half Day",4,0))</f>
        <v>9</v>
      </c>
      <c r="J6023" s="2"/>
      <c r="K6023" s="2"/>
    </row>
    <row r="6024" customFormat="false" ht="15" hidden="false" customHeight="false" outlineLevel="0" collapsed="false">
      <c r="A6024" s="2" t="s">
        <v>437</v>
      </c>
      <c r="B6024" s="2" t="s">
        <v>438</v>
      </c>
      <c r="C6024" s="2" t="s">
        <v>36</v>
      </c>
      <c r="D6024" s="3" t="n">
        <v>46243</v>
      </c>
      <c r="E6024" s="2" t="str">
        <f aca="false">TEXT(D6024,"dddd")</f>
        <v>Sunday</v>
      </c>
      <c r="F6024" s="2" t="s">
        <v>460</v>
      </c>
      <c r="G6024" s="2"/>
      <c r="H6024" s="2"/>
      <c r="I6024" s="2" t="n">
        <f aca="false">IF(F6024="Present",9,IF(F6024="Half Day",4,0))</f>
        <v>0</v>
      </c>
      <c r="J6024" s="2"/>
      <c r="K6024" s="2" t="s">
        <v>460</v>
      </c>
    </row>
    <row r="6025" customFormat="false" ht="15" hidden="false" customHeight="false" outlineLevel="0" collapsed="false">
      <c r="A6025" s="2" t="s">
        <v>437</v>
      </c>
      <c r="B6025" s="2" t="s">
        <v>438</v>
      </c>
      <c r="C6025" s="2" t="s">
        <v>36</v>
      </c>
      <c r="D6025" s="3" t="n">
        <v>46244</v>
      </c>
      <c r="E6025" s="2" t="str">
        <f aca="false">TEXT(D6025,"dddd")</f>
        <v>Monday</v>
      </c>
      <c r="F6025" s="2" t="s">
        <v>457</v>
      </c>
      <c r="G6025" s="2" t="s">
        <v>458</v>
      </c>
      <c r="H6025" s="2" t="s">
        <v>459</v>
      </c>
      <c r="I6025" s="2" t="n">
        <f aca="false">IF(F6025="Present",9,IF(F6025="Half Day",4,0))</f>
        <v>9</v>
      </c>
      <c r="J6025" s="2"/>
      <c r="K6025" s="2"/>
    </row>
    <row r="6026" customFormat="false" ht="15" hidden="false" customHeight="false" outlineLevel="0" collapsed="false">
      <c r="A6026" s="2" t="s">
        <v>437</v>
      </c>
      <c r="B6026" s="2" t="s">
        <v>438</v>
      </c>
      <c r="C6026" s="2" t="s">
        <v>36</v>
      </c>
      <c r="D6026" s="3" t="n">
        <v>46245</v>
      </c>
      <c r="E6026" s="2" t="str">
        <f aca="false">TEXT(D6026,"dddd")</f>
        <v>Tuesday</v>
      </c>
      <c r="F6026" s="2" t="s">
        <v>457</v>
      </c>
      <c r="G6026" s="2" t="s">
        <v>458</v>
      </c>
      <c r="H6026" s="2" t="s">
        <v>459</v>
      </c>
      <c r="I6026" s="2" t="n">
        <f aca="false">IF(F6026="Present",9,IF(F6026="Half Day",4,0))</f>
        <v>9</v>
      </c>
      <c r="J6026" s="2"/>
      <c r="K6026" s="2"/>
    </row>
    <row r="6027" customFormat="false" ht="15" hidden="false" customHeight="false" outlineLevel="0" collapsed="false">
      <c r="A6027" s="2" t="s">
        <v>437</v>
      </c>
      <c r="B6027" s="2" t="s">
        <v>438</v>
      </c>
      <c r="C6027" s="2" t="s">
        <v>36</v>
      </c>
      <c r="D6027" s="3" t="n">
        <v>46246</v>
      </c>
      <c r="E6027" s="2" t="str">
        <f aca="false">TEXT(D6027,"dddd")</f>
        <v>Wednesday</v>
      </c>
      <c r="F6027" s="2" t="s">
        <v>461</v>
      </c>
      <c r="G6027" s="2"/>
      <c r="H6027" s="2"/>
      <c r="I6027" s="2" t="n">
        <f aca="false">IF(F6027="Present",9,IF(F6027="Half Day",4,0))</f>
        <v>0</v>
      </c>
      <c r="J6027" s="2"/>
      <c r="K6027" s="2" t="s">
        <v>462</v>
      </c>
    </row>
    <row r="6028" customFormat="false" ht="15" hidden="false" customHeight="false" outlineLevel="0" collapsed="false">
      <c r="A6028" s="2" t="s">
        <v>437</v>
      </c>
      <c r="B6028" s="2" t="s">
        <v>438</v>
      </c>
      <c r="C6028" s="2" t="s">
        <v>36</v>
      </c>
      <c r="D6028" s="3" t="n">
        <v>46247</v>
      </c>
      <c r="E6028" s="2" t="str">
        <f aca="false">TEXT(D6028,"dddd")</f>
        <v>Thursday</v>
      </c>
      <c r="F6028" s="2" t="s">
        <v>461</v>
      </c>
      <c r="G6028" s="2"/>
      <c r="H6028" s="2"/>
      <c r="I6028" s="2" t="n">
        <f aca="false">IF(F6028="Present",9,IF(F6028="Half Day",4,0))</f>
        <v>0</v>
      </c>
      <c r="J6028" s="2"/>
      <c r="K6028" s="2" t="s">
        <v>462</v>
      </c>
    </row>
    <row r="6029" customFormat="false" ht="15" hidden="false" customHeight="false" outlineLevel="0" collapsed="false">
      <c r="A6029" s="2" t="s">
        <v>437</v>
      </c>
      <c r="B6029" s="2" t="s">
        <v>438</v>
      </c>
      <c r="C6029" s="2" t="s">
        <v>36</v>
      </c>
      <c r="D6029" s="3" t="n">
        <v>46248</v>
      </c>
      <c r="E6029" s="2" t="str">
        <f aca="false">TEXT(D6029,"dddd")</f>
        <v>Friday</v>
      </c>
      <c r="F6029" s="2" t="s">
        <v>457</v>
      </c>
      <c r="G6029" s="2" t="s">
        <v>458</v>
      </c>
      <c r="H6029" s="2" t="s">
        <v>459</v>
      </c>
      <c r="I6029" s="2" t="n">
        <f aca="false">IF(F6029="Present",9,IF(F6029="Half Day",4,0))</f>
        <v>9</v>
      </c>
      <c r="J6029" s="2"/>
      <c r="K6029" s="2"/>
    </row>
    <row r="6030" customFormat="false" ht="15" hidden="false" customHeight="false" outlineLevel="0" collapsed="false">
      <c r="A6030" s="2" t="s">
        <v>437</v>
      </c>
      <c r="B6030" s="2" t="s">
        <v>438</v>
      </c>
      <c r="C6030" s="2" t="s">
        <v>36</v>
      </c>
      <c r="D6030" s="3" t="n">
        <v>46249</v>
      </c>
      <c r="E6030" s="2" t="str">
        <f aca="false">TEXT(D6030,"dddd")</f>
        <v>Saturday</v>
      </c>
      <c r="F6030" s="2" t="s">
        <v>457</v>
      </c>
      <c r="G6030" s="2" t="s">
        <v>458</v>
      </c>
      <c r="H6030" s="2" t="s">
        <v>459</v>
      </c>
      <c r="I6030" s="2" t="n">
        <f aca="false">IF(F6030="Present",9,IF(F6030="Half Day",4,0))</f>
        <v>9</v>
      </c>
      <c r="J6030" s="2"/>
      <c r="K6030" s="2"/>
    </row>
    <row r="6031" customFormat="false" ht="15" hidden="false" customHeight="false" outlineLevel="0" collapsed="false">
      <c r="A6031" s="2" t="s">
        <v>437</v>
      </c>
      <c r="B6031" s="2" t="s">
        <v>438</v>
      </c>
      <c r="C6031" s="2" t="s">
        <v>36</v>
      </c>
      <c r="D6031" s="3" t="n">
        <v>46250</v>
      </c>
      <c r="E6031" s="2" t="str">
        <f aca="false">TEXT(D6031,"dddd")</f>
        <v>Sunday</v>
      </c>
      <c r="F6031" s="2" t="s">
        <v>460</v>
      </c>
      <c r="G6031" s="2"/>
      <c r="H6031" s="2"/>
      <c r="I6031" s="2" t="n">
        <f aca="false">IF(F6031="Present",9,IF(F6031="Half Day",4,0))</f>
        <v>0</v>
      </c>
      <c r="J6031" s="2"/>
      <c r="K6031" s="2" t="s">
        <v>460</v>
      </c>
    </row>
    <row r="6032" customFormat="false" ht="15" hidden="false" customHeight="false" outlineLevel="0" collapsed="false">
      <c r="A6032" s="2" t="s">
        <v>437</v>
      </c>
      <c r="B6032" s="2" t="s">
        <v>438</v>
      </c>
      <c r="C6032" s="2" t="s">
        <v>36</v>
      </c>
      <c r="D6032" s="3" t="n">
        <v>46251</v>
      </c>
      <c r="E6032" s="2" t="str">
        <f aca="false">TEXT(D6032,"dddd")</f>
        <v>Monday</v>
      </c>
      <c r="F6032" s="2" t="s">
        <v>457</v>
      </c>
      <c r="G6032" s="2" t="s">
        <v>458</v>
      </c>
      <c r="H6032" s="2" t="s">
        <v>459</v>
      </c>
      <c r="I6032" s="2" t="n">
        <f aca="false">IF(F6032="Present",9,IF(F6032="Half Day",4,0))</f>
        <v>9</v>
      </c>
      <c r="J6032" s="2"/>
      <c r="K6032" s="2"/>
    </row>
    <row r="6033" customFormat="false" ht="15" hidden="false" customHeight="false" outlineLevel="0" collapsed="false">
      <c r="A6033" s="2" t="s">
        <v>437</v>
      </c>
      <c r="B6033" s="2" t="s">
        <v>438</v>
      </c>
      <c r="C6033" s="2" t="s">
        <v>36</v>
      </c>
      <c r="D6033" s="3" t="n">
        <v>46252</v>
      </c>
      <c r="E6033" s="2" t="str">
        <f aca="false">TEXT(D6033,"dddd")</f>
        <v>Tuesday</v>
      </c>
      <c r="F6033" s="2" t="s">
        <v>461</v>
      </c>
      <c r="G6033" s="2"/>
      <c r="H6033" s="2"/>
      <c r="I6033" s="2" t="n">
        <f aca="false">IF(F6033="Present",9,IF(F6033="Half Day",4,0))</f>
        <v>0</v>
      </c>
      <c r="J6033" s="2"/>
      <c r="K6033" s="2" t="s">
        <v>462</v>
      </c>
    </row>
    <row r="6034" customFormat="false" ht="15" hidden="false" customHeight="false" outlineLevel="0" collapsed="false">
      <c r="A6034" s="2" t="s">
        <v>437</v>
      </c>
      <c r="B6034" s="2" t="s">
        <v>438</v>
      </c>
      <c r="C6034" s="2" t="s">
        <v>36</v>
      </c>
      <c r="D6034" s="3" t="n">
        <v>46253</v>
      </c>
      <c r="E6034" s="2" t="str">
        <f aca="false">TEXT(D6034,"dddd")</f>
        <v>Wednesday</v>
      </c>
      <c r="F6034" s="2" t="s">
        <v>461</v>
      </c>
      <c r="G6034" s="2"/>
      <c r="H6034" s="2"/>
      <c r="I6034" s="2" t="n">
        <f aca="false">IF(F6034="Present",9,IF(F6034="Half Day",4,0))</f>
        <v>0</v>
      </c>
      <c r="J6034" s="2"/>
      <c r="K6034" s="2" t="s">
        <v>462</v>
      </c>
    </row>
    <row r="6035" customFormat="false" ht="15" hidden="false" customHeight="false" outlineLevel="0" collapsed="false">
      <c r="A6035" s="2" t="s">
        <v>437</v>
      </c>
      <c r="B6035" s="2" t="s">
        <v>438</v>
      </c>
      <c r="C6035" s="2" t="s">
        <v>36</v>
      </c>
      <c r="D6035" s="3" t="n">
        <v>46254</v>
      </c>
      <c r="E6035" s="2" t="str">
        <f aca="false">TEXT(D6035,"dddd")</f>
        <v>Thursday</v>
      </c>
      <c r="F6035" s="2" t="s">
        <v>457</v>
      </c>
      <c r="G6035" s="2" t="s">
        <v>458</v>
      </c>
      <c r="H6035" s="2" t="s">
        <v>459</v>
      </c>
      <c r="I6035" s="2" t="n">
        <f aca="false">IF(F6035="Present",9,IF(F6035="Half Day",4,0))</f>
        <v>9</v>
      </c>
      <c r="J6035" s="2"/>
      <c r="K6035" s="2"/>
    </row>
    <row r="6036" customFormat="false" ht="15" hidden="false" customHeight="false" outlineLevel="0" collapsed="false">
      <c r="A6036" s="2" t="s">
        <v>437</v>
      </c>
      <c r="B6036" s="2" t="s">
        <v>438</v>
      </c>
      <c r="C6036" s="2" t="s">
        <v>36</v>
      </c>
      <c r="D6036" s="3" t="n">
        <v>46255</v>
      </c>
      <c r="E6036" s="2" t="str">
        <f aca="false">TEXT(D6036,"dddd")</f>
        <v>Friday</v>
      </c>
      <c r="F6036" s="2" t="s">
        <v>457</v>
      </c>
      <c r="G6036" s="2" t="s">
        <v>458</v>
      </c>
      <c r="H6036" s="2" t="s">
        <v>459</v>
      </c>
      <c r="I6036" s="2" t="n">
        <f aca="false">IF(F6036="Present",9,IF(F6036="Half Day",4,0))</f>
        <v>9</v>
      </c>
      <c r="J6036" s="2"/>
      <c r="K6036" s="2"/>
    </row>
    <row r="6037" customFormat="false" ht="15" hidden="false" customHeight="false" outlineLevel="0" collapsed="false">
      <c r="A6037" s="2" t="s">
        <v>437</v>
      </c>
      <c r="B6037" s="2" t="s">
        <v>438</v>
      </c>
      <c r="C6037" s="2" t="s">
        <v>36</v>
      </c>
      <c r="D6037" s="3" t="n">
        <v>46256</v>
      </c>
      <c r="E6037" s="2" t="str">
        <f aca="false">TEXT(D6037,"dddd")</f>
        <v>Saturday</v>
      </c>
      <c r="F6037" s="2" t="s">
        <v>457</v>
      </c>
      <c r="G6037" s="2" t="s">
        <v>458</v>
      </c>
      <c r="H6037" s="2" t="s">
        <v>459</v>
      </c>
      <c r="I6037" s="2" t="n">
        <f aca="false">IF(F6037="Present",9,IF(F6037="Half Day",4,0))</f>
        <v>9</v>
      </c>
      <c r="J6037" s="2"/>
      <c r="K6037" s="2"/>
    </row>
    <row r="6038" customFormat="false" ht="15" hidden="false" customHeight="false" outlineLevel="0" collapsed="false">
      <c r="A6038" s="2" t="s">
        <v>437</v>
      </c>
      <c r="B6038" s="2" t="s">
        <v>438</v>
      </c>
      <c r="C6038" s="2" t="s">
        <v>36</v>
      </c>
      <c r="D6038" s="3" t="n">
        <v>46257</v>
      </c>
      <c r="E6038" s="2" t="str">
        <f aca="false">TEXT(D6038,"dddd")</f>
        <v>Sunday</v>
      </c>
      <c r="F6038" s="2" t="s">
        <v>460</v>
      </c>
      <c r="G6038" s="2"/>
      <c r="H6038" s="2"/>
      <c r="I6038" s="2" t="n">
        <f aca="false">IF(F6038="Present",9,IF(F6038="Half Day",4,0))</f>
        <v>0</v>
      </c>
      <c r="J6038" s="2"/>
      <c r="K6038" s="2" t="s">
        <v>460</v>
      </c>
    </row>
    <row r="6039" customFormat="false" ht="15" hidden="false" customHeight="false" outlineLevel="0" collapsed="false">
      <c r="A6039" s="2" t="s">
        <v>437</v>
      </c>
      <c r="B6039" s="2" t="s">
        <v>438</v>
      </c>
      <c r="C6039" s="2" t="s">
        <v>36</v>
      </c>
      <c r="D6039" s="3" t="n">
        <v>46258</v>
      </c>
      <c r="E6039" s="2" t="str">
        <f aca="false">TEXT(D6039,"dddd")</f>
        <v>Monday</v>
      </c>
      <c r="F6039" s="2" t="s">
        <v>461</v>
      </c>
      <c r="G6039" s="2"/>
      <c r="H6039" s="2"/>
      <c r="I6039" s="2" t="n">
        <f aca="false">IF(F6039="Present",9,IF(F6039="Half Day",4,0))</f>
        <v>0</v>
      </c>
      <c r="J6039" s="2"/>
      <c r="K6039" s="2" t="s">
        <v>462</v>
      </c>
    </row>
    <row r="6040" customFormat="false" ht="15" hidden="false" customHeight="false" outlineLevel="0" collapsed="false">
      <c r="A6040" s="2" t="s">
        <v>437</v>
      </c>
      <c r="B6040" s="2" t="s">
        <v>438</v>
      </c>
      <c r="C6040" s="2" t="s">
        <v>36</v>
      </c>
      <c r="D6040" s="3" t="n">
        <v>46259</v>
      </c>
      <c r="E6040" s="2" t="str">
        <f aca="false">TEXT(D6040,"dddd")</f>
        <v>Tuesday</v>
      </c>
      <c r="F6040" s="2" t="s">
        <v>457</v>
      </c>
      <c r="G6040" s="2" t="s">
        <v>458</v>
      </c>
      <c r="H6040" s="2" t="s">
        <v>459</v>
      </c>
      <c r="I6040" s="2" t="n">
        <f aca="false">IF(F6040="Present",9,IF(F6040="Half Day",4,0))</f>
        <v>9</v>
      </c>
      <c r="J6040" s="2"/>
      <c r="K6040" s="2"/>
    </row>
    <row r="6041" customFormat="false" ht="15" hidden="false" customHeight="false" outlineLevel="0" collapsed="false">
      <c r="A6041" s="2" t="s">
        <v>437</v>
      </c>
      <c r="B6041" s="2" t="s">
        <v>438</v>
      </c>
      <c r="C6041" s="2" t="s">
        <v>36</v>
      </c>
      <c r="D6041" s="3" t="n">
        <v>46260</v>
      </c>
      <c r="E6041" s="2" t="str">
        <f aca="false">TEXT(D6041,"dddd")</f>
        <v>Wednesday</v>
      </c>
      <c r="F6041" s="2" t="s">
        <v>457</v>
      </c>
      <c r="G6041" s="2" t="s">
        <v>458</v>
      </c>
      <c r="H6041" s="2" t="s">
        <v>459</v>
      </c>
      <c r="I6041" s="2" t="n">
        <f aca="false">IF(F6041="Present",9,IF(F6041="Half Day",4,0))</f>
        <v>9</v>
      </c>
      <c r="J6041" s="2"/>
      <c r="K6041" s="2"/>
    </row>
    <row r="6042" customFormat="false" ht="15" hidden="false" customHeight="false" outlineLevel="0" collapsed="false">
      <c r="A6042" s="2" t="s">
        <v>437</v>
      </c>
      <c r="B6042" s="2" t="s">
        <v>438</v>
      </c>
      <c r="C6042" s="2" t="s">
        <v>36</v>
      </c>
      <c r="D6042" s="3" t="n">
        <v>46261</v>
      </c>
      <c r="E6042" s="2" t="str">
        <f aca="false">TEXT(D6042,"dddd")</f>
        <v>Thursday</v>
      </c>
      <c r="F6042" s="2" t="s">
        <v>461</v>
      </c>
      <c r="G6042" s="2"/>
      <c r="H6042" s="2"/>
      <c r="I6042" s="2" t="n">
        <f aca="false">IF(F6042="Present",9,IF(F6042="Half Day",4,0))</f>
        <v>0</v>
      </c>
      <c r="J6042" s="2"/>
      <c r="K6042" s="2" t="s">
        <v>462</v>
      </c>
    </row>
    <row r="6043" customFormat="false" ht="15" hidden="false" customHeight="false" outlineLevel="0" collapsed="false">
      <c r="A6043" s="2" t="s">
        <v>437</v>
      </c>
      <c r="B6043" s="2" t="s">
        <v>438</v>
      </c>
      <c r="C6043" s="2" t="s">
        <v>36</v>
      </c>
      <c r="D6043" s="3" t="n">
        <v>46262</v>
      </c>
      <c r="E6043" s="2" t="str">
        <f aca="false">TEXT(D6043,"dddd")</f>
        <v>Friday</v>
      </c>
      <c r="F6043" s="2" t="s">
        <v>457</v>
      </c>
      <c r="G6043" s="2" t="s">
        <v>458</v>
      </c>
      <c r="H6043" s="2" t="s">
        <v>459</v>
      </c>
      <c r="I6043" s="2" t="n">
        <f aca="false">IF(F6043="Present",9,IF(F6043="Half Day",4,0))</f>
        <v>9</v>
      </c>
      <c r="J6043" s="2"/>
      <c r="K6043" s="2"/>
    </row>
    <row r="6044" customFormat="false" ht="15" hidden="false" customHeight="false" outlineLevel="0" collapsed="false">
      <c r="A6044" s="2" t="s">
        <v>437</v>
      </c>
      <c r="B6044" s="2" t="s">
        <v>438</v>
      </c>
      <c r="C6044" s="2" t="s">
        <v>36</v>
      </c>
      <c r="D6044" s="3" t="n">
        <v>46263</v>
      </c>
      <c r="E6044" s="2" t="str">
        <f aca="false">TEXT(D6044,"dddd")</f>
        <v>Saturday</v>
      </c>
      <c r="F6044" s="2" t="s">
        <v>461</v>
      </c>
      <c r="G6044" s="2"/>
      <c r="H6044" s="2"/>
      <c r="I6044" s="2" t="n">
        <f aca="false">IF(F6044="Present",9,IF(F6044="Half Day",4,0))</f>
        <v>0</v>
      </c>
      <c r="J6044" s="2"/>
      <c r="K6044" s="2" t="s">
        <v>462</v>
      </c>
    </row>
    <row r="6045" customFormat="false" ht="15" hidden="false" customHeight="false" outlineLevel="0" collapsed="false">
      <c r="A6045" s="2" t="s">
        <v>437</v>
      </c>
      <c r="B6045" s="2" t="s">
        <v>438</v>
      </c>
      <c r="C6045" s="2" t="s">
        <v>36</v>
      </c>
      <c r="D6045" s="3" t="n">
        <v>46264</v>
      </c>
      <c r="E6045" s="2" t="str">
        <f aca="false">TEXT(D6045,"dddd")</f>
        <v>Sunday</v>
      </c>
      <c r="F6045" s="2" t="s">
        <v>460</v>
      </c>
      <c r="G6045" s="2"/>
      <c r="H6045" s="2"/>
      <c r="I6045" s="2" t="n">
        <f aca="false">IF(F6045="Present",9,IF(F6045="Half Day",4,0))</f>
        <v>0</v>
      </c>
      <c r="J6045" s="2"/>
      <c r="K6045" s="2" t="s">
        <v>460</v>
      </c>
    </row>
    <row r="6046" customFormat="false" ht="15" hidden="false" customHeight="false" outlineLevel="0" collapsed="false">
      <c r="A6046" s="2" t="s">
        <v>437</v>
      </c>
      <c r="B6046" s="2" t="s">
        <v>438</v>
      </c>
      <c r="C6046" s="2" t="s">
        <v>36</v>
      </c>
      <c r="D6046" s="3" t="n">
        <v>46265</v>
      </c>
      <c r="E6046" s="2" t="str">
        <f aca="false">TEXT(D6046,"dddd")</f>
        <v>Monday</v>
      </c>
      <c r="F6046" s="2" t="s">
        <v>457</v>
      </c>
      <c r="G6046" s="2" t="s">
        <v>458</v>
      </c>
      <c r="H6046" s="2" t="s">
        <v>459</v>
      </c>
      <c r="I6046" s="2" t="n">
        <f aca="false">IF(F6046="Present",9,IF(F6046="Half Day",4,0))</f>
        <v>9</v>
      </c>
      <c r="J6046" s="2"/>
      <c r="K6046" s="2"/>
    </row>
    <row r="6047" customFormat="false" ht="15" hidden="false" customHeight="false" outlineLevel="0" collapsed="false">
      <c r="A6047" s="2" t="s">
        <v>439</v>
      </c>
      <c r="B6047" s="2" t="s">
        <v>440</v>
      </c>
      <c r="C6047" s="2" t="s">
        <v>41</v>
      </c>
      <c r="D6047" s="3" t="n">
        <v>46235</v>
      </c>
      <c r="E6047" s="2" t="str">
        <f aca="false">TEXT(D6047,"dddd")</f>
        <v>Saturday</v>
      </c>
      <c r="F6047" s="2" t="s">
        <v>457</v>
      </c>
      <c r="G6047" s="2" t="s">
        <v>458</v>
      </c>
      <c r="H6047" s="2" t="s">
        <v>459</v>
      </c>
      <c r="I6047" s="2" t="n">
        <f aca="false">IF(F6047="Present",9,IF(F6047="Half Day",4,0))</f>
        <v>9</v>
      </c>
      <c r="J6047" s="2"/>
      <c r="K6047" s="2"/>
    </row>
    <row r="6048" customFormat="false" ht="15" hidden="false" customHeight="false" outlineLevel="0" collapsed="false">
      <c r="A6048" s="2" t="s">
        <v>439</v>
      </c>
      <c r="B6048" s="2" t="s">
        <v>440</v>
      </c>
      <c r="C6048" s="2" t="s">
        <v>41</v>
      </c>
      <c r="D6048" s="3" t="n">
        <v>46236</v>
      </c>
      <c r="E6048" s="2" t="str">
        <f aca="false">TEXT(D6048,"dddd")</f>
        <v>Sunday</v>
      </c>
      <c r="F6048" s="2" t="s">
        <v>460</v>
      </c>
      <c r="G6048" s="2"/>
      <c r="H6048" s="2"/>
      <c r="I6048" s="2" t="n">
        <f aca="false">IF(F6048="Present",9,IF(F6048="Half Day",4,0))</f>
        <v>0</v>
      </c>
      <c r="J6048" s="2"/>
      <c r="K6048" s="2" t="s">
        <v>460</v>
      </c>
    </row>
    <row r="6049" customFormat="false" ht="15" hidden="false" customHeight="false" outlineLevel="0" collapsed="false">
      <c r="A6049" s="2" t="s">
        <v>439</v>
      </c>
      <c r="B6049" s="2" t="s">
        <v>440</v>
      </c>
      <c r="C6049" s="2" t="s">
        <v>41</v>
      </c>
      <c r="D6049" s="3" t="n">
        <v>46237</v>
      </c>
      <c r="E6049" s="2" t="str">
        <f aca="false">TEXT(D6049,"dddd")</f>
        <v>Monday</v>
      </c>
      <c r="F6049" s="2" t="s">
        <v>457</v>
      </c>
      <c r="G6049" s="2" t="s">
        <v>458</v>
      </c>
      <c r="H6049" s="2" t="s">
        <v>459</v>
      </c>
      <c r="I6049" s="2" t="n">
        <f aca="false">IF(F6049="Present",9,IF(F6049="Half Day",4,0))</f>
        <v>9</v>
      </c>
      <c r="J6049" s="2"/>
      <c r="K6049" s="2"/>
    </row>
    <row r="6050" customFormat="false" ht="15" hidden="false" customHeight="false" outlineLevel="0" collapsed="false">
      <c r="A6050" s="2" t="s">
        <v>439</v>
      </c>
      <c r="B6050" s="2" t="s">
        <v>440</v>
      </c>
      <c r="C6050" s="2" t="s">
        <v>41</v>
      </c>
      <c r="D6050" s="3" t="n">
        <v>46238</v>
      </c>
      <c r="E6050" s="2" t="str">
        <f aca="false">TEXT(D6050,"dddd")</f>
        <v>Tuesday</v>
      </c>
      <c r="F6050" s="2" t="s">
        <v>457</v>
      </c>
      <c r="G6050" s="2" t="s">
        <v>458</v>
      </c>
      <c r="H6050" s="2" t="s">
        <v>459</v>
      </c>
      <c r="I6050" s="2" t="n">
        <f aca="false">IF(F6050="Present",9,IF(F6050="Half Day",4,0))</f>
        <v>9</v>
      </c>
      <c r="J6050" s="2"/>
      <c r="K6050" s="2"/>
    </row>
    <row r="6051" customFormat="false" ht="15" hidden="false" customHeight="false" outlineLevel="0" collapsed="false">
      <c r="A6051" s="2" t="s">
        <v>439</v>
      </c>
      <c r="B6051" s="2" t="s">
        <v>440</v>
      </c>
      <c r="C6051" s="2" t="s">
        <v>41</v>
      </c>
      <c r="D6051" s="3" t="n">
        <v>46239</v>
      </c>
      <c r="E6051" s="2" t="str">
        <f aca="false">TEXT(D6051,"dddd")</f>
        <v>Wednesday</v>
      </c>
      <c r="F6051" s="2" t="s">
        <v>461</v>
      </c>
      <c r="G6051" s="2"/>
      <c r="H6051" s="2"/>
      <c r="I6051" s="2" t="n">
        <f aca="false">IF(F6051="Present",9,IF(F6051="Half Day",4,0))</f>
        <v>0</v>
      </c>
      <c r="J6051" s="2"/>
      <c r="K6051" s="2" t="s">
        <v>462</v>
      </c>
    </row>
    <row r="6052" customFormat="false" ht="15" hidden="false" customHeight="false" outlineLevel="0" collapsed="false">
      <c r="A6052" s="2" t="s">
        <v>439</v>
      </c>
      <c r="B6052" s="2" t="s">
        <v>440</v>
      </c>
      <c r="C6052" s="2" t="s">
        <v>41</v>
      </c>
      <c r="D6052" s="3" t="n">
        <v>46240</v>
      </c>
      <c r="E6052" s="2" t="str">
        <f aca="false">TEXT(D6052,"dddd")</f>
        <v>Thursday</v>
      </c>
      <c r="F6052" s="2" t="s">
        <v>457</v>
      </c>
      <c r="G6052" s="2" t="s">
        <v>458</v>
      </c>
      <c r="H6052" s="2" t="s">
        <v>459</v>
      </c>
      <c r="I6052" s="2" t="n">
        <f aca="false">IF(F6052="Present",9,IF(F6052="Half Day",4,0))</f>
        <v>9</v>
      </c>
      <c r="J6052" s="2"/>
      <c r="K6052" s="2"/>
    </row>
    <row r="6053" customFormat="false" ht="15" hidden="false" customHeight="false" outlineLevel="0" collapsed="false">
      <c r="A6053" s="2" t="s">
        <v>439</v>
      </c>
      <c r="B6053" s="2" t="s">
        <v>440</v>
      </c>
      <c r="C6053" s="2" t="s">
        <v>41</v>
      </c>
      <c r="D6053" s="3" t="n">
        <v>46241</v>
      </c>
      <c r="E6053" s="2" t="str">
        <f aca="false">TEXT(D6053,"dddd")</f>
        <v>Friday</v>
      </c>
      <c r="F6053" s="2" t="s">
        <v>461</v>
      </c>
      <c r="G6053" s="2"/>
      <c r="H6053" s="2"/>
      <c r="I6053" s="2" t="n">
        <f aca="false">IF(F6053="Present",9,IF(F6053="Half Day",4,0))</f>
        <v>0</v>
      </c>
      <c r="J6053" s="2"/>
      <c r="K6053" s="2" t="s">
        <v>462</v>
      </c>
    </row>
    <row r="6054" customFormat="false" ht="15" hidden="false" customHeight="false" outlineLevel="0" collapsed="false">
      <c r="A6054" s="2" t="s">
        <v>439</v>
      </c>
      <c r="B6054" s="2" t="s">
        <v>440</v>
      </c>
      <c r="C6054" s="2" t="s">
        <v>41</v>
      </c>
      <c r="D6054" s="3" t="n">
        <v>46242</v>
      </c>
      <c r="E6054" s="2" t="str">
        <f aca="false">TEXT(D6054,"dddd")</f>
        <v>Saturday</v>
      </c>
      <c r="F6054" s="2" t="s">
        <v>461</v>
      </c>
      <c r="G6054" s="2"/>
      <c r="H6054" s="2"/>
      <c r="I6054" s="2" t="n">
        <f aca="false">IF(F6054="Present",9,IF(F6054="Half Day",4,0))</f>
        <v>0</v>
      </c>
      <c r="J6054" s="2"/>
      <c r="K6054" s="2" t="s">
        <v>462</v>
      </c>
    </row>
    <row r="6055" customFormat="false" ht="15" hidden="false" customHeight="false" outlineLevel="0" collapsed="false">
      <c r="A6055" s="2" t="s">
        <v>439</v>
      </c>
      <c r="B6055" s="2" t="s">
        <v>440</v>
      </c>
      <c r="C6055" s="2" t="s">
        <v>41</v>
      </c>
      <c r="D6055" s="3" t="n">
        <v>46243</v>
      </c>
      <c r="E6055" s="2" t="str">
        <f aca="false">TEXT(D6055,"dddd")</f>
        <v>Sunday</v>
      </c>
      <c r="F6055" s="2" t="s">
        <v>460</v>
      </c>
      <c r="G6055" s="2"/>
      <c r="H6055" s="2"/>
      <c r="I6055" s="2" t="n">
        <f aca="false">IF(F6055="Present",9,IF(F6055="Half Day",4,0))</f>
        <v>0</v>
      </c>
      <c r="J6055" s="2"/>
      <c r="K6055" s="2" t="s">
        <v>460</v>
      </c>
    </row>
    <row r="6056" customFormat="false" ht="15" hidden="false" customHeight="false" outlineLevel="0" collapsed="false">
      <c r="A6056" s="2" t="s">
        <v>439</v>
      </c>
      <c r="B6056" s="2" t="s">
        <v>440</v>
      </c>
      <c r="C6056" s="2" t="s">
        <v>41</v>
      </c>
      <c r="D6056" s="3" t="n">
        <v>46244</v>
      </c>
      <c r="E6056" s="2" t="str">
        <f aca="false">TEXT(D6056,"dddd")</f>
        <v>Monday</v>
      </c>
      <c r="F6056" s="2" t="s">
        <v>457</v>
      </c>
      <c r="G6056" s="2" t="s">
        <v>458</v>
      </c>
      <c r="H6056" s="2" t="s">
        <v>459</v>
      </c>
      <c r="I6056" s="2" t="n">
        <f aca="false">IF(F6056="Present",9,IF(F6056="Half Day",4,0))</f>
        <v>9</v>
      </c>
      <c r="J6056" s="2"/>
      <c r="K6056" s="2"/>
    </row>
    <row r="6057" customFormat="false" ht="15" hidden="false" customHeight="false" outlineLevel="0" collapsed="false">
      <c r="A6057" s="2" t="s">
        <v>439</v>
      </c>
      <c r="B6057" s="2" t="s">
        <v>440</v>
      </c>
      <c r="C6057" s="2" t="s">
        <v>41</v>
      </c>
      <c r="D6057" s="3" t="n">
        <v>46245</v>
      </c>
      <c r="E6057" s="2" t="str">
        <f aca="false">TEXT(D6057,"dddd")</f>
        <v>Tuesday</v>
      </c>
      <c r="F6057" s="2" t="s">
        <v>461</v>
      </c>
      <c r="G6057" s="2"/>
      <c r="H6057" s="2"/>
      <c r="I6057" s="2" t="n">
        <f aca="false">IF(F6057="Present",9,IF(F6057="Half Day",4,0))</f>
        <v>0</v>
      </c>
      <c r="J6057" s="2"/>
      <c r="K6057" s="2" t="s">
        <v>462</v>
      </c>
    </row>
    <row r="6058" customFormat="false" ht="15" hidden="false" customHeight="false" outlineLevel="0" collapsed="false">
      <c r="A6058" s="2" t="s">
        <v>439</v>
      </c>
      <c r="B6058" s="2" t="s">
        <v>440</v>
      </c>
      <c r="C6058" s="2" t="s">
        <v>41</v>
      </c>
      <c r="D6058" s="3" t="n">
        <v>46246</v>
      </c>
      <c r="E6058" s="2" t="str">
        <f aca="false">TEXT(D6058,"dddd")</f>
        <v>Wednesday</v>
      </c>
      <c r="F6058" s="2" t="s">
        <v>457</v>
      </c>
      <c r="G6058" s="2" t="s">
        <v>458</v>
      </c>
      <c r="H6058" s="2" t="s">
        <v>459</v>
      </c>
      <c r="I6058" s="2" t="n">
        <f aca="false">IF(F6058="Present",9,IF(F6058="Half Day",4,0))</f>
        <v>9</v>
      </c>
      <c r="J6058" s="2"/>
      <c r="K6058" s="2"/>
    </row>
    <row r="6059" customFormat="false" ht="15" hidden="false" customHeight="false" outlineLevel="0" collapsed="false">
      <c r="A6059" s="2" t="s">
        <v>439</v>
      </c>
      <c r="B6059" s="2" t="s">
        <v>440</v>
      </c>
      <c r="C6059" s="2" t="s">
        <v>41</v>
      </c>
      <c r="D6059" s="3" t="n">
        <v>46247</v>
      </c>
      <c r="E6059" s="2" t="str">
        <f aca="false">TEXT(D6059,"dddd")</f>
        <v>Thursday</v>
      </c>
      <c r="F6059" s="2" t="s">
        <v>457</v>
      </c>
      <c r="G6059" s="2" t="s">
        <v>458</v>
      </c>
      <c r="H6059" s="2" t="s">
        <v>459</v>
      </c>
      <c r="I6059" s="2" t="n">
        <f aca="false">IF(F6059="Present",9,IF(F6059="Half Day",4,0))</f>
        <v>9</v>
      </c>
      <c r="J6059" s="2"/>
      <c r="K6059" s="2"/>
    </row>
    <row r="6060" customFormat="false" ht="15" hidden="false" customHeight="false" outlineLevel="0" collapsed="false">
      <c r="A6060" s="2" t="s">
        <v>439</v>
      </c>
      <c r="B6060" s="2" t="s">
        <v>440</v>
      </c>
      <c r="C6060" s="2" t="s">
        <v>41</v>
      </c>
      <c r="D6060" s="3" t="n">
        <v>46248</v>
      </c>
      <c r="E6060" s="2" t="str">
        <f aca="false">TEXT(D6060,"dddd")</f>
        <v>Friday</v>
      </c>
      <c r="F6060" s="2" t="s">
        <v>457</v>
      </c>
      <c r="G6060" s="2" t="s">
        <v>458</v>
      </c>
      <c r="H6060" s="2" t="s">
        <v>459</v>
      </c>
      <c r="I6060" s="2" t="n">
        <f aca="false">IF(F6060="Present",9,IF(F6060="Half Day",4,0))</f>
        <v>9</v>
      </c>
      <c r="J6060" s="2"/>
      <c r="K6060" s="2"/>
    </row>
    <row r="6061" customFormat="false" ht="15" hidden="false" customHeight="false" outlineLevel="0" collapsed="false">
      <c r="A6061" s="2" t="s">
        <v>439</v>
      </c>
      <c r="B6061" s="2" t="s">
        <v>440</v>
      </c>
      <c r="C6061" s="2" t="s">
        <v>41</v>
      </c>
      <c r="D6061" s="3" t="n">
        <v>46249</v>
      </c>
      <c r="E6061" s="2" t="str">
        <f aca="false">TEXT(D6061,"dddd")</f>
        <v>Saturday</v>
      </c>
      <c r="F6061" s="2" t="s">
        <v>457</v>
      </c>
      <c r="G6061" s="2" t="s">
        <v>458</v>
      </c>
      <c r="H6061" s="2" t="s">
        <v>459</v>
      </c>
      <c r="I6061" s="2" t="n">
        <f aca="false">IF(F6061="Present",9,IF(F6061="Half Day",4,0))</f>
        <v>9</v>
      </c>
      <c r="J6061" s="2"/>
      <c r="K6061" s="2"/>
    </row>
    <row r="6062" customFormat="false" ht="15" hidden="false" customHeight="false" outlineLevel="0" collapsed="false">
      <c r="A6062" s="2" t="s">
        <v>439</v>
      </c>
      <c r="B6062" s="2" t="s">
        <v>440</v>
      </c>
      <c r="C6062" s="2" t="s">
        <v>41</v>
      </c>
      <c r="D6062" s="3" t="n">
        <v>46250</v>
      </c>
      <c r="E6062" s="2" t="str">
        <f aca="false">TEXT(D6062,"dddd")</f>
        <v>Sunday</v>
      </c>
      <c r="F6062" s="2" t="s">
        <v>460</v>
      </c>
      <c r="G6062" s="2"/>
      <c r="H6062" s="2"/>
      <c r="I6062" s="2" t="n">
        <f aca="false">IF(F6062="Present",9,IF(F6062="Half Day",4,0))</f>
        <v>0</v>
      </c>
      <c r="J6062" s="2"/>
      <c r="K6062" s="2" t="s">
        <v>460</v>
      </c>
    </row>
    <row r="6063" customFormat="false" ht="15" hidden="false" customHeight="false" outlineLevel="0" collapsed="false">
      <c r="A6063" s="2" t="s">
        <v>439</v>
      </c>
      <c r="B6063" s="2" t="s">
        <v>440</v>
      </c>
      <c r="C6063" s="2" t="s">
        <v>41</v>
      </c>
      <c r="D6063" s="3" t="n">
        <v>46251</v>
      </c>
      <c r="E6063" s="2" t="str">
        <f aca="false">TEXT(D6063,"dddd")</f>
        <v>Monday</v>
      </c>
      <c r="F6063" s="2" t="s">
        <v>461</v>
      </c>
      <c r="G6063" s="2"/>
      <c r="H6063" s="2"/>
      <c r="I6063" s="2" t="n">
        <f aca="false">IF(F6063="Present",9,IF(F6063="Half Day",4,0))</f>
        <v>0</v>
      </c>
      <c r="J6063" s="2"/>
      <c r="K6063" s="2" t="s">
        <v>462</v>
      </c>
    </row>
    <row r="6064" customFormat="false" ht="15" hidden="false" customHeight="false" outlineLevel="0" collapsed="false">
      <c r="A6064" s="2" t="s">
        <v>439</v>
      </c>
      <c r="B6064" s="2" t="s">
        <v>440</v>
      </c>
      <c r="C6064" s="2" t="s">
        <v>41</v>
      </c>
      <c r="D6064" s="3" t="n">
        <v>46252</v>
      </c>
      <c r="E6064" s="2" t="str">
        <f aca="false">TEXT(D6064,"dddd")</f>
        <v>Tuesday</v>
      </c>
      <c r="F6064" s="2" t="s">
        <v>457</v>
      </c>
      <c r="G6064" s="2" t="s">
        <v>458</v>
      </c>
      <c r="H6064" s="2" t="s">
        <v>459</v>
      </c>
      <c r="I6064" s="2" t="n">
        <f aca="false">IF(F6064="Present",9,IF(F6064="Half Day",4,0))</f>
        <v>9</v>
      </c>
      <c r="J6064" s="2"/>
      <c r="K6064" s="2"/>
    </row>
    <row r="6065" customFormat="false" ht="15" hidden="false" customHeight="false" outlineLevel="0" collapsed="false">
      <c r="A6065" s="2" t="s">
        <v>439</v>
      </c>
      <c r="B6065" s="2" t="s">
        <v>440</v>
      </c>
      <c r="C6065" s="2" t="s">
        <v>41</v>
      </c>
      <c r="D6065" s="3" t="n">
        <v>46253</v>
      </c>
      <c r="E6065" s="2" t="str">
        <f aca="false">TEXT(D6065,"dddd")</f>
        <v>Wednesday</v>
      </c>
      <c r="F6065" s="2" t="s">
        <v>466</v>
      </c>
      <c r="G6065" s="2" t="s">
        <v>458</v>
      </c>
      <c r="H6065" s="2" t="s">
        <v>467</v>
      </c>
      <c r="I6065" s="2" t="n">
        <f aca="false">IF(F6065="Present",9,IF(F6065="Half Day",4,0))</f>
        <v>4</v>
      </c>
      <c r="J6065" s="2"/>
      <c r="K6065" s="2" t="s">
        <v>466</v>
      </c>
    </row>
    <row r="6066" customFormat="false" ht="15" hidden="false" customHeight="false" outlineLevel="0" collapsed="false">
      <c r="A6066" s="2" t="s">
        <v>439</v>
      </c>
      <c r="B6066" s="2" t="s">
        <v>440</v>
      </c>
      <c r="C6066" s="2" t="s">
        <v>41</v>
      </c>
      <c r="D6066" s="3" t="n">
        <v>46254</v>
      </c>
      <c r="E6066" s="2" t="str">
        <f aca="false">TEXT(D6066,"dddd")</f>
        <v>Thursday</v>
      </c>
      <c r="F6066" s="2" t="s">
        <v>457</v>
      </c>
      <c r="G6066" s="2" t="s">
        <v>458</v>
      </c>
      <c r="H6066" s="2" t="s">
        <v>459</v>
      </c>
      <c r="I6066" s="2" t="n">
        <f aca="false">IF(F6066="Present",9,IF(F6066="Half Day",4,0))</f>
        <v>9</v>
      </c>
      <c r="J6066" s="2"/>
      <c r="K6066" s="2"/>
    </row>
    <row r="6067" customFormat="false" ht="15" hidden="false" customHeight="false" outlineLevel="0" collapsed="false">
      <c r="A6067" s="2" t="s">
        <v>439</v>
      </c>
      <c r="B6067" s="2" t="s">
        <v>440</v>
      </c>
      <c r="C6067" s="2" t="s">
        <v>41</v>
      </c>
      <c r="D6067" s="3" t="n">
        <v>46255</v>
      </c>
      <c r="E6067" s="2" t="str">
        <f aca="false">TEXT(D6067,"dddd")</f>
        <v>Friday</v>
      </c>
      <c r="F6067" s="2" t="s">
        <v>457</v>
      </c>
      <c r="G6067" s="2" t="s">
        <v>458</v>
      </c>
      <c r="H6067" s="2" t="s">
        <v>459</v>
      </c>
      <c r="I6067" s="2" t="n">
        <f aca="false">IF(F6067="Present",9,IF(F6067="Half Day",4,0))</f>
        <v>9</v>
      </c>
      <c r="J6067" s="2"/>
      <c r="K6067" s="2"/>
    </row>
    <row r="6068" customFormat="false" ht="15" hidden="false" customHeight="false" outlineLevel="0" collapsed="false">
      <c r="A6068" s="2" t="s">
        <v>439</v>
      </c>
      <c r="B6068" s="2" t="s">
        <v>440</v>
      </c>
      <c r="C6068" s="2" t="s">
        <v>41</v>
      </c>
      <c r="D6068" s="3" t="n">
        <v>46256</v>
      </c>
      <c r="E6068" s="2" t="str">
        <f aca="false">TEXT(D6068,"dddd")</f>
        <v>Saturday</v>
      </c>
      <c r="F6068" s="2" t="s">
        <v>457</v>
      </c>
      <c r="G6068" s="2" t="s">
        <v>458</v>
      </c>
      <c r="H6068" s="2" t="s">
        <v>459</v>
      </c>
      <c r="I6068" s="2" t="n">
        <f aca="false">IF(F6068="Present",9,IF(F6068="Half Day",4,0))</f>
        <v>9</v>
      </c>
      <c r="J6068" s="2"/>
      <c r="K6068" s="2"/>
    </row>
    <row r="6069" customFormat="false" ht="15" hidden="false" customHeight="false" outlineLevel="0" collapsed="false">
      <c r="A6069" s="2" t="s">
        <v>439</v>
      </c>
      <c r="B6069" s="2" t="s">
        <v>440</v>
      </c>
      <c r="C6069" s="2" t="s">
        <v>41</v>
      </c>
      <c r="D6069" s="3" t="n">
        <v>46257</v>
      </c>
      <c r="E6069" s="2" t="str">
        <f aca="false">TEXT(D6069,"dddd")</f>
        <v>Sunday</v>
      </c>
      <c r="F6069" s="2" t="s">
        <v>460</v>
      </c>
      <c r="G6069" s="2"/>
      <c r="H6069" s="2"/>
      <c r="I6069" s="2" t="n">
        <f aca="false">IF(F6069="Present",9,IF(F6069="Half Day",4,0))</f>
        <v>0</v>
      </c>
      <c r="J6069" s="2"/>
      <c r="K6069" s="2" t="s">
        <v>460</v>
      </c>
    </row>
    <row r="6070" customFormat="false" ht="15" hidden="false" customHeight="false" outlineLevel="0" collapsed="false">
      <c r="A6070" s="2" t="s">
        <v>439</v>
      </c>
      <c r="B6070" s="2" t="s">
        <v>440</v>
      </c>
      <c r="C6070" s="2" t="s">
        <v>41</v>
      </c>
      <c r="D6070" s="3" t="n">
        <v>46258</v>
      </c>
      <c r="E6070" s="2" t="str">
        <f aca="false">TEXT(D6070,"dddd")</f>
        <v>Monday</v>
      </c>
      <c r="F6070" s="2" t="s">
        <v>457</v>
      </c>
      <c r="G6070" s="2" t="s">
        <v>458</v>
      </c>
      <c r="H6070" s="2" t="s">
        <v>459</v>
      </c>
      <c r="I6070" s="2" t="n">
        <f aca="false">IF(F6070="Present",9,IF(F6070="Half Day",4,0))</f>
        <v>9</v>
      </c>
      <c r="J6070" s="2"/>
      <c r="K6070" s="2"/>
    </row>
    <row r="6071" customFormat="false" ht="15" hidden="false" customHeight="false" outlineLevel="0" collapsed="false">
      <c r="A6071" s="2" t="s">
        <v>439</v>
      </c>
      <c r="B6071" s="2" t="s">
        <v>440</v>
      </c>
      <c r="C6071" s="2" t="s">
        <v>41</v>
      </c>
      <c r="D6071" s="3" t="n">
        <v>46259</v>
      </c>
      <c r="E6071" s="2" t="str">
        <f aca="false">TEXT(D6071,"dddd")</f>
        <v>Tuesday</v>
      </c>
      <c r="F6071" s="2" t="s">
        <v>457</v>
      </c>
      <c r="G6071" s="2" t="s">
        <v>458</v>
      </c>
      <c r="H6071" s="2" t="s">
        <v>459</v>
      </c>
      <c r="I6071" s="2" t="n">
        <f aca="false">IF(F6071="Present",9,IF(F6071="Half Day",4,0))</f>
        <v>9</v>
      </c>
      <c r="J6071" s="2"/>
      <c r="K6071" s="2"/>
    </row>
    <row r="6072" customFormat="false" ht="15" hidden="false" customHeight="false" outlineLevel="0" collapsed="false">
      <c r="A6072" s="2" t="s">
        <v>439</v>
      </c>
      <c r="B6072" s="2" t="s">
        <v>440</v>
      </c>
      <c r="C6072" s="2" t="s">
        <v>41</v>
      </c>
      <c r="D6072" s="3" t="n">
        <v>46260</v>
      </c>
      <c r="E6072" s="2" t="str">
        <f aca="false">TEXT(D6072,"dddd")</f>
        <v>Wednesday</v>
      </c>
      <c r="F6072" s="2" t="s">
        <v>461</v>
      </c>
      <c r="G6072" s="2"/>
      <c r="H6072" s="2"/>
      <c r="I6072" s="2" t="n">
        <f aca="false">IF(F6072="Present",9,IF(F6072="Half Day",4,0))</f>
        <v>0</v>
      </c>
      <c r="J6072" s="2"/>
      <c r="K6072" s="2" t="s">
        <v>462</v>
      </c>
    </row>
    <row r="6073" customFormat="false" ht="15" hidden="false" customHeight="false" outlineLevel="0" collapsed="false">
      <c r="A6073" s="2" t="s">
        <v>439</v>
      </c>
      <c r="B6073" s="2" t="s">
        <v>440</v>
      </c>
      <c r="C6073" s="2" t="s">
        <v>41</v>
      </c>
      <c r="D6073" s="3" t="n">
        <v>46261</v>
      </c>
      <c r="E6073" s="2" t="str">
        <f aca="false">TEXT(D6073,"dddd")</f>
        <v>Thursday</v>
      </c>
      <c r="F6073" s="2" t="s">
        <v>461</v>
      </c>
      <c r="G6073" s="2"/>
      <c r="H6073" s="2"/>
      <c r="I6073" s="2" t="n">
        <f aca="false">IF(F6073="Present",9,IF(F6073="Half Day",4,0))</f>
        <v>0</v>
      </c>
      <c r="J6073" s="2"/>
      <c r="K6073" s="2" t="s">
        <v>462</v>
      </c>
    </row>
    <row r="6074" customFormat="false" ht="15" hidden="false" customHeight="false" outlineLevel="0" collapsed="false">
      <c r="A6074" s="2" t="s">
        <v>439</v>
      </c>
      <c r="B6074" s="2" t="s">
        <v>440</v>
      </c>
      <c r="C6074" s="2" t="s">
        <v>41</v>
      </c>
      <c r="D6074" s="3" t="n">
        <v>46262</v>
      </c>
      <c r="E6074" s="2" t="str">
        <f aca="false">TEXT(D6074,"dddd")</f>
        <v>Friday</v>
      </c>
      <c r="F6074" s="2" t="s">
        <v>457</v>
      </c>
      <c r="G6074" s="2" t="s">
        <v>458</v>
      </c>
      <c r="H6074" s="2" t="s">
        <v>459</v>
      </c>
      <c r="I6074" s="2" t="n">
        <f aca="false">IF(F6074="Present",9,IF(F6074="Half Day",4,0))</f>
        <v>9</v>
      </c>
      <c r="J6074" s="2"/>
      <c r="K6074" s="2"/>
    </row>
    <row r="6075" customFormat="false" ht="15" hidden="false" customHeight="false" outlineLevel="0" collapsed="false">
      <c r="A6075" s="2" t="s">
        <v>439</v>
      </c>
      <c r="B6075" s="2" t="s">
        <v>440</v>
      </c>
      <c r="C6075" s="2" t="s">
        <v>41</v>
      </c>
      <c r="D6075" s="3" t="n">
        <v>46263</v>
      </c>
      <c r="E6075" s="2" t="str">
        <f aca="false">TEXT(D6075,"dddd")</f>
        <v>Saturday</v>
      </c>
      <c r="F6075" s="2" t="s">
        <v>457</v>
      </c>
      <c r="G6075" s="2" t="s">
        <v>458</v>
      </c>
      <c r="H6075" s="2" t="s">
        <v>459</v>
      </c>
      <c r="I6075" s="2" t="n">
        <f aca="false">IF(F6075="Present",9,IF(F6075="Half Day",4,0))</f>
        <v>9</v>
      </c>
      <c r="J6075" s="2"/>
      <c r="K6075" s="2"/>
    </row>
    <row r="6076" customFormat="false" ht="15" hidden="false" customHeight="false" outlineLevel="0" collapsed="false">
      <c r="A6076" s="2" t="s">
        <v>439</v>
      </c>
      <c r="B6076" s="2" t="s">
        <v>440</v>
      </c>
      <c r="C6076" s="2" t="s">
        <v>41</v>
      </c>
      <c r="D6076" s="3" t="n">
        <v>46264</v>
      </c>
      <c r="E6076" s="2" t="str">
        <f aca="false">TEXT(D6076,"dddd")</f>
        <v>Sunday</v>
      </c>
      <c r="F6076" s="2" t="s">
        <v>460</v>
      </c>
      <c r="G6076" s="2"/>
      <c r="H6076" s="2"/>
      <c r="I6076" s="2" t="n">
        <f aca="false">IF(F6076="Present",9,IF(F6076="Half Day",4,0))</f>
        <v>0</v>
      </c>
      <c r="J6076" s="2"/>
      <c r="K6076" s="2" t="s">
        <v>460</v>
      </c>
    </row>
    <row r="6077" customFormat="false" ht="15" hidden="false" customHeight="false" outlineLevel="0" collapsed="false">
      <c r="A6077" s="2" t="s">
        <v>439</v>
      </c>
      <c r="B6077" s="2" t="s">
        <v>440</v>
      </c>
      <c r="C6077" s="2" t="s">
        <v>41</v>
      </c>
      <c r="D6077" s="3" t="n">
        <v>46265</v>
      </c>
      <c r="E6077" s="2" t="str">
        <f aca="false">TEXT(D6077,"dddd")</f>
        <v>Monday</v>
      </c>
      <c r="F6077" s="2" t="s">
        <v>457</v>
      </c>
      <c r="G6077" s="2" t="s">
        <v>458</v>
      </c>
      <c r="H6077" s="2" t="s">
        <v>459</v>
      </c>
      <c r="I6077" s="2" t="n">
        <f aca="false">IF(F6077="Present",9,IF(F6077="Half Day",4,0))</f>
        <v>9</v>
      </c>
      <c r="J6077" s="2"/>
      <c r="K6077" s="2"/>
    </row>
    <row r="6078" customFormat="false" ht="15" hidden="false" customHeight="false" outlineLevel="0" collapsed="false">
      <c r="A6078" s="2" t="s">
        <v>441</v>
      </c>
      <c r="B6078" s="2" t="s">
        <v>442</v>
      </c>
      <c r="C6078" s="2" t="s">
        <v>45</v>
      </c>
      <c r="D6078" s="3" t="n">
        <v>46235</v>
      </c>
      <c r="E6078" s="2" t="str">
        <f aca="false">TEXT(D6078,"dddd")</f>
        <v>Saturday</v>
      </c>
      <c r="F6078" s="2" t="s">
        <v>457</v>
      </c>
      <c r="G6078" s="2" t="s">
        <v>458</v>
      </c>
      <c r="H6078" s="2" t="s">
        <v>459</v>
      </c>
      <c r="I6078" s="2" t="n">
        <f aca="false">IF(F6078="Present",9,IF(F6078="Half Day",4,0))</f>
        <v>9</v>
      </c>
      <c r="J6078" s="2"/>
      <c r="K6078" s="2"/>
    </row>
    <row r="6079" customFormat="false" ht="15" hidden="false" customHeight="false" outlineLevel="0" collapsed="false">
      <c r="A6079" s="2" t="s">
        <v>441</v>
      </c>
      <c r="B6079" s="2" t="s">
        <v>442</v>
      </c>
      <c r="C6079" s="2" t="s">
        <v>45</v>
      </c>
      <c r="D6079" s="3" t="n">
        <v>46236</v>
      </c>
      <c r="E6079" s="2" t="str">
        <f aca="false">TEXT(D6079,"dddd")</f>
        <v>Sunday</v>
      </c>
      <c r="F6079" s="2" t="s">
        <v>460</v>
      </c>
      <c r="G6079" s="2"/>
      <c r="H6079" s="2"/>
      <c r="I6079" s="2" t="n">
        <f aca="false">IF(F6079="Present",9,IF(F6079="Half Day",4,0))</f>
        <v>0</v>
      </c>
      <c r="J6079" s="2"/>
      <c r="K6079" s="2" t="s">
        <v>460</v>
      </c>
    </row>
    <row r="6080" customFormat="false" ht="15" hidden="false" customHeight="false" outlineLevel="0" collapsed="false">
      <c r="A6080" s="2" t="s">
        <v>441</v>
      </c>
      <c r="B6080" s="2" t="s">
        <v>442</v>
      </c>
      <c r="C6080" s="2" t="s">
        <v>45</v>
      </c>
      <c r="D6080" s="3" t="n">
        <v>46237</v>
      </c>
      <c r="E6080" s="2" t="str">
        <f aca="false">TEXT(D6080,"dddd")</f>
        <v>Monday</v>
      </c>
      <c r="F6080" s="2" t="s">
        <v>457</v>
      </c>
      <c r="G6080" s="2" t="s">
        <v>458</v>
      </c>
      <c r="H6080" s="2" t="s">
        <v>459</v>
      </c>
      <c r="I6080" s="2" t="n">
        <f aca="false">IF(F6080="Present",9,IF(F6080="Half Day",4,0))</f>
        <v>9</v>
      </c>
      <c r="J6080" s="2"/>
      <c r="K6080" s="2"/>
    </row>
    <row r="6081" customFormat="false" ht="15" hidden="false" customHeight="false" outlineLevel="0" collapsed="false">
      <c r="A6081" s="2" t="s">
        <v>441</v>
      </c>
      <c r="B6081" s="2" t="s">
        <v>442</v>
      </c>
      <c r="C6081" s="2" t="s">
        <v>45</v>
      </c>
      <c r="D6081" s="3" t="n">
        <v>46238</v>
      </c>
      <c r="E6081" s="2" t="str">
        <f aca="false">TEXT(D6081,"dddd")</f>
        <v>Tuesday</v>
      </c>
      <c r="F6081" s="2" t="s">
        <v>457</v>
      </c>
      <c r="G6081" s="2" t="s">
        <v>458</v>
      </c>
      <c r="H6081" s="2" t="s">
        <v>459</v>
      </c>
      <c r="I6081" s="2" t="n">
        <f aca="false">IF(F6081="Present",9,IF(F6081="Half Day",4,0))</f>
        <v>9</v>
      </c>
      <c r="J6081" s="2"/>
      <c r="K6081" s="2"/>
    </row>
    <row r="6082" customFormat="false" ht="15" hidden="false" customHeight="false" outlineLevel="0" collapsed="false">
      <c r="A6082" s="2" t="s">
        <v>441</v>
      </c>
      <c r="B6082" s="2" t="s">
        <v>442</v>
      </c>
      <c r="C6082" s="2" t="s">
        <v>45</v>
      </c>
      <c r="D6082" s="3" t="n">
        <v>46239</v>
      </c>
      <c r="E6082" s="2" t="str">
        <f aca="false">TEXT(D6082,"dddd")</f>
        <v>Wednesday</v>
      </c>
      <c r="F6082" s="2" t="s">
        <v>457</v>
      </c>
      <c r="G6082" s="2" t="s">
        <v>458</v>
      </c>
      <c r="H6082" s="2" t="s">
        <v>459</v>
      </c>
      <c r="I6082" s="2" t="n">
        <f aca="false">IF(F6082="Present",9,IF(F6082="Half Day",4,0))</f>
        <v>9</v>
      </c>
      <c r="J6082" s="2"/>
      <c r="K6082" s="2"/>
    </row>
    <row r="6083" customFormat="false" ht="15" hidden="false" customHeight="false" outlineLevel="0" collapsed="false">
      <c r="A6083" s="2" t="s">
        <v>441</v>
      </c>
      <c r="B6083" s="2" t="s">
        <v>442</v>
      </c>
      <c r="C6083" s="2" t="s">
        <v>45</v>
      </c>
      <c r="D6083" s="3" t="n">
        <v>46240</v>
      </c>
      <c r="E6083" s="2" t="str">
        <f aca="false">TEXT(D6083,"dddd")</f>
        <v>Thursday</v>
      </c>
      <c r="F6083" s="2" t="s">
        <v>457</v>
      </c>
      <c r="G6083" s="2" t="s">
        <v>458</v>
      </c>
      <c r="H6083" s="2" t="s">
        <v>459</v>
      </c>
      <c r="I6083" s="2" t="n">
        <f aca="false">IF(F6083="Present",9,IF(F6083="Half Day",4,0))</f>
        <v>9</v>
      </c>
      <c r="J6083" s="2"/>
      <c r="K6083" s="2"/>
    </row>
    <row r="6084" customFormat="false" ht="15" hidden="false" customHeight="false" outlineLevel="0" collapsed="false">
      <c r="A6084" s="2" t="s">
        <v>441</v>
      </c>
      <c r="B6084" s="2" t="s">
        <v>442</v>
      </c>
      <c r="C6084" s="2" t="s">
        <v>45</v>
      </c>
      <c r="D6084" s="3" t="n">
        <v>46241</v>
      </c>
      <c r="E6084" s="2" t="str">
        <f aca="false">TEXT(D6084,"dddd")</f>
        <v>Friday</v>
      </c>
      <c r="F6084" s="2" t="s">
        <v>457</v>
      </c>
      <c r="G6084" s="2" t="s">
        <v>458</v>
      </c>
      <c r="H6084" s="2" t="s">
        <v>459</v>
      </c>
      <c r="I6084" s="2" t="n">
        <f aca="false">IF(F6084="Present",9,IF(F6084="Half Day",4,0))</f>
        <v>9</v>
      </c>
      <c r="J6084" s="2"/>
      <c r="K6084" s="2"/>
    </row>
    <row r="6085" customFormat="false" ht="15" hidden="false" customHeight="false" outlineLevel="0" collapsed="false">
      <c r="A6085" s="2" t="s">
        <v>441</v>
      </c>
      <c r="B6085" s="2" t="s">
        <v>442</v>
      </c>
      <c r="C6085" s="2" t="s">
        <v>45</v>
      </c>
      <c r="D6085" s="3" t="n">
        <v>46242</v>
      </c>
      <c r="E6085" s="2" t="str">
        <f aca="false">TEXT(D6085,"dddd")</f>
        <v>Saturday</v>
      </c>
      <c r="F6085" s="2" t="s">
        <v>457</v>
      </c>
      <c r="G6085" s="2" t="s">
        <v>458</v>
      </c>
      <c r="H6085" s="2" t="s">
        <v>459</v>
      </c>
      <c r="I6085" s="2" t="n">
        <f aca="false">IF(F6085="Present",9,IF(F6085="Half Day",4,0))</f>
        <v>9</v>
      </c>
      <c r="J6085" s="2"/>
      <c r="K6085" s="2"/>
    </row>
    <row r="6086" customFormat="false" ht="15" hidden="false" customHeight="false" outlineLevel="0" collapsed="false">
      <c r="A6086" s="2" t="s">
        <v>441</v>
      </c>
      <c r="B6086" s="2" t="s">
        <v>442</v>
      </c>
      <c r="C6086" s="2" t="s">
        <v>45</v>
      </c>
      <c r="D6086" s="3" t="n">
        <v>46243</v>
      </c>
      <c r="E6086" s="2" t="str">
        <f aca="false">TEXT(D6086,"dddd")</f>
        <v>Sunday</v>
      </c>
      <c r="F6086" s="2" t="s">
        <v>460</v>
      </c>
      <c r="G6086" s="2"/>
      <c r="H6086" s="2"/>
      <c r="I6086" s="2" t="n">
        <f aca="false">IF(F6086="Present",9,IF(F6086="Half Day",4,0))</f>
        <v>0</v>
      </c>
      <c r="J6086" s="2"/>
      <c r="K6086" s="2" t="s">
        <v>460</v>
      </c>
    </row>
    <row r="6087" customFormat="false" ht="15" hidden="false" customHeight="false" outlineLevel="0" collapsed="false">
      <c r="A6087" s="2" t="s">
        <v>441</v>
      </c>
      <c r="B6087" s="2" t="s">
        <v>442</v>
      </c>
      <c r="C6087" s="2" t="s">
        <v>45</v>
      </c>
      <c r="D6087" s="3" t="n">
        <v>46244</v>
      </c>
      <c r="E6087" s="2" t="str">
        <f aca="false">TEXT(D6087,"dddd")</f>
        <v>Monday</v>
      </c>
      <c r="F6087" s="2" t="s">
        <v>457</v>
      </c>
      <c r="G6087" s="2" t="s">
        <v>458</v>
      </c>
      <c r="H6087" s="2" t="s">
        <v>459</v>
      </c>
      <c r="I6087" s="2" t="n">
        <f aca="false">IF(F6087="Present",9,IF(F6087="Half Day",4,0))</f>
        <v>9</v>
      </c>
      <c r="J6087" s="2"/>
      <c r="K6087" s="2"/>
    </row>
    <row r="6088" customFormat="false" ht="15" hidden="false" customHeight="false" outlineLevel="0" collapsed="false">
      <c r="A6088" s="2" t="s">
        <v>441</v>
      </c>
      <c r="B6088" s="2" t="s">
        <v>442</v>
      </c>
      <c r="C6088" s="2" t="s">
        <v>45</v>
      </c>
      <c r="D6088" s="3" t="n">
        <v>46245</v>
      </c>
      <c r="E6088" s="2" t="str">
        <f aca="false">TEXT(D6088,"dddd")</f>
        <v>Tuesday</v>
      </c>
      <c r="F6088" s="2" t="s">
        <v>461</v>
      </c>
      <c r="G6088" s="2"/>
      <c r="H6088" s="2"/>
      <c r="I6088" s="2" t="n">
        <f aca="false">IF(F6088="Present",9,IF(F6088="Half Day",4,0))</f>
        <v>0</v>
      </c>
      <c r="J6088" s="2"/>
      <c r="K6088" s="2" t="s">
        <v>462</v>
      </c>
    </row>
    <row r="6089" customFormat="false" ht="15" hidden="false" customHeight="false" outlineLevel="0" collapsed="false">
      <c r="A6089" s="2" t="s">
        <v>441</v>
      </c>
      <c r="B6089" s="2" t="s">
        <v>442</v>
      </c>
      <c r="C6089" s="2" t="s">
        <v>45</v>
      </c>
      <c r="D6089" s="3" t="n">
        <v>46246</v>
      </c>
      <c r="E6089" s="2" t="str">
        <f aca="false">TEXT(D6089,"dddd")</f>
        <v>Wednesday</v>
      </c>
      <c r="F6089" s="2" t="s">
        <v>457</v>
      </c>
      <c r="G6089" s="2" t="s">
        <v>458</v>
      </c>
      <c r="H6089" s="2" t="s">
        <v>459</v>
      </c>
      <c r="I6089" s="2" t="n">
        <f aca="false">IF(F6089="Present",9,IF(F6089="Half Day",4,0))</f>
        <v>9</v>
      </c>
      <c r="J6089" s="2"/>
      <c r="K6089" s="2"/>
    </row>
    <row r="6090" customFormat="false" ht="15" hidden="false" customHeight="false" outlineLevel="0" collapsed="false">
      <c r="A6090" s="2" t="s">
        <v>441</v>
      </c>
      <c r="B6090" s="2" t="s">
        <v>442</v>
      </c>
      <c r="C6090" s="2" t="s">
        <v>45</v>
      </c>
      <c r="D6090" s="3" t="n">
        <v>46247</v>
      </c>
      <c r="E6090" s="2" t="str">
        <f aca="false">TEXT(D6090,"dddd")</f>
        <v>Thursday</v>
      </c>
      <c r="F6090" s="2" t="s">
        <v>457</v>
      </c>
      <c r="G6090" s="2" t="s">
        <v>458</v>
      </c>
      <c r="H6090" s="2" t="s">
        <v>459</v>
      </c>
      <c r="I6090" s="2" t="n">
        <f aca="false">IF(F6090="Present",9,IF(F6090="Half Day",4,0))</f>
        <v>9</v>
      </c>
      <c r="J6090" s="2"/>
      <c r="K6090" s="2"/>
    </row>
    <row r="6091" customFormat="false" ht="15" hidden="false" customHeight="false" outlineLevel="0" collapsed="false">
      <c r="A6091" s="2" t="s">
        <v>441</v>
      </c>
      <c r="B6091" s="2" t="s">
        <v>442</v>
      </c>
      <c r="C6091" s="2" t="s">
        <v>45</v>
      </c>
      <c r="D6091" s="3" t="n">
        <v>46248</v>
      </c>
      <c r="E6091" s="2" t="str">
        <f aca="false">TEXT(D6091,"dddd")</f>
        <v>Friday</v>
      </c>
      <c r="F6091" s="2" t="s">
        <v>466</v>
      </c>
      <c r="G6091" s="2" t="s">
        <v>458</v>
      </c>
      <c r="H6091" s="2" t="s">
        <v>467</v>
      </c>
      <c r="I6091" s="2" t="n">
        <f aca="false">IF(F6091="Present",9,IF(F6091="Half Day",4,0))</f>
        <v>4</v>
      </c>
      <c r="J6091" s="2"/>
      <c r="K6091" s="2" t="s">
        <v>466</v>
      </c>
    </row>
    <row r="6092" customFormat="false" ht="15" hidden="false" customHeight="false" outlineLevel="0" collapsed="false">
      <c r="A6092" s="2" t="s">
        <v>441</v>
      </c>
      <c r="B6092" s="2" t="s">
        <v>442</v>
      </c>
      <c r="C6092" s="2" t="s">
        <v>45</v>
      </c>
      <c r="D6092" s="3" t="n">
        <v>46249</v>
      </c>
      <c r="E6092" s="2" t="str">
        <f aca="false">TEXT(D6092,"dddd")</f>
        <v>Saturday</v>
      </c>
      <c r="F6092" s="2" t="s">
        <v>457</v>
      </c>
      <c r="G6092" s="2" t="s">
        <v>458</v>
      </c>
      <c r="H6092" s="2" t="s">
        <v>459</v>
      </c>
      <c r="I6092" s="2" t="n">
        <f aca="false">IF(F6092="Present",9,IF(F6092="Half Day",4,0))</f>
        <v>9</v>
      </c>
      <c r="J6092" s="2"/>
      <c r="K6092" s="2"/>
    </row>
    <row r="6093" customFormat="false" ht="15" hidden="false" customHeight="false" outlineLevel="0" collapsed="false">
      <c r="A6093" s="2" t="s">
        <v>441</v>
      </c>
      <c r="B6093" s="2" t="s">
        <v>442</v>
      </c>
      <c r="C6093" s="2" t="s">
        <v>45</v>
      </c>
      <c r="D6093" s="3" t="n">
        <v>46250</v>
      </c>
      <c r="E6093" s="2" t="str">
        <f aca="false">TEXT(D6093,"dddd")</f>
        <v>Sunday</v>
      </c>
      <c r="F6093" s="2" t="s">
        <v>460</v>
      </c>
      <c r="G6093" s="2"/>
      <c r="H6093" s="2"/>
      <c r="I6093" s="2" t="n">
        <f aca="false">IF(F6093="Present",9,IF(F6093="Half Day",4,0))</f>
        <v>0</v>
      </c>
      <c r="J6093" s="2"/>
      <c r="K6093" s="2" t="s">
        <v>460</v>
      </c>
    </row>
    <row r="6094" customFormat="false" ht="15" hidden="false" customHeight="false" outlineLevel="0" collapsed="false">
      <c r="A6094" s="2" t="s">
        <v>441</v>
      </c>
      <c r="B6094" s="2" t="s">
        <v>442</v>
      </c>
      <c r="C6094" s="2" t="s">
        <v>45</v>
      </c>
      <c r="D6094" s="3" t="n">
        <v>46251</v>
      </c>
      <c r="E6094" s="2" t="str">
        <f aca="false">TEXT(D6094,"dddd")</f>
        <v>Monday</v>
      </c>
      <c r="F6094" s="2" t="s">
        <v>457</v>
      </c>
      <c r="G6094" s="2" t="s">
        <v>458</v>
      </c>
      <c r="H6094" s="2" t="s">
        <v>459</v>
      </c>
      <c r="I6094" s="2" t="n">
        <f aca="false">IF(F6094="Present",9,IF(F6094="Half Day",4,0))</f>
        <v>9</v>
      </c>
      <c r="J6094" s="2"/>
      <c r="K6094" s="2"/>
    </row>
    <row r="6095" customFormat="false" ht="15" hidden="false" customHeight="false" outlineLevel="0" collapsed="false">
      <c r="A6095" s="2" t="s">
        <v>441</v>
      </c>
      <c r="B6095" s="2" t="s">
        <v>442</v>
      </c>
      <c r="C6095" s="2" t="s">
        <v>45</v>
      </c>
      <c r="D6095" s="3" t="n">
        <v>46252</v>
      </c>
      <c r="E6095" s="2" t="str">
        <f aca="false">TEXT(D6095,"dddd")</f>
        <v>Tuesday</v>
      </c>
      <c r="F6095" s="2" t="s">
        <v>457</v>
      </c>
      <c r="G6095" s="2" t="s">
        <v>458</v>
      </c>
      <c r="H6095" s="2" t="s">
        <v>459</v>
      </c>
      <c r="I6095" s="2" t="n">
        <f aca="false">IF(F6095="Present",9,IF(F6095="Half Day",4,0))</f>
        <v>9</v>
      </c>
      <c r="J6095" s="2"/>
      <c r="K6095" s="2"/>
    </row>
    <row r="6096" customFormat="false" ht="15" hidden="false" customHeight="false" outlineLevel="0" collapsed="false">
      <c r="A6096" s="2" t="s">
        <v>441</v>
      </c>
      <c r="B6096" s="2" t="s">
        <v>442</v>
      </c>
      <c r="C6096" s="2" t="s">
        <v>45</v>
      </c>
      <c r="D6096" s="3" t="n">
        <v>46253</v>
      </c>
      <c r="E6096" s="2" t="str">
        <f aca="false">TEXT(D6096,"dddd")</f>
        <v>Wednesday</v>
      </c>
      <c r="F6096" s="2" t="s">
        <v>461</v>
      </c>
      <c r="G6096" s="2"/>
      <c r="H6096" s="2"/>
      <c r="I6096" s="2" t="n">
        <f aca="false">IF(F6096="Present",9,IF(F6096="Half Day",4,0))</f>
        <v>0</v>
      </c>
      <c r="J6096" s="2"/>
      <c r="K6096" s="2" t="s">
        <v>462</v>
      </c>
    </row>
    <row r="6097" customFormat="false" ht="15" hidden="false" customHeight="false" outlineLevel="0" collapsed="false">
      <c r="A6097" s="2" t="s">
        <v>441</v>
      </c>
      <c r="B6097" s="2" t="s">
        <v>442</v>
      </c>
      <c r="C6097" s="2" t="s">
        <v>45</v>
      </c>
      <c r="D6097" s="3" t="n">
        <v>46254</v>
      </c>
      <c r="E6097" s="2" t="str">
        <f aca="false">TEXT(D6097,"dddd")</f>
        <v>Thursday</v>
      </c>
      <c r="F6097" s="2" t="s">
        <v>457</v>
      </c>
      <c r="G6097" s="2" t="s">
        <v>458</v>
      </c>
      <c r="H6097" s="2" t="s">
        <v>459</v>
      </c>
      <c r="I6097" s="2" t="n">
        <f aca="false">IF(F6097="Present",9,IF(F6097="Half Day",4,0))</f>
        <v>9</v>
      </c>
      <c r="J6097" s="2"/>
      <c r="K6097" s="2"/>
    </row>
    <row r="6098" customFormat="false" ht="15" hidden="false" customHeight="false" outlineLevel="0" collapsed="false">
      <c r="A6098" s="2" t="s">
        <v>441</v>
      </c>
      <c r="B6098" s="2" t="s">
        <v>442</v>
      </c>
      <c r="C6098" s="2" t="s">
        <v>45</v>
      </c>
      <c r="D6098" s="3" t="n">
        <v>46255</v>
      </c>
      <c r="E6098" s="2" t="str">
        <f aca="false">TEXT(D6098,"dddd")</f>
        <v>Friday</v>
      </c>
      <c r="F6098" s="2" t="s">
        <v>457</v>
      </c>
      <c r="G6098" s="2" t="s">
        <v>458</v>
      </c>
      <c r="H6098" s="2" t="s">
        <v>459</v>
      </c>
      <c r="I6098" s="2" t="n">
        <f aca="false">IF(F6098="Present",9,IF(F6098="Half Day",4,0))</f>
        <v>9</v>
      </c>
      <c r="J6098" s="2"/>
      <c r="K6098" s="2"/>
    </row>
    <row r="6099" customFormat="false" ht="15" hidden="false" customHeight="false" outlineLevel="0" collapsed="false">
      <c r="A6099" s="2" t="s">
        <v>441</v>
      </c>
      <c r="B6099" s="2" t="s">
        <v>442</v>
      </c>
      <c r="C6099" s="2" t="s">
        <v>45</v>
      </c>
      <c r="D6099" s="3" t="n">
        <v>46256</v>
      </c>
      <c r="E6099" s="2" t="str">
        <f aca="false">TEXT(D6099,"dddd")</f>
        <v>Saturday</v>
      </c>
      <c r="F6099" s="2" t="s">
        <v>457</v>
      </c>
      <c r="G6099" s="2" t="s">
        <v>458</v>
      </c>
      <c r="H6099" s="2" t="s">
        <v>459</v>
      </c>
      <c r="I6099" s="2" t="n">
        <f aca="false">IF(F6099="Present",9,IF(F6099="Half Day",4,0))</f>
        <v>9</v>
      </c>
      <c r="J6099" s="2"/>
      <c r="K6099" s="2"/>
    </row>
    <row r="6100" customFormat="false" ht="15" hidden="false" customHeight="false" outlineLevel="0" collapsed="false">
      <c r="A6100" s="2" t="s">
        <v>441</v>
      </c>
      <c r="B6100" s="2" t="s">
        <v>442</v>
      </c>
      <c r="C6100" s="2" t="s">
        <v>45</v>
      </c>
      <c r="D6100" s="3" t="n">
        <v>46257</v>
      </c>
      <c r="E6100" s="2" t="str">
        <f aca="false">TEXT(D6100,"dddd")</f>
        <v>Sunday</v>
      </c>
      <c r="F6100" s="2" t="s">
        <v>460</v>
      </c>
      <c r="G6100" s="2"/>
      <c r="H6100" s="2"/>
      <c r="I6100" s="2" t="n">
        <f aca="false">IF(F6100="Present",9,IF(F6100="Half Day",4,0))</f>
        <v>0</v>
      </c>
      <c r="J6100" s="2"/>
      <c r="K6100" s="2" t="s">
        <v>460</v>
      </c>
    </row>
    <row r="6101" customFormat="false" ht="15" hidden="false" customHeight="false" outlineLevel="0" collapsed="false">
      <c r="A6101" s="2" t="s">
        <v>441</v>
      </c>
      <c r="B6101" s="2" t="s">
        <v>442</v>
      </c>
      <c r="C6101" s="2" t="s">
        <v>45</v>
      </c>
      <c r="D6101" s="3" t="n">
        <v>46258</v>
      </c>
      <c r="E6101" s="2" t="str">
        <f aca="false">TEXT(D6101,"dddd")</f>
        <v>Monday</v>
      </c>
      <c r="F6101" s="2" t="s">
        <v>457</v>
      </c>
      <c r="G6101" s="2" t="s">
        <v>458</v>
      </c>
      <c r="H6101" s="2" t="s">
        <v>459</v>
      </c>
      <c r="I6101" s="2" t="n">
        <f aca="false">IF(F6101="Present",9,IF(F6101="Half Day",4,0))</f>
        <v>9</v>
      </c>
      <c r="J6101" s="2"/>
      <c r="K6101" s="2"/>
    </row>
    <row r="6102" customFormat="false" ht="15" hidden="false" customHeight="false" outlineLevel="0" collapsed="false">
      <c r="A6102" s="2" t="s">
        <v>441</v>
      </c>
      <c r="B6102" s="2" t="s">
        <v>442</v>
      </c>
      <c r="C6102" s="2" t="s">
        <v>45</v>
      </c>
      <c r="D6102" s="3" t="n">
        <v>46259</v>
      </c>
      <c r="E6102" s="2" t="str">
        <f aca="false">TEXT(D6102,"dddd")</f>
        <v>Tuesday</v>
      </c>
      <c r="F6102" s="2" t="s">
        <v>457</v>
      </c>
      <c r="G6102" s="2" t="s">
        <v>458</v>
      </c>
      <c r="H6102" s="2" t="s">
        <v>459</v>
      </c>
      <c r="I6102" s="2" t="n">
        <f aca="false">IF(F6102="Present",9,IF(F6102="Half Day",4,0))</f>
        <v>9</v>
      </c>
      <c r="J6102" s="2"/>
      <c r="K6102" s="2"/>
    </row>
    <row r="6103" customFormat="false" ht="15" hidden="false" customHeight="false" outlineLevel="0" collapsed="false">
      <c r="A6103" s="2" t="s">
        <v>441</v>
      </c>
      <c r="B6103" s="2" t="s">
        <v>442</v>
      </c>
      <c r="C6103" s="2" t="s">
        <v>45</v>
      </c>
      <c r="D6103" s="3" t="n">
        <v>46260</v>
      </c>
      <c r="E6103" s="2" t="str">
        <f aca="false">TEXT(D6103,"dddd")</f>
        <v>Wednesday</v>
      </c>
      <c r="F6103" s="2" t="s">
        <v>457</v>
      </c>
      <c r="G6103" s="2" t="s">
        <v>458</v>
      </c>
      <c r="H6103" s="2" t="s">
        <v>459</v>
      </c>
      <c r="I6103" s="2" t="n">
        <f aca="false">IF(F6103="Present",9,IF(F6103="Half Day",4,0))</f>
        <v>9</v>
      </c>
      <c r="J6103" s="2"/>
      <c r="K6103" s="2"/>
    </row>
    <row r="6104" customFormat="false" ht="15" hidden="false" customHeight="false" outlineLevel="0" collapsed="false">
      <c r="A6104" s="2" t="s">
        <v>441</v>
      </c>
      <c r="B6104" s="2" t="s">
        <v>442</v>
      </c>
      <c r="C6104" s="2" t="s">
        <v>45</v>
      </c>
      <c r="D6104" s="3" t="n">
        <v>46261</v>
      </c>
      <c r="E6104" s="2" t="str">
        <f aca="false">TEXT(D6104,"dddd")</f>
        <v>Thursday</v>
      </c>
      <c r="F6104" s="2" t="s">
        <v>457</v>
      </c>
      <c r="G6104" s="2" t="s">
        <v>458</v>
      </c>
      <c r="H6104" s="2" t="s">
        <v>459</v>
      </c>
      <c r="I6104" s="2" t="n">
        <f aca="false">IF(F6104="Present",9,IF(F6104="Half Day",4,0))</f>
        <v>9</v>
      </c>
      <c r="J6104" s="2"/>
      <c r="K6104" s="2"/>
    </row>
    <row r="6105" customFormat="false" ht="15" hidden="false" customHeight="false" outlineLevel="0" collapsed="false">
      <c r="A6105" s="2" t="s">
        <v>441</v>
      </c>
      <c r="B6105" s="2" t="s">
        <v>442</v>
      </c>
      <c r="C6105" s="2" t="s">
        <v>45</v>
      </c>
      <c r="D6105" s="3" t="n">
        <v>46262</v>
      </c>
      <c r="E6105" s="2" t="str">
        <f aca="false">TEXT(D6105,"dddd")</f>
        <v>Friday</v>
      </c>
      <c r="F6105" s="2" t="s">
        <v>457</v>
      </c>
      <c r="G6105" s="2" t="s">
        <v>458</v>
      </c>
      <c r="H6105" s="2" t="s">
        <v>459</v>
      </c>
      <c r="I6105" s="2" t="n">
        <f aca="false">IF(F6105="Present",9,IF(F6105="Half Day",4,0))</f>
        <v>9</v>
      </c>
      <c r="J6105" s="2"/>
      <c r="K6105" s="2"/>
    </row>
    <row r="6106" customFormat="false" ht="15" hidden="false" customHeight="false" outlineLevel="0" collapsed="false">
      <c r="A6106" s="2" t="s">
        <v>441</v>
      </c>
      <c r="B6106" s="2" t="s">
        <v>442</v>
      </c>
      <c r="C6106" s="2" t="s">
        <v>45</v>
      </c>
      <c r="D6106" s="3" t="n">
        <v>46263</v>
      </c>
      <c r="E6106" s="2" t="str">
        <f aca="false">TEXT(D6106,"dddd")</f>
        <v>Saturday</v>
      </c>
      <c r="F6106" s="2" t="s">
        <v>457</v>
      </c>
      <c r="G6106" s="2" t="s">
        <v>458</v>
      </c>
      <c r="H6106" s="2" t="s">
        <v>459</v>
      </c>
      <c r="I6106" s="2" t="n">
        <f aca="false">IF(F6106="Present",9,IF(F6106="Half Day",4,0))</f>
        <v>9</v>
      </c>
      <c r="J6106" s="2"/>
      <c r="K6106" s="2"/>
    </row>
    <row r="6107" customFormat="false" ht="15" hidden="false" customHeight="false" outlineLevel="0" collapsed="false">
      <c r="A6107" s="2" t="s">
        <v>441</v>
      </c>
      <c r="B6107" s="2" t="s">
        <v>442</v>
      </c>
      <c r="C6107" s="2" t="s">
        <v>45</v>
      </c>
      <c r="D6107" s="3" t="n">
        <v>46264</v>
      </c>
      <c r="E6107" s="2" t="str">
        <f aca="false">TEXT(D6107,"dddd")</f>
        <v>Sunday</v>
      </c>
      <c r="F6107" s="2" t="s">
        <v>460</v>
      </c>
      <c r="G6107" s="2"/>
      <c r="H6107" s="2"/>
      <c r="I6107" s="2" t="n">
        <f aca="false">IF(F6107="Present",9,IF(F6107="Half Day",4,0))</f>
        <v>0</v>
      </c>
      <c r="J6107" s="2"/>
      <c r="K6107" s="2" t="s">
        <v>460</v>
      </c>
    </row>
    <row r="6108" customFormat="false" ht="15" hidden="false" customHeight="false" outlineLevel="0" collapsed="false">
      <c r="A6108" s="2" t="s">
        <v>441</v>
      </c>
      <c r="B6108" s="2" t="s">
        <v>442</v>
      </c>
      <c r="C6108" s="2" t="s">
        <v>45</v>
      </c>
      <c r="D6108" s="3" t="n">
        <v>46265</v>
      </c>
      <c r="E6108" s="2" t="str">
        <f aca="false">TEXT(D6108,"dddd")</f>
        <v>Monday</v>
      </c>
      <c r="F6108" s="2" t="s">
        <v>457</v>
      </c>
      <c r="G6108" s="2" t="s">
        <v>458</v>
      </c>
      <c r="H6108" s="2" t="s">
        <v>459</v>
      </c>
      <c r="I6108" s="2" t="n">
        <f aca="false">IF(F6108="Present",9,IF(F6108="Half Day",4,0))</f>
        <v>9</v>
      </c>
      <c r="J6108" s="2"/>
      <c r="K6108" s="2"/>
    </row>
    <row r="6109" customFormat="false" ht="15" hidden="false" customHeight="false" outlineLevel="0" collapsed="false">
      <c r="A6109" s="2" t="s">
        <v>443</v>
      </c>
      <c r="B6109" s="2" t="s">
        <v>444</v>
      </c>
      <c r="C6109" s="2" t="s">
        <v>49</v>
      </c>
      <c r="D6109" s="3" t="n">
        <v>46235</v>
      </c>
      <c r="E6109" s="2" t="str">
        <f aca="false">TEXT(D6109,"dddd")</f>
        <v>Saturday</v>
      </c>
      <c r="F6109" s="2" t="s">
        <v>457</v>
      </c>
      <c r="G6109" s="2" t="s">
        <v>458</v>
      </c>
      <c r="H6109" s="2" t="s">
        <v>459</v>
      </c>
      <c r="I6109" s="2" t="n">
        <f aca="false">IF(F6109="Present",9,IF(F6109="Half Day",4,0))</f>
        <v>9</v>
      </c>
      <c r="J6109" s="2"/>
      <c r="K6109" s="2"/>
    </row>
    <row r="6110" customFormat="false" ht="15" hidden="false" customHeight="false" outlineLevel="0" collapsed="false">
      <c r="A6110" s="2" t="s">
        <v>443</v>
      </c>
      <c r="B6110" s="2" t="s">
        <v>444</v>
      </c>
      <c r="C6110" s="2" t="s">
        <v>49</v>
      </c>
      <c r="D6110" s="3" t="n">
        <v>46236</v>
      </c>
      <c r="E6110" s="2" t="str">
        <f aca="false">TEXT(D6110,"dddd")</f>
        <v>Sunday</v>
      </c>
      <c r="F6110" s="2" t="s">
        <v>460</v>
      </c>
      <c r="G6110" s="2"/>
      <c r="H6110" s="2"/>
      <c r="I6110" s="2" t="n">
        <f aca="false">IF(F6110="Present",9,IF(F6110="Half Day",4,0))</f>
        <v>0</v>
      </c>
      <c r="J6110" s="2"/>
      <c r="K6110" s="2" t="s">
        <v>460</v>
      </c>
    </row>
    <row r="6111" customFormat="false" ht="15" hidden="false" customHeight="false" outlineLevel="0" collapsed="false">
      <c r="A6111" s="2" t="s">
        <v>443</v>
      </c>
      <c r="B6111" s="2" t="s">
        <v>444</v>
      </c>
      <c r="C6111" s="2" t="s">
        <v>49</v>
      </c>
      <c r="D6111" s="3" t="n">
        <v>46237</v>
      </c>
      <c r="E6111" s="2" t="str">
        <f aca="false">TEXT(D6111,"dddd")</f>
        <v>Monday</v>
      </c>
      <c r="F6111" s="2" t="s">
        <v>457</v>
      </c>
      <c r="G6111" s="2" t="s">
        <v>458</v>
      </c>
      <c r="H6111" s="2" t="s">
        <v>459</v>
      </c>
      <c r="I6111" s="2" t="n">
        <f aca="false">IF(F6111="Present",9,IF(F6111="Half Day",4,0))</f>
        <v>9</v>
      </c>
      <c r="J6111" s="2"/>
      <c r="K6111" s="2"/>
    </row>
    <row r="6112" customFormat="false" ht="15" hidden="false" customHeight="false" outlineLevel="0" collapsed="false">
      <c r="A6112" s="2" t="s">
        <v>443</v>
      </c>
      <c r="B6112" s="2" t="s">
        <v>444</v>
      </c>
      <c r="C6112" s="2" t="s">
        <v>49</v>
      </c>
      <c r="D6112" s="3" t="n">
        <v>46238</v>
      </c>
      <c r="E6112" s="2" t="str">
        <f aca="false">TEXT(D6112,"dddd")</f>
        <v>Tuesday</v>
      </c>
      <c r="F6112" s="2" t="s">
        <v>457</v>
      </c>
      <c r="G6112" s="2" t="s">
        <v>458</v>
      </c>
      <c r="H6112" s="2" t="s">
        <v>459</v>
      </c>
      <c r="I6112" s="2" t="n">
        <f aca="false">IF(F6112="Present",9,IF(F6112="Half Day",4,0))</f>
        <v>9</v>
      </c>
      <c r="J6112" s="2"/>
      <c r="K6112" s="2"/>
    </row>
    <row r="6113" customFormat="false" ht="15" hidden="false" customHeight="false" outlineLevel="0" collapsed="false">
      <c r="A6113" s="2" t="s">
        <v>443</v>
      </c>
      <c r="B6113" s="2" t="s">
        <v>444</v>
      </c>
      <c r="C6113" s="2" t="s">
        <v>49</v>
      </c>
      <c r="D6113" s="3" t="n">
        <v>46239</v>
      </c>
      <c r="E6113" s="2" t="str">
        <f aca="false">TEXT(D6113,"dddd")</f>
        <v>Wednesday</v>
      </c>
      <c r="F6113" s="2" t="s">
        <v>457</v>
      </c>
      <c r="G6113" s="2" t="s">
        <v>458</v>
      </c>
      <c r="H6113" s="2" t="s">
        <v>459</v>
      </c>
      <c r="I6113" s="2" t="n">
        <f aca="false">IF(F6113="Present",9,IF(F6113="Half Day",4,0))</f>
        <v>9</v>
      </c>
      <c r="J6113" s="2"/>
      <c r="K6113" s="2"/>
    </row>
    <row r="6114" customFormat="false" ht="15" hidden="false" customHeight="false" outlineLevel="0" collapsed="false">
      <c r="A6114" s="2" t="s">
        <v>443</v>
      </c>
      <c r="B6114" s="2" t="s">
        <v>444</v>
      </c>
      <c r="C6114" s="2" t="s">
        <v>49</v>
      </c>
      <c r="D6114" s="3" t="n">
        <v>46240</v>
      </c>
      <c r="E6114" s="2" t="str">
        <f aca="false">TEXT(D6114,"dddd")</f>
        <v>Thursday</v>
      </c>
      <c r="F6114" s="2" t="s">
        <v>457</v>
      </c>
      <c r="G6114" s="2" t="s">
        <v>458</v>
      </c>
      <c r="H6114" s="2" t="s">
        <v>459</v>
      </c>
      <c r="I6114" s="2" t="n">
        <f aca="false">IF(F6114="Present",9,IF(F6114="Half Day",4,0))</f>
        <v>9</v>
      </c>
      <c r="J6114" s="2"/>
      <c r="K6114" s="2"/>
    </row>
    <row r="6115" customFormat="false" ht="15" hidden="false" customHeight="false" outlineLevel="0" collapsed="false">
      <c r="A6115" s="2" t="s">
        <v>443</v>
      </c>
      <c r="B6115" s="2" t="s">
        <v>444</v>
      </c>
      <c r="C6115" s="2" t="s">
        <v>49</v>
      </c>
      <c r="D6115" s="3" t="n">
        <v>46241</v>
      </c>
      <c r="E6115" s="2" t="str">
        <f aca="false">TEXT(D6115,"dddd")</f>
        <v>Friday</v>
      </c>
      <c r="F6115" s="2" t="s">
        <v>457</v>
      </c>
      <c r="G6115" s="2" t="s">
        <v>458</v>
      </c>
      <c r="H6115" s="2" t="s">
        <v>459</v>
      </c>
      <c r="I6115" s="2" t="n">
        <f aca="false">IF(F6115="Present",9,IF(F6115="Half Day",4,0))</f>
        <v>9</v>
      </c>
      <c r="J6115" s="2"/>
      <c r="K6115" s="2"/>
    </row>
    <row r="6116" customFormat="false" ht="15" hidden="false" customHeight="false" outlineLevel="0" collapsed="false">
      <c r="A6116" s="2" t="s">
        <v>443</v>
      </c>
      <c r="B6116" s="2" t="s">
        <v>444</v>
      </c>
      <c r="C6116" s="2" t="s">
        <v>49</v>
      </c>
      <c r="D6116" s="3" t="n">
        <v>46242</v>
      </c>
      <c r="E6116" s="2" t="str">
        <f aca="false">TEXT(D6116,"dddd")</f>
        <v>Saturday</v>
      </c>
      <c r="F6116" s="2" t="s">
        <v>457</v>
      </c>
      <c r="G6116" s="2" t="s">
        <v>458</v>
      </c>
      <c r="H6116" s="2" t="s">
        <v>459</v>
      </c>
      <c r="I6116" s="2" t="n">
        <f aca="false">IF(F6116="Present",9,IF(F6116="Half Day",4,0))</f>
        <v>9</v>
      </c>
      <c r="J6116" s="2"/>
      <c r="K6116" s="2"/>
    </row>
    <row r="6117" customFormat="false" ht="15" hidden="false" customHeight="false" outlineLevel="0" collapsed="false">
      <c r="A6117" s="2" t="s">
        <v>443</v>
      </c>
      <c r="B6117" s="2" t="s">
        <v>444</v>
      </c>
      <c r="C6117" s="2" t="s">
        <v>49</v>
      </c>
      <c r="D6117" s="3" t="n">
        <v>46243</v>
      </c>
      <c r="E6117" s="2" t="str">
        <f aca="false">TEXT(D6117,"dddd")</f>
        <v>Sunday</v>
      </c>
      <c r="F6117" s="2" t="s">
        <v>460</v>
      </c>
      <c r="G6117" s="2"/>
      <c r="H6117" s="2"/>
      <c r="I6117" s="2" t="n">
        <f aca="false">IF(F6117="Present",9,IF(F6117="Half Day",4,0))</f>
        <v>0</v>
      </c>
      <c r="J6117" s="2"/>
      <c r="K6117" s="2" t="s">
        <v>460</v>
      </c>
    </row>
    <row r="6118" customFormat="false" ht="15" hidden="false" customHeight="false" outlineLevel="0" collapsed="false">
      <c r="A6118" s="2" t="s">
        <v>443</v>
      </c>
      <c r="B6118" s="2" t="s">
        <v>444</v>
      </c>
      <c r="C6118" s="2" t="s">
        <v>49</v>
      </c>
      <c r="D6118" s="3" t="n">
        <v>46244</v>
      </c>
      <c r="E6118" s="2" t="str">
        <f aca="false">TEXT(D6118,"dddd")</f>
        <v>Monday</v>
      </c>
      <c r="F6118" s="2" t="s">
        <v>457</v>
      </c>
      <c r="G6118" s="2" t="s">
        <v>458</v>
      </c>
      <c r="H6118" s="2" t="s">
        <v>459</v>
      </c>
      <c r="I6118" s="2" t="n">
        <f aca="false">IF(F6118="Present",9,IF(F6118="Half Day",4,0))</f>
        <v>9</v>
      </c>
      <c r="J6118" s="2"/>
      <c r="K6118" s="2"/>
    </row>
    <row r="6119" customFormat="false" ht="15" hidden="false" customHeight="false" outlineLevel="0" collapsed="false">
      <c r="A6119" s="2" t="s">
        <v>443</v>
      </c>
      <c r="B6119" s="2" t="s">
        <v>444</v>
      </c>
      <c r="C6119" s="2" t="s">
        <v>49</v>
      </c>
      <c r="D6119" s="3" t="n">
        <v>46245</v>
      </c>
      <c r="E6119" s="2" t="str">
        <f aca="false">TEXT(D6119,"dddd")</f>
        <v>Tuesday</v>
      </c>
      <c r="F6119" s="2" t="s">
        <v>457</v>
      </c>
      <c r="G6119" s="2" t="s">
        <v>458</v>
      </c>
      <c r="H6119" s="2" t="s">
        <v>459</v>
      </c>
      <c r="I6119" s="2" t="n">
        <f aca="false">IF(F6119="Present",9,IF(F6119="Half Day",4,0))</f>
        <v>9</v>
      </c>
      <c r="J6119" s="2"/>
      <c r="K6119" s="2"/>
    </row>
    <row r="6120" customFormat="false" ht="15" hidden="false" customHeight="false" outlineLevel="0" collapsed="false">
      <c r="A6120" s="2" t="s">
        <v>443</v>
      </c>
      <c r="B6120" s="2" t="s">
        <v>444</v>
      </c>
      <c r="C6120" s="2" t="s">
        <v>49</v>
      </c>
      <c r="D6120" s="3" t="n">
        <v>46246</v>
      </c>
      <c r="E6120" s="2" t="str">
        <f aca="false">TEXT(D6120,"dddd")</f>
        <v>Wednesday</v>
      </c>
      <c r="F6120" s="2" t="s">
        <v>457</v>
      </c>
      <c r="G6120" s="2" t="s">
        <v>458</v>
      </c>
      <c r="H6120" s="2" t="s">
        <v>459</v>
      </c>
      <c r="I6120" s="2" t="n">
        <f aca="false">IF(F6120="Present",9,IF(F6120="Half Day",4,0))</f>
        <v>9</v>
      </c>
      <c r="J6120" s="2"/>
      <c r="K6120" s="2"/>
    </row>
    <row r="6121" customFormat="false" ht="15" hidden="false" customHeight="false" outlineLevel="0" collapsed="false">
      <c r="A6121" s="2" t="s">
        <v>443</v>
      </c>
      <c r="B6121" s="2" t="s">
        <v>444</v>
      </c>
      <c r="C6121" s="2" t="s">
        <v>49</v>
      </c>
      <c r="D6121" s="3" t="n">
        <v>46247</v>
      </c>
      <c r="E6121" s="2" t="str">
        <f aca="false">TEXT(D6121,"dddd")</f>
        <v>Thursday</v>
      </c>
      <c r="F6121" s="2" t="s">
        <v>457</v>
      </c>
      <c r="G6121" s="2" t="s">
        <v>458</v>
      </c>
      <c r="H6121" s="2" t="s">
        <v>459</v>
      </c>
      <c r="I6121" s="2" t="n">
        <f aca="false">IF(F6121="Present",9,IF(F6121="Half Day",4,0))</f>
        <v>9</v>
      </c>
      <c r="J6121" s="2"/>
      <c r="K6121" s="2"/>
    </row>
    <row r="6122" customFormat="false" ht="15" hidden="false" customHeight="false" outlineLevel="0" collapsed="false">
      <c r="A6122" s="2" t="s">
        <v>443</v>
      </c>
      <c r="B6122" s="2" t="s">
        <v>444</v>
      </c>
      <c r="C6122" s="2" t="s">
        <v>49</v>
      </c>
      <c r="D6122" s="3" t="n">
        <v>46248</v>
      </c>
      <c r="E6122" s="2" t="str">
        <f aca="false">TEXT(D6122,"dddd")</f>
        <v>Friday</v>
      </c>
      <c r="F6122" s="2" t="s">
        <v>457</v>
      </c>
      <c r="G6122" s="2" t="s">
        <v>458</v>
      </c>
      <c r="H6122" s="2" t="s">
        <v>459</v>
      </c>
      <c r="I6122" s="2" t="n">
        <f aca="false">IF(F6122="Present",9,IF(F6122="Half Day",4,0))</f>
        <v>9</v>
      </c>
      <c r="J6122" s="2"/>
      <c r="K6122" s="2"/>
    </row>
    <row r="6123" customFormat="false" ht="15" hidden="false" customHeight="false" outlineLevel="0" collapsed="false">
      <c r="A6123" s="2" t="s">
        <v>443</v>
      </c>
      <c r="B6123" s="2" t="s">
        <v>444</v>
      </c>
      <c r="C6123" s="2" t="s">
        <v>49</v>
      </c>
      <c r="D6123" s="3" t="n">
        <v>46249</v>
      </c>
      <c r="E6123" s="2" t="str">
        <f aca="false">TEXT(D6123,"dddd")</f>
        <v>Saturday</v>
      </c>
      <c r="F6123" s="2" t="s">
        <v>457</v>
      </c>
      <c r="G6123" s="2" t="s">
        <v>458</v>
      </c>
      <c r="H6123" s="2" t="s">
        <v>459</v>
      </c>
      <c r="I6123" s="2" t="n">
        <f aca="false">IF(F6123="Present",9,IF(F6123="Half Day",4,0))</f>
        <v>9</v>
      </c>
      <c r="J6123" s="2"/>
      <c r="K6123" s="2"/>
    </row>
    <row r="6124" customFormat="false" ht="15" hidden="false" customHeight="false" outlineLevel="0" collapsed="false">
      <c r="A6124" s="2" t="s">
        <v>443</v>
      </c>
      <c r="B6124" s="2" t="s">
        <v>444</v>
      </c>
      <c r="C6124" s="2" t="s">
        <v>49</v>
      </c>
      <c r="D6124" s="3" t="n">
        <v>46250</v>
      </c>
      <c r="E6124" s="2" t="str">
        <f aca="false">TEXT(D6124,"dddd")</f>
        <v>Sunday</v>
      </c>
      <c r="F6124" s="2" t="s">
        <v>460</v>
      </c>
      <c r="G6124" s="2"/>
      <c r="H6124" s="2"/>
      <c r="I6124" s="2" t="n">
        <f aca="false">IF(F6124="Present",9,IF(F6124="Half Day",4,0))</f>
        <v>0</v>
      </c>
      <c r="J6124" s="2"/>
      <c r="K6124" s="2" t="s">
        <v>460</v>
      </c>
    </row>
    <row r="6125" customFormat="false" ht="15" hidden="false" customHeight="false" outlineLevel="0" collapsed="false">
      <c r="A6125" s="2" t="s">
        <v>443</v>
      </c>
      <c r="B6125" s="2" t="s">
        <v>444</v>
      </c>
      <c r="C6125" s="2" t="s">
        <v>49</v>
      </c>
      <c r="D6125" s="3" t="n">
        <v>46251</v>
      </c>
      <c r="E6125" s="2" t="str">
        <f aca="false">TEXT(D6125,"dddd")</f>
        <v>Monday</v>
      </c>
      <c r="F6125" s="2" t="s">
        <v>457</v>
      </c>
      <c r="G6125" s="2" t="s">
        <v>458</v>
      </c>
      <c r="H6125" s="2" t="s">
        <v>459</v>
      </c>
      <c r="I6125" s="2" t="n">
        <f aca="false">IF(F6125="Present",9,IF(F6125="Half Day",4,0))</f>
        <v>9</v>
      </c>
      <c r="J6125" s="2"/>
      <c r="K6125" s="2"/>
    </row>
    <row r="6126" customFormat="false" ht="15" hidden="false" customHeight="false" outlineLevel="0" collapsed="false">
      <c r="A6126" s="2" t="s">
        <v>443</v>
      </c>
      <c r="B6126" s="2" t="s">
        <v>444</v>
      </c>
      <c r="C6126" s="2" t="s">
        <v>49</v>
      </c>
      <c r="D6126" s="3" t="n">
        <v>46252</v>
      </c>
      <c r="E6126" s="2" t="str">
        <f aca="false">TEXT(D6126,"dddd")</f>
        <v>Tuesday</v>
      </c>
      <c r="F6126" s="2" t="s">
        <v>457</v>
      </c>
      <c r="G6126" s="2" t="s">
        <v>458</v>
      </c>
      <c r="H6126" s="2" t="s">
        <v>459</v>
      </c>
      <c r="I6126" s="2" t="n">
        <f aca="false">IF(F6126="Present",9,IF(F6126="Half Day",4,0))</f>
        <v>9</v>
      </c>
      <c r="J6126" s="2"/>
      <c r="K6126" s="2"/>
    </row>
    <row r="6127" customFormat="false" ht="15" hidden="false" customHeight="false" outlineLevel="0" collapsed="false">
      <c r="A6127" s="2" t="s">
        <v>443</v>
      </c>
      <c r="B6127" s="2" t="s">
        <v>444</v>
      </c>
      <c r="C6127" s="2" t="s">
        <v>49</v>
      </c>
      <c r="D6127" s="3" t="n">
        <v>46253</v>
      </c>
      <c r="E6127" s="2" t="str">
        <f aca="false">TEXT(D6127,"dddd")</f>
        <v>Wednesday</v>
      </c>
      <c r="F6127" s="2" t="s">
        <v>457</v>
      </c>
      <c r="G6127" s="2" t="s">
        <v>458</v>
      </c>
      <c r="H6127" s="2" t="s">
        <v>459</v>
      </c>
      <c r="I6127" s="2" t="n">
        <f aca="false">IF(F6127="Present",9,IF(F6127="Half Day",4,0))</f>
        <v>9</v>
      </c>
      <c r="J6127" s="2"/>
      <c r="K6127" s="2"/>
    </row>
    <row r="6128" customFormat="false" ht="15" hidden="false" customHeight="false" outlineLevel="0" collapsed="false">
      <c r="A6128" s="2" t="s">
        <v>443</v>
      </c>
      <c r="B6128" s="2" t="s">
        <v>444</v>
      </c>
      <c r="C6128" s="2" t="s">
        <v>49</v>
      </c>
      <c r="D6128" s="3" t="n">
        <v>46254</v>
      </c>
      <c r="E6128" s="2" t="str">
        <f aca="false">TEXT(D6128,"dddd")</f>
        <v>Thursday</v>
      </c>
      <c r="F6128" s="2" t="s">
        <v>457</v>
      </c>
      <c r="G6128" s="2" t="s">
        <v>458</v>
      </c>
      <c r="H6128" s="2" t="s">
        <v>459</v>
      </c>
      <c r="I6128" s="2" t="n">
        <f aca="false">IF(F6128="Present",9,IF(F6128="Half Day",4,0))</f>
        <v>9</v>
      </c>
      <c r="J6128" s="2"/>
      <c r="K6128" s="2"/>
    </row>
    <row r="6129" customFormat="false" ht="15" hidden="false" customHeight="false" outlineLevel="0" collapsed="false">
      <c r="A6129" s="2" t="s">
        <v>443</v>
      </c>
      <c r="B6129" s="2" t="s">
        <v>444</v>
      </c>
      <c r="C6129" s="2" t="s">
        <v>49</v>
      </c>
      <c r="D6129" s="3" t="n">
        <v>46255</v>
      </c>
      <c r="E6129" s="2" t="str">
        <f aca="false">TEXT(D6129,"dddd")</f>
        <v>Friday</v>
      </c>
      <c r="F6129" s="2" t="s">
        <v>457</v>
      </c>
      <c r="G6129" s="2" t="s">
        <v>458</v>
      </c>
      <c r="H6129" s="2" t="s">
        <v>459</v>
      </c>
      <c r="I6129" s="2" t="n">
        <f aca="false">IF(F6129="Present",9,IF(F6129="Half Day",4,0))</f>
        <v>9</v>
      </c>
      <c r="J6129" s="2"/>
      <c r="K6129" s="2"/>
    </row>
    <row r="6130" customFormat="false" ht="15" hidden="false" customHeight="false" outlineLevel="0" collapsed="false">
      <c r="A6130" s="2" t="s">
        <v>443</v>
      </c>
      <c r="B6130" s="2" t="s">
        <v>444</v>
      </c>
      <c r="C6130" s="2" t="s">
        <v>49</v>
      </c>
      <c r="D6130" s="3" t="n">
        <v>46256</v>
      </c>
      <c r="E6130" s="2" t="str">
        <f aca="false">TEXT(D6130,"dddd")</f>
        <v>Saturday</v>
      </c>
      <c r="F6130" s="2" t="s">
        <v>457</v>
      </c>
      <c r="G6130" s="2" t="s">
        <v>458</v>
      </c>
      <c r="H6130" s="2" t="s">
        <v>459</v>
      </c>
      <c r="I6130" s="2" t="n">
        <f aca="false">IF(F6130="Present",9,IF(F6130="Half Day",4,0))</f>
        <v>9</v>
      </c>
      <c r="J6130" s="2"/>
      <c r="K6130" s="2"/>
    </row>
    <row r="6131" customFormat="false" ht="15" hidden="false" customHeight="false" outlineLevel="0" collapsed="false">
      <c r="A6131" s="2" t="s">
        <v>443</v>
      </c>
      <c r="B6131" s="2" t="s">
        <v>444</v>
      </c>
      <c r="C6131" s="2" t="s">
        <v>49</v>
      </c>
      <c r="D6131" s="3" t="n">
        <v>46257</v>
      </c>
      <c r="E6131" s="2" t="str">
        <f aca="false">TEXT(D6131,"dddd")</f>
        <v>Sunday</v>
      </c>
      <c r="F6131" s="2" t="s">
        <v>460</v>
      </c>
      <c r="G6131" s="2"/>
      <c r="H6131" s="2"/>
      <c r="I6131" s="2" t="n">
        <f aca="false">IF(F6131="Present",9,IF(F6131="Half Day",4,0))</f>
        <v>0</v>
      </c>
      <c r="J6131" s="2"/>
      <c r="K6131" s="2" t="s">
        <v>460</v>
      </c>
    </row>
    <row r="6132" customFormat="false" ht="15" hidden="false" customHeight="false" outlineLevel="0" collapsed="false">
      <c r="A6132" s="2" t="s">
        <v>443</v>
      </c>
      <c r="B6132" s="2" t="s">
        <v>444</v>
      </c>
      <c r="C6132" s="2" t="s">
        <v>49</v>
      </c>
      <c r="D6132" s="3" t="n">
        <v>46258</v>
      </c>
      <c r="E6132" s="2" t="str">
        <f aca="false">TEXT(D6132,"dddd")</f>
        <v>Monday</v>
      </c>
      <c r="F6132" s="2" t="s">
        <v>457</v>
      </c>
      <c r="G6132" s="2" t="s">
        <v>458</v>
      </c>
      <c r="H6132" s="2" t="s">
        <v>459</v>
      </c>
      <c r="I6132" s="2" t="n">
        <f aca="false">IF(F6132="Present",9,IF(F6132="Half Day",4,0))</f>
        <v>9</v>
      </c>
      <c r="J6132" s="2"/>
      <c r="K6132" s="2"/>
    </row>
    <row r="6133" customFormat="false" ht="15" hidden="false" customHeight="false" outlineLevel="0" collapsed="false">
      <c r="A6133" s="2" t="s">
        <v>443</v>
      </c>
      <c r="B6133" s="2" t="s">
        <v>444</v>
      </c>
      <c r="C6133" s="2" t="s">
        <v>49</v>
      </c>
      <c r="D6133" s="3" t="n">
        <v>46259</v>
      </c>
      <c r="E6133" s="2" t="str">
        <f aca="false">TEXT(D6133,"dddd")</f>
        <v>Tuesday</v>
      </c>
      <c r="F6133" s="2" t="s">
        <v>457</v>
      </c>
      <c r="G6133" s="2" t="s">
        <v>458</v>
      </c>
      <c r="H6133" s="2" t="s">
        <v>459</v>
      </c>
      <c r="I6133" s="2" t="n">
        <f aca="false">IF(F6133="Present",9,IF(F6133="Half Day",4,0))</f>
        <v>9</v>
      </c>
      <c r="J6133" s="2"/>
      <c r="K6133" s="2"/>
    </row>
    <row r="6134" customFormat="false" ht="15" hidden="false" customHeight="false" outlineLevel="0" collapsed="false">
      <c r="A6134" s="2" t="s">
        <v>443</v>
      </c>
      <c r="B6134" s="2" t="s">
        <v>444</v>
      </c>
      <c r="C6134" s="2" t="s">
        <v>49</v>
      </c>
      <c r="D6134" s="3" t="n">
        <v>46260</v>
      </c>
      <c r="E6134" s="2" t="str">
        <f aca="false">TEXT(D6134,"dddd")</f>
        <v>Wednesday</v>
      </c>
      <c r="F6134" s="2" t="s">
        <v>457</v>
      </c>
      <c r="G6134" s="2" t="s">
        <v>458</v>
      </c>
      <c r="H6134" s="2" t="s">
        <v>459</v>
      </c>
      <c r="I6134" s="2" t="n">
        <f aca="false">IF(F6134="Present",9,IF(F6134="Half Day",4,0))</f>
        <v>9</v>
      </c>
      <c r="J6134" s="2"/>
      <c r="K6134" s="2"/>
    </row>
    <row r="6135" customFormat="false" ht="15" hidden="false" customHeight="false" outlineLevel="0" collapsed="false">
      <c r="A6135" s="2" t="s">
        <v>443</v>
      </c>
      <c r="B6135" s="2" t="s">
        <v>444</v>
      </c>
      <c r="C6135" s="2" t="s">
        <v>49</v>
      </c>
      <c r="D6135" s="3" t="n">
        <v>46261</v>
      </c>
      <c r="E6135" s="2" t="str">
        <f aca="false">TEXT(D6135,"dddd")</f>
        <v>Thursday</v>
      </c>
      <c r="F6135" s="2" t="s">
        <v>457</v>
      </c>
      <c r="G6135" s="2" t="s">
        <v>458</v>
      </c>
      <c r="H6135" s="2" t="s">
        <v>459</v>
      </c>
      <c r="I6135" s="2" t="n">
        <f aca="false">IF(F6135="Present",9,IF(F6135="Half Day",4,0))</f>
        <v>9</v>
      </c>
      <c r="J6135" s="2"/>
      <c r="K6135" s="2"/>
    </row>
    <row r="6136" customFormat="false" ht="15" hidden="false" customHeight="false" outlineLevel="0" collapsed="false">
      <c r="A6136" s="2" t="s">
        <v>443</v>
      </c>
      <c r="B6136" s="2" t="s">
        <v>444</v>
      </c>
      <c r="C6136" s="2" t="s">
        <v>49</v>
      </c>
      <c r="D6136" s="3" t="n">
        <v>46262</v>
      </c>
      <c r="E6136" s="2" t="str">
        <f aca="false">TEXT(D6136,"dddd")</f>
        <v>Friday</v>
      </c>
      <c r="F6136" s="2" t="s">
        <v>457</v>
      </c>
      <c r="G6136" s="2" t="s">
        <v>458</v>
      </c>
      <c r="H6136" s="2" t="s">
        <v>459</v>
      </c>
      <c r="I6136" s="2" t="n">
        <f aca="false">IF(F6136="Present",9,IF(F6136="Half Day",4,0))</f>
        <v>9</v>
      </c>
      <c r="J6136" s="2"/>
      <c r="K6136" s="2"/>
    </row>
    <row r="6137" customFormat="false" ht="15" hidden="false" customHeight="false" outlineLevel="0" collapsed="false">
      <c r="A6137" s="2" t="s">
        <v>443</v>
      </c>
      <c r="B6137" s="2" t="s">
        <v>444</v>
      </c>
      <c r="C6137" s="2" t="s">
        <v>49</v>
      </c>
      <c r="D6137" s="3" t="n">
        <v>46263</v>
      </c>
      <c r="E6137" s="2" t="str">
        <f aca="false">TEXT(D6137,"dddd")</f>
        <v>Saturday</v>
      </c>
      <c r="F6137" s="2" t="s">
        <v>457</v>
      </c>
      <c r="G6137" s="2" t="s">
        <v>458</v>
      </c>
      <c r="H6137" s="2" t="s">
        <v>459</v>
      </c>
      <c r="I6137" s="2" t="n">
        <f aca="false">IF(F6137="Present",9,IF(F6137="Half Day",4,0))</f>
        <v>9</v>
      </c>
      <c r="J6137" s="2"/>
      <c r="K6137" s="2"/>
    </row>
    <row r="6138" customFormat="false" ht="15" hidden="false" customHeight="false" outlineLevel="0" collapsed="false">
      <c r="A6138" s="2" t="s">
        <v>443</v>
      </c>
      <c r="B6138" s="2" t="s">
        <v>444</v>
      </c>
      <c r="C6138" s="2" t="s">
        <v>49</v>
      </c>
      <c r="D6138" s="3" t="n">
        <v>46264</v>
      </c>
      <c r="E6138" s="2" t="str">
        <f aca="false">TEXT(D6138,"dddd")</f>
        <v>Sunday</v>
      </c>
      <c r="F6138" s="2" t="s">
        <v>460</v>
      </c>
      <c r="G6138" s="2"/>
      <c r="H6138" s="2"/>
      <c r="I6138" s="2" t="n">
        <f aca="false">IF(F6138="Present",9,IF(F6138="Half Day",4,0))</f>
        <v>0</v>
      </c>
      <c r="J6138" s="2"/>
      <c r="K6138" s="2" t="s">
        <v>460</v>
      </c>
    </row>
    <row r="6139" customFormat="false" ht="15" hidden="false" customHeight="false" outlineLevel="0" collapsed="false">
      <c r="A6139" s="2" t="s">
        <v>443</v>
      </c>
      <c r="B6139" s="2" t="s">
        <v>444</v>
      </c>
      <c r="C6139" s="2" t="s">
        <v>49</v>
      </c>
      <c r="D6139" s="3" t="n">
        <v>46265</v>
      </c>
      <c r="E6139" s="2" t="str">
        <f aca="false">TEXT(D6139,"dddd")</f>
        <v>Monday</v>
      </c>
      <c r="F6139" s="2" t="s">
        <v>457</v>
      </c>
      <c r="G6139" s="2" t="s">
        <v>458</v>
      </c>
      <c r="H6139" s="2" t="s">
        <v>459</v>
      </c>
      <c r="I6139" s="2" t="n">
        <f aca="false">IF(F6139="Present",9,IF(F6139="Half Day",4,0))</f>
        <v>9</v>
      </c>
      <c r="J6139" s="2"/>
      <c r="K6139" s="2"/>
    </row>
    <row r="6140" customFormat="false" ht="15" hidden="false" customHeight="false" outlineLevel="0" collapsed="false">
      <c r="A6140" s="2" t="s">
        <v>445</v>
      </c>
      <c r="B6140" s="2" t="s">
        <v>446</v>
      </c>
      <c r="C6140" s="2" t="s">
        <v>53</v>
      </c>
      <c r="D6140" s="3" t="n">
        <v>46235</v>
      </c>
      <c r="E6140" s="2" t="str">
        <f aca="false">TEXT(D6140,"dddd")</f>
        <v>Saturday</v>
      </c>
      <c r="F6140" s="2" t="s">
        <v>457</v>
      </c>
      <c r="G6140" s="2" t="s">
        <v>458</v>
      </c>
      <c r="H6140" s="2" t="s">
        <v>459</v>
      </c>
      <c r="I6140" s="2" t="n">
        <f aca="false">IF(F6140="Present",9,IF(F6140="Half Day",4,0))</f>
        <v>9</v>
      </c>
      <c r="J6140" s="2"/>
      <c r="K6140" s="2"/>
    </row>
    <row r="6141" customFormat="false" ht="15" hidden="false" customHeight="false" outlineLevel="0" collapsed="false">
      <c r="A6141" s="2" t="s">
        <v>445</v>
      </c>
      <c r="B6141" s="2" t="s">
        <v>446</v>
      </c>
      <c r="C6141" s="2" t="s">
        <v>53</v>
      </c>
      <c r="D6141" s="3" t="n">
        <v>46236</v>
      </c>
      <c r="E6141" s="2" t="str">
        <f aca="false">TEXT(D6141,"dddd")</f>
        <v>Sunday</v>
      </c>
      <c r="F6141" s="2" t="s">
        <v>460</v>
      </c>
      <c r="G6141" s="2"/>
      <c r="H6141" s="2"/>
      <c r="I6141" s="2" t="n">
        <f aca="false">IF(F6141="Present",9,IF(F6141="Half Day",4,0))</f>
        <v>0</v>
      </c>
      <c r="J6141" s="2"/>
      <c r="K6141" s="2" t="s">
        <v>460</v>
      </c>
    </row>
    <row r="6142" customFormat="false" ht="15" hidden="false" customHeight="false" outlineLevel="0" collapsed="false">
      <c r="A6142" s="2" t="s">
        <v>445</v>
      </c>
      <c r="B6142" s="2" t="s">
        <v>446</v>
      </c>
      <c r="C6142" s="2" t="s">
        <v>53</v>
      </c>
      <c r="D6142" s="3" t="n">
        <v>46237</v>
      </c>
      <c r="E6142" s="2" t="str">
        <f aca="false">TEXT(D6142,"dddd")</f>
        <v>Monday</v>
      </c>
      <c r="F6142" s="2" t="s">
        <v>457</v>
      </c>
      <c r="G6142" s="2" t="s">
        <v>458</v>
      </c>
      <c r="H6142" s="2" t="s">
        <v>459</v>
      </c>
      <c r="I6142" s="2" t="n">
        <f aca="false">IF(F6142="Present",9,IF(F6142="Half Day",4,0))</f>
        <v>9</v>
      </c>
      <c r="J6142" s="2"/>
      <c r="K6142" s="2"/>
    </row>
    <row r="6143" customFormat="false" ht="15" hidden="false" customHeight="false" outlineLevel="0" collapsed="false">
      <c r="A6143" s="2" t="s">
        <v>445</v>
      </c>
      <c r="B6143" s="2" t="s">
        <v>446</v>
      </c>
      <c r="C6143" s="2" t="s">
        <v>53</v>
      </c>
      <c r="D6143" s="3" t="n">
        <v>46238</v>
      </c>
      <c r="E6143" s="2" t="str">
        <f aca="false">TEXT(D6143,"dddd")</f>
        <v>Tuesday</v>
      </c>
      <c r="F6143" s="2" t="s">
        <v>461</v>
      </c>
      <c r="G6143" s="2"/>
      <c r="H6143" s="2"/>
      <c r="I6143" s="2" t="n">
        <f aca="false">IF(F6143="Present",9,IF(F6143="Half Day",4,0))</f>
        <v>0</v>
      </c>
      <c r="J6143" s="2"/>
      <c r="K6143" s="2" t="s">
        <v>462</v>
      </c>
    </row>
    <row r="6144" customFormat="false" ht="15" hidden="false" customHeight="false" outlineLevel="0" collapsed="false">
      <c r="A6144" s="2" t="s">
        <v>445</v>
      </c>
      <c r="B6144" s="2" t="s">
        <v>446</v>
      </c>
      <c r="C6144" s="2" t="s">
        <v>53</v>
      </c>
      <c r="D6144" s="3" t="n">
        <v>46239</v>
      </c>
      <c r="E6144" s="2" t="str">
        <f aca="false">TEXT(D6144,"dddd")</f>
        <v>Wednesday</v>
      </c>
      <c r="F6144" s="2" t="s">
        <v>457</v>
      </c>
      <c r="G6144" s="2" t="s">
        <v>458</v>
      </c>
      <c r="H6144" s="2" t="s">
        <v>459</v>
      </c>
      <c r="I6144" s="2" t="n">
        <f aca="false">IF(F6144="Present",9,IF(F6144="Half Day",4,0))</f>
        <v>9</v>
      </c>
      <c r="J6144" s="2"/>
      <c r="K6144" s="2"/>
    </row>
    <row r="6145" customFormat="false" ht="15" hidden="false" customHeight="false" outlineLevel="0" collapsed="false">
      <c r="A6145" s="2" t="s">
        <v>445</v>
      </c>
      <c r="B6145" s="2" t="s">
        <v>446</v>
      </c>
      <c r="C6145" s="2" t="s">
        <v>53</v>
      </c>
      <c r="D6145" s="3" t="n">
        <v>46240</v>
      </c>
      <c r="E6145" s="2" t="str">
        <f aca="false">TEXT(D6145,"dddd")</f>
        <v>Thursday</v>
      </c>
      <c r="F6145" s="2" t="s">
        <v>457</v>
      </c>
      <c r="G6145" s="2" t="s">
        <v>458</v>
      </c>
      <c r="H6145" s="2" t="s">
        <v>459</v>
      </c>
      <c r="I6145" s="2" t="n">
        <f aca="false">IF(F6145="Present",9,IF(F6145="Half Day",4,0))</f>
        <v>9</v>
      </c>
      <c r="J6145" s="2"/>
      <c r="K6145" s="2"/>
    </row>
    <row r="6146" customFormat="false" ht="15" hidden="false" customHeight="false" outlineLevel="0" collapsed="false">
      <c r="A6146" s="2" t="s">
        <v>445</v>
      </c>
      <c r="B6146" s="2" t="s">
        <v>446</v>
      </c>
      <c r="C6146" s="2" t="s">
        <v>53</v>
      </c>
      <c r="D6146" s="3" t="n">
        <v>46241</v>
      </c>
      <c r="E6146" s="2" t="str">
        <f aca="false">TEXT(D6146,"dddd")</f>
        <v>Friday</v>
      </c>
      <c r="F6146" s="2" t="s">
        <v>457</v>
      </c>
      <c r="G6146" s="2" t="s">
        <v>458</v>
      </c>
      <c r="H6146" s="2" t="s">
        <v>459</v>
      </c>
      <c r="I6146" s="2" t="n">
        <f aca="false">IF(F6146="Present",9,IF(F6146="Half Day",4,0))</f>
        <v>9</v>
      </c>
      <c r="J6146" s="2"/>
      <c r="K6146" s="2"/>
    </row>
    <row r="6147" customFormat="false" ht="15" hidden="false" customHeight="false" outlineLevel="0" collapsed="false">
      <c r="A6147" s="2" t="s">
        <v>445</v>
      </c>
      <c r="B6147" s="2" t="s">
        <v>446</v>
      </c>
      <c r="C6147" s="2" t="s">
        <v>53</v>
      </c>
      <c r="D6147" s="3" t="n">
        <v>46242</v>
      </c>
      <c r="E6147" s="2" t="str">
        <f aca="false">TEXT(D6147,"dddd")</f>
        <v>Saturday</v>
      </c>
      <c r="F6147" s="2" t="s">
        <v>457</v>
      </c>
      <c r="G6147" s="2" t="s">
        <v>458</v>
      </c>
      <c r="H6147" s="2" t="s">
        <v>459</v>
      </c>
      <c r="I6147" s="2" t="n">
        <f aca="false">IF(F6147="Present",9,IF(F6147="Half Day",4,0))</f>
        <v>9</v>
      </c>
      <c r="J6147" s="2"/>
      <c r="K6147" s="2"/>
    </row>
    <row r="6148" customFormat="false" ht="15" hidden="false" customHeight="false" outlineLevel="0" collapsed="false">
      <c r="A6148" s="2" t="s">
        <v>445</v>
      </c>
      <c r="B6148" s="2" t="s">
        <v>446</v>
      </c>
      <c r="C6148" s="2" t="s">
        <v>53</v>
      </c>
      <c r="D6148" s="3" t="n">
        <v>46243</v>
      </c>
      <c r="E6148" s="2" t="str">
        <f aca="false">TEXT(D6148,"dddd")</f>
        <v>Sunday</v>
      </c>
      <c r="F6148" s="2" t="s">
        <v>460</v>
      </c>
      <c r="G6148" s="2"/>
      <c r="H6148" s="2"/>
      <c r="I6148" s="2" t="n">
        <f aca="false">IF(F6148="Present",9,IF(F6148="Half Day",4,0))</f>
        <v>0</v>
      </c>
      <c r="J6148" s="2"/>
      <c r="K6148" s="2" t="s">
        <v>460</v>
      </c>
    </row>
    <row r="6149" customFormat="false" ht="15" hidden="false" customHeight="false" outlineLevel="0" collapsed="false">
      <c r="A6149" s="2" t="s">
        <v>445</v>
      </c>
      <c r="B6149" s="2" t="s">
        <v>446</v>
      </c>
      <c r="C6149" s="2" t="s">
        <v>53</v>
      </c>
      <c r="D6149" s="3" t="n">
        <v>46244</v>
      </c>
      <c r="E6149" s="2" t="str">
        <f aca="false">TEXT(D6149,"dddd")</f>
        <v>Monday</v>
      </c>
      <c r="F6149" s="2" t="s">
        <v>457</v>
      </c>
      <c r="G6149" s="2" t="s">
        <v>458</v>
      </c>
      <c r="H6149" s="2" t="s">
        <v>459</v>
      </c>
      <c r="I6149" s="2" t="n">
        <f aca="false">IF(F6149="Present",9,IF(F6149="Half Day",4,0))</f>
        <v>9</v>
      </c>
      <c r="J6149" s="2"/>
      <c r="K6149" s="2"/>
    </row>
    <row r="6150" customFormat="false" ht="15" hidden="false" customHeight="false" outlineLevel="0" collapsed="false">
      <c r="A6150" s="2" t="s">
        <v>445</v>
      </c>
      <c r="B6150" s="2" t="s">
        <v>446</v>
      </c>
      <c r="C6150" s="2" t="s">
        <v>53</v>
      </c>
      <c r="D6150" s="3" t="n">
        <v>46245</v>
      </c>
      <c r="E6150" s="2" t="str">
        <f aca="false">TEXT(D6150,"dddd")</f>
        <v>Tuesday</v>
      </c>
      <c r="F6150" s="2" t="s">
        <v>457</v>
      </c>
      <c r="G6150" s="2" t="s">
        <v>458</v>
      </c>
      <c r="H6150" s="2" t="s">
        <v>459</v>
      </c>
      <c r="I6150" s="2" t="n">
        <f aca="false">IF(F6150="Present",9,IF(F6150="Half Day",4,0))</f>
        <v>9</v>
      </c>
      <c r="J6150" s="2"/>
      <c r="K6150" s="2"/>
    </row>
    <row r="6151" customFormat="false" ht="15" hidden="false" customHeight="false" outlineLevel="0" collapsed="false">
      <c r="A6151" s="2" t="s">
        <v>445</v>
      </c>
      <c r="B6151" s="2" t="s">
        <v>446</v>
      </c>
      <c r="C6151" s="2" t="s">
        <v>53</v>
      </c>
      <c r="D6151" s="3" t="n">
        <v>46246</v>
      </c>
      <c r="E6151" s="2" t="str">
        <f aca="false">TEXT(D6151,"dddd")</f>
        <v>Wednesday</v>
      </c>
      <c r="F6151" s="2" t="s">
        <v>457</v>
      </c>
      <c r="G6151" s="2" t="s">
        <v>458</v>
      </c>
      <c r="H6151" s="2" t="s">
        <v>459</v>
      </c>
      <c r="I6151" s="2" t="n">
        <f aca="false">IF(F6151="Present",9,IF(F6151="Half Day",4,0))</f>
        <v>9</v>
      </c>
      <c r="J6151" s="2"/>
      <c r="K6151" s="2"/>
    </row>
    <row r="6152" customFormat="false" ht="15" hidden="false" customHeight="false" outlineLevel="0" collapsed="false">
      <c r="A6152" s="2" t="s">
        <v>445</v>
      </c>
      <c r="B6152" s="2" t="s">
        <v>446</v>
      </c>
      <c r="C6152" s="2" t="s">
        <v>53</v>
      </c>
      <c r="D6152" s="3" t="n">
        <v>46247</v>
      </c>
      <c r="E6152" s="2" t="str">
        <f aca="false">TEXT(D6152,"dddd")</f>
        <v>Thursday</v>
      </c>
      <c r="F6152" s="2" t="s">
        <v>457</v>
      </c>
      <c r="G6152" s="2" t="s">
        <v>458</v>
      </c>
      <c r="H6152" s="2" t="s">
        <v>459</v>
      </c>
      <c r="I6152" s="2" t="n">
        <f aca="false">IF(F6152="Present",9,IF(F6152="Half Day",4,0))</f>
        <v>9</v>
      </c>
      <c r="J6152" s="2"/>
      <c r="K6152" s="2"/>
    </row>
    <row r="6153" customFormat="false" ht="15" hidden="false" customHeight="false" outlineLevel="0" collapsed="false">
      <c r="A6153" s="2" t="s">
        <v>445</v>
      </c>
      <c r="B6153" s="2" t="s">
        <v>446</v>
      </c>
      <c r="C6153" s="2" t="s">
        <v>53</v>
      </c>
      <c r="D6153" s="3" t="n">
        <v>46248</v>
      </c>
      <c r="E6153" s="2" t="str">
        <f aca="false">TEXT(D6153,"dddd")</f>
        <v>Friday</v>
      </c>
      <c r="F6153" s="2" t="s">
        <v>463</v>
      </c>
      <c r="G6153" s="2"/>
      <c r="H6153" s="2"/>
      <c r="I6153" s="2" t="n">
        <f aca="false">IF(F6153="Present",9,IF(F6153="Half Day",4,0))</f>
        <v>0</v>
      </c>
      <c r="J6153" s="2" t="s">
        <v>474</v>
      </c>
      <c r="K6153" s="2" t="s">
        <v>475</v>
      </c>
    </row>
    <row r="6154" customFormat="false" ht="15" hidden="false" customHeight="false" outlineLevel="0" collapsed="false">
      <c r="A6154" s="2" t="s">
        <v>445</v>
      </c>
      <c r="B6154" s="2" t="s">
        <v>446</v>
      </c>
      <c r="C6154" s="2" t="s">
        <v>53</v>
      </c>
      <c r="D6154" s="3" t="n">
        <v>46249</v>
      </c>
      <c r="E6154" s="2" t="str">
        <f aca="false">TEXT(D6154,"dddd")</f>
        <v>Saturday</v>
      </c>
      <c r="F6154" s="2" t="s">
        <v>457</v>
      </c>
      <c r="G6154" s="2" t="s">
        <v>458</v>
      </c>
      <c r="H6154" s="2" t="s">
        <v>459</v>
      </c>
      <c r="I6154" s="2" t="n">
        <f aca="false">IF(F6154="Present",9,IF(F6154="Half Day",4,0))</f>
        <v>9</v>
      </c>
      <c r="J6154" s="2"/>
      <c r="K6154" s="2"/>
    </row>
    <row r="6155" customFormat="false" ht="15" hidden="false" customHeight="false" outlineLevel="0" collapsed="false">
      <c r="A6155" s="2" t="s">
        <v>445</v>
      </c>
      <c r="B6155" s="2" t="s">
        <v>446</v>
      </c>
      <c r="C6155" s="2" t="s">
        <v>53</v>
      </c>
      <c r="D6155" s="3" t="n">
        <v>46250</v>
      </c>
      <c r="E6155" s="2" t="str">
        <f aca="false">TEXT(D6155,"dddd")</f>
        <v>Sunday</v>
      </c>
      <c r="F6155" s="2" t="s">
        <v>460</v>
      </c>
      <c r="G6155" s="2"/>
      <c r="H6155" s="2"/>
      <c r="I6155" s="2" t="n">
        <f aca="false">IF(F6155="Present",9,IF(F6155="Half Day",4,0))</f>
        <v>0</v>
      </c>
      <c r="J6155" s="2"/>
      <c r="K6155" s="2" t="s">
        <v>460</v>
      </c>
    </row>
    <row r="6156" customFormat="false" ht="15" hidden="false" customHeight="false" outlineLevel="0" collapsed="false">
      <c r="A6156" s="2" t="s">
        <v>445</v>
      </c>
      <c r="B6156" s="2" t="s">
        <v>446</v>
      </c>
      <c r="C6156" s="2" t="s">
        <v>53</v>
      </c>
      <c r="D6156" s="3" t="n">
        <v>46251</v>
      </c>
      <c r="E6156" s="2" t="str">
        <f aca="false">TEXT(D6156,"dddd")</f>
        <v>Monday</v>
      </c>
      <c r="F6156" s="2" t="s">
        <v>457</v>
      </c>
      <c r="G6156" s="2" t="s">
        <v>458</v>
      </c>
      <c r="H6156" s="2" t="s">
        <v>459</v>
      </c>
      <c r="I6156" s="2" t="n">
        <f aca="false">IF(F6156="Present",9,IF(F6156="Half Day",4,0))</f>
        <v>9</v>
      </c>
      <c r="J6156" s="2"/>
      <c r="K6156" s="2"/>
    </row>
    <row r="6157" customFormat="false" ht="15" hidden="false" customHeight="false" outlineLevel="0" collapsed="false">
      <c r="A6157" s="2" t="s">
        <v>445</v>
      </c>
      <c r="B6157" s="2" t="s">
        <v>446</v>
      </c>
      <c r="C6157" s="2" t="s">
        <v>53</v>
      </c>
      <c r="D6157" s="3" t="n">
        <v>46252</v>
      </c>
      <c r="E6157" s="2" t="str">
        <f aca="false">TEXT(D6157,"dddd")</f>
        <v>Tuesday</v>
      </c>
      <c r="F6157" s="2" t="s">
        <v>461</v>
      </c>
      <c r="G6157" s="2"/>
      <c r="H6157" s="2"/>
      <c r="I6157" s="2" t="n">
        <f aca="false">IF(F6157="Present",9,IF(F6157="Half Day",4,0))</f>
        <v>0</v>
      </c>
      <c r="J6157" s="2"/>
      <c r="K6157" s="2" t="s">
        <v>462</v>
      </c>
    </row>
    <row r="6158" customFormat="false" ht="15" hidden="false" customHeight="false" outlineLevel="0" collapsed="false">
      <c r="A6158" s="2" t="s">
        <v>445</v>
      </c>
      <c r="B6158" s="2" t="s">
        <v>446</v>
      </c>
      <c r="C6158" s="2" t="s">
        <v>53</v>
      </c>
      <c r="D6158" s="3" t="n">
        <v>46253</v>
      </c>
      <c r="E6158" s="2" t="str">
        <f aca="false">TEXT(D6158,"dddd")</f>
        <v>Wednesday</v>
      </c>
      <c r="F6158" s="2" t="s">
        <v>457</v>
      </c>
      <c r="G6158" s="2" t="s">
        <v>458</v>
      </c>
      <c r="H6158" s="2" t="s">
        <v>459</v>
      </c>
      <c r="I6158" s="2" t="n">
        <f aca="false">IF(F6158="Present",9,IF(F6158="Half Day",4,0))</f>
        <v>9</v>
      </c>
      <c r="J6158" s="2"/>
      <c r="K6158" s="2"/>
    </row>
    <row r="6159" customFormat="false" ht="15" hidden="false" customHeight="false" outlineLevel="0" collapsed="false">
      <c r="A6159" s="2" t="s">
        <v>445</v>
      </c>
      <c r="B6159" s="2" t="s">
        <v>446</v>
      </c>
      <c r="C6159" s="2" t="s">
        <v>53</v>
      </c>
      <c r="D6159" s="3" t="n">
        <v>46254</v>
      </c>
      <c r="E6159" s="2" t="str">
        <f aca="false">TEXT(D6159,"dddd")</f>
        <v>Thursday</v>
      </c>
      <c r="F6159" s="2" t="s">
        <v>457</v>
      </c>
      <c r="G6159" s="2" t="s">
        <v>458</v>
      </c>
      <c r="H6159" s="2" t="s">
        <v>459</v>
      </c>
      <c r="I6159" s="2" t="n">
        <f aca="false">IF(F6159="Present",9,IF(F6159="Half Day",4,0))</f>
        <v>9</v>
      </c>
      <c r="J6159" s="2"/>
      <c r="K6159" s="2"/>
    </row>
    <row r="6160" customFormat="false" ht="15" hidden="false" customHeight="false" outlineLevel="0" collapsed="false">
      <c r="A6160" s="2" t="s">
        <v>445</v>
      </c>
      <c r="B6160" s="2" t="s">
        <v>446</v>
      </c>
      <c r="C6160" s="2" t="s">
        <v>53</v>
      </c>
      <c r="D6160" s="3" t="n">
        <v>46255</v>
      </c>
      <c r="E6160" s="2" t="str">
        <f aca="false">TEXT(D6160,"dddd")</f>
        <v>Friday</v>
      </c>
      <c r="F6160" s="2" t="s">
        <v>466</v>
      </c>
      <c r="G6160" s="2" t="s">
        <v>458</v>
      </c>
      <c r="H6160" s="2" t="s">
        <v>467</v>
      </c>
      <c r="I6160" s="2" t="n">
        <f aca="false">IF(F6160="Present",9,IF(F6160="Half Day",4,0))</f>
        <v>4</v>
      </c>
      <c r="J6160" s="2"/>
      <c r="K6160" s="2" t="s">
        <v>466</v>
      </c>
    </row>
    <row r="6161" customFormat="false" ht="15" hidden="false" customHeight="false" outlineLevel="0" collapsed="false">
      <c r="A6161" s="2" t="s">
        <v>445</v>
      </c>
      <c r="B6161" s="2" t="s">
        <v>446</v>
      </c>
      <c r="C6161" s="2" t="s">
        <v>53</v>
      </c>
      <c r="D6161" s="3" t="n">
        <v>46256</v>
      </c>
      <c r="E6161" s="2" t="str">
        <f aca="false">TEXT(D6161,"dddd")</f>
        <v>Saturday</v>
      </c>
      <c r="F6161" s="2" t="s">
        <v>457</v>
      </c>
      <c r="G6161" s="2" t="s">
        <v>458</v>
      </c>
      <c r="H6161" s="2" t="s">
        <v>459</v>
      </c>
      <c r="I6161" s="2" t="n">
        <f aca="false">IF(F6161="Present",9,IF(F6161="Half Day",4,0))</f>
        <v>9</v>
      </c>
      <c r="J6161" s="2"/>
      <c r="K6161" s="2"/>
    </row>
    <row r="6162" customFormat="false" ht="15" hidden="false" customHeight="false" outlineLevel="0" collapsed="false">
      <c r="A6162" s="2" t="s">
        <v>445</v>
      </c>
      <c r="B6162" s="2" t="s">
        <v>446</v>
      </c>
      <c r="C6162" s="2" t="s">
        <v>53</v>
      </c>
      <c r="D6162" s="3" t="n">
        <v>46257</v>
      </c>
      <c r="E6162" s="2" t="str">
        <f aca="false">TEXT(D6162,"dddd")</f>
        <v>Sunday</v>
      </c>
      <c r="F6162" s="2" t="s">
        <v>460</v>
      </c>
      <c r="G6162" s="2"/>
      <c r="H6162" s="2"/>
      <c r="I6162" s="2" t="n">
        <f aca="false">IF(F6162="Present",9,IF(F6162="Half Day",4,0))</f>
        <v>0</v>
      </c>
      <c r="J6162" s="2"/>
      <c r="K6162" s="2" t="s">
        <v>460</v>
      </c>
    </row>
    <row r="6163" customFormat="false" ht="15" hidden="false" customHeight="false" outlineLevel="0" collapsed="false">
      <c r="A6163" s="2" t="s">
        <v>445</v>
      </c>
      <c r="B6163" s="2" t="s">
        <v>446</v>
      </c>
      <c r="C6163" s="2" t="s">
        <v>53</v>
      </c>
      <c r="D6163" s="3" t="n">
        <v>46258</v>
      </c>
      <c r="E6163" s="2" t="str">
        <f aca="false">TEXT(D6163,"dddd")</f>
        <v>Monday</v>
      </c>
      <c r="F6163" s="2" t="s">
        <v>457</v>
      </c>
      <c r="G6163" s="2" t="s">
        <v>458</v>
      </c>
      <c r="H6163" s="2" t="s">
        <v>459</v>
      </c>
      <c r="I6163" s="2" t="n">
        <f aca="false">IF(F6163="Present",9,IF(F6163="Half Day",4,0))</f>
        <v>9</v>
      </c>
      <c r="J6163" s="2"/>
      <c r="K6163" s="2"/>
    </row>
    <row r="6164" customFormat="false" ht="15" hidden="false" customHeight="false" outlineLevel="0" collapsed="false">
      <c r="A6164" s="2" t="s">
        <v>445</v>
      </c>
      <c r="B6164" s="2" t="s">
        <v>446</v>
      </c>
      <c r="C6164" s="2" t="s">
        <v>53</v>
      </c>
      <c r="D6164" s="3" t="n">
        <v>46259</v>
      </c>
      <c r="E6164" s="2" t="str">
        <f aca="false">TEXT(D6164,"dddd")</f>
        <v>Tuesday</v>
      </c>
      <c r="F6164" s="2" t="s">
        <v>461</v>
      </c>
      <c r="G6164" s="2"/>
      <c r="H6164" s="2"/>
      <c r="I6164" s="2" t="n">
        <f aca="false">IF(F6164="Present",9,IF(F6164="Half Day",4,0))</f>
        <v>0</v>
      </c>
      <c r="J6164" s="2"/>
      <c r="K6164" s="2" t="s">
        <v>462</v>
      </c>
    </row>
    <row r="6165" customFormat="false" ht="15" hidden="false" customHeight="false" outlineLevel="0" collapsed="false">
      <c r="A6165" s="2" t="s">
        <v>445</v>
      </c>
      <c r="B6165" s="2" t="s">
        <v>446</v>
      </c>
      <c r="C6165" s="2" t="s">
        <v>53</v>
      </c>
      <c r="D6165" s="3" t="n">
        <v>46260</v>
      </c>
      <c r="E6165" s="2" t="str">
        <f aca="false">TEXT(D6165,"dddd")</f>
        <v>Wednesday</v>
      </c>
      <c r="F6165" s="2" t="s">
        <v>457</v>
      </c>
      <c r="G6165" s="2" t="s">
        <v>458</v>
      </c>
      <c r="H6165" s="2" t="s">
        <v>459</v>
      </c>
      <c r="I6165" s="2" t="n">
        <f aca="false">IF(F6165="Present",9,IF(F6165="Half Day",4,0))</f>
        <v>9</v>
      </c>
      <c r="J6165" s="2"/>
      <c r="K6165" s="2"/>
    </row>
    <row r="6166" customFormat="false" ht="15" hidden="false" customHeight="false" outlineLevel="0" collapsed="false">
      <c r="A6166" s="2" t="s">
        <v>445</v>
      </c>
      <c r="B6166" s="2" t="s">
        <v>446</v>
      </c>
      <c r="C6166" s="2" t="s">
        <v>53</v>
      </c>
      <c r="D6166" s="3" t="n">
        <v>46261</v>
      </c>
      <c r="E6166" s="2" t="str">
        <f aca="false">TEXT(D6166,"dddd")</f>
        <v>Thursday</v>
      </c>
      <c r="F6166" s="2" t="s">
        <v>461</v>
      </c>
      <c r="G6166" s="2"/>
      <c r="H6166" s="2"/>
      <c r="I6166" s="2" t="n">
        <f aca="false">IF(F6166="Present",9,IF(F6166="Half Day",4,0))</f>
        <v>0</v>
      </c>
      <c r="J6166" s="2"/>
      <c r="K6166" s="2" t="s">
        <v>462</v>
      </c>
    </row>
    <row r="6167" customFormat="false" ht="15" hidden="false" customHeight="false" outlineLevel="0" collapsed="false">
      <c r="A6167" s="2" t="s">
        <v>445</v>
      </c>
      <c r="B6167" s="2" t="s">
        <v>446</v>
      </c>
      <c r="C6167" s="2" t="s">
        <v>53</v>
      </c>
      <c r="D6167" s="3" t="n">
        <v>46262</v>
      </c>
      <c r="E6167" s="2" t="str">
        <f aca="false">TEXT(D6167,"dddd")</f>
        <v>Friday</v>
      </c>
      <c r="F6167" s="2" t="s">
        <v>457</v>
      </c>
      <c r="G6167" s="2" t="s">
        <v>458</v>
      </c>
      <c r="H6167" s="2" t="s">
        <v>459</v>
      </c>
      <c r="I6167" s="2" t="n">
        <f aca="false">IF(F6167="Present",9,IF(F6167="Half Day",4,0))</f>
        <v>9</v>
      </c>
      <c r="J6167" s="2"/>
      <c r="K6167" s="2"/>
    </row>
    <row r="6168" customFormat="false" ht="15" hidden="false" customHeight="false" outlineLevel="0" collapsed="false">
      <c r="A6168" s="2" t="s">
        <v>445</v>
      </c>
      <c r="B6168" s="2" t="s">
        <v>446</v>
      </c>
      <c r="C6168" s="2" t="s">
        <v>53</v>
      </c>
      <c r="D6168" s="3" t="n">
        <v>46263</v>
      </c>
      <c r="E6168" s="2" t="str">
        <f aca="false">TEXT(D6168,"dddd")</f>
        <v>Saturday</v>
      </c>
      <c r="F6168" s="2" t="s">
        <v>457</v>
      </c>
      <c r="G6168" s="2" t="s">
        <v>458</v>
      </c>
      <c r="H6168" s="2" t="s">
        <v>459</v>
      </c>
      <c r="I6168" s="2" t="n">
        <f aca="false">IF(F6168="Present",9,IF(F6168="Half Day",4,0))</f>
        <v>9</v>
      </c>
      <c r="J6168" s="2"/>
      <c r="K6168" s="2"/>
    </row>
    <row r="6169" customFormat="false" ht="15" hidden="false" customHeight="false" outlineLevel="0" collapsed="false">
      <c r="A6169" s="2" t="s">
        <v>445</v>
      </c>
      <c r="B6169" s="2" t="s">
        <v>446</v>
      </c>
      <c r="C6169" s="2" t="s">
        <v>53</v>
      </c>
      <c r="D6169" s="3" t="n">
        <v>46264</v>
      </c>
      <c r="E6169" s="2" t="str">
        <f aca="false">TEXT(D6169,"dddd")</f>
        <v>Sunday</v>
      </c>
      <c r="F6169" s="2" t="s">
        <v>460</v>
      </c>
      <c r="G6169" s="2"/>
      <c r="H6169" s="2"/>
      <c r="I6169" s="2" t="n">
        <f aca="false">IF(F6169="Present",9,IF(F6169="Half Day",4,0))</f>
        <v>0</v>
      </c>
      <c r="J6169" s="2"/>
      <c r="K6169" s="2" t="s">
        <v>460</v>
      </c>
    </row>
    <row r="6170" customFormat="false" ht="15" hidden="false" customHeight="false" outlineLevel="0" collapsed="false">
      <c r="A6170" s="2" t="s">
        <v>445</v>
      </c>
      <c r="B6170" s="2" t="s">
        <v>446</v>
      </c>
      <c r="C6170" s="2" t="s">
        <v>53</v>
      </c>
      <c r="D6170" s="3" t="n">
        <v>46265</v>
      </c>
      <c r="E6170" s="2" t="str">
        <f aca="false">TEXT(D6170,"dddd")</f>
        <v>Monday</v>
      </c>
      <c r="F6170" s="2" t="s">
        <v>457</v>
      </c>
      <c r="G6170" s="2" t="s">
        <v>458</v>
      </c>
      <c r="H6170" s="2" t="s">
        <v>459</v>
      </c>
      <c r="I6170" s="2" t="n">
        <f aca="false">IF(F6170="Present",9,IF(F6170="Half Day",4,0))</f>
        <v>9</v>
      </c>
      <c r="J6170" s="2"/>
      <c r="K6170" s="2"/>
    </row>
    <row r="6171" customFormat="false" ht="15" hidden="false" customHeight="false" outlineLevel="0" collapsed="false">
      <c r="A6171" s="2" t="s">
        <v>447</v>
      </c>
      <c r="B6171" s="2" t="s">
        <v>448</v>
      </c>
      <c r="C6171" s="2" t="s">
        <v>57</v>
      </c>
      <c r="D6171" s="3" t="n">
        <v>46235</v>
      </c>
      <c r="E6171" s="2" t="str">
        <f aca="false">TEXT(D6171,"dddd")</f>
        <v>Saturday</v>
      </c>
      <c r="F6171" s="2" t="s">
        <v>457</v>
      </c>
      <c r="G6171" s="2" t="s">
        <v>458</v>
      </c>
      <c r="H6171" s="2" t="s">
        <v>459</v>
      </c>
      <c r="I6171" s="2" t="n">
        <f aca="false">IF(F6171="Present",9,IF(F6171="Half Day",4,0))</f>
        <v>9</v>
      </c>
      <c r="J6171" s="2"/>
      <c r="K6171" s="2"/>
    </row>
    <row r="6172" customFormat="false" ht="15" hidden="false" customHeight="false" outlineLevel="0" collapsed="false">
      <c r="A6172" s="2" t="s">
        <v>447</v>
      </c>
      <c r="B6172" s="2" t="s">
        <v>448</v>
      </c>
      <c r="C6172" s="2" t="s">
        <v>57</v>
      </c>
      <c r="D6172" s="3" t="n">
        <v>46236</v>
      </c>
      <c r="E6172" s="2" t="str">
        <f aca="false">TEXT(D6172,"dddd")</f>
        <v>Sunday</v>
      </c>
      <c r="F6172" s="2" t="s">
        <v>460</v>
      </c>
      <c r="G6172" s="2"/>
      <c r="H6172" s="2"/>
      <c r="I6172" s="2" t="n">
        <f aca="false">IF(F6172="Present",9,IF(F6172="Half Day",4,0))</f>
        <v>0</v>
      </c>
      <c r="J6172" s="2"/>
      <c r="K6172" s="2" t="s">
        <v>460</v>
      </c>
    </row>
    <row r="6173" customFormat="false" ht="15" hidden="false" customHeight="false" outlineLevel="0" collapsed="false">
      <c r="A6173" s="2" t="s">
        <v>447</v>
      </c>
      <c r="B6173" s="2" t="s">
        <v>448</v>
      </c>
      <c r="C6173" s="2" t="s">
        <v>57</v>
      </c>
      <c r="D6173" s="3" t="n">
        <v>46237</v>
      </c>
      <c r="E6173" s="2" t="str">
        <f aca="false">TEXT(D6173,"dddd")</f>
        <v>Monday</v>
      </c>
      <c r="F6173" s="2" t="s">
        <v>466</v>
      </c>
      <c r="G6173" s="2" t="s">
        <v>458</v>
      </c>
      <c r="H6173" s="2" t="s">
        <v>467</v>
      </c>
      <c r="I6173" s="2" t="n">
        <f aca="false">IF(F6173="Present",9,IF(F6173="Half Day",4,0))</f>
        <v>4</v>
      </c>
      <c r="J6173" s="2"/>
      <c r="K6173" s="2" t="s">
        <v>466</v>
      </c>
    </row>
    <row r="6174" customFormat="false" ht="15" hidden="false" customHeight="false" outlineLevel="0" collapsed="false">
      <c r="A6174" s="2" t="s">
        <v>447</v>
      </c>
      <c r="B6174" s="2" t="s">
        <v>448</v>
      </c>
      <c r="C6174" s="2" t="s">
        <v>57</v>
      </c>
      <c r="D6174" s="3" t="n">
        <v>46238</v>
      </c>
      <c r="E6174" s="2" t="str">
        <f aca="false">TEXT(D6174,"dddd")</f>
        <v>Tuesday</v>
      </c>
      <c r="F6174" s="2" t="s">
        <v>457</v>
      </c>
      <c r="G6174" s="2" t="s">
        <v>458</v>
      </c>
      <c r="H6174" s="2" t="s">
        <v>459</v>
      </c>
      <c r="I6174" s="2" t="n">
        <f aca="false">IF(F6174="Present",9,IF(F6174="Half Day",4,0))</f>
        <v>9</v>
      </c>
      <c r="J6174" s="2"/>
      <c r="K6174" s="2"/>
    </row>
    <row r="6175" customFormat="false" ht="15" hidden="false" customHeight="false" outlineLevel="0" collapsed="false">
      <c r="A6175" s="2" t="s">
        <v>447</v>
      </c>
      <c r="B6175" s="2" t="s">
        <v>448</v>
      </c>
      <c r="C6175" s="2" t="s">
        <v>57</v>
      </c>
      <c r="D6175" s="3" t="n">
        <v>46239</v>
      </c>
      <c r="E6175" s="2" t="str">
        <f aca="false">TEXT(D6175,"dddd")</f>
        <v>Wednesday</v>
      </c>
      <c r="F6175" s="2" t="s">
        <v>457</v>
      </c>
      <c r="G6175" s="2" t="s">
        <v>458</v>
      </c>
      <c r="H6175" s="2" t="s">
        <v>459</v>
      </c>
      <c r="I6175" s="2" t="n">
        <f aca="false">IF(F6175="Present",9,IF(F6175="Half Day",4,0))</f>
        <v>9</v>
      </c>
      <c r="J6175" s="2"/>
      <c r="K6175" s="2"/>
    </row>
    <row r="6176" customFormat="false" ht="15" hidden="false" customHeight="false" outlineLevel="0" collapsed="false">
      <c r="A6176" s="2" t="s">
        <v>447</v>
      </c>
      <c r="B6176" s="2" t="s">
        <v>448</v>
      </c>
      <c r="C6176" s="2" t="s">
        <v>57</v>
      </c>
      <c r="D6176" s="3" t="n">
        <v>46240</v>
      </c>
      <c r="E6176" s="2" t="str">
        <f aca="false">TEXT(D6176,"dddd")</f>
        <v>Thursday</v>
      </c>
      <c r="F6176" s="2" t="s">
        <v>457</v>
      </c>
      <c r="G6176" s="2" t="s">
        <v>458</v>
      </c>
      <c r="H6176" s="2" t="s">
        <v>459</v>
      </c>
      <c r="I6176" s="2" t="n">
        <f aca="false">IF(F6176="Present",9,IF(F6176="Half Day",4,0))</f>
        <v>9</v>
      </c>
      <c r="J6176" s="2"/>
      <c r="K6176" s="2"/>
    </row>
    <row r="6177" customFormat="false" ht="15" hidden="false" customHeight="false" outlineLevel="0" collapsed="false">
      <c r="A6177" s="2" t="s">
        <v>447</v>
      </c>
      <c r="B6177" s="2" t="s">
        <v>448</v>
      </c>
      <c r="C6177" s="2" t="s">
        <v>57</v>
      </c>
      <c r="D6177" s="3" t="n">
        <v>46241</v>
      </c>
      <c r="E6177" s="2" t="str">
        <f aca="false">TEXT(D6177,"dddd")</f>
        <v>Friday</v>
      </c>
      <c r="F6177" s="2" t="s">
        <v>457</v>
      </c>
      <c r="G6177" s="2" t="s">
        <v>458</v>
      </c>
      <c r="H6177" s="2" t="s">
        <v>459</v>
      </c>
      <c r="I6177" s="2" t="n">
        <f aca="false">IF(F6177="Present",9,IF(F6177="Half Day",4,0))</f>
        <v>9</v>
      </c>
      <c r="J6177" s="2"/>
      <c r="K6177" s="2"/>
    </row>
    <row r="6178" customFormat="false" ht="15" hidden="false" customHeight="false" outlineLevel="0" collapsed="false">
      <c r="A6178" s="2" t="s">
        <v>447</v>
      </c>
      <c r="B6178" s="2" t="s">
        <v>448</v>
      </c>
      <c r="C6178" s="2" t="s">
        <v>57</v>
      </c>
      <c r="D6178" s="3" t="n">
        <v>46242</v>
      </c>
      <c r="E6178" s="2" t="str">
        <f aca="false">TEXT(D6178,"dddd")</f>
        <v>Saturday</v>
      </c>
      <c r="F6178" s="2" t="s">
        <v>457</v>
      </c>
      <c r="G6178" s="2" t="s">
        <v>458</v>
      </c>
      <c r="H6178" s="2" t="s">
        <v>459</v>
      </c>
      <c r="I6178" s="2" t="n">
        <f aca="false">IF(F6178="Present",9,IF(F6178="Half Day",4,0))</f>
        <v>9</v>
      </c>
      <c r="J6178" s="2"/>
      <c r="K6178" s="2"/>
    </row>
    <row r="6179" customFormat="false" ht="15" hidden="false" customHeight="false" outlineLevel="0" collapsed="false">
      <c r="A6179" s="2" t="s">
        <v>447</v>
      </c>
      <c r="B6179" s="2" t="s">
        <v>448</v>
      </c>
      <c r="C6179" s="2" t="s">
        <v>57</v>
      </c>
      <c r="D6179" s="3" t="n">
        <v>46243</v>
      </c>
      <c r="E6179" s="2" t="str">
        <f aca="false">TEXT(D6179,"dddd")</f>
        <v>Sunday</v>
      </c>
      <c r="F6179" s="2" t="s">
        <v>460</v>
      </c>
      <c r="G6179" s="2"/>
      <c r="H6179" s="2"/>
      <c r="I6179" s="2" t="n">
        <f aca="false">IF(F6179="Present",9,IF(F6179="Half Day",4,0))</f>
        <v>0</v>
      </c>
      <c r="J6179" s="2"/>
      <c r="K6179" s="2" t="s">
        <v>460</v>
      </c>
    </row>
    <row r="6180" customFormat="false" ht="15" hidden="false" customHeight="false" outlineLevel="0" collapsed="false">
      <c r="A6180" s="2" t="s">
        <v>447</v>
      </c>
      <c r="B6180" s="2" t="s">
        <v>448</v>
      </c>
      <c r="C6180" s="2" t="s">
        <v>57</v>
      </c>
      <c r="D6180" s="3" t="n">
        <v>46244</v>
      </c>
      <c r="E6180" s="2" t="str">
        <f aca="false">TEXT(D6180,"dddd")</f>
        <v>Monday</v>
      </c>
      <c r="F6180" s="2" t="s">
        <v>457</v>
      </c>
      <c r="G6180" s="2" t="s">
        <v>458</v>
      </c>
      <c r="H6180" s="2" t="s">
        <v>459</v>
      </c>
      <c r="I6180" s="2" t="n">
        <f aca="false">IF(F6180="Present",9,IF(F6180="Half Day",4,0))</f>
        <v>9</v>
      </c>
      <c r="J6180" s="2"/>
      <c r="K6180" s="2"/>
    </row>
    <row r="6181" customFormat="false" ht="15" hidden="false" customHeight="false" outlineLevel="0" collapsed="false">
      <c r="A6181" s="2" t="s">
        <v>447</v>
      </c>
      <c r="B6181" s="2" t="s">
        <v>448</v>
      </c>
      <c r="C6181" s="2" t="s">
        <v>57</v>
      </c>
      <c r="D6181" s="3" t="n">
        <v>46245</v>
      </c>
      <c r="E6181" s="2" t="str">
        <f aca="false">TEXT(D6181,"dddd")</f>
        <v>Tuesday</v>
      </c>
      <c r="F6181" s="2" t="s">
        <v>457</v>
      </c>
      <c r="G6181" s="2" t="s">
        <v>458</v>
      </c>
      <c r="H6181" s="2" t="s">
        <v>459</v>
      </c>
      <c r="I6181" s="2" t="n">
        <f aca="false">IF(F6181="Present",9,IF(F6181="Half Day",4,0))</f>
        <v>9</v>
      </c>
      <c r="J6181" s="2"/>
      <c r="K6181" s="2"/>
    </row>
    <row r="6182" customFormat="false" ht="15" hidden="false" customHeight="false" outlineLevel="0" collapsed="false">
      <c r="A6182" s="2" t="s">
        <v>447</v>
      </c>
      <c r="B6182" s="2" t="s">
        <v>448</v>
      </c>
      <c r="C6182" s="2" t="s">
        <v>57</v>
      </c>
      <c r="D6182" s="3" t="n">
        <v>46246</v>
      </c>
      <c r="E6182" s="2" t="str">
        <f aca="false">TEXT(D6182,"dddd")</f>
        <v>Wednesday</v>
      </c>
      <c r="F6182" s="2" t="s">
        <v>466</v>
      </c>
      <c r="G6182" s="2" t="s">
        <v>458</v>
      </c>
      <c r="H6182" s="2" t="s">
        <v>467</v>
      </c>
      <c r="I6182" s="2" t="n">
        <f aca="false">IF(F6182="Present",9,IF(F6182="Half Day",4,0))</f>
        <v>4</v>
      </c>
      <c r="J6182" s="2"/>
      <c r="K6182" s="2" t="s">
        <v>466</v>
      </c>
    </row>
    <row r="6183" customFormat="false" ht="15" hidden="false" customHeight="false" outlineLevel="0" collapsed="false">
      <c r="A6183" s="2" t="s">
        <v>447</v>
      </c>
      <c r="B6183" s="2" t="s">
        <v>448</v>
      </c>
      <c r="C6183" s="2" t="s">
        <v>57</v>
      </c>
      <c r="D6183" s="3" t="n">
        <v>46247</v>
      </c>
      <c r="E6183" s="2" t="str">
        <f aca="false">TEXT(D6183,"dddd")</f>
        <v>Thursday</v>
      </c>
      <c r="F6183" s="2" t="s">
        <v>463</v>
      </c>
      <c r="G6183" s="2"/>
      <c r="H6183" s="2"/>
      <c r="I6183" s="2" t="n">
        <f aca="false">IF(F6183="Present",9,IF(F6183="Half Day",4,0))</f>
        <v>0</v>
      </c>
      <c r="J6183" s="2" t="s">
        <v>468</v>
      </c>
      <c r="K6183" s="2" t="s">
        <v>469</v>
      </c>
    </row>
    <row r="6184" customFormat="false" ht="15" hidden="false" customHeight="false" outlineLevel="0" collapsed="false">
      <c r="A6184" s="2" t="s">
        <v>447</v>
      </c>
      <c r="B6184" s="2" t="s">
        <v>448</v>
      </c>
      <c r="C6184" s="2" t="s">
        <v>57</v>
      </c>
      <c r="D6184" s="3" t="n">
        <v>46248</v>
      </c>
      <c r="E6184" s="2" t="str">
        <f aca="false">TEXT(D6184,"dddd")</f>
        <v>Friday</v>
      </c>
      <c r="F6184" s="2" t="s">
        <v>457</v>
      </c>
      <c r="G6184" s="2" t="s">
        <v>458</v>
      </c>
      <c r="H6184" s="2" t="s">
        <v>459</v>
      </c>
      <c r="I6184" s="2" t="n">
        <f aca="false">IF(F6184="Present",9,IF(F6184="Half Day",4,0))</f>
        <v>9</v>
      </c>
      <c r="J6184" s="2"/>
      <c r="K6184" s="2"/>
    </row>
    <row r="6185" customFormat="false" ht="15" hidden="false" customHeight="false" outlineLevel="0" collapsed="false">
      <c r="A6185" s="2" t="s">
        <v>447</v>
      </c>
      <c r="B6185" s="2" t="s">
        <v>448</v>
      </c>
      <c r="C6185" s="2" t="s">
        <v>57</v>
      </c>
      <c r="D6185" s="3" t="n">
        <v>46249</v>
      </c>
      <c r="E6185" s="2" t="str">
        <f aca="false">TEXT(D6185,"dddd")</f>
        <v>Saturday</v>
      </c>
      <c r="F6185" s="2" t="s">
        <v>457</v>
      </c>
      <c r="G6185" s="2" t="s">
        <v>458</v>
      </c>
      <c r="H6185" s="2" t="s">
        <v>459</v>
      </c>
      <c r="I6185" s="2" t="n">
        <f aca="false">IF(F6185="Present",9,IF(F6185="Half Day",4,0))</f>
        <v>9</v>
      </c>
      <c r="J6185" s="2"/>
      <c r="K6185" s="2"/>
    </row>
    <row r="6186" customFormat="false" ht="15" hidden="false" customHeight="false" outlineLevel="0" collapsed="false">
      <c r="A6186" s="2" t="s">
        <v>447</v>
      </c>
      <c r="B6186" s="2" t="s">
        <v>448</v>
      </c>
      <c r="C6186" s="2" t="s">
        <v>57</v>
      </c>
      <c r="D6186" s="3" t="n">
        <v>46250</v>
      </c>
      <c r="E6186" s="2" t="str">
        <f aca="false">TEXT(D6186,"dddd")</f>
        <v>Sunday</v>
      </c>
      <c r="F6186" s="2" t="s">
        <v>460</v>
      </c>
      <c r="G6186" s="2"/>
      <c r="H6186" s="2"/>
      <c r="I6186" s="2" t="n">
        <f aca="false">IF(F6186="Present",9,IF(F6186="Half Day",4,0))</f>
        <v>0</v>
      </c>
      <c r="J6186" s="2"/>
      <c r="K6186" s="2" t="s">
        <v>460</v>
      </c>
    </row>
    <row r="6187" customFormat="false" ht="15" hidden="false" customHeight="false" outlineLevel="0" collapsed="false">
      <c r="A6187" s="2" t="s">
        <v>447</v>
      </c>
      <c r="B6187" s="2" t="s">
        <v>448</v>
      </c>
      <c r="C6187" s="2" t="s">
        <v>57</v>
      </c>
      <c r="D6187" s="3" t="n">
        <v>46251</v>
      </c>
      <c r="E6187" s="2" t="str">
        <f aca="false">TEXT(D6187,"dddd")</f>
        <v>Monday</v>
      </c>
      <c r="F6187" s="2" t="s">
        <v>457</v>
      </c>
      <c r="G6187" s="2" t="s">
        <v>458</v>
      </c>
      <c r="H6187" s="2" t="s">
        <v>459</v>
      </c>
      <c r="I6187" s="2" t="n">
        <f aca="false">IF(F6187="Present",9,IF(F6187="Half Day",4,0))</f>
        <v>9</v>
      </c>
      <c r="J6187" s="2"/>
      <c r="K6187" s="2"/>
    </row>
    <row r="6188" customFormat="false" ht="15" hidden="false" customHeight="false" outlineLevel="0" collapsed="false">
      <c r="A6188" s="2" t="s">
        <v>447</v>
      </c>
      <c r="B6188" s="2" t="s">
        <v>448</v>
      </c>
      <c r="C6188" s="2" t="s">
        <v>57</v>
      </c>
      <c r="D6188" s="3" t="n">
        <v>46252</v>
      </c>
      <c r="E6188" s="2" t="str">
        <f aca="false">TEXT(D6188,"dddd")</f>
        <v>Tuesday</v>
      </c>
      <c r="F6188" s="2" t="s">
        <v>457</v>
      </c>
      <c r="G6188" s="2" t="s">
        <v>458</v>
      </c>
      <c r="H6188" s="2" t="s">
        <v>459</v>
      </c>
      <c r="I6188" s="2" t="n">
        <f aca="false">IF(F6188="Present",9,IF(F6188="Half Day",4,0))</f>
        <v>9</v>
      </c>
      <c r="J6188" s="2"/>
      <c r="K6188" s="2"/>
    </row>
    <row r="6189" customFormat="false" ht="15" hidden="false" customHeight="false" outlineLevel="0" collapsed="false">
      <c r="A6189" s="2" t="s">
        <v>447</v>
      </c>
      <c r="B6189" s="2" t="s">
        <v>448</v>
      </c>
      <c r="C6189" s="2" t="s">
        <v>57</v>
      </c>
      <c r="D6189" s="3" t="n">
        <v>46253</v>
      </c>
      <c r="E6189" s="2" t="str">
        <f aca="false">TEXT(D6189,"dddd")</f>
        <v>Wednesday</v>
      </c>
      <c r="F6189" s="2" t="s">
        <v>457</v>
      </c>
      <c r="G6189" s="2" t="s">
        <v>458</v>
      </c>
      <c r="H6189" s="2" t="s">
        <v>459</v>
      </c>
      <c r="I6189" s="2" t="n">
        <f aca="false">IF(F6189="Present",9,IF(F6189="Half Day",4,0))</f>
        <v>9</v>
      </c>
      <c r="J6189" s="2"/>
      <c r="K6189" s="2"/>
    </row>
    <row r="6190" customFormat="false" ht="15" hidden="false" customHeight="false" outlineLevel="0" collapsed="false">
      <c r="A6190" s="2" t="s">
        <v>447</v>
      </c>
      <c r="B6190" s="2" t="s">
        <v>448</v>
      </c>
      <c r="C6190" s="2" t="s">
        <v>57</v>
      </c>
      <c r="D6190" s="3" t="n">
        <v>46254</v>
      </c>
      <c r="E6190" s="2" t="str">
        <f aca="false">TEXT(D6190,"dddd")</f>
        <v>Thursday</v>
      </c>
      <c r="F6190" s="2" t="s">
        <v>457</v>
      </c>
      <c r="G6190" s="2" t="s">
        <v>458</v>
      </c>
      <c r="H6190" s="2" t="s">
        <v>459</v>
      </c>
      <c r="I6190" s="2" t="n">
        <f aca="false">IF(F6190="Present",9,IF(F6190="Half Day",4,0))</f>
        <v>9</v>
      </c>
      <c r="J6190" s="2"/>
      <c r="K6190" s="2"/>
    </row>
    <row r="6191" customFormat="false" ht="15" hidden="false" customHeight="false" outlineLevel="0" collapsed="false">
      <c r="A6191" s="2" t="s">
        <v>447</v>
      </c>
      <c r="B6191" s="2" t="s">
        <v>448</v>
      </c>
      <c r="C6191" s="2" t="s">
        <v>57</v>
      </c>
      <c r="D6191" s="3" t="n">
        <v>46255</v>
      </c>
      <c r="E6191" s="2" t="str">
        <f aca="false">TEXT(D6191,"dddd")</f>
        <v>Friday</v>
      </c>
      <c r="F6191" s="2" t="s">
        <v>457</v>
      </c>
      <c r="G6191" s="2" t="s">
        <v>458</v>
      </c>
      <c r="H6191" s="2" t="s">
        <v>459</v>
      </c>
      <c r="I6191" s="2" t="n">
        <f aca="false">IF(F6191="Present",9,IF(F6191="Half Day",4,0))</f>
        <v>9</v>
      </c>
      <c r="J6191" s="2"/>
      <c r="K6191" s="2"/>
    </row>
    <row r="6192" customFormat="false" ht="15" hidden="false" customHeight="false" outlineLevel="0" collapsed="false">
      <c r="A6192" s="2" t="s">
        <v>447</v>
      </c>
      <c r="B6192" s="2" t="s">
        <v>448</v>
      </c>
      <c r="C6192" s="2" t="s">
        <v>57</v>
      </c>
      <c r="D6192" s="3" t="n">
        <v>46256</v>
      </c>
      <c r="E6192" s="2" t="str">
        <f aca="false">TEXT(D6192,"dddd")</f>
        <v>Saturday</v>
      </c>
      <c r="F6192" s="2" t="s">
        <v>457</v>
      </c>
      <c r="G6192" s="2" t="s">
        <v>458</v>
      </c>
      <c r="H6192" s="2" t="s">
        <v>459</v>
      </c>
      <c r="I6192" s="2" t="n">
        <f aca="false">IF(F6192="Present",9,IF(F6192="Half Day",4,0))</f>
        <v>9</v>
      </c>
      <c r="J6192" s="2"/>
      <c r="K6192" s="2"/>
    </row>
    <row r="6193" customFormat="false" ht="15" hidden="false" customHeight="false" outlineLevel="0" collapsed="false">
      <c r="A6193" s="2" t="s">
        <v>447</v>
      </c>
      <c r="B6193" s="2" t="s">
        <v>448</v>
      </c>
      <c r="C6193" s="2" t="s">
        <v>57</v>
      </c>
      <c r="D6193" s="3" t="n">
        <v>46257</v>
      </c>
      <c r="E6193" s="2" t="str">
        <f aca="false">TEXT(D6193,"dddd")</f>
        <v>Sunday</v>
      </c>
      <c r="F6193" s="2" t="s">
        <v>460</v>
      </c>
      <c r="G6193" s="2"/>
      <c r="H6193" s="2"/>
      <c r="I6193" s="2" t="n">
        <f aca="false">IF(F6193="Present",9,IF(F6193="Half Day",4,0))</f>
        <v>0</v>
      </c>
      <c r="J6193" s="2"/>
      <c r="K6193" s="2" t="s">
        <v>460</v>
      </c>
    </row>
    <row r="6194" customFormat="false" ht="15" hidden="false" customHeight="false" outlineLevel="0" collapsed="false">
      <c r="A6194" s="2" t="s">
        <v>447</v>
      </c>
      <c r="B6194" s="2" t="s">
        <v>448</v>
      </c>
      <c r="C6194" s="2" t="s">
        <v>57</v>
      </c>
      <c r="D6194" s="3" t="n">
        <v>46258</v>
      </c>
      <c r="E6194" s="2" t="str">
        <f aca="false">TEXT(D6194,"dddd")</f>
        <v>Monday</v>
      </c>
      <c r="F6194" s="2" t="s">
        <v>457</v>
      </c>
      <c r="G6194" s="2" t="s">
        <v>458</v>
      </c>
      <c r="H6194" s="2" t="s">
        <v>459</v>
      </c>
      <c r="I6194" s="2" t="n">
        <f aca="false">IF(F6194="Present",9,IF(F6194="Half Day",4,0))</f>
        <v>9</v>
      </c>
      <c r="J6194" s="2"/>
      <c r="K6194" s="2"/>
    </row>
    <row r="6195" customFormat="false" ht="15" hidden="false" customHeight="false" outlineLevel="0" collapsed="false">
      <c r="A6195" s="2" t="s">
        <v>447</v>
      </c>
      <c r="B6195" s="2" t="s">
        <v>448</v>
      </c>
      <c r="C6195" s="2" t="s">
        <v>57</v>
      </c>
      <c r="D6195" s="3" t="n">
        <v>46259</v>
      </c>
      <c r="E6195" s="2" t="str">
        <f aca="false">TEXT(D6195,"dddd")</f>
        <v>Tuesday</v>
      </c>
      <c r="F6195" s="2" t="s">
        <v>461</v>
      </c>
      <c r="G6195" s="2"/>
      <c r="H6195" s="2"/>
      <c r="I6195" s="2" t="n">
        <f aca="false">IF(F6195="Present",9,IF(F6195="Half Day",4,0))</f>
        <v>0</v>
      </c>
      <c r="J6195" s="2"/>
      <c r="K6195" s="2" t="s">
        <v>462</v>
      </c>
    </row>
    <row r="6196" customFormat="false" ht="15" hidden="false" customHeight="false" outlineLevel="0" collapsed="false">
      <c r="A6196" s="2" t="s">
        <v>447</v>
      </c>
      <c r="B6196" s="2" t="s">
        <v>448</v>
      </c>
      <c r="C6196" s="2" t="s">
        <v>57</v>
      </c>
      <c r="D6196" s="3" t="n">
        <v>46260</v>
      </c>
      <c r="E6196" s="2" t="str">
        <f aca="false">TEXT(D6196,"dddd")</f>
        <v>Wednesday</v>
      </c>
      <c r="F6196" s="2" t="s">
        <v>457</v>
      </c>
      <c r="G6196" s="2" t="s">
        <v>458</v>
      </c>
      <c r="H6196" s="2" t="s">
        <v>459</v>
      </c>
      <c r="I6196" s="2" t="n">
        <f aca="false">IF(F6196="Present",9,IF(F6196="Half Day",4,0))</f>
        <v>9</v>
      </c>
      <c r="J6196" s="2"/>
      <c r="K6196" s="2"/>
    </row>
    <row r="6197" customFormat="false" ht="15" hidden="false" customHeight="false" outlineLevel="0" collapsed="false">
      <c r="A6197" s="2" t="s">
        <v>447</v>
      </c>
      <c r="B6197" s="2" t="s">
        <v>448</v>
      </c>
      <c r="C6197" s="2" t="s">
        <v>57</v>
      </c>
      <c r="D6197" s="3" t="n">
        <v>46261</v>
      </c>
      <c r="E6197" s="2" t="str">
        <f aca="false">TEXT(D6197,"dddd")</f>
        <v>Thursday</v>
      </c>
      <c r="F6197" s="2" t="s">
        <v>461</v>
      </c>
      <c r="G6197" s="2"/>
      <c r="H6197" s="2"/>
      <c r="I6197" s="2" t="n">
        <f aca="false">IF(F6197="Present",9,IF(F6197="Half Day",4,0))</f>
        <v>0</v>
      </c>
      <c r="J6197" s="2"/>
      <c r="K6197" s="2" t="s">
        <v>462</v>
      </c>
    </row>
    <row r="6198" customFormat="false" ht="15" hidden="false" customHeight="false" outlineLevel="0" collapsed="false">
      <c r="A6198" s="2" t="s">
        <v>447</v>
      </c>
      <c r="B6198" s="2" t="s">
        <v>448</v>
      </c>
      <c r="C6198" s="2" t="s">
        <v>57</v>
      </c>
      <c r="D6198" s="3" t="n">
        <v>46262</v>
      </c>
      <c r="E6198" s="2" t="str">
        <f aca="false">TEXT(D6198,"dddd")</f>
        <v>Friday</v>
      </c>
      <c r="F6198" s="2" t="s">
        <v>457</v>
      </c>
      <c r="G6198" s="2" t="s">
        <v>458</v>
      </c>
      <c r="H6198" s="2" t="s">
        <v>459</v>
      </c>
      <c r="I6198" s="2" t="n">
        <f aca="false">IF(F6198="Present",9,IF(F6198="Half Day",4,0))</f>
        <v>9</v>
      </c>
      <c r="J6198" s="2"/>
      <c r="K6198" s="2"/>
    </row>
    <row r="6199" customFormat="false" ht="15" hidden="false" customHeight="false" outlineLevel="0" collapsed="false">
      <c r="A6199" s="2" t="s">
        <v>447</v>
      </c>
      <c r="B6199" s="2" t="s">
        <v>448</v>
      </c>
      <c r="C6199" s="2" t="s">
        <v>57</v>
      </c>
      <c r="D6199" s="3" t="n">
        <v>46263</v>
      </c>
      <c r="E6199" s="2" t="str">
        <f aca="false">TEXT(D6199,"dddd")</f>
        <v>Saturday</v>
      </c>
      <c r="F6199" s="2" t="s">
        <v>457</v>
      </c>
      <c r="G6199" s="2" t="s">
        <v>458</v>
      </c>
      <c r="H6199" s="2" t="s">
        <v>459</v>
      </c>
      <c r="I6199" s="2" t="n">
        <f aca="false">IF(F6199="Present",9,IF(F6199="Half Day",4,0))</f>
        <v>9</v>
      </c>
      <c r="J6199" s="2"/>
      <c r="K6199" s="2"/>
    </row>
    <row r="6200" customFormat="false" ht="15" hidden="false" customHeight="false" outlineLevel="0" collapsed="false">
      <c r="A6200" s="2" t="s">
        <v>447</v>
      </c>
      <c r="B6200" s="2" t="s">
        <v>448</v>
      </c>
      <c r="C6200" s="2" t="s">
        <v>57</v>
      </c>
      <c r="D6200" s="3" t="n">
        <v>46264</v>
      </c>
      <c r="E6200" s="2" t="str">
        <f aca="false">TEXT(D6200,"dddd")</f>
        <v>Sunday</v>
      </c>
      <c r="F6200" s="2" t="s">
        <v>460</v>
      </c>
      <c r="G6200" s="2"/>
      <c r="H6200" s="2"/>
      <c r="I6200" s="2" t="n">
        <f aca="false">IF(F6200="Present",9,IF(F6200="Half Day",4,0))</f>
        <v>0</v>
      </c>
      <c r="J6200" s="2"/>
      <c r="K6200" s="2" t="s">
        <v>460</v>
      </c>
    </row>
    <row r="6201" customFormat="false" ht="15" hidden="false" customHeight="false" outlineLevel="0" collapsed="false">
      <c r="A6201" s="2" t="s">
        <v>447</v>
      </c>
      <c r="B6201" s="2" t="s">
        <v>448</v>
      </c>
      <c r="C6201" s="2" t="s">
        <v>57</v>
      </c>
      <c r="D6201" s="3" t="n">
        <v>46265</v>
      </c>
      <c r="E6201" s="2" t="str">
        <f aca="false">TEXT(D6201,"dddd")</f>
        <v>Monday</v>
      </c>
      <c r="F6201" s="2" t="s">
        <v>457</v>
      </c>
      <c r="G6201" s="2" t="s">
        <v>458</v>
      </c>
      <c r="H6201" s="2" t="s">
        <v>459</v>
      </c>
      <c r="I6201" s="2" t="n">
        <f aca="false">IF(F6201="Present",9,IF(F6201="Half Day",4,0))</f>
        <v>9</v>
      </c>
      <c r="J6201" s="2"/>
      <c r="K620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6"/>
  </cols>
  <sheetData>
    <row r="1" customFormat="false" ht="15" hidden="false" customHeight="false" outlineLevel="0" collapsed="false">
      <c r="A1" s="1" t="s">
        <v>476</v>
      </c>
      <c r="B1" s="1" t="s">
        <v>0</v>
      </c>
      <c r="C1" s="1" t="s">
        <v>1</v>
      </c>
      <c r="D1" s="1" t="s">
        <v>477</v>
      </c>
      <c r="E1" s="1" t="s">
        <v>455</v>
      </c>
      <c r="F1" s="1" t="s">
        <v>478</v>
      </c>
      <c r="G1" s="1" t="s">
        <v>479</v>
      </c>
      <c r="H1" s="1" t="s">
        <v>480</v>
      </c>
      <c r="I1" s="1" t="s">
        <v>481</v>
      </c>
    </row>
    <row r="2" customFormat="false" ht="15" hidden="false" customHeight="false" outlineLevel="0" collapsed="false">
      <c r="A2" s="2" t="s">
        <v>482</v>
      </c>
      <c r="B2" s="2" t="s">
        <v>26</v>
      </c>
      <c r="C2" s="2" t="s">
        <v>27</v>
      </c>
      <c r="D2" s="3" t="n">
        <v>46251</v>
      </c>
      <c r="E2" s="2" t="s">
        <v>464</v>
      </c>
      <c r="F2" s="2" t="s">
        <v>483</v>
      </c>
      <c r="G2" s="2" t="n">
        <v>1</v>
      </c>
      <c r="H2" s="2" t="s">
        <v>484</v>
      </c>
      <c r="I2" s="2" t="s">
        <v>485</v>
      </c>
    </row>
    <row r="3" customFormat="false" ht="15" hidden="false" customHeight="false" outlineLevel="0" collapsed="false">
      <c r="A3" s="2" t="s">
        <v>486</v>
      </c>
      <c r="B3" s="2" t="s">
        <v>39</v>
      </c>
      <c r="C3" s="2" t="s">
        <v>40</v>
      </c>
      <c r="D3" s="3" t="n">
        <v>46247</v>
      </c>
      <c r="E3" s="2" t="s">
        <v>468</v>
      </c>
      <c r="F3" s="2" t="s">
        <v>487</v>
      </c>
      <c r="G3" s="2" t="n">
        <v>1</v>
      </c>
      <c r="H3" s="2" t="s">
        <v>484</v>
      </c>
      <c r="I3" s="2" t="s">
        <v>488</v>
      </c>
    </row>
    <row r="4" customFormat="false" ht="15" hidden="false" customHeight="false" outlineLevel="0" collapsed="false">
      <c r="A4" s="2" t="s">
        <v>489</v>
      </c>
      <c r="B4" s="2" t="s">
        <v>51</v>
      </c>
      <c r="C4" s="2" t="s">
        <v>52</v>
      </c>
      <c r="D4" s="3" t="n">
        <v>46262</v>
      </c>
      <c r="E4" s="2" t="s">
        <v>470</v>
      </c>
      <c r="F4" s="2" t="s">
        <v>483</v>
      </c>
      <c r="G4" s="2" t="n">
        <v>1</v>
      </c>
      <c r="H4" s="2" t="s">
        <v>490</v>
      </c>
      <c r="I4" s="2" t="s">
        <v>491</v>
      </c>
    </row>
    <row r="5" customFormat="false" ht="15" hidden="false" customHeight="false" outlineLevel="0" collapsed="false">
      <c r="A5" s="2" t="s">
        <v>492</v>
      </c>
      <c r="B5" s="2" t="s">
        <v>55</v>
      </c>
      <c r="C5" s="2" t="s">
        <v>56</v>
      </c>
      <c r="D5" s="3" t="n">
        <v>46259</v>
      </c>
      <c r="E5" s="2" t="s">
        <v>464</v>
      </c>
      <c r="F5" s="2" t="s">
        <v>483</v>
      </c>
      <c r="G5" s="2" t="n">
        <v>1</v>
      </c>
      <c r="H5" s="2" t="s">
        <v>490</v>
      </c>
      <c r="I5" s="2" t="s">
        <v>485</v>
      </c>
    </row>
    <row r="6" customFormat="false" ht="15" hidden="false" customHeight="false" outlineLevel="0" collapsed="false">
      <c r="A6" s="2" t="s">
        <v>493</v>
      </c>
      <c r="B6" s="2" t="s">
        <v>59</v>
      </c>
      <c r="C6" s="2" t="s">
        <v>60</v>
      </c>
      <c r="D6" s="3" t="n">
        <v>46244</v>
      </c>
      <c r="E6" s="2" t="s">
        <v>468</v>
      </c>
      <c r="F6" s="2" t="s">
        <v>487</v>
      </c>
      <c r="G6" s="2" t="n">
        <v>1</v>
      </c>
      <c r="H6" s="2" t="s">
        <v>490</v>
      </c>
      <c r="I6" s="2" t="s">
        <v>488</v>
      </c>
    </row>
    <row r="7" customFormat="false" ht="15" hidden="false" customHeight="false" outlineLevel="0" collapsed="false">
      <c r="A7" s="2" t="s">
        <v>494</v>
      </c>
      <c r="B7" s="2" t="s">
        <v>64</v>
      </c>
      <c r="C7" s="2" t="s">
        <v>65</v>
      </c>
      <c r="D7" s="3" t="n">
        <v>46240</v>
      </c>
      <c r="E7" s="2" t="s">
        <v>472</v>
      </c>
      <c r="F7" s="2" t="s">
        <v>483</v>
      </c>
      <c r="G7" s="2" t="n">
        <v>1</v>
      </c>
      <c r="H7" s="2" t="s">
        <v>490</v>
      </c>
      <c r="I7" s="2" t="s">
        <v>495</v>
      </c>
    </row>
    <row r="8" customFormat="false" ht="15" hidden="false" customHeight="false" outlineLevel="0" collapsed="false">
      <c r="A8" s="2" t="s">
        <v>496</v>
      </c>
      <c r="B8" s="2" t="s">
        <v>64</v>
      </c>
      <c r="C8" s="2" t="s">
        <v>65</v>
      </c>
      <c r="D8" s="3" t="n">
        <v>46252</v>
      </c>
      <c r="E8" s="2" t="s">
        <v>468</v>
      </c>
      <c r="F8" s="2" t="s">
        <v>487</v>
      </c>
      <c r="G8" s="2" t="n">
        <v>1</v>
      </c>
      <c r="H8" s="2" t="s">
        <v>484</v>
      </c>
      <c r="I8" s="2" t="s">
        <v>488</v>
      </c>
    </row>
    <row r="9" customFormat="false" ht="15" hidden="false" customHeight="false" outlineLevel="0" collapsed="false">
      <c r="A9" s="2" t="s">
        <v>497</v>
      </c>
      <c r="B9" s="2" t="s">
        <v>67</v>
      </c>
      <c r="C9" s="2" t="s">
        <v>68</v>
      </c>
      <c r="D9" s="3" t="n">
        <v>46256</v>
      </c>
      <c r="E9" s="2" t="s">
        <v>464</v>
      </c>
      <c r="F9" s="2" t="s">
        <v>483</v>
      </c>
      <c r="G9" s="2" t="n">
        <v>1</v>
      </c>
      <c r="H9" s="2" t="s">
        <v>490</v>
      </c>
      <c r="I9" s="2" t="s">
        <v>485</v>
      </c>
    </row>
    <row r="10" customFormat="false" ht="15" hidden="false" customHeight="false" outlineLevel="0" collapsed="false">
      <c r="A10" s="2" t="s">
        <v>498</v>
      </c>
      <c r="B10" s="2" t="s">
        <v>67</v>
      </c>
      <c r="C10" s="2" t="s">
        <v>68</v>
      </c>
      <c r="D10" s="3" t="n">
        <v>46262</v>
      </c>
      <c r="E10" s="2" t="s">
        <v>474</v>
      </c>
      <c r="F10" s="2" t="s">
        <v>483</v>
      </c>
      <c r="G10" s="2" t="n">
        <v>1</v>
      </c>
      <c r="H10" s="2" t="s">
        <v>490</v>
      </c>
      <c r="I10" s="2" t="s">
        <v>499</v>
      </c>
    </row>
    <row r="11" customFormat="false" ht="15" hidden="false" customHeight="false" outlineLevel="0" collapsed="false">
      <c r="A11" s="2" t="s">
        <v>500</v>
      </c>
      <c r="B11" s="2" t="s">
        <v>69</v>
      </c>
      <c r="C11" s="2" t="s">
        <v>70</v>
      </c>
      <c r="D11" s="3" t="n">
        <v>46247</v>
      </c>
      <c r="E11" s="2" t="s">
        <v>468</v>
      </c>
      <c r="F11" s="2" t="s">
        <v>487</v>
      </c>
      <c r="G11" s="2" t="n">
        <v>1</v>
      </c>
      <c r="H11" s="2" t="s">
        <v>490</v>
      </c>
      <c r="I11" s="2" t="s">
        <v>488</v>
      </c>
    </row>
    <row r="12" customFormat="false" ht="15" hidden="false" customHeight="false" outlineLevel="0" collapsed="false">
      <c r="A12" s="2" t="s">
        <v>501</v>
      </c>
      <c r="B12" s="2" t="s">
        <v>69</v>
      </c>
      <c r="C12" s="2" t="s">
        <v>70</v>
      </c>
      <c r="D12" s="3" t="n">
        <v>46259</v>
      </c>
      <c r="E12" s="2" t="s">
        <v>472</v>
      </c>
      <c r="F12" s="2" t="s">
        <v>483</v>
      </c>
      <c r="G12" s="2" t="n">
        <v>1</v>
      </c>
      <c r="H12" s="2" t="s">
        <v>490</v>
      </c>
      <c r="I12" s="2" t="s">
        <v>495</v>
      </c>
    </row>
    <row r="13" customFormat="false" ht="15" hidden="false" customHeight="false" outlineLevel="0" collapsed="false">
      <c r="A13" s="2" t="s">
        <v>502</v>
      </c>
      <c r="B13" s="2" t="s">
        <v>71</v>
      </c>
      <c r="C13" s="2" t="s">
        <v>72</v>
      </c>
      <c r="D13" s="3" t="n">
        <v>46240</v>
      </c>
      <c r="E13" s="2" t="s">
        <v>468</v>
      </c>
      <c r="F13" s="2" t="s">
        <v>487</v>
      </c>
      <c r="G13" s="2" t="n">
        <v>1</v>
      </c>
      <c r="H13" s="2" t="s">
        <v>503</v>
      </c>
      <c r="I13" s="2" t="s">
        <v>488</v>
      </c>
    </row>
    <row r="14" customFormat="false" ht="15" hidden="false" customHeight="false" outlineLevel="0" collapsed="false">
      <c r="A14" s="2" t="s">
        <v>504</v>
      </c>
      <c r="B14" s="2" t="s">
        <v>74</v>
      </c>
      <c r="C14" s="2" t="s">
        <v>75</v>
      </c>
      <c r="D14" s="3" t="n">
        <v>46239</v>
      </c>
      <c r="E14" s="2" t="s">
        <v>468</v>
      </c>
      <c r="F14" s="2" t="s">
        <v>487</v>
      </c>
      <c r="G14" s="2" t="n">
        <v>1</v>
      </c>
      <c r="H14" s="2" t="s">
        <v>490</v>
      </c>
      <c r="I14" s="2" t="s">
        <v>488</v>
      </c>
    </row>
    <row r="15" customFormat="false" ht="15" hidden="false" customHeight="false" outlineLevel="0" collapsed="false">
      <c r="A15" s="2" t="s">
        <v>505</v>
      </c>
      <c r="B15" s="2" t="s">
        <v>93</v>
      </c>
      <c r="C15" s="2" t="s">
        <v>94</v>
      </c>
      <c r="D15" s="3" t="n">
        <v>46237</v>
      </c>
      <c r="E15" s="2" t="s">
        <v>474</v>
      </c>
      <c r="F15" s="2" t="s">
        <v>483</v>
      </c>
      <c r="G15" s="2" t="n">
        <v>1</v>
      </c>
      <c r="H15" s="2" t="s">
        <v>490</v>
      </c>
      <c r="I15" s="2" t="s">
        <v>499</v>
      </c>
    </row>
    <row r="16" customFormat="false" ht="15" hidden="false" customHeight="false" outlineLevel="0" collapsed="false">
      <c r="A16" s="2" t="s">
        <v>506</v>
      </c>
      <c r="B16" s="2" t="s">
        <v>95</v>
      </c>
      <c r="C16" s="2" t="s">
        <v>96</v>
      </c>
      <c r="D16" s="3" t="n">
        <v>46237</v>
      </c>
      <c r="E16" s="2" t="s">
        <v>470</v>
      </c>
      <c r="F16" s="2" t="s">
        <v>483</v>
      </c>
      <c r="G16" s="2" t="n">
        <v>1</v>
      </c>
      <c r="H16" s="2" t="s">
        <v>490</v>
      </c>
      <c r="I16" s="2" t="s">
        <v>491</v>
      </c>
    </row>
    <row r="17" customFormat="false" ht="15" hidden="false" customHeight="false" outlineLevel="0" collapsed="false">
      <c r="A17" s="2" t="s">
        <v>507</v>
      </c>
      <c r="B17" s="2" t="s">
        <v>95</v>
      </c>
      <c r="C17" s="2" t="s">
        <v>96</v>
      </c>
      <c r="D17" s="3" t="n">
        <v>46253</v>
      </c>
      <c r="E17" s="2" t="s">
        <v>470</v>
      </c>
      <c r="F17" s="2" t="s">
        <v>483</v>
      </c>
      <c r="G17" s="2" t="n">
        <v>1</v>
      </c>
      <c r="H17" s="2" t="s">
        <v>490</v>
      </c>
      <c r="I17" s="2" t="s">
        <v>491</v>
      </c>
    </row>
    <row r="18" customFormat="false" ht="15" hidden="false" customHeight="false" outlineLevel="0" collapsed="false">
      <c r="A18" s="2" t="s">
        <v>508</v>
      </c>
      <c r="B18" s="2" t="s">
        <v>97</v>
      </c>
      <c r="C18" s="2" t="s">
        <v>98</v>
      </c>
      <c r="D18" s="3" t="n">
        <v>46246</v>
      </c>
      <c r="E18" s="2" t="s">
        <v>464</v>
      </c>
      <c r="F18" s="2" t="s">
        <v>483</v>
      </c>
      <c r="G18" s="2" t="n">
        <v>1</v>
      </c>
      <c r="H18" s="2" t="s">
        <v>490</v>
      </c>
      <c r="I18" s="2" t="s">
        <v>485</v>
      </c>
    </row>
    <row r="19" customFormat="false" ht="15" hidden="false" customHeight="false" outlineLevel="0" collapsed="false">
      <c r="A19" s="2" t="s">
        <v>509</v>
      </c>
      <c r="B19" s="2" t="s">
        <v>101</v>
      </c>
      <c r="C19" s="2" t="s">
        <v>102</v>
      </c>
      <c r="D19" s="3" t="n">
        <v>46238</v>
      </c>
      <c r="E19" s="2" t="s">
        <v>470</v>
      </c>
      <c r="F19" s="2" t="s">
        <v>483</v>
      </c>
      <c r="G19" s="2" t="n">
        <v>1</v>
      </c>
      <c r="H19" s="2" t="s">
        <v>490</v>
      </c>
      <c r="I19" s="2" t="s">
        <v>491</v>
      </c>
    </row>
    <row r="20" customFormat="false" ht="15" hidden="false" customHeight="false" outlineLevel="0" collapsed="false">
      <c r="A20" s="2" t="s">
        <v>510</v>
      </c>
      <c r="B20" s="2" t="s">
        <v>101</v>
      </c>
      <c r="C20" s="2" t="s">
        <v>102</v>
      </c>
      <c r="D20" s="3" t="n">
        <v>46252</v>
      </c>
      <c r="E20" s="2" t="s">
        <v>468</v>
      </c>
      <c r="F20" s="2" t="s">
        <v>487</v>
      </c>
      <c r="G20" s="2" t="n">
        <v>1</v>
      </c>
      <c r="H20" s="2" t="s">
        <v>484</v>
      </c>
      <c r="I20" s="2" t="s">
        <v>488</v>
      </c>
    </row>
    <row r="21" customFormat="false" ht="15" hidden="false" customHeight="false" outlineLevel="0" collapsed="false">
      <c r="A21" s="2" t="s">
        <v>511</v>
      </c>
      <c r="B21" s="2" t="s">
        <v>104</v>
      </c>
      <c r="C21" s="2" t="s">
        <v>105</v>
      </c>
      <c r="D21" s="3" t="n">
        <v>46263</v>
      </c>
      <c r="E21" s="2" t="s">
        <v>472</v>
      </c>
      <c r="F21" s="2" t="s">
        <v>483</v>
      </c>
      <c r="G21" s="2" t="n">
        <v>1</v>
      </c>
      <c r="H21" s="2" t="s">
        <v>490</v>
      </c>
      <c r="I21" s="2" t="s">
        <v>495</v>
      </c>
    </row>
    <row r="22" customFormat="false" ht="15" hidden="false" customHeight="false" outlineLevel="0" collapsed="false">
      <c r="A22" s="2" t="s">
        <v>512</v>
      </c>
      <c r="B22" s="2" t="s">
        <v>114</v>
      </c>
      <c r="C22" s="2" t="s">
        <v>115</v>
      </c>
      <c r="D22" s="3" t="n">
        <v>46247</v>
      </c>
      <c r="E22" s="2" t="s">
        <v>464</v>
      </c>
      <c r="F22" s="2" t="s">
        <v>483</v>
      </c>
      <c r="G22" s="2" t="n">
        <v>1</v>
      </c>
      <c r="H22" s="2" t="s">
        <v>484</v>
      </c>
      <c r="I22" s="2" t="s">
        <v>485</v>
      </c>
    </row>
    <row r="23" customFormat="false" ht="15" hidden="false" customHeight="false" outlineLevel="0" collapsed="false">
      <c r="A23" s="2" t="s">
        <v>513</v>
      </c>
      <c r="B23" s="2" t="s">
        <v>116</v>
      </c>
      <c r="C23" s="2" t="s">
        <v>117</v>
      </c>
      <c r="D23" s="3" t="n">
        <v>46235</v>
      </c>
      <c r="E23" s="2" t="s">
        <v>464</v>
      </c>
      <c r="F23" s="2" t="s">
        <v>483</v>
      </c>
      <c r="G23" s="2" t="n">
        <v>1</v>
      </c>
      <c r="H23" s="2" t="s">
        <v>490</v>
      </c>
      <c r="I23" s="2" t="s">
        <v>485</v>
      </c>
    </row>
    <row r="24" customFormat="false" ht="15" hidden="false" customHeight="false" outlineLevel="0" collapsed="false">
      <c r="A24" s="2" t="s">
        <v>514</v>
      </c>
      <c r="B24" s="2" t="s">
        <v>122</v>
      </c>
      <c r="C24" s="2" t="s">
        <v>123</v>
      </c>
      <c r="D24" s="3" t="n">
        <v>46263</v>
      </c>
      <c r="E24" s="2" t="s">
        <v>474</v>
      </c>
      <c r="F24" s="2" t="s">
        <v>483</v>
      </c>
      <c r="G24" s="2" t="n">
        <v>1</v>
      </c>
      <c r="H24" s="2" t="s">
        <v>490</v>
      </c>
      <c r="I24" s="2" t="s">
        <v>499</v>
      </c>
    </row>
    <row r="25" customFormat="false" ht="15" hidden="false" customHeight="false" outlineLevel="0" collapsed="false">
      <c r="A25" s="2" t="s">
        <v>515</v>
      </c>
      <c r="B25" s="2" t="s">
        <v>124</v>
      </c>
      <c r="C25" s="2" t="s">
        <v>125</v>
      </c>
      <c r="D25" s="3" t="n">
        <v>46244</v>
      </c>
      <c r="E25" s="2" t="s">
        <v>474</v>
      </c>
      <c r="F25" s="2" t="s">
        <v>483</v>
      </c>
      <c r="G25" s="2" t="n">
        <v>1</v>
      </c>
      <c r="H25" s="2" t="s">
        <v>490</v>
      </c>
      <c r="I25" s="2" t="s">
        <v>499</v>
      </c>
    </row>
    <row r="26" customFormat="false" ht="15" hidden="false" customHeight="false" outlineLevel="0" collapsed="false">
      <c r="A26" s="2" t="s">
        <v>516</v>
      </c>
      <c r="B26" s="2" t="s">
        <v>124</v>
      </c>
      <c r="C26" s="2" t="s">
        <v>125</v>
      </c>
      <c r="D26" s="3" t="n">
        <v>46245</v>
      </c>
      <c r="E26" s="2" t="s">
        <v>474</v>
      </c>
      <c r="F26" s="2" t="s">
        <v>483</v>
      </c>
      <c r="G26" s="2" t="n">
        <v>1</v>
      </c>
      <c r="H26" s="2" t="s">
        <v>490</v>
      </c>
      <c r="I26" s="2" t="s">
        <v>499</v>
      </c>
    </row>
    <row r="27" customFormat="false" ht="15" hidden="false" customHeight="false" outlineLevel="0" collapsed="false">
      <c r="A27" s="2" t="s">
        <v>517</v>
      </c>
      <c r="B27" s="2" t="s">
        <v>126</v>
      </c>
      <c r="C27" s="2" t="s">
        <v>127</v>
      </c>
      <c r="D27" s="3" t="n">
        <v>46240</v>
      </c>
      <c r="E27" s="2" t="s">
        <v>468</v>
      </c>
      <c r="F27" s="2" t="s">
        <v>487</v>
      </c>
      <c r="G27" s="2" t="n">
        <v>1</v>
      </c>
      <c r="H27" s="2" t="s">
        <v>490</v>
      </c>
      <c r="I27" s="2" t="s">
        <v>488</v>
      </c>
    </row>
    <row r="28" customFormat="false" ht="15" hidden="false" customHeight="false" outlineLevel="0" collapsed="false">
      <c r="A28" s="2" t="s">
        <v>518</v>
      </c>
      <c r="B28" s="2" t="s">
        <v>126</v>
      </c>
      <c r="C28" s="2" t="s">
        <v>127</v>
      </c>
      <c r="D28" s="3" t="n">
        <v>46249</v>
      </c>
      <c r="E28" s="2" t="s">
        <v>472</v>
      </c>
      <c r="F28" s="2" t="s">
        <v>483</v>
      </c>
      <c r="G28" s="2" t="n">
        <v>1</v>
      </c>
      <c r="H28" s="2" t="s">
        <v>490</v>
      </c>
      <c r="I28" s="2" t="s">
        <v>495</v>
      </c>
    </row>
    <row r="29" customFormat="false" ht="15" hidden="false" customHeight="false" outlineLevel="0" collapsed="false">
      <c r="A29" s="2" t="s">
        <v>519</v>
      </c>
      <c r="B29" s="2" t="s">
        <v>134</v>
      </c>
      <c r="C29" s="2" t="s">
        <v>135</v>
      </c>
      <c r="D29" s="3" t="n">
        <v>46235</v>
      </c>
      <c r="E29" s="2" t="s">
        <v>472</v>
      </c>
      <c r="F29" s="2" t="s">
        <v>483</v>
      </c>
      <c r="G29" s="2" t="n">
        <v>1</v>
      </c>
      <c r="H29" s="2" t="s">
        <v>490</v>
      </c>
      <c r="I29" s="2" t="s">
        <v>495</v>
      </c>
    </row>
    <row r="30" customFormat="false" ht="15" hidden="false" customHeight="false" outlineLevel="0" collapsed="false">
      <c r="A30" s="2" t="s">
        <v>520</v>
      </c>
      <c r="B30" s="2" t="s">
        <v>134</v>
      </c>
      <c r="C30" s="2" t="s">
        <v>135</v>
      </c>
      <c r="D30" s="3" t="n">
        <v>46261</v>
      </c>
      <c r="E30" s="2" t="s">
        <v>468</v>
      </c>
      <c r="F30" s="2" t="s">
        <v>487</v>
      </c>
      <c r="G30" s="2" t="n">
        <v>1</v>
      </c>
      <c r="H30" s="2" t="s">
        <v>490</v>
      </c>
      <c r="I30" s="2" t="s">
        <v>488</v>
      </c>
    </row>
    <row r="31" customFormat="false" ht="15" hidden="false" customHeight="false" outlineLevel="0" collapsed="false">
      <c r="A31" s="2" t="s">
        <v>521</v>
      </c>
      <c r="B31" s="2" t="s">
        <v>144</v>
      </c>
      <c r="C31" s="2" t="s">
        <v>145</v>
      </c>
      <c r="D31" s="3" t="n">
        <v>46261</v>
      </c>
      <c r="E31" s="2" t="s">
        <v>464</v>
      </c>
      <c r="F31" s="2" t="s">
        <v>483</v>
      </c>
      <c r="G31" s="2" t="n">
        <v>1</v>
      </c>
      <c r="H31" s="2" t="s">
        <v>490</v>
      </c>
      <c r="I31" s="2" t="s">
        <v>485</v>
      </c>
    </row>
    <row r="32" customFormat="false" ht="15" hidden="false" customHeight="false" outlineLevel="0" collapsed="false">
      <c r="A32" s="2" t="s">
        <v>522</v>
      </c>
      <c r="B32" s="2" t="s">
        <v>144</v>
      </c>
      <c r="C32" s="2" t="s">
        <v>145</v>
      </c>
      <c r="D32" s="3" t="n">
        <v>46262</v>
      </c>
      <c r="E32" s="2" t="s">
        <v>468</v>
      </c>
      <c r="F32" s="2" t="s">
        <v>487</v>
      </c>
      <c r="G32" s="2" t="n">
        <v>1</v>
      </c>
      <c r="H32" s="2" t="s">
        <v>490</v>
      </c>
      <c r="I32" s="2" t="s">
        <v>488</v>
      </c>
    </row>
    <row r="33" customFormat="false" ht="15" hidden="false" customHeight="false" outlineLevel="0" collapsed="false">
      <c r="A33" s="2" t="s">
        <v>523</v>
      </c>
      <c r="B33" s="2" t="s">
        <v>146</v>
      </c>
      <c r="C33" s="2" t="s">
        <v>147</v>
      </c>
      <c r="D33" s="3" t="n">
        <v>46255</v>
      </c>
      <c r="E33" s="2" t="s">
        <v>468</v>
      </c>
      <c r="F33" s="2" t="s">
        <v>487</v>
      </c>
      <c r="G33" s="2" t="n">
        <v>1</v>
      </c>
      <c r="H33" s="2" t="s">
        <v>490</v>
      </c>
      <c r="I33" s="2" t="s">
        <v>488</v>
      </c>
    </row>
    <row r="34" customFormat="false" ht="15" hidden="false" customHeight="false" outlineLevel="0" collapsed="false">
      <c r="A34" s="2" t="s">
        <v>524</v>
      </c>
      <c r="B34" s="2" t="s">
        <v>152</v>
      </c>
      <c r="C34" s="2" t="s">
        <v>153</v>
      </c>
      <c r="D34" s="3" t="n">
        <v>46248</v>
      </c>
      <c r="E34" s="2" t="s">
        <v>464</v>
      </c>
      <c r="F34" s="2" t="s">
        <v>483</v>
      </c>
      <c r="G34" s="2" t="n">
        <v>1</v>
      </c>
      <c r="H34" s="2" t="s">
        <v>490</v>
      </c>
      <c r="I34" s="2" t="s">
        <v>485</v>
      </c>
    </row>
    <row r="35" customFormat="false" ht="15" hidden="false" customHeight="false" outlineLevel="0" collapsed="false">
      <c r="A35" s="2" t="s">
        <v>525</v>
      </c>
      <c r="B35" s="2" t="s">
        <v>152</v>
      </c>
      <c r="C35" s="2" t="s">
        <v>153</v>
      </c>
      <c r="D35" s="3" t="n">
        <v>46251</v>
      </c>
      <c r="E35" s="2" t="s">
        <v>470</v>
      </c>
      <c r="F35" s="2" t="s">
        <v>483</v>
      </c>
      <c r="G35" s="2" t="n">
        <v>1</v>
      </c>
      <c r="H35" s="2" t="s">
        <v>490</v>
      </c>
      <c r="I35" s="2" t="s">
        <v>491</v>
      </c>
    </row>
    <row r="36" customFormat="false" ht="15" hidden="false" customHeight="false" outlineLevel="0" collapsed="false">
      <c r="A36" s="2" t="s">
        <v>526</v>
      </c>
      <c r="B36" s="2" t="s">
        <v>154</v>
      </c>
      <c r="C36" s="2" t="s">
        <v>155</v>
      </c>
      <c r="D36" s="3" t="n">
        <v>46237</v>
      </c>
      <c r="E36" s="2" t="s">
        <v>468</v>
      </c>
      <c r="F36" s="2" t="s">
        <v>487</v>
      </c>
      <c r="G36" s="2" t="n">
        <v>1</v>
      </c>
      <c r="H36" s="2" t="s">
        <v>490</v>
      </c>
      <c r="I36" s="2" t="s">
        <v>488</v>
      </c>
    </row>
    <row r="37" customFormat="false" ht="15" hidden="false" customHeight="false" outlineLevel="0" collapsed="false">
      <c r="A37" s="2" t="s">
        <v>527</v>
      </c>
      <c r="B37" s="2" t="s">
        <v>156</v>
      </c>
      <c r="C37" s="2" t="s">
        <v>157</v>
      </c>
      <c r="D37" s="3" t="n">
        <v>46265</v>
      </c>
      <c r="E37" s="2" t="s">
        <v>470</v>
      </c>
      <c r="F37" s="2" t="s">
        <v>483</v>
      </c>
      <c r="G37" s="2" t="n">
        <v>1</v>
      </c>
      <c r="H37" s="2" t="s">
        <v>490</v>
      </c>
      <c r="I37" s="2" t="s">
        <v>491</v>
      </c>
    </row>
    <row r="38" customFormat="false" ht="15" hidden="false" customHeight="false" outlineLevel="0" collapsed="false">
      <c r="A38" s="2" t="s">
        <v>528</v>
      </c>
      <c r="B38" s="2" t="s">
        <v>158</v>
      </c>
      <c r="C38" s="2" t="s">
        <v>159</v>
      </c>
      <c r="D38" s="3" t="n">
        <v>46237</v>
      </c>
      <c r="E38" s="2" t="s">
        <v>472</v>
      </c>
      <c r="F38" s="2" t="s">
        <v>483</v>
      </c>
      <c r="G38" s="2" t="n">
        <v>1</v>
      </c>
      <c r="H38" s="2" t="s">
        <v>490</v>
      </c>
      <c r="I38" s="2" t="s">
        <v>495</v>
      </c>
    </row>
    <row r="39" customFormat="false" ht="15" hidden="false" customHeight="false" outlineLevel="0" collapsed="false">
      <c r="A39" s="2" t="s">
        <v>529</v>
      </c>
      <c r="B39" s="2" t="s">
        <v>158</v>
      </c>
      <c r="C39" s="2" t="s">
        <v>159</v>
      </c>
      <c r="D39" s="3" t="n">
        <v>46245</v>
      </c>
      <c r="E39" s="2" t="s">
        <v>474</v>
      </c>
      <c r="F39" s="2" t="s">
        <v>483</v>
      </c>
      <c r="G39" s="2" t="n">
        <v>1</v>
      </c>
      <c r="H39" s="2" t="s">
        <v>490</v>
      </c>
      <c r="I39" s="2" t="s">
        <v>499</v>
      </c>
    </row>
    <row r="40" customFormat="false" ht="15" hidden="false" customHeight="false" outlineLevel="0" collapsed="false">
      <c r="A40" s="2" t="s">
        <v>530</v>
      </c>
      <c r="B40" s="2" t="s">
        <v>164</v>
      </c>
      <c r="C40" s="2" t="s">
        <v>165</v>
      </c>
      <c r="D40" s="3" t="n">
        <v>46252</v>
      </c>
      <c r="E40" s="2" t="s">
        <v>468</v>
      </c>
      <c r="F40" s="2" t="s">
        <v>487</v>
      </c>
      <c r="G40" s="2" t="n">
        <v>1</v>
      </c>
      <c r="H40" s="2" t="s">
        <v>490</v>
      </c>
      <c r="I40" s="2" t="s">
        <v>488</v>
      </c>
    </row>
    <row r="41" customFormat="false" ht="15" hidden="false" customHeight="false" outlineLevel="0" collapsed="false">
      <c r="A41" s="2" t="s">
        <v>531</v>
      </c>
      <c r="B41" s="2" t="s">
        <v>166</v>
      </c>
      <c r="C41" s="2" t="s">
        <v>167</v>
      </c>
      <c r="D41" s="3" t="n">
        <v>46235</v>
      </c>
      <c r="E41" s="2" t="s">
        <v>468</v>
      </c>
      <c r="F41" s="2" t="s">
        <v>487</v>
      </c>
      <c r="G41" s="2" t="n">
        <v>1</v>
      </c>
      <c r="H41" s="2" t="s">
        <v>490</v>
      </c>
      <c r="I41" s="2" t="s">
        <v>488</v>
      </c>
    </row>
    <row r="42" customFormat="false" ht="15" hidden="false" customHeight="false" outlineLevel="0" collapsed="false">
      <c r="A42" s="2" t="s">
        <v>532</v>
      </c>
      <c r="B42" s="2" t="s">
        <v>166</v>
      </c>
      <c r="C42" s="2" t="s">
        <v>167</v>
      </c>
      <c r="D42" s="3" t="n">
        <v>46249</v>
      </c>
      <c r="E42" s="2" t="s">
        <v>468</v>
      </c>
      <c r="F42" s="2" t="s">
        <v>487</v>
      </c>
      <c r="G42" s="2" t="n">
        <v>1</v>
      </c>
      <c r="H42" s="2" t="s">
        <v>490</v>
      </c>
      <c r="I42" s="2" t="s">
        <v>488</v>
      </c>
    </row>
    <row r="43" customFormat="false" ht="15" hidden="false" customHeight="false" outlineLevel="0" collapsed="false">
      <c r="A43" s="2" t="s">
        <v>533</v>
      </c>
      <c r="B43" s="2" t="s">
        <v>168</v>
      </c>
      <c r="C43" s="2" t="s">
        <v>169</v>
      </c>
      <c r="D43" s="3" t="n">
        <v>46254</v>
      </c>
      <c r="E43" s="2" t="s">
        <v>474</v>
      </c>
      <c r="F43" s="2" t="s">
        <v>483</v>
      </c>
      <c r="G43" s="2" t="n">
        <v>1</v>
      </c>
      <c r="H43" s="2" t="s">
        <v>490</v>
      </c>
      <c r="I43" s="2" t="s">
        <v>499</v>
      </c>
    </row>
    <row r="44" customFormat="false" ht="15" hidden="false" customHeight="false" outlineLevel="0" collapsed="false">
      <c r="A44" s="2" t="s">
        <v>534</v>
      </c>
      <c r="B44" s="2" t="s">
        <v>172</v>
      </c>
      <c r="C44" s="2" t="s">
        <v>173</v>
      </c>
      <c r="D44" s="3" t="n">
        <v>46244</v>
      </c>
      <c r="E44" s="2" t="s">
        <v>472</v>
      </c>
      <c r="F44" s="2" t="s">
        <v>483</v>
      </c>
      <c r="G44" s="2" t="n">
        <v>1</v>
      </c>
      <c r="H44" s="2" t="s">
        <v>490</v>
      </c>
      <c r="I44" s="2" t="s">
        <v>495</v>
      </c>
    </row>
    <row r="45" customFormat="false" ht="15" hidden="false" customHeight="false" outlineLevel="0" collapsed="false">
      <c r="A45" s="2" t="s">
        <v>535</v>
      </c>
      <c r="B45" s="2" t="s">
        <v>174</v>
      </c>
      <c r="C45" s="2" t="s">
        <v>175</v>
      </c>
      <c r="D45" s="3" t="n">
        <v>46241</v>
      </c>
      <c r="E45" s="2" t="s">
        <v>464</v>
      </c>
      <c r="F45" s="2" t="s">
        <v>483</v>
      </c>
      <c r="G45" s="2" t="n">
        <v>1</v>
      </c>
      <c r="H45" s="2" t="s">
        <v>490</v>
      </c>
      <c r="I45" s="2" t="s">
        <v>485</v>
      </c>
    </row>
    <row r="46" customFormat="false" ht="15" hidden="false" customHeight="false" outlineLevel="0" collapsed="false">
      <c r="A46" s="2" t="s">
        <v>536</v>
      </c>
      <c r="B46" s="2" t="s">
        <v>176</v>
      </c>
      <c r="C46" s="2" t="s">
        <v>177</v>
      </c>
      <c r="D46" s="3" t="n">
        <v>46245</v>
      </c>
      <c r="E46" s="2" t="s">
        <v>474</v>
      </c>
      <c r="F46" s="2" t="s">
        <v>483</v>
      </c>
      <c r="G46" s="2" t="n">
        <v>1</v>
      </c>
      <c r="H46" s="2" t="s">
        <v>490</v>
      </c>
      <c r="I46" s="2" t="s">
        <v>499</v>
      </c>
    </row>
    <row r="47" customFormat="false" ht="15" hidden="false" customHeight="false" outlineLevel="0" collapsed="false">
      <c r="A47" s="2" t="s">
        <v>537</v>
      </c>
      <c r="B47" s="2" t="s">
        <v>176</v>
      </c>
      <c r="C47" s="2" t="s">
        <v>177</v>
      </c>
      <c r="D47" s="3" t="n">
        <v>46265</v>
      </c>
      <c r="E47" s="2" t="s">
        <v>472</v>
      </c>
      <c r="F47" s="2" t="s">
        <v>483</v>
      </c>
      <c r="G47" s="2" t="n">
        <v>1</v>
      </c>
      <c r="H47" s="2" t="s">
        <v>490</v>
      </c>
      <c r="I47" s="2" t="s">
        <v>495</v>
      </c>
    </row>
    <row r="48" customFormat="false" ht="15" hidden="false" customHeight="false" outlineLevel="0" collapsed="false">
      <c r="A48" s="2" t="s">
        <v>538</v>
      </c>
      <c r="B48" s="2" t="s">
        <v>178</v>
      </c>
      <c r="C48" s="2" t="s">
        <v>179</v>
      </c>
      <c r="D48" s="3" t="n">
        <v>46237</v>
      </c>
      <c r="E48" s="2" t="s">
        <v>472</v>
      </c>
      <c r="F48" s="2" t="s">
        <v>483</v>
      </c>
      <c r="G48" s="2" t="n">
        <v>1</v>
      </c>
      <c r="H48" s="2" t="s">
        <v>484</v>
      </c>
      <c r="I48" s="2" t="s">
        <v>495</v>
      </c>
    </row>
    <row r="49" customFormat="false" ht="15" hidden="false" customHeight="false" outlineLevel="0" collapsed="false">
      <c r="A49" s="2" t="s">
        <v>539</v>
      </c>
      <c r="B49" s="2" t="s">
        <v>178</v>
      </c>
      <c r="C49" s="2" t="s">
        <v>179</v>
      </c>
      <c r="D49" s="3" t="n">
        <v>46244</v>
      </c>
      <c r="E49" s="2" t="s">
        <v>474</v>
      </c>
      <c r="F49" s="2" t="s">
        <v>483</v>
      </c>
      <c r="G49" s="2" t="n">
        <v>1</v>
      </c>
      <c r="H49" s="2" t="s">
        <v>490</v>
      </c>
      <c r="I49" s="2" t="s">
        <v>499</v>
      </c>
    </row>
    <row r="50" customFormat="false" ht="15" hidden="false" customHeight="false" outlineLevel="0" collapsed="false">
      <c r="A50" s="2" t="s">
        <v>540</v>
      </c>
      <c r="B50" s="2" t="s">
        <v>184</v>
      </c>
      <c r="C50" s="2" t="s">
        <v>185</v>
      </c>
      <c r="D50" s="3" t="n">
        <v>46263</v>
      </c>
      <c r="E50" s="2" t="s">
        <v>472</v>
      </c>
      <c r="F50" s="2" t="s">
        <v>483</v>
      </c>
      <c r="G50" s="2" t="n">
        <v>1</v>
      </c>
      <c r="H50" s="2" t="s">
        <v>484</v>
      </c>
      <c r="I50" s="2" t="s">
        <v>495</v>
      </c>
    </row>
    <row r="51" customFormat="false" ht="15" hidden="false" customHeight="false" outlineLevel="0" collapsed="false">
      <c r="A51" s="2" t="s">
        <v>541</v>
      </c>
      <c r="B51" s="2" t="s">
        <v>186</v>
      </c>
      <c r="C51" s="2" t="s">
        <v>187</v>
      </c>
      <c r="D51" s="3" t="n">
        <v>46253</v>
      </c>
      <c r="E51" s="2" t="s">
        <v>468</v>
      </c>
      <c r="F51" s="2" t="s">
        <v>487</v>
      </c>
      <c r="G51" s="2" t="n">
        <v>1</v>
      </c>
      <c r="H51" s="2" t="s">
        <v>490</v>
      </c>
      <c r="I51" s="2" t="s">
        <v>488</v>
      </c>
    </row>
    <row r="52" customFormat="false" ht="15" hidden="false" customHeight="false" outlineLevel="0" collapsed="false">
      <c r="A52" s="2" t="s">
        <v>542</v>
      </c>
      <c r="B52" s="2" t="s">
        <v>188</v>
      </c>
      <c r="C52" s="2" t="s">
        <v>189</v>
      </c>
      <c r="D52" s="3" t="n">
        <v>46252</v>
      </c>
      <c r="E52" s="2" t="s">
        <v>472</v>
      </c>
      <c r="F52" s="2" t="s">
        <v>483</v>
      </c>
      <c r="G52" s="2" t="n">
        <v>1</v>
      </c>
      <c r="H52" s="2" t="s">
        <v>490</v>
      </c>
      <c r="I52" s="2" t="s">
        <v>495</v>
      </c>
    </row>
    <row r="53" customFormat="false" ht="15" hidden="false" customHeight="false" outlineLevel="0" collapsed="false">
      <c r="A53" s="2" t="s">
        <v>543</v>
      </c>
      <c r="B53" s="2" t="s">
        <v>191</v>
      </c>
      <c r="C53" s="2" t="s">
        <v>192</v>
      </c>
      <c r="D53" s="3" t="n">
        <v>46237</v>
      </c>
      <c r="E53" s="2" t="s">
        <v>464</v>
      </c>
      <c r="F53" s="2" t="s">
        <v>483</v>
      </c>
      <c r="G53" s="2" t="n">
        <v>1</v>
      </c>
      <c r="H53" s="2" t="s">
        <v>490</v>
      </c>
      <c r="I53" s="2" t="s">
        <v>485</v>
      </c>
    </row>
    <row r="54" customFormat="false" ht="15" hidden="false" customHeight="false" outlineLevel="0" collapsed="false">
      <c r="A54" s="2" t="s">
        <v>544</v>
      </c>
      <c r="B54" s="2" t="s">
        <v>195</v>
      </c>
      <c r="C54" s="2" t="s">
        <v>196</v>
      </c>
      <c r="D54" s="3" t="n">
        <v>46255</v>
      </c>
      <c r="E54" s="2" t="s">
        <v>468</v>
      </c>
      <c r="F54" s="2" t="s">
        <v>487</v>
      </c>
      <c r="G54" s="2" t="n">
        <v>1</v>
      </c>
      <c r="H54" s="2" t="s">
        <v>490</v>
      </c>
      <c r="I54" s="2" t="s">
        <v>488</v>
      </c>
    </row>
    <row r="55" customFormat="false" ht="15" hidden="false" customHeight="false" outlineLevel="0" collapsed="false">
      <c r="A55" s="2" t="s">
        <v>545</v>
      </c>
      <c r="B55" s="2" t="s">
        <v>199</v>
      </c>
      <c r="C55" s="2" t="s">
        <v>200</v>
      </c>
      <c r="D55" s="3" t="n">
        <v>46241</v>
      </c>
      <c r="E55" s="2" t="s">
        <v>474</v>
      </c>
      <c r="F55" s="2" t="s">
        <v>483</v>
      </c>
      <c r="G55" s="2" t="n">
        <v>1</v>
      </c>
      <c r="H55" s="2" t="s">
        <v>490</v>
      </c>
      <c r="I55" s="2" t="s">
        <v>499</v>
      </c>
    </row>
    <row r="56" customFormat="false" ht="15" hidden="false" customHeight="false" outlineLevel="0" collapsed="false">
      <c r="A56" s="2" t="s">
        <v>546</v>
      </c>
      <c r="B56" s="2" t="s">
        <v>203</v>
      </c>
      <c r="C56" s="2" t="s">
        <v>204</v>
      </c>
      <c r="D56" s="3" t="n">
        <v>46238</v>
      </c>
      <c r="E56" s="2" t="s">
        <v>474</v>
      </c>
      <c r="F56" s="2" t="s">
        <v>483</v>
      </c>
      <c r="G56" s="2" t="n">
        <v>1</v>
      </c>
      <c r="H56" s="2" t="s">
        <v>490</v>
      </c>
      <c r="I56" s="2" t="s">
        <v>499</v>
      </c>
    </row>
    <row r="57" customFormat="false" ht="15" hidden="false" customHeight="false" outlineLevel="0" collapsed="false">
      <c r="A57" s="2" t="s">
        <v>547</v>
      </c>
      <c r="B57" s="2" t="s">
        <v>203</v>
      </c>
      <c r="C57" s="2" t="s">
        <v>204</v>
      </c>
      <c r="D57" s="3" t="n">
        <v>46254</v>
      </c>
      <c r="E57" s="2" t="s">
        <v>470</v>
      </c>
      <c r="F57" s="2" t="s">
        <v>483</v>
      </c>
      <c r="G57" s="2" t="n">
        <v>1</v>
      </c>
      <c r="H57" s="2" t="s">
        <v>490</v>
      </c>
      <c r="I57" s="2" t="s">
        <v>491</v>
      </c>
    </row>
    <row r="58" customFormat="false" ht="15" hidden="false" customHeight="false" outlineLevel="0" collapsed="false">
      <c r="A58" s="2" t="s">
        <v>548</v>
      </c>
      <c r="B58" s="2" t="s">
        <v>205</v>
      </c>
      <c r="C58" s="2" t="s">
        <v>206</v>
      </c>
      <c r="D58" s="3" t="n">
        <v>46237</v>
      </c>
      <c r="E58" s="2" t="s">
        <v>474</v>
      </c>
      <c r="F58" s="2" t="s">
        <v>483</v>
      </c>
      <c r="G58" s="2" t="n">
        <v>1</v>
      </c>
      <c r="H58" s="2" t="s">
        <v>490</v>
      </c>
      <c r="I58" s="2" t="s">
        <v>499</v>
      </c>
    </row>
    <row r="59" customFormat="false" ht="15" hidden="false" customHeight="false" outlineLevel="0" collapsed="false">
      <c r="A59" s="2" t="s">
        <v>549</v>
      </c>
      <c r="B59" s="2" t="s">
        <v>205</v>
      </c>
      <c r="C59" s="2" t="s">
        <v>206</v>
      </c>
      <c r="D59" s="3" t="n">
        <v>46263</v>
      </c>
      <c r="E59" s="2" t="s">
        <v>468</v>
      </c>
      <c r="F59" s="2" t="s">
        <v>487</v>
      </c>
      <c r="G59" s="2" t="n">
        <v>1</v>
      </c>
      <c r="H59" s="2" t="s">
        <v>503</v>
      </c>
      <c r="I59" s="2" t="s">
        <v>488</v>
      </c>
    </row>
    <row r="60" customFormat="false" ht="15" hidden="false" customHeight="false" outlineLevel="0" collapsed="false">
      <c r="A60" s="2" t="s">
        <v>550</v>
      </c>
      <c r="B60" s="2" t="s">
        <v>209</v>
      </c>
      <c r="C60" s="2" t="s">
        <v>210</v>
      </c>
      <c r="D60" s="3" t="n">
        <v>46252</v>
      </c>
      <c r="E60" s="2" t="s">
        <v>474</v>
      </c>
      <c r="F60" s="2" t="s">
        <v>483</v>
      </c>
      <c r="G60" s="2" t="n">
        <v>1</v>
      </c>
      <c r="H60" s="2" t="s">
        <v>490</v>
      </c>
      <c r="I60" s="2" t="s">
        <v>499</v>
      </c>
    </row>
    <row r="61" customFormat="false" ht="15" hidden="false" customHeight="false" outlineLevel="0" collapsed="false">
      <c r="A61" s="2" t="s">
        <v>551</v>
      </c>
      <c r="B61" s="2" t="s">
        <v>213</v>
      </c>
      <c r="C61" s="2" t="s">
        <v>214</v>
      </c>
      <c r="D61" s="3" t="n">
        <v>46258</v>
      </c>
      <c r="E61" s="2" t="s">
        <v>464</v>
      </c>
      <c r="F61" s="2" t="s">
        <v>483</v>
      </c>
      <c r="G61" s="2" t="n">
        <v>1</v>
      </c>
      <c r="H61" s="2" t="s">
        <v>490</v>
      </c>
      <c r="I61" s="2" t="s">
        <v>485</v>
      </c>
    </row>
    <row r="62" customFormat="false" ht="15" hidden="false" customHeight="false" outlineLevel="0" collapsed="false">
      <c r="A62" s="2" t="s">
        <v>552</v>
      </c>
      <c r="B62" s="2" t="s">
        <v>219</v>
      </c>
      <c r="C62" s="2" t="s">
        <v>220</v>
      </c>
      <c r="D62" s="3" t="n">
        <v>46238</v>
      </c>
      <c r="E62" s="2" t="s">
        <v>470</v>
      </c>
      <c r="F62" s="2" t="s">
        <v>483</v>
      </c>
      <c r="G62" s="2" t="n">
        <v>1</v>
      </c>
      <c r="H62" s="2" t="s">
        <v>490</v>
      </c>
      <c r="I62" s="2" t="s">
        <v>491</v>
      </c>
    </row>
    <row r="63" customFormat="false" ht="15" hidden="false" customHeight="false" outlineLevel="0" collapsed="false">
      <c r="A63" s="2" t="s">
        <v>553</v>
      </c>
      <c r="B63" s="2" t="s">
        <v>219</v>
      </c>
      <c r="C63" s="2" t="s">
        <v>220</v>
      </c>
      <c r="D63" s="3" t="n">
        <v>46254</v>
      </c>
      <c r="E63" s="2" t="s">
        <v>472</v>
      </c>
      <c r="F63" s="2" t="s">
        <v>483</v>
      </c>
      <c r="G63" s="2" t="n">
        <v>1</v>
      </c>
      <c r="H63" s="2" t="s">
        <v>490</v>
      </c>
      <c r="I63" s="2" t="s">
        <v>495</v>
      </c>
    </row>
    <row r="64" customFormat="false" ht="15" hidden="false" customHeight="false" outlineLevel="0" collapsed="false">
      <c r="A64" s="2" t="s">
        <v>554</v>
      </c>
      <c r="B64" s="2" t="s">
        <v>221</v>
      </c>
      <c r="C64" s="2" t="s">
        <v>222</v>
      </c>
      <c r="D64" s="3" t="n">
        <v>46246</v>
      </c>
      <c r="E64" s="2" t="s">
        <v>474</v>
      </c>
      <c r="F64" s="2" t="s">
        <v>483</v>
      </c>
      <c r="G64" s="2" t="n">
        <v>1</v>
      </c>
      <c r="H64" s="2" t="s">
        <v>490</v>
      </c>
      <c r="I64" s="2" t="s">
        <v>499</v>
      </c>
    </row>
    <row r="65" customFormat="false" ht="15" hidden="false" customHeight="false" outlineLevel="0" collapsed="false">
      <c r="A65" s="2" t="s">
        <v>555</v>
      </c>
      <c r="B65" s="2" t="s">
        <v>223</v>
      </c>
      <c r="C65" s="2" t="s">
        <v>224</v>
      </c>
      <c r="D65" s="3" t="n">
        <v>46247</v>
      </c>
      <c r="E65" s="2" t="s">
        <v>468</v>
      </c>
      <c r="F65" s="2" t="s">
        <v>487</v>
      </c>
      <c r="G65" s="2" t="n">
        <v>1</v>
      </c>
      <c r="H65" s="2" t="s">
        <v>503</v>
      </c>
      <c r="I65" s="2" t="s">
        <v>488</v>
      </c>
    </row>
    <row r="66" customFormat="false" ht="15" hidden="false" customHeight="false" outlineLevel="0" collapsed="false">
      <c r="A66" s="2" t="s">
        <v>556</v>
      </c>
      <c r="B66" s="2" t="s">
        <v>227</v>
      </c>
      <c r="C66" s="2" t="s">
        <v>228</v>
      </c>
      <c r="D66" s="3" t="n">
        <v>46246</v>
      </c>
      <c r="E66" s="2" t="s">
        <v>464</v>
      </c>
      <c r="F66" s="2" t="s">
        <v>483</v>
      </c>
      <c r="G66" s="2" t="n">
        <v>1</v>
      </c>
      <c r="H66" s="2" t="s">
        <v>490</v>
      </c>
      <c r="I66" s="2" t="s">
        <v>485</v>
      </c>
    </row>
    <row r="67" customFormat="false" ht="15" hidden="false" customHeight="false" outlineLevel="0" collapsed="false">
      <c r="A67" s="2" t="s">
        <v>557</v>
      </c>
      <c r="B67" s="2" t="s">
        <v>229</v>
      </c>
      <c r="C67" s="2" t="s">
        <v>230</v>
      </c>
      <c r="D67" s="3" t="n">
        <v>46240</v>
      </c>
      <c r="E67" s="2" t="s">
        <v>474</v>
      </c>
      <c r="F67" s="2" t="s">
        <v>483</v>
      </c>
      <c r="G67" s="2" t="n">
        <v>1</v>
      </c>
      <c r="H67" s="2" t="s">
        <v>490</v>
      </c>
      <c r="I67" s="2" t="s">
        <v>499</v>
      </c>
    </row>
    <row r="68" customFormat="false" ht="15" hidden="false" customHeight="false" outlineLevel="0" collapsed="false">
      <c r="A68" s="2" t="s">
        <v>558</v>
      </c>
      <c r="B68" s="2" t="s">
        <v>233</v>
      </c>
      <c r="C68" s="2" t="s">
        <v>234</v>
      </c>
      <c r="D68" s="3" t="n">
        <v>46246</v>
      </c>
      <c r="E68" s="2" t="s">
        <v>464</v>
      </c>
      <c r="F68" s="2" t="s">
        <v>483</v>
      </c>
      <c r="G68" s="2" t="n">
        <v>1</v>
      </c>
      <c r="H68" s="2" t="s">
        <v>490</v>
      </c>
      <c r="I68" s="2" t="s">
        <v>485</v>
      </c>
    </row>
    <row r="69" customFormat="false" ht="15" hidden="false" customHeight="false" outlineLevel="0" collapsed="false">
      <c r="A69" s="2" t="s">
        <v>559</v>
      </c>
      <c r="B69" s="2" t="s">
        <v>235</v>
      </c>
      <c r="C69" s="2" t="s">
        <v>236</v>
      </c>
      <c r="D69" s="3" t="n">
        <v>46261</v>
      </c>
      <c r="E69" s="2" t="s">
        <v>470</v>
      </c>
      <c r="F69" s="2" t="s">
        <v>483</v>
      </c>
      <c r="G69" s="2" t="n">
        <v>1</v>
      </c>
      <c r="H69" s="2" t="s">
        <v>490</v>
      </c>
      <c r="I69" s="2" t="s">
        <v>491</v>
      </c>
    </row>
    <row r="70" customFormat="false" ht="15" hidden="false" customHeight="false" outlineLevel="0" collapsed="false">
      <c r="A70" s="2" t="s">
        <v>560</v>
      </c>
      <c r="B70" s="2" t="s">
        <v>239</v>
      </c>
      <c r="C70" s="2" t="s">
        <v>240</v>
      </c>
      <c r="D70" s="3" t="n">
        <v>46240</v>
      </c>
      <c r="E70" s="2" t="s">
        <v>474</v>
      </c>
      <c r="F70" s="2" t="s">
        <v>483</v>
      </c>
      <c r="G70" s="2" t="n">
        <v>1</v>
      </c>
      <c r="H70" s="2" t="s">
        <v>490</v>
      </c>
      <c r="I70" s="2" t="s">
        <v>499</v>
      </c>
    </row>
    <row r="71" customFormat="false" ht="15" hidden="false" customHeight="false" outlineLevel="0" collapsed="false">
      <c r="A71" s="2" t="s">
        <v>561</v>
      </c>
      <c r="B71" s="2" t="s">
        <v>241</v>
      </c>
      <c r="C71" s="2" t="s">
        <v>242</v>
      </c>
      <c r="D71" s="3" t="n">
        <v>46235</v>
      </c>
      <c r="E71" s="2" t="s">
        <v>470</v>
      </c>
      <c r="F71" s="2" t="s">
        <v>483</v>
      </c>
      <c r="G71" s="2" t="n">
        <v>1</v>
      </c>
      <c r="H71" s="2" t="s">
        <v>503</v>
      </c>
      <c r="I71" s="2" t="s">
        <v>491</v>
      </c>
    </row>
    <row r="72" customFormat="false" ht="15" hidden="false" customHeight="false" outlineLevel="0" collapsed="false">
      <c r="A72" s="2" t="s">
        <v>562</v>
      </c>
      <c r="B72" s="2" t="s">
        <v>241</v>
      </c>
      <c r="C72" s="2" t="s">
        <v>242</v>
      </c>
      <c r="D72" s="3" t="n">
        <v>46237</v>
      </c>
      <c r="E72" s="2" t="s">
        <v>474</v>
      </c>
      <c r="F72" s="2" t="s">
        <v>483</v>
      </c>
      <c r="G72" s="2" t="n">
        <v>1</v>
      </c>
      <c r="H72" s="2" t="s">
        <v>490</v>
      </c>
      <c r="I72" s="2" t="s">
        <v>499</v>
      </c>
    </row>
    <row r="73" customFormat="false" ht="15" hidden="false" customHeight="false" outlineLevel="0" collapsed="false">
      <c r="A73" s="2" t="s">
        <v>563</v>
      </c>
      <c r="B73" s="2" t="s">
        <v>249</v>
      </c>
      <c r="C73" s="2" t="s">
        <v>250</v>
      </c>
      <c r="D73" s="3" t="n">
        <v>46249</v>
      </c>
      <c r="E73" s="2" t="s">
        <v>464</v>
      </c>
      <c r="F73" s="2" t="s">
        <v>483</v>
      </c>
      <c r="G73" s="2" t="n">
        <v>1</v>
      </c>
      <c r="H73" s="2" t="s">
        <v>490</v>
      </c>
      <c r="I73" s="2" t="s">
        <v>485</v>
      </c>
    </row>
    <row r="74" customFormat="false" ht="15" hidden="false" customHeight="false" outlineLevel="0" collapsed="false">
      <c r="A74" s="2" t="s">
        <v>564</v>
      </c>
      <c r="B74" s="2" t="s">
        <v>249</v>
      </c>
      <c r="C74" s="2" t="s">
        <v>250</v>
      </c>
      <c r="D74" s="3" t="n">
        <v>46256</v>
      </c>
      <c r="E74" s="2" t="s">
        <v>470</v>
      </c>
      <c r="F74" s="2" t="s">
        <v>483</v>
      </c>
      <c r="G74" s="2" t="n">
        <v>1</v>
      </c>
      <c r="H74" s="2" t="s">
        <v>484</v>
      </c>
      <c r="I74" s="2" t="s">
        <v>491</v>
      </c>
    </row>
    <row r="75" customFormat="false" ht="15" hidden="false" customHeight="false" outlineLevel="0" collapsed="false">
      <c r="A75" s="2" t="s">
        <v>565</v>
      </c>
      <c r="B75" s="2" t="s">
        <v>253</v>
      </c>
      <c r="C75" s="2" t="s">
        <v>254</v>
      </c>
      <c r="D75" s="3" t="n">
        <v>46259</v>
      </c>
      <c r="E75" s="2" t="s">
        <v>472</v>
      </c>
      <c r="F75" s="2" t="s">
        <v>483</v>
      </c>
      <c r="G75" s="2" t="n">
        <v>1</v>
      </c>
      <c r="H75" s="2" t="s">
        <v>490</v>
      </c>
      <c r="I75" s="2" t="s">
        <v>495</v>
      </c>
    </row>
    <row r="76" customFormat="false" ht="15" hidden="false" customHeight="false" outlineLevel="0" collapsed="false">
      <c r="A76" s="2" t="s">
        <v>566</v>
      </c>
      <c r="B76" s="2" t="s">
        <v>259</v>
      </c>
      <c r="C76" s="2" t="s">
        <v>260</v>
      </c>
      <c r="D76" s="3" t="n">
        <v>46258</v>
      </c>
      <c r="E76" s="2" t="s">
        <v>464</v>
      </c>
      <c r="F76" s="2" t="s">
        <v>483</v>
      </c>
      <c r="G76" s="2" t="n">
        <v>1</v>
      </c>
      <c r="H76" s="2" t="s">
        <v>490</v>
      </c>
      <c r="I76" s="2" t="s">
        <v>485</v>
      </c>
    </row>
    <row r="77" customFormat="false" ht="15" hidden="false" customHeight="false" outlineLevel="0" collapsed="false">
      <c r="A77" s="2" t="s">
        <v>567</v>
      </c>
      <c r="B77" s="2" t="s">
        <v>261</v>
      </c>
      <c r="C77" s="2" t="s">
        <v>262</v>
      </c>
      <c r="D77" s="3" t="n">
        <v>46255</v>
      </c>
      <c r="E77" s="2" t="s">
        <v>474</v>
      </c>
      <c r="F77" s="2" t="s">
        <v>483</v>
      </c>
      <c r="G77" s="2" t="n">
        <v>1</v>
      </c>
      <c r="H77" s="2" t="s">
        <v>490</v>
      </c>
      <c r="I77" s="2" t="s">
        <v>499</v>
      </c>
    </row>
    <row r="78" customFormat="false" ht="15" hidden="false" customHeight="false" outlineLevel="0" collapsed="false">
      <c r="A78" s="2" t="s">
        <v>568</v>
      </c>
      <c r="B78" s="2" t="s">
        <v>261</v>
      </c>
      <c r="C78" s="2" t="s">
        <v>262</v>
      </c>
      <c r="D78" s="3" t="n">
        <v>46263</v>
      </c>
      <c r="E78" s="2" t="s">
        <v>472</v>
      </c>
      <c r="F78" s="2" t="s">
        <v>483</v>
      </c>
      <c r="G78" s="2" t="n">
        <v>1</v>
      </c>
      <c r="H78" s="2" t="s">
        <v>490</v>
      </c>
      <c r="I78" s="2" t="s">
        <v>495</v>
      </c>
    </row>
    <row r="79" customFormat="false" ht="15" hidden="false" customHeight="false" outlineLevel="0" collapsed="false">
      <c r="A79" s="2" t="s">
        <v>569</v>
      </c>
      <c r="B79" s="2" t="s">
        <v>265</v>
      </c>
      <c r="C79" s="2" t="s">
        <v>266</v>
      </c>
      <c r="D79" s="3" t="n">
        <v>46235</v>
      </c>
      <c r="E79" s="2" t="s">
        <v>474</v>
      </c>
      <c r="F79" s="2" t="s">
        <v>483</v>
      </c>
      <c r="G79" s="2" t="n">
        <v>1</v>
      </c>
      <c r="H79" s="2" t="s">
        <v>490</v>
      </c>
      <c r="I79" s="2" t="s">
        <v>499</v>
      </c>
    </row>
    <row r="80" customFormat="false" ht="15" hidden="false" customHeight="false" outlineLevel="0" collapsed="false">
      <c r="A80" s="2" t="s">
        <v>570</v>
      </c>
      <c r="B80" s="2" t="s">
        <v>267</v>
      </c>
      <c r="C80" s="2" t="s">
        <v>268</v>
      </c>
      <c r="D80" s="3" t="n">
        <v>46248</v>
      </c>
      <c r="E80" s="2" t="s">
        <v>470</v>
      </c>
      <c r="F80" s="2" t="s">
        <v>483</v>
      </c>
      <c r="G80" s="2" t="n">
        <v>1</v>
      </c>
      <c r="H80" s="2" t="s">
        <v>490</v>
      </c>
      <c r="I80" s="2" t="s">
        <v>491</v>
      </c>
    </row>
    <row r="81" customFormat="false" ht="15" hidden="false" customHeight="false" outlineLevel="0" collapsed="false">
      <c r="A81" s="2" t="s">
        <v>571</v>
      </c>
      <c r="B81" s="2" t="s">
        <v>267</v>
      </c>
      <c r="C81" s="2" t="s">
        <v>268</v>
      </c>
      <c r="D81" s="3" t="n">
        <v>46252</v>
      </c>
      <c r="E81" s="2" t="s">
        <v>474</v>
      </c>
      <c r="F81" s="2" t="s">
        <v>483</v>
      </c>
      <c r="G81" s="2" t="n">
        <v>1</v>
      </c>
      <c r="H81" s="2" t="s">
        <v>490</v>
      </c>
      <c r="I81" s="2" t="s">
        <v>499</v>
      </c>
    </row>
    <row r="82" customFormat="false" ht="15" hidden="false" customHeight="false" outlineLevel="0" collapsed="false">
      <c r="A82" s="2" t="s">
        <v>572</v>
      </c>
      <c r="B82" s="2" t="s">
        <v>281</v>
      </c>
      <c r="C82" s="2" t="s">
        <v>282</v>
      </c>
      <c r="D82" s="3" t="n">
        <v>46262</v>
      </c>
      <c r="E82" s="2" t="s">
        <v>464</v>
      </c>
      <c r="F82" s="2" t="s">
        <v>483</v>
      </c>
      <c r="G82" s="2" t="n">
        <v>1</v>
      </c>
      <c r="H82" s="2" t="s">
        <v>503</v>
      </c>
      <c r="I82" s="2" t="s">
        <v>485</v>
      </c>
    </row>
    <row r="83" customFormat="false" ht="15" hidden="false" customHeight="false" outlineLevel="0" collapsed="false">
      <c r="A83" s="2" t="s">
        <v>573</v>
      </c>
      <c r="B83" s="2" t="s">
        <v>283</v>
      </c>
      <c r="C83" s="2" t="s">
        <v>284</v>
      </c>
      <c r="D83" s="3" t="n">
        <v>46241</v>
      </c>
      <c r="E83" s="2" t="s">
        <v>464</v>
      </c>
      <c r="F83" s="2" t="s">
        <v>483</v>
      </c>
      <c r="G83" s="2" t="n">
        <v>1</v>
      </c>
      <c r="H83" s="2" t="s">
        <v>484</v>
      </c>
      <c r="I83" s="2" t="s">
        <v>485</v>
      </c>
    </row>
    <row r="84" customFormat="false" ht="15" hidden="false" customHeight="false" outlineLevel="0" collapsed="false">
      <c r="A84" s="2" t="s">
        <v>574</v>
      </c>
      <c r="B84" s="2" t="s">
        <v>285</v>
      </c>
      <c r="C84" s="2" t="s">
        <v>286</v>
      </c>
      <c r="D84" s="3" t="n">
        <v>46260</v>
      </c>
      <c r="E84" s="2" t="s">
        <v>468</v>
      </c>
      <c r="F84" s="2" t="s">
        <v>487</v>
      </c>
      <c r="G84" s="2" t="n">
        <v>1</v>
      </c>
      <c r="H84" s="2" t="s">
        <v>490</v>
      </c>
      <c r="I84" s="2" t="s">
        <v>488</v>
      </c>
    </row>
    <row r="85" customFormat="false" ht="15" hidden="false" customHeight="false" outlineLevel="0" collapsed="false">
      <c r="A85" s="2" t="s">
        <v>575</v>
      </c>
      <c r="B85" s="2" t="s">
        <v>287</v>
      </c>
      <c r="C85" s="2" t="s">
        <v>288</v>
      </c>
      <c r="D85" s="3" t="n">
        <v>46255</v>
      </c>
      <c r="E85" s="2" t="s">
        <v>474</v>
      </c>
      <c r="F85" s="2" t="s">
        <v>483</v>
      </c>
      <c r="G85" s="2" t="n">
        <v>1</v>
      </c>
      <c r="H85" s="2" t="s">
        <v>490</v>
      </c>
      <c r="I85" s="2" t="s">
        <v>499</v>
      </c>
    </row>
    <row r="86" customFormat="false" ht="15" hidden="false" customHeight="false" outlineLevel="0" collapsed="false">
      <c r="A86" s="2" t="s">
        <v>576</v>
      </c>
      <c r="B86" s="2" t="s">
        <v>289</v>
      </c>
      <c r="C86" s="2" t="s">
        <v>290</v>
      </c>
      <c r="D86" s="3" t="n">
        <v>46242</v>
      </c>
      <c r="E86" s="2" t="s">
        <v>472</v>
      </c>
      <c r="F86" s="2" t="s">
        <v>483</v>
      </c>
      <c r="G86" s="2" t="n">
        <v>1</v>
      </c>
      <c r="H86" s="2" t="s">
        <v>490</v>
      </c>
      <c r="I86" s="2" t="s">
        <v>495</v>
      </c>
    </row>
    <row r="87" customFormat="false" ht="15" hidden="false" customHeight="false" outlineLevel="0" collapsed="false">
      <c r="A87" s="2" t="s">
        <v>577</v>
      </c>
      <c r="B87" s="2" t="s">
        <v>289</v>
      </c>
      <c r="C87" s="2" t="s">
        <v>290</v>
      </c>
      <c r="D87" s="3" t="n">
        <v>46258</v>
      </c>
      <c r="E87" s="2" t="s">
        <v>468</v>
      </c>
      <c r="F87" s="2" t="s">
        <v>487</v>
      </c>
      <c r="G87" s="2" t="n">
        <v>1</v>
      </c>
      <c r="H87" s="2" t="s">
        <v>484</v>
      </c>
      <c r="I87" s="2" t="s">
        <v>488</v>
      </c>
    </row>
    <row r="88" customFormat="false" ht="15" hidden="false" customHeight="false" outlineLevel="0" collapsed="false">
      <c r="A88" s="2" t="s">
        <v>578</v>
      </c>
      <c r="B88" s="2" t="s">
        <v>295</v>
      </c>
      <c r="C88" s="2" t="s">
        <v>296</v>
      </c>
      <c r="D88" s="3" t="n">
        <v>46244</v>
      </c>
      <c r="E88" s="2" t="s">
        <v>464</v>
      </c>
      <c r="F88" s="2" t="s">
        <v>483</v>
      </c>
      <c r="G88" s="2" t="n">
        <v>1</v>
      </c>
      <c r="H88" s="2" t="s">
        <v>490</v>
      </c>
      <c r="I88" s="2" t="s">
        <v>485</v>
      </c>
    </row>
    <row r="89" customFormat="false" ht="15" hidden="false" customHeight="false" outlineLevel="0" collapsed="false">
      <c r="A89" s="2" t="s">
        <v>579</v>
      </c>
      <c r="B89" s="2" t="s">
        <v>295</v>
      </c>
      <c r="C89" s="2" t="s">
        <v>296</v>
      </c>
      <c r="D89" s="3" t="n">
        <v>46253</v>
      </c>
      <c r="E89" s="2" t="s">
        <v>470</v>
      </c>
      <c r="F89" s="2" t="s">
        <v>483</v>
      </c>
      <c r="G89" s="2" t="n">
        <v>1</v>
      </c>
      <c r="H89" s="2" t="s">
        <v>490</v>
      </c>
      <c r="I89" s="2" t="s">
        <v>491</v>
      </c>
    </row>
    <row r="90" customFormat="false" ht="15" hidden="false" customHeight="false" outlineLevel="0" collapsed="false">
      <c r="A90" s="2" t="s">
        <v>580</v>
      </c>
      <c r="B90" s="2" t="s">
        <v>299</v>
      </c>
      <c r="C90" s="2" t="s">
        <v>300</v>
      </c>
      <c r="D90" s="3" t="n">
        <v>46238</v>
      </c>
      <c r="E90" s="2" t="s">
        <v>472</v>
      </c>
      <c r="F90" s="2" t="s">
        <v>483</v>
      </c>
      <c r="G90" s="2" t="n">
        <v>1</v>
      </c>
      <c r="H90" s="2" t="s">
        <v>490</v>
      </c>
      <c r="I90" s="2" t="s">
        <v>495</v>
      </c>
    </row>
    <row r="91" customFormat="false" ht="15" hidden="false" customHeight="false" outlineLevel="0" collapsed="false">
      <c r="A91" s="2" t="s">
        <v>581</v>
      </c>
      <c r="B91" s="2" t="s">
        <v>299</v>
      </c>
      <c r="C91" s="2" t="s">
        <v>300</v>
      </c>
      <c r="D91" s="3" t="n">
        <v>46263</v>
      </c>
      <c r="E91" s="2" t="s">
        <v>472</v>
      </c>
      <c r="F91" s="2" t="s">
        <v>483</v>
      </c>
      <c r="G91" s="2" t="n">
        <v>1</v>
      </c>
      <c r="H91" s="2" t="s">
        <v>490</v>
      </c>
      <c r="I91" s="2" t="s">
        <v>495</v>
      </c>
    </row>
    <row r="92" customFormat="false" ht="15" hidden="false" customHeight="false" outlineLevel="0" collapsed="false">
      <c r="A92" s="2" t="s">
        <v>582</v>
      </c>
      <c r="B92" s="2" t="s">
        <v>303</v>
      </c>
      <c r="C92" s="2" t="s">
        <v>304</v>
      </c>
      <c r="D92" s="3" t="n">
        <v>46237</v>
      </c>
      <c r="E92" s="2" t="s">
        <v>468</v>
      </c>
      <c r="F92" s="2" t="s">
        <v>487</v>
      </c>
      <c r="G92" s="2" t="n">
        <v>1</v>
      </c>
      <c r="H92" s="2" t="s">
        <v>490</v>
      </c>
      <c r="I92" s="2" t="s">
        <v>488</v>
      </c>
    </row>
    <row r="93" customFormat="false" ht="15" hidden="false" customHeight="false" outlineLevel="0" collapsed="false">
      <c r="A93" s="2" t="s">
        <v>583</v>
      </c>
      <c r="B93" s="2" t="s">
        <v>303</v>
      </c>
      <c r="C93" s="2" t="s">
        <v>304</v>
      </c>
      <c r="D93" s="3" t="n">
        <v>46256</v>
      </c>
      <c r="E93" s="2" t="s">
        <v>464</v>
      </c>
      <c r="F93" s="2" t="s">
        <v>483</v>
      </c>
      <c r="G93" s="2" t="n">
        <v>1</v>
      </c>
      <c r="H93" s="2" t="s">
        <v>490</v>
      </c>
      <c r="I93" s="2" t="s">
        <v>485</v>
      </c>
    </row>
    <row r="94" customFormat="false" ht="15" hidden="false" customHeight="false" outlineLevel="0" collapsed="false">
      <c r="A94" s="2" t="s">
        <v>584</v>
      </c>
      <c r="B94" s="2" t="s">
        <v>307</v>
      </c>
      <c r="C94" s="2" t="s">
        <v>308</v>
      </c>
      <c r="D94" s="3" t="n">
        <v>46244</v>
      </c>
      <c r="E94" s="2" t="s">
        <v>470</v>
      </c>
      <c r="F94" s="2" t="s">
        <v>483</v>
      </c>
      <c r="G94" s="2" t="n">
        <v>1</v>
      </c>
      <c r="H94" s="2" t="s">
        <v>490</v>
      </c>
      <c r="I94" s="2" t="s">
        <v>491</v>
      </c>
    </row>
    <row r="95" customFormat="false" ht="15" hidden="false" customHeight="false" outlineLevel="0" collapsed="false">
      <c r="A95" s="2" t="s">
        <v>585</v>
      </c>
      <c r="B95" s="2" t="s">
        <v>309</v>
      </c>
      <c r="C95" s="2" t="s">
        <v>310</v>
      </c>
      <c r="D95" s="3" t="n">
        <v>46246</v>
      </c>
      <c r="E95" s="2" t="s">
        <v>474</v>
      </c>
      <c r="F95" s="2" t="s">
        <v>483</v>
      </c>
      <c r="G95" s="2" t="n">
        <v>1</v>
      </c>
      <c r="H95" s="2" t="s">
        <v>490</v>
      </c>
      <c r="I95" s="2" t="s">
        <v>499</v>
      </c>
    </row>
    <row r="96" customFormat="false" ht="15" hidden="false" customHeight="false" outlineLevel="0" collapsed="false">
      <c r="A96" s="2" t="s">
        <v>586</v>
      </c>
      <c r="B96" s="2" t="s">
        <v>313</v>
      </c>
      <c r="C96" s="2" t="s">
        <v>314</v>
      </c>
      <c r="D96" s="3" t="n">
        <v>46242</v>
      </c>
      <c r="E96" s="2" t="s">
        <v>464</v>
      </c>
      <c r="F96" s="2" t="s">
        <v>483</v>
      </c>
      <c r="G96" s="2" t="n">
        <v>1</v>
      </c>
      <c r="H96" s="2" t="s">
        <v>490</v>
      </c>
      <c r="I96" s="2" t="s">
        <v>485</v>
      </c>
    </row>
    <row r="97" customFormat="false" ht="15" hidden="false" customHeight="false" outlineLevel="0" collapsed="false">
      <c r="A97" s="2" t="s">
        <v>587</v>
      </c>
      <c r="B97" s="2" t="s">
        <v>313</v>
      </c>
      <c r="C97" s="2" t="s">
        <v>314</v>
      </c>
      <c r="D97" s="3" t="n">
        <v>46263</v>
      </c>
      <c r="E97" s="2" t="s">
        <v>470</v>
      </c>
      <c r="F97" s="2" t="s">
        <v>483</v>
      </c>
      <c r="G97" s="2" t="n">
        <v>1</v>
      </c>
      <c r="H97" s="2" t="s">
        <v>490</v>
      </c>
      <c r="I97" s="2" t="s">
        <v>491</v>
      </c>
    </row>
    <row r="98" customFormat="false" ht="15" hidden="false" customHeight="false" outlineLevel="0" collapsed="false">
      <c r="A98" s="2" t="s">
        <v>588</v>
      </c>
      <c r="B98" s="2" t="s">
        <v>315</v>
      </c>
      <c r="C98" s="2" t="s">
        <v>316</v>
      </c>
      <c r="D98" s="3" t="n">
        <v>46238</v>
      </c>
      <c r="E98" s="2" t="s">
        <v>470</v>
      </c>
      <c r="F98" s="2" t="s">
        <v>483</v>
      </c>
      <c r="G98" s="2" t="n">
        <v>1</v>
      </c>
      <c r="H98" s="2" t="s">
        <v>490</v>
      </c>
      <c r="I98" s="2" t="s">
        <v>491</v>
      </c>
    </row>
    <row r="99" customFormat="false" ht="15" hidden="false" customHeight="false" outlineLevel="0" collapsed="false">
      <c r="A99" s="2" t="s">
        <v>589</v>
      </c>
      <c r="B99" s="2" t="s">
        <v>315</v>
      </c>
      <c r="C99" s="2" t="s">
        <v>316</v>
      </c>
      <c r="D99" s="3" t="n">
        <v>46262</v>
      </c>
      <c r="E99" s="2" t="s">
        <v>470</v>
      </c>
      <c r="F99" s="2" t="s">
        <v>483</v>
      </c>
      <c r="G99" s="2" t="n">
        <v>1</v>
      </c>
      <c r="H99" s="2" t="s">
        <v>490</v>
      </c>
      <c r="I99" s="2" t="s">
        <v>491</v>
      </c>
    </row>
    <row r="100" customFormat="false" ht="15" hidden="false" customHeight="false" outlineLevel="0" collapsed="false">
      <c r="A100" s="2" t="s">
        <v>590</v>
      </c>
      <c r="B100" s="2" t="s">
        <v>317</v>
      </c>
      <c r="C100" s="2" t="s">
        <v>318</v>
      </c>
      <c r="D100" s="3" t="n">
        <v>46258</v>
      </c>
      <c r="E100" s="2" t="s">
        <v>464</v>
      </c>
      <c r="F100" s="2" t="s">
        <v>483</v>
      </c>
      <c r="G100" s="2" t="n">
        <v>1</v>
      </c>
      <c r="H100" s="2" t="s">
        <v>490</v>
      </c>
      <c r="I100" s="2" t="s">
        <v>485</v>
      </c>
    </row>
    <row r="101" customFormat="false" ht="15" hidden="false" customHeight="false" outlineLevel="0" collapsed="false">
      <c r="A101" s="2" t="s">
        <v>591</v>
      </c>
      <c r="B101" s="2" t="s">
        <v>323</v>
      </c>
      <c r="C101" s="2" t="s">
        <v>324</v>
      </c>
      <c r="D101" s="3" t="n">
        <v>46249</v>
      </c>
      <c r="E101" s="2" t="s">
        <v>470</v>
      </c>
      <c r="F101" s="2" t="s">
        <v>483</v>
      </c>
      <c r="G101" s="2" t="n">
        <v>1</v>
      </c>
      <c r="H101" s="2" t="s">
        <v>490</v>
      </c>
      <c r="I101" s="2" t="s">
        <v>491</v>
      </c>
    </row>
    <row r="102" customFormat="false" ht="15" hidden="false" customHeight="false" outlineLevel="0" collapsed="false">
      <c r="A102" s="2" t="s">
        <v>592</v>
      </c>
      <c r="B102" s="2" t="s">
        <v>327</v>
      </c>
      <c r="C102" s="2" t="s">
        <v>328</v>
      </c>
      <c r="D102" s="3" t="n">
        <v>46246</v>
      </c>
      <c r="E102" s="2" t="s">
        <v>474</v>
      </c>
      <c r="F102" s="2" t="s">
        <v>483</v>
      </c>
      <c r="G102" s="2" t="n">
        <v>1</v>
      </c>
      <c r="H102" s="2" t="s">
        <v>490</v>
      </c>
      <c r="I102" s="2" t="s">
        <v>499</v>
      </c>
    </row>
    <row r="103" customFormat="false" ht="15" hidden="false" customHeight="false" outlineLevel="0" collapsed="false">
      <c r="A103" s="2" t="s">
        <v>593</v>
      </c>
      <c r="B103" s="2" t="s">
        <v>331</v>
      </c>
      <c r="C103" s="2" t="s">
        <v>332</v>
      </c>
      <c r="D103" s="3" t="n">
        <v>46235</v>
      </c>
      <c r="E103" s="2" t="s">
        <v>474</v>
      </c>
      <c r="F103" s="2" t="s">
        <v>483</v>
      </c>
      <c r="G103" s="2" t="n">
        <v>1</v>
      </c>
      <c r="H103" s="2" t="s">
        <v>490</v>
      </c>
      <c r="I103" s="2" t="s">
        <v>499</v>
      </c>
    </row>
    <row r="104" customFormat="false" ht="15" hidden="false" customHeight="false" outlineLevel="0" collapsed="false">
      <c r="A104" s="2" t="s">
        <v>594</v>
      </c>
      <c r="B104" s="2" t="s">
        <v>335</v>
      </c>
      <c r="C104" s="2" t="s">
        <v>336</v>
      </c>
      <c r="D104" s="3" t="n">
        <v>46260</v>
      </c>
      <c r="E104" s="2" t="s">
        <v>464</v>
      </c>
      <c r="F104" s="2" t="s">
        <v>483</v>
      </c>
      <c r="G104" s="2" t="n">
        <v>1</v>
      </c>
      <c r="H104" s="2" t="s">
        <v>490</v>
      </c>
      <c r="I104" s="2" t="s">
        <v>485</v>
      </c>
    </row>
    <row r="105" customFormat="false" ht="15" hidden="false" customHeight="false" outlineLevel="0" collapsed="false">
      <c r="A105" s="2" t="s">
        <v>595</v>
      </c>
      <c r="B105" s="2" t="s">
        <v>337</v>
      </c>
      <c r="C105" s="2" t="s">
        <v>338</v>
      </c>
      <c r="D105" s="3" t="n">
        <v>46239</v>
      </c>
      <c r="E105" s="2" t="s">
        <v>468</v>
      </c>
      <c r="F105" s="2" t="s">
        <v>487</v>
      </c>
      <c r="G105" s="2" t="n">
        <v>1</v>
      </c>
      <c r="H105" s="2" t="s">
        <v>490</v>
      </c>
      <c r="I105" s="2" t="s">
        <v>488</v>
      </c>
    </row>
    <row r="106" customFormat="false" ht="15" hidden="false" customHeight="false" outlineLevel="0" collapsed="false">
      <c r="A106" s="2" t="s">
        <v>596</v>
      </c>
      <c r="B106" s="2" t="s">
        <v>337</v>
      </c>
      <c r="C106" s="2" t="s">
        <v>338</v>
      </c>
      <c r="D106" s="3" t="n">
        <v>46263</v>
      </c>
      <c r="E106" s="2" t="s">
        <v>470</v>
      </c>
      <c r="F106" s="2" t="s">
        <v>483</v>
      </c>
      <c r="G106" s="2" t="n">
        <v>1</v>
      </c>
      <c r="H106" s="2" t="s">
        <v>490</v>
      </c>
      <c r="I106" s="2" t="s">
        <v>491</v>
      </c>
    </row>
    <row r="107" customFormat="false" ht="15" hidden="false" customHeight="false" outlineLevel="0" collapsed="false">
      <c r="A107" s="2" t="s">
        <v>597</v>
      </c>
      <c r="B107" s="2" t="s">
        <v>339</v>
      </c>
      <c r="C107" s="2" t="s">
        <v>340</v>
      </c>
      <c r="D107" s="3" t="n">
        <v>46265</v>
      </c>
      <c r="E107" s="2" t="s">
        <v>468</v>
      </c>
      <c r="F107" s="2" t="s">
        <v>487</v>
      </c>
      <c r="G107" s="2" t="n">
        <v>1</v>
      </c>
      <c r="H107" s="2" t="s">
        <v>490</v>
      </c>
      <c r="I107" s="2" t="s">
        <v>488</v>
      </c>
    </row>
    <row r="108" customFormat="false" ht="15" hidden="false" customHeight="false" outlineLevel="0" collapsed="false">
      <c r="A108" s="2" t="s">
        <v>598</v>
      </c>
      <c r="B108" s="2" t="s">
        <v>341</v>
      </c>
      <c r="C108" s="2" t="s">
        <v>342</v>
      </c>
      <c r="D108" s="3" t="n">
        <v>46258</v>
      </c>
      <c r="E108" s="2" t="s">
        <v>470</v>
      </c>
      <c r="F108" s="2" t="s">
        <v>483</v>
      </c>
      <c r="G108" s="2" t="n">
        <v>1</v>
      </c>
      <c r="H108" s="2" t="s">
        <v>484</v>
      </c>
      <c r="I108" s="2" t="s">
        <v>491</v>
      </c>
    </row>
    <row r="109" customFormat="false" ht="15" hidden="false" customHeight="false" outlineLevel="0" collapsed="false">
      <c r="A109" s="2" t="s">
        <v>599</v>
      </c>
      <c r="B109" s="2" t="s">
        <v>345</v>
      </c>
      <c r="C109" s="2" t="s">
        <v>346</v>
      </c>
      <c r="D109" s="3" t="n">
        <v>46265</v>
      </c>
      <c r="E109" s="2" t="s">
        <v>472</v>
      </c>
      <c r="F109" s="2" t="s">
        <v>483</v>
      </c>
      <c r="G109" s="2" t="n">
        <v>1</v>
      </c>
      <c r="H109" s="2" t="s">
        <v>490</v>
      </c>
      <c r="I109" s="2" t="s">
        <v>495</v>
      </c>
    </row>
    <row r="110" customFormat="false" ht="15" hidden="false" customHeight="false" outlineLevel="0" collapsed="false">
      <c r="A110" s="2" t="s">
        <v>600</v>
      </c>
      <c r="B110" s="2" t="s">
        <v>353</v>
      </c>
      <c r="C110" s="2" t="s">
        <v>354</v>
      </c>
      <c r="D110" s="3" t="n">
        <v>46252</v>
      </c>
      <c r="E110" s="2" t="s">
        <v>474</v>
      </c>
      <c r="F110" s="2" t="s">
        <v>483</v>
      </c>
      <c r="G110" s="2" t="n">
        <v>1</v>
      </c>
      <c r="H110" s="2" t="s">
        <v>490</v>
      </c>
      <c r="I110" s="2" t="s">
        <v>499</v>
      </c>
    </row>
    <row r="111" customFormat="false" ht="15" hidden="false" customHeight="false" outlineLevel="0" collapsed="false">
      <c r="A111" s="2" t="s">
        <v>601</v>
      </c>
      <c r="B111" s="2" t="s">
        <v>357</v>
      </c>
      <c r="C111" s="2" t="s">
        <v>358</v>
      </c>
      <c r="D111" s="3" t="n">
        <v>46237</v>
      </c>
      <c r="E111" s="2" t="s">
        <v>472</v>
      </c>
      <c r="F111" s="2" t="s">
        <v>483</v>
      </c>
      <c r="G111" s="2" t="n">
        <v>1</v>
      </c>
      <c r="H111" s="2" t="s">
        <v>490</v>
      </c>
      <c r="I111" s="2" t="s">
        <v>495</v>
      </c>
    </row>
    <row r="112" customFormat="false" ht="15" hidden="false" customHeight="false" outlineLevel="0" collapsed="false">
      <c r="A112" s="2" t="s">
        <v>602</v>
      </c>
      <c r="B112" s="2" t="s">
        <v>359</v>
      </c>
      <c r="C112" s="2" t="s">
        <v>360</v>
      </c>
      <c r="D112" s="3" t="n">
        <v>46238</v>
      </c>
      <c r="E112" s="2" t="s">
        <v>474</v>
      </c>
      <c r="F112" s="2" t="s">
        <v>483</v>
      </c>
      <c r="G112" s="2" t="n">
        <v>1</v>
      </c>
      <c r="H112" s="2" t="s">
        <v>490</v>
      </c>
      <c r="I112" s="2" t="s">
        <v>499</v>
      </c>
    </row>
    <row r="113" customFormat="false" ht="15" hidden="false" customHeight="false" outlineLevel="0" collapsed="false">
      <c r="A113" s="2" t="s">
        <v>603</v>
      </c>
      <c r="B113" s="2" t="s">
        <v>359</v>
      </c>
      <c r="C113" s="2" t="s">
        <v>360</v>
      </c>
      <c r="D113" s="3" t="n">
        <v>46262</v>
      </c>
      <c r="E113" s="2" t="s">
        <v>468</v>
      </c>
      <c r="F113" s="2" t="s">
        <v>487</v>
      </c>
      <c r="G113" s="2" t="n">
        <v>1</v>
      </c>
      <c r="H113" s="2" t="s">
        <v>490</v>
      </c>
      <c r="I113" s="2" t="s">
        <v>488</v>
      </c>
    </row>
    <row r="114" customFormat="false" ht="15" hidden="false" customHeight="false" outlineLevel="0" collapsed="false">
      <c r="A114" s="2" t="s">
        <v>604</v>
      </c>
      <c r="B114" s="2" t="s">
        <v>361</v>
      </c>
      <c r="C114" s="2" t="s">
        <v>362</v>
      </c>
      <c r="D114" s="3" t="n">
        <v>46261</v>
      </c>
      <c r="E114" s="2" t="s">
        <v>468</v>
      </c>
      <c r="F114" s="2" t="s">
        <v>487</v>
      </c>
      <c r="G114" s="2" t="n">
        <v>1</v>
      </c>
      <c r="H114" s="2" t="s">
        <v>490</v>
      </c>
      <c r="I114" s="2" t="s">
        <v>488</v>
      </c>
    </row>
    <row r="115" customFormat="false" ht="15" hidden="false" customHeight="false" outlineLevel="0" collapsed="false">
      <c r="A115" s="2" t="s">
        <v>605</v>
      </c>
      <c r="B115" s="2" t="s">
        <v>365</v>
      </c>
      <c r="C115" s="2" t="s">
        <v>366</v>
      </c>
      <c r="D115" s="3" t="n">
        <v>46241</v>
      </c>
      <c r="E115" s="2" t="s">
        <v>468</v>
      </c>
      <c r="F115" s="2" t="s">
        <v>487</v>
      </c>
      <c r="G115" s="2" t="n">
        <v>1</v>
      </c>
      <c r="H115" s="2" t="s">
        <v>490</v>
      </c>
      <c r="I115" s="2" t="s">
        <v>488</v>
      </c>
    </row>
    <row r="116" customFormat="false" ht="15" hidden="false" customHeight="false" outlineLevel="0" collapsed="false">
      <c r="A116" s="2" t="s">
        <v>606</v>
      </c>
      <c r="B116" s="2" t="s">
        <v>365</v>
      </c>
      <c r="C116" s="2" t="s">
        <v>366</v>
      </c>
      <c r="D116" s="3" t="n">
        <v>46263</v>
      </c>
      <c r="E116" s="2" t="s">
        <v>470</v>
      </c>
      <c r="F116" s="2" t="s">
        <v>483</v>
      </c>
      <c r="G116" s="2" t="n">
        <v>1</v>
      </c>
      <c r="H116" s="2" t="s">
        <v>490</v>
      </c>
      <c r="I116" s="2" t="s">
        <v>491</v>
      </c>
    </row>
    <row r="117" customFormat="false" ht="15" hidden="false" customHeight="false" outlineLevel="0" collapsed="false">
      <c r="A117" s="2" t="s">
        <v>607</v>
      </c>
      <c r="B117" s="2" t="s">
        <v>369</v>
      </c>
      <c r="C117" s="2" t="s">
        <v>370</v>
      </c>
      <c r="D117" s="3" t="n">
        <v>46249</v>
      </c>
      <c r="E117" s="2" t="s">
        <v>472</v>
      </c>
      <c r="F117" s="2" t="s">
        <v>483</v>
      </c>
      <c r="G117" s="2" t="n">
        <v>1</v>
      </c>
      <c r="H117" s="2" t="s">
        <v>490</v>
      </c>
      <c r="I117" s="2" t="s">
        <v>495</v>
      </c>
    </row>
    <row r="118" customFormat="false" ht="15" hidden="false" customHeight="false" outlineLevel="0" collapsed="false">
      <c r="A118" s="2" t="s">
        <v>608</v>
      </c>
      <c r="B118" s="2" t="s">
        <v>369</v>
      </c>
      <c r="C118" s="2" t="s">
        <v>370</v>
      </c>
      <c r="D118" s="3" t="n">
        <v>46259</v>
      </c>
      <c r="E118" s="2" t="s">
        <v>474</v>
      </c>
      <c r="F118" s="2" t="s">
        <v>483</v>
      </c>
      <c r="G118" s="2" t="n">
        <v>1</v>
      </c>
      <c r="H118" s="2" t="s">
        <v>490</v>
      </c>
      <c r="I118" s="2" t="s">
        <v>499</v>
      </c>
    </row>
    <row r="119" customFormat="false" ht="15" hidden="false" customHeight="false" outlineLevel="0" collapsed="false">
      <c r="A119" s="2" t="s">
        <v>609</v>
      </c>
      <c r="B119" s="2" t="s">
        <v>373</v>
      </c>
      <c r="C119" s="2" t="s">
        <v>374</v>
      </c>
      <c r="D119" s="3" t="n">
        <v>46239</v>
      </c>
      <c r="E119" s="2" t="s">
        <v>468</v>
      </c>
      <c r="F119" s="2" t="s">
        <v>487</v>
      </c>
      <c r="G119" s="2" t="n">
        <v>1</v>
      </c>
      <c r="H119" s="2" t="s">
        <v>490</v>
      </c>
      <c r="I119" s="2" t="s">
        <v>488</v>
      </c>
    </row>
    <row r="120" customFormat="false" ht="15" hidden="false" customHeight="false" outlineLevel="0" collapsed="false">
      <c r="A120" s="2" t="s">
        <v>610</v>
      </c>
      <c r="B120" s="2" t="s">
        <v>377</v>
      </c>
      <c r="C120" s="2" t="s">
        <v>378</v>
      </c>
      <c r="D120" s="3" t="n">
        <v>46239</v>
      </c>
      <c r="E120" s="2" t="s">
        <v>470</v>
      </c>
      <c r="F120" s="2" t="s">
        <v>483</v>
      </c>
      <c r="G120" s="2" t="n">
        <v>1</v>
      </c>
      <c r="H120" s="2" t="s">
        <v>490</v>
      </c>
      <c r="I120" s="2" t="s">
        <v>491</v>
      </c>
    </row>
    <row r="121" customFormat="false" ht="15" hidden="false" customHeight="false" outlineLevel="0" collapsed="false">
      <c r="A121" s="2" t="s">
        <v>611</v>
      </c>
      <c r="B121" s="2" t="s">
        <v>379</v>
      </c>
      <c r="C121" s="2" t="s">
        <v>380</v>
      </c>
      <c r="D121" s="3" t="n">
        <v>46242</v>
      </c>
      <c r="E121" s="2" t="s">
        <v>470</v>
      </c>
      <c r="F121" s="2" t="s">
        <v>483</v>
      </c>
      <c r="G121" s="2" t="n">
        <v>1</v>
      </c>
      <c r="H121" s="2" t="s">
        <v>490</v>
      </c>
      <c r="I121" s="2" t="s">
        <v>491</v>
      </c>
    </row>
    <row r="122" customFormat="false" ht="15" hidden="false" customHeight="false" outlineLevel="0" collapsed="false">
      <c r="A122" s="2" t="s">
        <v>612</v>
      </c>
      <c r="B122" s="2" t="s">
        <v>381</v>
      </c>
      <c r="C122" s="2" t="s">
        <v>382</v>
      </c>
      <c r="D122" s="3" t="n">
        <v>46259</v>
      </c>
      <c r="E122" s="2" t="s">
        <v>472</v>
      </c>
      <c r="F122" s="2" t="s">
        <v>483</v>
      </c>
      <c r="G122" s="2" t="n">
        <v>1</v>
      </c>
      <c r="H122" s="2" t="s">
        <v>484</v>
      </c>
      <c r="I122" s="2" t="s">
        <v>495</v>
      </c>
    </row>
    <row r="123" customFormat="false" ht="15" hidden="false" customHeight="false" outlineLevel="0" collapsed="false">
      <c r="A123" s="2" t="s">
        <v>613</v>
      </c>
      <c r="B123" s="2" t="s">
        <v>383</v>
      </c>
      <c r="C123" s="2" t="s">
        <v>384</v>
      </c>
      <c r="D123" s="3" t="n">
        <v>46258</v>
      </c>
      <c r="E123" s="2" t="s">
        <v>474</v>
      </c>
      <c r="F123" s="2" t="s">
        <v>483</v>
      </c>
      <c r="G123" s="2" t="n">
        <v>1</v>
      </c>
      <c r="H123" s="2" t="s">
        <v>484</v>
      </c>
      <c r="I123" s="2" t="s">
        <v>499</v>
      </c>
    </row>
    <row r="124" customFormat="false" ht="15" hidden="false" customHeight="false" outlineLevel="0" collapsed="false">
      <c r="A124" s="2" t="s">
        <v>614</v>
      </c>
      <c r="B124" s="2" t="s">
        <v>383</v>
      </c>
      <c r="C124" s="2" t="s">
        <v>384</v>
      </c>
      <c r="D124" s="3" t="n">
        <v>46265</v>
      </c>
      <c r="E124" s="2" t="s">
        <v>464</v>
      </c>
      <c r="F124" s="2" t="s">
        <v>483</v>
      </c>
      <c r="G124" s="2" t="n">
        <v>1</v>
      </c>
      <c r="H124" s="2" t="s">
        <v>490</v>
      </c>
      <c r="I124" s="2" t="s">
        <v>485</v>
      </c>
    </row>
    <row r="125" customFormat="false" ht="15" hidden="false" customHeight="false" outlineLevel="0" collapsed="false">
      <c r="A125" s="2" t="s">
        <v>615</v>
      </c>
      <c r="B125" s="2" t="s">
        <v>387</v>
      </c>
      <c r="C125" s="2" t="s">
        <v>388</v>
      </c>
      <c r="D125" s="3" t="n">
        <v>46248</v>
      </c>
      <c r="E125" s="2" t="s">
        <v>464</v>
      </c>
      <c r="F125" s="2" t="s">
        <v>483</v>
      </c>
      <c r="G125" s="2" t="n">
        <v>1</v>
      </c>
      <c r="H125" s="2" t="s">
        <v>490</v>
      </c>
      <c r="I125" s="2" t="s">
        <v>485</v>
      </c>
    </row>
    <row r="126" customFormat="false" ht="15" hidden="false" customHeight="false" outlineLevel="0" collapsed="false">
      <c r="A126" s="2" t="s">
        <v>616</v>
      </c>
      <c r="B126" s="2" t="s">
        <v>387</v>
      </c>
      <c r="C126" s="2" t="s">
        <v>388</v>
      </c>
      <c r="D126" s="3" t="n">
        <v>46253</v>
      </c>
      <c r="E126" s="2" t="s">
        <v>464</v>
      </c>
      <c r="F126" s="2" t="s">
        <v>483</v>
      </c>
      <c r="G126" s="2" t="n">
        <v>1</v>
      </c>
      <c r="H126" s="2" t="s">
        <v>490</v>
      </c>
      <c r="I126" s="2" t="s">
        <v>485</v>
      </c>
    </row>
    <row r="127" customFormat="false" ht="15" hidden="false" customHeight="false" outlineLevel="0" collapsed="false">
      <c r="A127" s="2" t="s">
        <v>617</v>
      </c>
      <c r="B127" s="2" t="s">
        <v>391</v>
      </c>
      <c r="C127" s="2" t="s">
        <v>392</v>
      </c>
      <c r="D127" s="3" t="n">
        <v>46255</v>
      </c>
      <c r="E127" s="2" t="s">
        <v>470</v>
      </c>
      <c r="F127" s="2" t="s">
        <v>483</v>
      </c>
      <c r="G127" s="2" t="n">
        <v>1</v>
      </c>
      <c r="H127" s="2" t="s">
        <v>490</v>
      </c>
      <c r="I127" s="2" t="s">
        <v>491</v>
      </c>
    </row>
    <row r="128" customFormat="false" ht="15" hidden="false" customHeight="false" outlineLevel="0" collapsed="false">
      <c r="A128" s="2" t="s">
        <v>618</v>
      </c>
      <c r="B128" s="2" t="s">
        <v>393</v>
      </c>
      <c r="C128" s="2" t="s">
        <v>394</v>
      </c>
      <c r="D128" s="3" t="n">
        <v>46237</v>
      </c>
      <c r="E128" s="2" t="s">
        <v>470</v>
      </c>
      <c r="F128" s="2" t="s">
        <v>483</v>
      </c>
      <c r="G128" s="2" t="n">
        <v>1</v>
      </c>
      <c r="H128" s="2" t="s">
        <v>490</v>
      </c>
      <c r="I128" s="2" t="s">
        <v>491</v>
      </c>
    </row>
    <row r="129" customFormat="false" ht="15" hidden="false" customHeight="false" outlineLevel="0" collapsed="false">
      <c r="A129" s="2" t="s">
        <v>619</v>
      </c>
      <c r="B129" s="2" t="s">
        <v>393</v>
      </c>
      <c r="C129" s="2" t="s">
        <v>394</v>
      </c>
      <c r="D129" s="3" t="n">
        <v>46252</v>
      </c>
      <c r="E129" s="2" t="s">
        <v>464</v>
      </c>
      <c r="F129" s="2" t="s">
        <v>483</v>
      </c>
      <c r="G129" s="2" t="n">
        <v>1</v>
      </c>
      <c r="H129" s="2" t="s">
        <v>490</v>
      </c>
      <c r="I129" s="2" t="s">
        <v>485</v>
      </c>
    </row>
    <row r="130" customFormat="false" ht="15" hidden="false" customHeight="false" outlineLevel="0" collapsed="false">
      <c r="A130" s="2" t="s">
        <v>620</v>
      </c>
      <c r="B130" s="2" t="s">
        <v>395</v>
      </c>
      <c r="C130" s="2" t="s">
        <v>396</v>
      </c>
      <c r="D130" s="3" t="n">
        <v>46261</v>
      </c>
      <c r="E130" s="2" t="s">
        <v>470</v>
      </c>
      <c r="F130" s="2" t="s">
        <v>483</v>
      </c>
      <c r="G130" s="2" t="n">
        <v>1</v>
      </c>
      <c r="H130" s="2" t="s">
        <v>490</v>
      </c>
      <c r="I130" s="2" t="s">
        <v>491</v>
      </c>
    </row>
    <row r="131" customFormat="false" ht="15" hidden="false" customHeight="false" outlineLevel="0" collapsed="false">
      <c r="A131" s="2" t="s">
        <v>621</v>
      </c>
      <c r="B131" s="2" t="s">
        <v>397</v>
      </c>
      <c r="C131" s="2" t="s">
        <v>398</v>
      </c>
      <c r="D131" s="3" t="n">
        <v>46238</v>
      </c>
      <c r="E131" s="2" t="s">
        <v>468</v>
      </c>
      <c r="F131" s="2" t="s">
        <v>487</v>
      </c>
      <c r="G131" s="2" t="n">
        <v>1</v>
      </c>
      <c r="H131" s="2" t="s">
        <v>490</v>
      </c>
      <c r="I131" s="2" t="s">
        <v>488</v>
      </c>
    </row>
    <row r="132" customFormat="false" ht="15" hidden="false" customHeight="false" outlineLevel="0" collapsed="false">
      <c r="A132" s="2" t="s">
        <v>622</v>
      </c>
      <c r="B132" s="2" t="s">
        <v>401</v>
      </c>
      <c r="C132" s="2" t="s">
        <v>402</v>
      </c>
      <c r="D132" s="3" t="n">
        <v>46255</v>
      </c>
      <c r="E132" s="2" t="s">
        <v>474</v>
      </c>
      <c r="F132" s="2" t="s">
        <v>483</v>
      </c>
      <c r="G132" s="2" t="n">
        <v>1</v>
      </c>
      <c r="H132" s="2" t="s">
        <v>503</v>
      </c>
      <c r="I132" s="2" t="s">
        <v>499</v>
      </c>
    </row>
    <row r="133" customFormat="false" ht="15" hidden="false" customHeight="false" outlineLevel="0" collapsed="false">
      <c r="A133" s="2" t="s">
        <v>623</v>
      </c>
      <c r="B133" s="2" t="s">
        <v>403</v>
      </c>
      <c r="C133" s="2" t="s">
        <v>404</v>
      </c>
      <c r="D133" s="3" t="n">
        <v>46235</v>
      </c>
      <c r="E133" s="2" t="s">
        <v>464</v>
      </c>
      <c r="F133" s="2" t="s">
        <v>483</v>
      </c>
      <c r="G133" s="2" t="n">
        <v>1</v>
      </c>
      <c r="H133" s="2" t="s">
        <v>484</v>
      </c>
      <c r="I133" s="2" t="s">
        <v>485</v>
      </c>
    </row>
    <row r="134" customFormat="false" ht="15" hidden="false" customHeight="false" outlineLevel="0" collapsed="false">
      <c r="A134" s="2" t="s">
        <v>624</v>
      </c>
      <c r="B134" s="2" t="s">
        <v>405</v>
      </c>
      <c r="C134" s="2" t="s">
        <v>406</v>
      </c>
      <c r="D134" s="3" t="n">
        <v>46265</v>
      </c>
      <c r="E134" s="2" t="s">
        <v>472</v>
      </c>
      <c r="F134" s="2" t="s">
        <v>483</v>
      </c>
      <c r="G134" s="2" t="n">
        <v>1</v>
      </c>
      <c r="H134" s="2" t="s">
        <v>490</v>
      </c>
      <c r="I134" s="2" t="s">
        <v>495</v>
      </c>
    </row>
    <row r="135" customFormat="false" ht="15" hidden="false" customHeight="false" outlineLevel="0" collapsed="false">
      <c r="A135" s="2" t="s">
        <v>625</v>
      </c>
      <c r="B135" s="2" t="s">
        <v>413</v>
      </c>
      <c r="C135" s="2" t="s">
        <v>414</v>
      </c>
      <c r="D135" s="3" t="n">
        <v>46241</v>
      </c>
      <c r="E135" s="2" t="s">
        <v>464</v>
      </c>
      <c r="F135" s="2" t="s">
        <v>483</v>
      </c>
      <c r="G135" s="2" t="n">
        <v>1</v>
      </c>
      <c r="H135" s="2" t="s">
        <v>490</v>
      </c>
      <c r="I135" s="2" t="s">
        <v>485</v>
      </c>
    </row>
    <row r="136" customFormat="false" ht="15" hidden="false" customHeight="false" outlineLevel="0" collapsed="false">
      <c r="A136" s="2" t="s">
        <v>626</v>
      </c>
      <c r="B136" s="2" t="s">
        <v>413</v>
      </c>
      <c r="C136" s="2" t="s">
        <v>414</v>
      </c>
      <c r="D136" s="3" t="n">
        <v>46249</v>
      </c>
      <c r="E136" s="2" t="s">
        <v>474</v>
      </c>
      <c r="F136" s="2" t="s">
        <v>483</v>
      </c>
      <c r="G136" s="2" t="n">
        <v>1</v>
      </c>
      <c r="H136" s="2" t="s">
        <v>490</v>
      </c>
      <c r="I136" s="2" t="s">
        <v>499</v>
      </c>
    </row>
    <row r="137" customFormat="false" ht="15" hidden="false" customHeight="false" outlineLevel="0" collapsed="false">
      <c r="A137" s="2" t="s">
        <v>627</v>
      </c>
      <c r="B137" s="2" t="s">
        <v>419</v>
      </c>
      <c r="C137" s="2" t="s">
        <v>420</v>
      </c>
      <c r="D137" s="3" t="n">
        <v>46237</v>
      </c>
      <c r="E137" s="2" t="s">
        <v>468</v>
      </c>
      <c r="F137" s="2" t="s">
        <v>487</v>
      </c>
      <c r="G137" s="2" t="n">
        <v>1</v>
      </c>
      <c r="H137" s="2" t="s">
        <v>490</v>
      </c>
      <c r="I137" s="2" t="s">
        <v>488</v>
      </c>
    </row>
    <row r="138" customFormat="false" ht="15" hidden="false" customHeight="false" outlineLevel="0" collapsed="false">
      <c r="A138" s="2" t="s">
        <v>628</v>
      </c>
      <c r="B138" s="2" t="s">
        <v>421</v>
      </c>
      <c r="C138" s="2" t="s">
        <v>422</v>
      </c>
      <c r="D138" s="3" t="n">
        <v>46259</v>
      </c>
      <c r="E138" s="2" t="s">
        <v>474</v>
      </c>
      <c r="F138" s="2" t="s">
        <v>483</v>
      </c>
      <c r="G138" s="2" t="n">
        <v>1</v>
      </c>
      <c r="H138" s="2" t="s">
        <v>490</v>
      </c>
      <c r="I138" s="2" t="s">
        <v>499</v>
      </c>
    </row>
    <row r="139" customFormat="false" ht="15" hidden="false" customHeight="false" outlineLevel="0" collapsed="false">
      <c r="A139" s="2" t="s">
        <v>629</v>
      </c>
      <c r="B139" s="2" t="s">
        <v>423</v>
      </c>
      <c r="C139" s="2" t="s">
        <v>424</v>
      </c>
      <c r="D139" s="3" t="n">
        <v>46252</v>
      </c>
      <c r="E139" s="2" t="s">
        <v>468</v>
      </c>
      <c r="F139" s="2" t="s">
        <v>487</v>
      </c>
      <c r="G139" s="2" t="n">
        <v>1</v>
      </c>
      <c r="H139" s="2" t="s">
        <v>490</v>
      </c>
      <c r="I139" s="2" t="s">
        <v>488</v>
      </c>
    </row>
    <row r="140" customFormat="false" ht="15" hidden="false" customHeight="false" outlineLevel="0" collapsed="false">
      <c r="A140" s="2" t="s">
        <v>630</v>
      </c>
      <c r="B140" s="2" t="s">
        <v>429</v>
      </c>
      <c r="C140" s="2" t="s">
        <v>430</v>
      </c>
      <c r="D140" s="3" t="n">
        <v>46237</v>
      </c>
      <c r="E140" s="2" t="s">
        <v>464</v>
      </c>
      <c r="F140" s="2" t="s">
        <v>483</v>
      </c>
      <c r="G140" s="2" t="n">
        <v>1</v>
      </c>
      <c r="H140" s="2" t="s">
        <v>490</v>
      </c>
      <c r="I140" s="2" t="s">
        <v>485</v>
      </c>
    </row>
    <row r="141" customFormat="false" ht="15" hidden="false" customHeight="false" outlineLevel="0" collapsed="false">
      <c r="A141" s="2" t="s">
        <v>631</v>
      </c>
      <c r="B141" s="2" t="s">
        <v>435</v>
      </c>
      <c r="C141" s="2" t="s">
        <v>436</v>
      </c>
      <c r="D141" s="3" t="n">
        <v>46246</v>
      </c>
      <c r="E141" s="2" t="s">
        <v>464</v>
      </c>
      <c r="F141" s="2" t="s">
        <v>483</v>
      </c>
      <c r="G141" s="2" t="n">
        <v>1</v>
      </c>
      <c r="H141" s="2" t="s">
        <v>490</v>
      </c>
      <c r="I141" s="2" t="s">
        <v>485</v>
      </c>
    </row>
    <row r="142" customFormat="false" ht="15" hidden="false" customHeight="false" outlineLevel="0" collapsed="false">
      <c r="A142" s="2" t="s">
        <v>632</v>
      </c>
      <c r="B142" s="2" t="s">
        <v>437</v>
      </c>
      <c r="C142" s="2" t="s">
        <v>438</v>
      </c>
      <c r="D142" s="3" t="n">
        <v>46240</v>
      </c>
      <c r="E142" s="2" t="s">
        <v>464</v>
      </c>
      <c r="F142" s="2" t="s">
        <v>483</v>
      </c>
      <c r="G142" s="2" t="n">
        <v>1</v>
      </c>
      <c r="H142" s="2" t="s">
        <v>503</v>
      </c>
      <c r="I142" s="2" t="s">
        <v>485</v>
      </c>
    </row>
    <row r="143" customFormat="false" ht="15" hidden="false" customHeight="false" outlineLevel="0" collapsed="false">
      <c r="A143" s="2" t="s">
        <v>633</v>
      </c>
      <c r="B143" s="2" t="s">
        <v>445</v>
      </c>
      <c r="C143" s="2" t="s">
        <v>446</v>
      </c>
      <c r="D143" s="3" t="n">
        <v>46248</v>
      </c>
      <c r="E143" s="2" t="s">
        <v>474</v>
      </c>
      <c r="F143" s="2" t="s">
        <v>483</v>
      </c>
      <c r="G143" s="2" t="n">
        <v>1</v>
      </c>
      <c r="H143" s="2" t="s">
        <v>490</v>
      </c>
      <c r="I143" s="2" t="s">
        <v>499</v>
      </c>
    </row>
    <row r="144" customFormat="false" ht="15" hidden="false" customHeight="false" outlineLevel="0" collapsed="false">
      <c r="A144" s="2" t="s">
        <v>634</v>
      </c>
      <c r="B144" s="2" t="s">
        <v>447</v>
      </c>
      <c r="C144" s="2" t="s">
        <v>448</v>
      </c>
      <c r="D144" s="3" t="n">
        <v>46247</v>
      </c>
      <c r="E144" s="2" t="s">
        <v>468</v>
      </c>
      <c r="F144" s="2" t="s">
        <v>487</v>
      </c>
      <c r="G144" s="2" t="n">
        <v>1</v>
      </c>
      <c r="H144" s="2" t="s">
        <v>490</v>
      </c>
      <c r="I144" s="2" t="s">
        <v>488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9" min="1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635</v>
      </c>
      <c r="D1" s="1" t="s">
        <v>636</v>
      </c>
      <c r="E1" s="1" t="s">
        <v>6</v>
      </c>
      <c r="F1" s="1" t="s">
        <v>637</v>
      </c>
      <c r="G1" s="1" t="s">
        <v>638</v>
      </c>
      <c r="H1" s="1" t="s">
        <v>639</v>
      </c>
      <c r="I1" s="1" t="s">
        <v>479</v>
      </c>
      <c r="J1" s="1" t="s">
        <v>640</v>
      </c>
      <c r="K1" s="1" t="s">
        <v>641</v>
      </c>
      <c r="L1" s="1" t="s">
        <v>642</v>
      </c>
      <c r="M1" s="1" t="s">
        <v>643</v>
      </c>
      <c r="N1" s="1" t="s">
        <v>644</v>
      </c>
      <c r="O1" s="1" t="s">
        <v>645</v>
      </c>
      <c r="P1" s="1" t="s">
        <v>646</v>
      </c>
      <c r="Q1" s="1" t="s">
        <v>12</v>
      </c>
      <c r="R1" s="1" t="s">
        <v>647</v>
      </c>
      <c r="S1" s="1" t="s">
        <v>648</v>
      </c>
    </row>
    <row r="2" customFormat="false" ht="15" hidden="false" customHeight="false" outlineLevel="0" collapsed="false">
      <c r="A2" s="2" t="s">
        <v>15</v>
      </c>
      <c r="B2" s="2" t="s">
        <v>16</v>
      </c>
      <c r="C2" s="2" t="s">
        <v>649</v>
      </c>
      <c r="D2" s="2" t="n">
        <v>2026</v>
      </c>
      <c r="E2" s="2" t="n">
        <f aca="false">INDEX('Employee Master'!$G$2:$G$201,MATCH(A2,'Employee Master'!$A$2:$A$201,0))</f>
        <v>48000</v>
      </c>
      <c r="F2" s="2" t="n">
        <v>26</v>
      </c>
      <c r="G2" s="2" t="n">
        <f aca="false">COUNTIFS('Tally Attendance'!$A$2:$A$6201,A2,'Tally Attendance'!$F$2:$F$6201,"Present")</f>
        <v>26</v>
      </c>
      <c r="H2" s="2" t="n">
        <f aca="false">COUNTIFS('Tally Attendance'!$A$2:$A$6201,A2,'Tally Attendance'!$F$2:$F$6201,"Absent")</f>
        <v>0</v>
      </c>
      <c r="I2" s="2" t="n">
        <f aca="false">COUNTIFS('Tally Attendance'!$A$2:$A$6201,A2,'Tally Attendance'!$F$2:$F$6201,"Leave")</f>
        <v>0</v>
      </c>
      <c r="J2" s="2" t="n">
        <f aca="false">COUNTIFS('Tally Attendance'!$A$2:$A$6201,A2,'Tally Attendance'!$F$2:$F$6201,"Half Day")</f>
        <v>0</v>
      </c>
      <c r="K2" s="2" t="n">
        <f aca="false">MIN(H2,2)</f>
        <v>0</v>
      </c>
      <c r="L2" s="2" t="n">
        <f aca="false">MAX(H2-K2,0)</f>
        <v>0</v>
      </c>
      <c r="M2" s="2" t="n">
        <f aca="false">ROUND(E2/F2,2)</f>
        <v>1846.15</v>
      </c>
      <c r="N2" s="2" t="n">
        <f aca="false">E2</f>
        <v>48000</v>
      </c>
      <c r="O2" s="2" t="n">
        <f aca="false">ROUND(M2*L2,2)</f>
        <v>0</v>
      </c>
      <c r="P2" s="2" t="n">
        <f aca="false">ROUND(M2*COUNTIFS('Leave Records'!$B$2:$B$144,A2,'Leave Records'!$F$2:$F$144,"Unpaid")+M2*0.5*J2,2)</f>
        <v>0</v>
      </c>
      <c r="Q2" s="2" t="n">
        <f aca="false">INDEX('Employee Master'!$M$2:$M$201,MATCH(A2,'Employee Master'!$A$2:$A$201,0))</f>
        <v>5760</v>
      </c>
      <c r="R2" s="2" t="n">
        <v>0</v>
      </c>
      <c r="S2" s="2" t="n">
        <f aca="false">N2-O2-P2-Q2-R2</f>
        <v>42240</v>
      </c>
    </row>
    <row r="3" customFormat="false" ht="15" hidden="false" customHeight="false" outlineLevel="0" collapsed="false">
      <c r="A3" s="2" t="s">
        <v>22</v>
      </c>
      <c r="B3" s="2" t="s">
        <v>23</v>
      </c>
      <c r="C3" s="2" t="s">
        <v>649</v>
      </c>
      <c r="D3" s="2" t="n">
        <v>2026</v>
      </c>
      <c r="E3" s="2" t="n">
        <f aca="false">INDEX('Employee Master'!$G$2:$G$201,MATCH(A3,'Employee Master'!$A$2:$A$201,0))</f>
        <v>104500</v>
      </c>
      <c r="F3" s="2" t="n">
        <v>26</v>
      </c>
      <c r="G3" s="2" t="n">
        <f aca="false">COUNTIFS('Tally Attendance'!$A$2:$A$6201,A3,'Tally Attendance'!$F$2:$F$6201,"Present")</f>
        <v>26</v>
      </c>
      <c r="H3" s="2" t="n">
        <f aca="false">COUNTIFS('Tally Attendance'!$A$2:$A$6201,A3,'Tally Attendance'!$F$2:$F$6201,"Absent")</f>
        <v>0</v>
      </c>
      <c r="I3" s="2" t="n">
        <f aca="false">COUNTIFS('Tally Attendance'!$A$2:$A$6201,A3,'Tally Attendance'!$F$2:$F$6201,"Leave")</f>
        <v>0</v>
      </c>
      <c r="J3" s="2" t="n">
        <f aca="false">COUNTIFS('Tally Attendance'!$A$2:$A$6201,A3,'Tally Attendance'!$F$2:$F$6201,"Half Day")</f>
        <v>0</v>
      </c>
      <c r="K3" s="2" t="n">
        <f aca="false">MIN(H3,2)</f>
        <v>0</v>
      </c>
      <c r="L3" s="2" t="n">
        <f aca="false">MAX(H3-K3,0)</f>
        <v>0</v>
      </c>
      <c r="M3" s="2" t="n">
        <f aca="false">ROUND(E3/F3,2)</f>
        <v>4019.23</v>
      </c>
      <c r="N3" s="2" t="n">
        <f aca="false">E3</f>
        <v>104500</v>
      </c>
      <c r="O3" s="2" t="n">
        <f aca="false">ROUND(M3*L3,2)</f>
        <v>0</v>
      </c>
      <c r="P3" s="2" t="n">
        <f aca="false">ROUND(M3*COUNTIFS('Leave Records'!$B$2:$B$144,A3,'Leave Records'!$F$2:$F$144,"Unpaid")+M3*0.5*J3,2)</f>
        <v>0</v>
      </c>
      <c r="Q3" s="2" t="n">
        <f aca="false">INDEX('Employee Master'!$M$2:$M$201,MATCH(A3,'Employee Master'!$A$2:$A$201,0))</f>
        <v>12540</v>
      </c>
      <c r="R3" s="2" t="n">
        <v>0</v>
      </c>
      <c r="S3" s="2" t="n">
        <f aca="false">N3-O3-P3-Q3-R3</f>
        <v>91960</v>
      </c>
    </row>
    <row r="4" customFormat="false" ht="15" hidden="false" customHeight="false" outlineLevel="0" collapsed="false">
      <c r="A4" s="2" t="s">
        <v>26</v>
      </c>
      <c r="B4" s="2" t="s">
        <v>27</v>
      </c>
      <c r="C4" s="2" t="s">
        <v>649</v>
      </c>
      <c r="D4" s="2" t="n">
        <v>2026</v>
      </c>
      <c r="E4" s="2" t="n">
        <f aca="false">INDEX('Employee Master'!$G$2:$G$201,MATCH(A4,'Employee Master'!$A$2:$A$201,0))</f>
        <v>23000</v>
      </c>
      <c r="F4" s="2" t="n">
        <v>26</v>
      </c>
      <c r="G4" s="2" t="n">
        <f aca="false">COUNTIFS('Tally Attendance'!$A$2:$A$6201,A4,'Tally Attendance'!$F$2:$F$6201,"Present")</f>
        <v>20</v>
      </c>
      <c r="H4" s="2" t="n">
        <f aca="false">COUNTIFS('Tally Attendance'!$A$2:$A$6201,A4,'Tally Attendance'!$F$2:$F$6201,"Absent")</f>
        <v>5</v>
      </c>
      <c r="I4" s="2" t="n">
        <f aca="false">COUNTIFS('Tally Attendance'!$A$2:$A$6201,A4,'Tally Attendance'!$F$2:$F$6201,"Leave")</f>
        <v>1</v>
      </c>
      <c r="J4" s="2" t="n">
        <f aca="false">COUNTIFS('Tally Attendance'!$A$2:$A$6201,A4,'Tally Attendance'!$F$2:$F$6201,"Half Day")</f>
        <v>0</v>
      </c>
      <c r="K4" s="2" t="n">
        <f aca="false">MIN(H4,2)</f>
        <v>2</v>
      </c>
      <c r="L4" s="2" t="n">
        <f aca="false">MAX(H4-K4,0)</f>
        <v>3</v>
      </c>
      <c r="M4" s="2" t="n">
        <f aca="false">ROUND(E4/F4,2)</f>
        <v>884.62</v>
      </c>
      <c r="N4" s="2" t="n">
        <f aca="false">E4</f>
        <v>23000</v>
      </c>
      <c r="O4" s="2" t="n">
        <f aca="false">ROUND(M4*L4,2)</f>
        <v>2653.86</v>
      </c>
      <c r="P4" s="2" t="n">
        <f aca="false">ROUND(M4*COUNTIFS('Leave Records'!$B$2:$B$144,A4,'Leave Records'!$F$2:$F$144,"Unpaid")+M4*0.5*J4,2)</f>
        <v>0</v>
      </c>
      <c r="Q4" s="2" t="n">
        <f aca="false">INDEX('Employee Master'!$M$2:$M$201,MATCH(A4,'Employee Master'!$A$2:$A$201,0))</f>
        <v>2760</v>
      </c>
      <c r="R4" s="2" t="n">
        <v>0</v>
      </c>
      <c r="S4" s="2" t="n">
        <f aca="false">N4-O4-P4-Q4-R4</f>
        <v>17586.14</v>
      </c>
    </row>
    <row r="5" customFormat="false" ht="15" hidden="false" customHeight="false" outlineLevel="0" collapsed="false">
      <c r="A5" s="2" t="s">
        <v>30</v>
      </c>
      <c r="B5" s="2" t="s">
        <v>31</v>
      </c>
      <c r="C5" s="2" t="s">
        <v>649</v>
      </c>
      <c r="D5" s="2" t="n">
        <v>2026</v>
      </c>
      <c r="E5" s="2" t="n">
        <f aca="false">INDEX('Employee Master'!$G$2:$G$201,MATCH(A5,'Employee Master'!$A$2:$A$201,0))</f>
        <v>33000</v>
      </c>
      <c r="F5" s="2" t="n">
        <v>26</v>
      </c>
      <c r="G5" s="2" t="n">
        <f aca="false">COUNTIFS('Tally Attendance'!$A$2:$A$6201,A5,'Tally Attendance'!$F$2:$F$6201,"Present")</f>
        <v>24</v>
      </c>
      <c r="H5" s="2" t="n">
        <f aca="false">COUNTIFS('Tally Attendance'!$A$2:$A$6201,A5,'Tally Attendance'!$F$2:$F$6201,"Absent")</f>
        <v>2</v>
      </c>
      <c r="I5" s="2" t="n">
        <f aca="false">COUNTIFS('Tally Attendance'!$A$2:$A$6201,A5,'Tally Attendance'!$F$2:$F$6201,"Leave")</f>
        <v>0</v>
      </c>
      <c r="J5" s="2" t="n">
        <f aca="false">COUNTIFS('Tally Attendance'!$A$2:$A$6201,A5,'Tally Attendance'!$F$2:$F$6201,"Half Day")</f>
        <v>0</v>
      </c>
      <c r="K5" s="2" t="n">
        <f aca="false">MIN(H5,2)</f>
        <v>2</v>
      </c>
      <c r="L5" s="2" t="n">
        <f aca="false">MAX(H5-K5,0)</f>
        <v>0</v>
      </c>
      <c r="M5" s="2" t="n">
        <f aca="false">ROUND(E5/F5,2)</f>
        <v>1269.23</v>
      </c>
      <c r="N5" s="2" t="n">
        <f aca="false">E5</f>
        <v>33000</v>
      </c>
      <c r="O5" s="2" t="n">
        <f aca="false">ROUND(M5*L5,2)</f>
        <v>0</v>
      </c>
      <c r="P5" s="2" t="n">
        <f aca="false">ROUND(M5*COUNTIFS('Leave Records'!$B$2:$B$144,A5,'Leave Records'!$F$2:$F$144,"Unpaid")+M5*0.5*J5,2)</f>
        <v>0</v>
      </c>
      <c r="Q5" s="2" t="n">
        <f aca="false">INDEX('Employee Master'!$M$2:$M$201,MATCH(A5,'Employee Master'!$A$2:$A$201,0))</f>
        <v>3960</v>
      </c>
      <c r="R5" s="2" t="n">
        <v>0</v>
      </c>
      <c r="S5" s="2" t="n">
        <f aca="false">N5-O5-P5-Q5-R5</f>
        <v>29040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649</v>
      </c>
      <c r="D6" s="2" t="n">
        <v>2026</v>
      </c>
      <c r="E6" s="2" t="n">
        <f aca="false">INDEX('Employee Master'!$G$2:$G$201,MATCH(A6,'Employee Master'!$A$2:$A$201,0))</f>
        <v>81000</v>
      </c>
      <c r="F6" s="2" t="n">
        <v>26</v>
      </c>
      <c r="G6" s="2" t="n">
        <f aca="false">COUNTIFS('Tally Attendance'!$A$2:$A$6201,A6,'Tally Attendance'!$F$2:$F$6201,"Present")</f>
        <v>25</v>
      </c>
      <c r="H6" s="2" t="n">
        <f aca="false">COUNTIFS('Tally Attendance'!$A$2:$A$6201,A6,'Tally Attendance'!$F$2:$F$6201,"Absent")</f>
        <v>1</v>
      </c>
      <c r="I6" s="2" t="n">
        <f aca="false">COUNTIFS('Tally Attendance'!$A$2:$A$6201,A6,'Tally Attendance'!$F$2:$F$6201,"Leave")</f>
        <v>0</v>
      </c>
      <c r="J6" s="2" t="n">
        <f aca="false">COUNTIFS('Tally Attendance'!$A$2:$A$6201,A6,'Tally Attendance'!$F$2:$F$6201,"Half Day")</f>
        <v>0</v>
      </c>
      <c r="K6" s="2" t="n">
        <f aca="false">MIN(H6,2)</f>
        <v>1</v>
      </c>
      <c r="L6" s="2" t="n">
        <f aca="false">MAX(H6-K6,0)</f>
        <v>0</v>
      </c>
      <c r="M6" s="2" t="n">
        <f aca="false">ROUND(E6/F6,2)</f>
        <v>3115.38</v>
      </c>
      <c r="N6" s="2" t="n">
        <f aca="false">E6</f>
        <v>81000</v>
      </c>
      <c r="O6" s="2" t="n">
        <f aca="false">ROUND(M6*L6,2)</f>
        <v>0</v>
      </c>
      <c r="P6" s="2" t="n">
        <f aca="false">ROUND(M6*COUNTIFS('Leave Records'!$B$2:$B$144,A6,'Leave Records'!$F$2:$F$144,"Unpaid")+M6*0.5*J6,2)</f>
        <v>0</v>
      </c>
      <c r="Q6" s="2" t="n">
        <f aca="false">INDEX('Employee Master'!$M$2:$M$201,MATCH(A6,'Employee Master'!$A$2:$A$201,0))</f>
        <v>9720</v>
      </c>
      <c r="R6" s="2" t="n">
        <v>0</v>
      </c>
      <c r="S6" s="2" t="n">
        <f aca="false">N6-O6-P6-Q6-R6</f>
        <v>71280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649</v>
      </c>
      <c r="D7" s="2" t="n">
        <v>2026</v>
      </c>
      <c r="E7" s="2" t="n">
        <f aca="false">INDEX('Employee Master'!$G$2:$G$201,MATCH(A7,'Employee Master'!$A$2:$A$201,0))</f>
        <v>23000</v>
      </c>
      <c r="F7" s="2" t="n">
        <v>26</v>
      </c>
      <c r="G7" s="2" t="n">
        <f aca="false">COUNTIFS('Tally Attendance'!$A$2:$A$6201,A7,'Tally Attendance'!$F$2:$F$6201,"Present")</f>
        <v>20</v>
      </c>
      <c r="H7" s="2" t="n">
        <f aca="false">COUNTIFS('Tally Attendance'!$A$2:$A$6201,A7,'Tally Attendance'!$F$2:$F$6201,"Absent")</f>
        <v>3</v>
      </c>
      <c r="I7" s="2" t="n">
        <f aca="false">COUNTIFS('Tally Attendance'!$A$2:$A$6201,A7,'Tally Attendance'!$F$2:$F$6201,"Leave")</f>
        <v>1</v>
      </c>
      <c r="J7" s="2" t="n">
        <f aca="false">COUNTIFS('Tally Attendance'!$A$2:$A$6201,A7,'Tally Attendance'!$F$2:$F$6201,"Half Day")</f>
        <v>2</v>
      </c>
      <c r="K7" s="2" t="n">
        <f aca="false">MIN(H7,2)</f>
        <v>2</v>
      </c>
      <c r="L7" s="2" t="n">
        <f aca="false">MAX(H7-K7,0)</f>
        <v>1</v>
      </c>
      <c r="M7" s="2" t="n">
        <f aca="false">ROUND(E7/F7,2)</f>
        <v>884.62</v>
      </c>
      <c r="N7" s="2" t="n">
        <f aca="false">E7</f>
        <v>23000</v>
      </c>
      <c r="O7" s="2" t="n">
        <f aca="false">ROUND(M7*L7,2)</f>
        <v>884.62</v>
      </c>
      <c r="P7" s="2" t="n">
        <f aca="false">ROUND(M7*COUNTIFS('Leave Records'!$B$2:$B$144,A7,'Leave Records'!$F$2:$F$144,"Unpaid")+M7*0.5*J7,2)</f>
        <v>1769.24</v>
      </c>
      <c r="Q7" s="2" t="n">
        <f aca="false">INDEX('Employee Master'!$M$2:$M$201,MATCH(A7,'Employee Master'!$A$2:$A$201,0))</f>
        <v>2760</v>
      </c>
      <c r="R7" s="2" t="n">
        <v>0</v>
      </c>
      <c r="S7" s="2" t="n">
        <f aca="false">N7-O7-P7-Q7-R7</f>
        <v>17586.14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649</v>
      </c>
      <c r="D8" s="2" t="n">
        <v>2026</v>
      </c>
      <c r="E8" s="2" t="n">
        <f aca="false">INDEX('Employee Master'!$G$2:$G$201,MATCH(A8,'Employee Master'!$A$2:$A$201,0))</f>
        <v>34000</v>
      </c>
      <c r="F8" s="2" t="n">
        <v>26</v>
      </c>
      <c r="G8" s="2" t="n">
        <f aca="false">COUNTIFS('Tally Attendance'!$A$2:$A$6201,A8,'Tally Attendance'!$F$2:$F$6201,"Present")</f>
        <v>26</v>
      </c>
      <c r="H8" s="2" t="n">
        <f aca="false">COUNTIFS('Tally Attendance'!$A$2:$A$6201,A8,'Tally Attendance'!$F$2:$F$6201,"Absent")</f>
        <v>0</v>
      </c>
      <c r="I8" s="2" t="n">
        <f aca="false">COUNTIFS('Tally Attendance'!$A$2:$A$6201,A8,'Tally Attendance'!$F$2:$F$6201,"Leave")</f>
        <v>0</v>
      </c>
      <c r="J8" s="2" t="n">
        <f aca="false">COUNTIFS('Tally Attendance'!$A$2:$A$6201,A8,'Tally Attendance'!$F$2:$F$6201,"Half Day")</f>
        <v>0</v>
      </c>
      <c r="K8" s="2" t="n">
        <f aca="false">MIN(H8,2)</f>
        <v>0</v>
      </c>
      <c r="L8" s="2" t="n">
        <f aca="false">MAX(H8-K8,0)</f>
        <v>0</v>
      </c>
      <c r="M8" s="2" t="n">
        <f aca="false">ROUND(E8/F8,2)</f>
        <v>1307.69</v>
      </c>
      <c r="N8" s="2" t="n">
        <f aca="false">E8</f>
        <v>34000</v>
      </c>
      <c r="O8" s="2" t="n">
        <f aca="false">ROUND(M8*L8,2)</f>
        <v>0</v>
      </c>
      <c r="P8" s="2" t="n">
        <f aca="false">ROUND(M8*COUNTIFS('Leave Records'!$B$2:$B$144,A8,'Leave Records'!$F$2:$F$144,"Unpaid")+M8*0.5*J8,2)</f>
        <v>0</v>
      </c>
      <c r="Q8" s="2" t="n">
        <f aca="false">INDEX('Employee Master'!$M$2:$M$201,MATCH(A8,'Employee Master'!$A$2:$A$201,0))</f>
        <v>4080</v>
      </c>
      <c r="R8" s="2" t="n">
        <v>0</v>
      </c>
      <c r="S8" s="2" t="n">
        <f aca="false">N8-O8-P8-Q8-R8</f>
        <v>29920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649</v>
      </c>
      <c r="D9" s="2" t="n">
        <v>2026</v>
      </c>
      <c r="E9" s="2" t="n">
        <f aca="false">INDEX('Employee Master'!$G$2:$G$201,MATCH(A9,'Employee Master'!$A$2:$A$201,0))</f>
        <v>30500</v>
      </c>
      <c r="F9" s="2" t="n">
        <v>26</v>
      </c>
      <c r="G9" s="2" t="n">
        <f aca="false">COUNTIFS('Tally Attendance'!$A$2:$A$6201,A9,'Tally Attendance'!$F$2:$F$6201,"Present")</f>
        <v>26</v>
      </c>
      <c r="H9" s="2" t="n">
        <f aca="false">COUNTIFS('Tally Attendance'!$A$2:$A$6201,A9,'Tally Attendance'!$F$2:$F$6201,"Absent")</f>
        <v>0</v>
      </c>
      <c r="I9" s="2" t="n">
        <f aca="false">COUNTIFS('Tally Attendance'!$A$2:$A$6201,A9,'Tally Attendance'!$F$2:$F$6201,"Leave")</f>
        <v>0</v>
      </c>
      <c r="J9" s="2" t="n">
        <f aca="false">COUNTIFS('Tally Attendance'!$A$2:$A$6201,A9,'Tally Attendance'!$F$2:$F$6201,"Half Day")</f>
        <v>0</v>
      </c>
      <c r="K9" s="2" t="n">
        <f aca="false">MIN(H9,2)</f>
        <v>0</v>
      </c>
      <c r="L9" s="2" t="n">
        <f aca="false">MAX(H9-K9,0)</f>
        <v>0</v>
      </c>
      <c r="M9" s="2" t="n">
        <f aca="false">ROUND(E9/F9,2)</f>
        <v>1173.08</v>
      </c>
      <c r="N9" s="2" t="n">
        <f aca="false">E9</f>
        <v>30500</v>
      </c>
      <c r="O9" s="2" t="n">
        <f aca="false">ROUND(M9*L9,2)</f>
        <v>0</v>
      </c>
      <c r="P9" s="2" t="n">
        <f aca="false">ROUND(M9*COUNTIFS('Leave Records'!$B$2:$B$144,A9,'Leave Records'!$F$2:$F$144,"Unpaid")+M9*0.5*J9,2)</f>
        <v>0</v>
      </c>
      <c r="Q9" s="2" t="n">
        <f aca="false">INDEX('Employee Master'!$M$2:$M$201,MATCH(A9,'Employee Master'!$A$2:$A$201,0))</f>
        <v>3660</v>
      </c>
      <c r="R9" s="2" t="n">
        <v>0</v>
      </c>
      <c r="S9" s="2" t="n">
        <f aca="false">N9-O9-P9-Q9-R9</f>
        <v>26840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649</v>
      </c>
      <c r="D10" s="2" t="n">
        <v>2026</v>
      </c>
      <c r="E10" s="2" t="n">
        <f aca="false">INDEX('Employee Master'!$G$2:$G$201,MATCH(A10,'Employee Master'!$A$2:$A$201,0))</f>
        <v>33500</v>
      </c>
      <c r="F10" s="2" t="n">
        <v>26</v>
      </c>
      <c r="G10" s="2" t="n">
        <f aca="false">COUNTIFS('Tally Attendance'!$A$2:$A$6201,A10,'Tally Attendance'!$F$2:$F$6201,"Present")</f>
        <v>16</v>
      </c>
      <c r="H10" s="2" t="n">
        <f aca="false">COUNTIFS('Tally Attendance'!$A$2:$A$6201,A10,'Tally Attendance'!$F$2:$F$6201,"Absent")</f>
        <v>9</v>
      </c>
      <c r="I10" s="2" t="n">
        <f aca="false">COUNTIFS('Tally Attendance'!$A$2:$A$6201,A10,'Tally Attendance'!$F$2:$F$6201,"Leave")</f>
        <v>1</v>
      </c>
      <c r="J10" s="2" t="n">
        <f aca="false">COUNTIFS('Tally Attendance'!$A$2:$A$6201,A10,'Tally Attendance'!$F$2:$F$6201,"Half Day")</f>
        <v>0</v>
      </c>
      <c r="K10" s="2" t="n">
        <f aca="false">MIN(H10,2)</f>
        <v>2</v>
      </c>
      <c r="L10" s="2" t="n">
        <f aca="false">MAX(H10-K10,0)</f>
        <v>7</v>
      </c>
      <c r="M10" s="2" t="n">
        <f aca="false">ROUND(E10/F10,2)</f>
        <v>1288.46</v>
      </c>
      <c r="N10" s="2" t="n">
        <f aca="false">E10</f>
        <v>33500</v>
      </c>
      <c r="O10" s="2" t="n">
        <f aca="false">ROUND(M10*L10,2)</f>
        <v>9019.22</v>
      </c>
      <c r="P10" s="2" t="n">
        <f aca="false">ROUND(M10*COUNTIFS('Leave Records'!$B$2:$B$144,A10,'Leave Records'!$F$2:$F$144,"Unpaid")+M10*0.5*J10,2)</f>
        <v>0</v>
      </c>
      <c r="Q10" s="2" t="n">
        <f aca="false">INDEX('Employee Master'!$M$2:$M$201,MATCH(A10,'Employee Master'!$A$2:$A$201,0))</f>
        <v>4020</v>
      </c>
      <c r="R10" s="2" t="n">
        <v>0</v>
      </c>
      <c r="S10" s="2" t="n">
        <f aca="false">N10-O10-P10-Q10-R10</f>
        <v>20460.78</v>
      </c>
    </row>
    <row r="11" customFormat="false" ht="15" hidden="false" customHeight="false" outlineLevel="0" collapsed="false">
      <c r="A11" s="2" t="s">
        <v>55</v>
      </c>
      <c r="B11" s="2" t="s">
        <v>56</v>
      </c>
      <c r="C11" s="2" t="s">
        <v>649</v>
      </c>
      <c r="D11" s="2" t="n">
        <v>2026</v>
      </c>
      <c r="E11" s="2" t="n">
        <f aca="false">INDEX('Employee Master'!$G$2:$G$201,MATCH(A11,'Employee Master'!$A$2:$A$201,0))</f>
        <v>20500</v>
      </c>
      <c r="F11" s="2" t="n">
        <v>26</v>
      </c>
      <c r="G11" s="2" t="n">
        <f aca="false">COUNTIFS('Tally Attendance'!$A$2:$A$6201,A11,'Tally Attendance'!$F$2:$F$6201,"Present")</f>
        <v>18</v>
      </c>
      <c r="H11" s="2" t="n">
        <f aca="false">COUNTIFS('Tally Attendance'!$A$2:$A$6201,A11,'Tally Attendance'!$F$2:$F$6201,"Absent")</f>
        <v>5</v>
      </c>
      <c r="I11" s="2" t="n">
        <f aca="false">COUNTIFS('Tally Attendance'!$A$2:$A$6201,A11,'Tally Attendance'!$F$2:$F$6201,"Leave")</f>
        <v>1</v>
      </c>
      <c r="J11" s="2" t="n">
        <f aca="false">COUNTIFS('Tally Attendance'!$A$2:$A$6201,A11,'Tally Attendance'!$F$2:$F$6201,"Half Day")</f>
        <v>2</v>
      </c>
      <c r="K11" s="2" t="n">
        <f aca="false">MIN(H11,2)</f>
        <v>2</v>
      </c>
      <c r="L11" s="2" t="n">
        <f aca="false">MAX(H11-K11,0)</f>
        <v>3</v>
      </c>
      <c r="M11" s="2" t="n">
        <f aca="false">ROUND(E11/F11,2)</f>
        <v>788.46</v>
      </c>
      <c r="N11" s="2" t="n">
        <f aca="false">E11</f>
        <v>20500</v>
      </c>
      <c r="O11" s="2" t="n">
        <f aca="false">ROUND(M11*L11,2)</f>
        <v>2365.38</v>
      </c>
      <c r="P11" s="2" t="n">
        <f aca="false">ROUND(M11*COUNTIFS('Leave Records'!$B$2:$B$144,A11,'Leave Records'!$F$2:$F$144,"Unpaid")+M11*0.5*J11,2)</f>
        <v>788.46</v>
      </c>
      <c r="Q11" s="2" t="n">
        <f aca="false">INDEX('Employee Master'!$M$2:$M$201,MATCH(A11,'Employee Master'!$A$2:$A$201,0))</f>
        <v>2460</v>
      </c>
      <c r="R11" s="2" t="n">
        <v>0</v>
      </c>
      <c r="S11" s="2" t="n">
        <f aca="false">N11-O11-P11-Q11-R11</f>
        <v>14886.16</v>
      </c>
    </row>
    <row r="12" customFormat="false" ht="15" hidden="false" customHeight="false" outlineLevel="0" collapsed="false">
      <c r="A12" s="2" t="s">
        <v>59</v>
      </c>
      <c r="B12" s="2" t="s">
        <v>60</v>
      </c>
      <c r="C12" s="2" t="s">
        <v>649</v>
      </c>
      <c r="D12" s="2" t="n">
        <v>2026</v>
      </c>
      <c r="E12" s="2" t="n">
        <f aca="false">INDEX('Employee Master'!$G$2:$G$201,MATCH(A12,'Employee Master'!$A$2:$A$201,0))</f>
        <v>124000</v>
      </c>
      <c r="F12" s="2" t="n">
        <v>26</v>
      </c>
      <c r="G12" s="2" t="n">
        <f aca="false">COUNTIFS('Tally Attendance'!$A$2:$A$6201,A12,'Tally Attendance'!$F$2:$F$6201,"Present")</f>
        <v>23</v>
      </c>
      <c r="H12" s="2" t="n">
        <f aca="false">COUNTIFS('Tally Attendance'!$A$2:$A$6201,A12,'Tally Attendance'!$F$2:$F$6201,"Absent")</f>
        <v>2</v>
      </c>
      <c r="I12" s="2" t="n">
        <f aca="false">COUNTIFS('Tally Attendance'!$A$2:$A$6201,A12,'Tally Attendance'!$F$2:$F$6201,"Leave")</f>
        <v>1</v>
      </c>
      <c r="J12" s="2" t="n">
        <f aca="false">COUNTIFS('Tally Attendance'!$A$2:$A$6201,A12,'Tally Attendance'!$F$2:$F$6201,"Half Day")</f>
        <v>0</v>
      </c>
      <c r="K12" s="2" t="n">
        <f aca="false">MIN(H12,2)</f>
        <v>2</v>
      </c>
      <c r="L12" s="2" t="n">
        <f aca="false">MAX(H12-K12,0)</f>
        <v>0</v>
      </c>
      <c r="M12" s="2" t="n">
        <f aca="false">ROUND(E12/F12,2)</f>
        <v>4769.23</v>
      </c>
      <c r="N12" s="2" t="n">
        <f aca="false">E12</f>
        <v>124000</v>
      </c>
      <c r="O12" s="2" t="n">
        <f aca="false">ROUND(M12*L12,2)</f>
        <v>0</v>
      </c>
      <c r="P12" s="2" t="n">
        <f aca="false">ROUND(M12*COUNTIFS('Leave Records'!$B$2:$B$144,A12,'Leave Records'!$F$2:$F$144,"Unpaid")+M12*0.5*J12,2)</f>
        <v>4769.23</v>
      </c>
      <c r="Q12" s="2" t="n">
        <f aca="false">INDEX('Employee Master'!$M$2:$M$201,MATCH(A12,'Employee Master'!$A$2:$A$201,0))</f>
        <v>14880</v>
      </c>
      <c r="R12" s="2" t="n">
        <v>0</v>
      </c>
      <c r="S12" s="2" t="n">
        <f aca="false">N12-O12-P12-Q12-R12</f>
        <v>104350.77</v>
      </c>
    </row>
    <row r="13" customFormat="false" ht="15" hidden="false" customHeight="false" outlineLevel="0" collapsed="false">
      <c r="A13" s="2" t="s">
        <v>61</v>
      </c>
      <c r="B13" s="2" t="s">
        <v>62</v>
      </c>
      <c r="C13" s="2" t="s">
        <v>649</v>
      </c>
      <c r="D13" s="2" t="n">
        <v>2026</v>
      </c>
      <c r="E13" s="2" t="n">
        <f aca="false">INDEX('Employee Master'!$G$2:$G$201,MATCH(A13,'Employee Master'!$A$2:$A$201,0))</f>
        <v>101000</v>
      </c>
      <c r="F13" s="2" t="n">
        <v>26</v>
      </c>
      <c r="G13" s="2" t="n">
        <f aca="false">COUNTIFS('Tally Attendance'!$A$2:$A$6201,A13,'Tally Attendance'!$F$2:$F$6201,"Present")</f>
        <v>26</v>
      </c>
      <c r="H13" s="2" t="n">
        <f aca="false">COUNTIFS('Tally Attendance'!$A$2:$A$6201,A13,'Tally Attendance'!$F$2:$F$6201,"Absent")</f>
        <v>0</v>
      </c>
      <c r="I13" s="2" t="n">
        <f aca="false">COUNTIFS('Tally Attendance'!$A$2:$A$6201,A13,'Tally Attendance'!$F$2:$F$6201,"Leave")</f>
        <v>0</v>
      </c>
      <c r="J13" s="2" t="n">
        <f aca="false">COUNTIFS('Tally Attendance'!$A$2:$A$6201,A13,'Tally Attendance'!$F$2:$F$6201,"Half Day")</f>
        <v>0</v>
      </c>
      <c r="K13" s="2" t="n">
        <f aca="false">MIN(H13,2)</f>
        <v>0</v>
      </c>
      <c r="L13" s="2" t="n">
        <f aca="false">MAX(H13-K13,0)</f>
        <v>0</v>
      </c>
      <c r="M13" s="2" t="n">
        <f aca="false">ROUND(E13/F13,2)</f>
        <v>3884.62</v>
      </c>
      <c r="N13" s="2" t="n">
        <f aca="false">E13</f>
        <v>101000</v>
      </c>
      <c r="O13" s="2" t="n">
        <f aca="false">ROUND(M13*L13,2)</f>
        <v>0</v>
      </c>
      <c r="P13" s="2" t="n">
        <f aca="false">ROUND(M13*COUNTIFS('Leave Records'!$B$2:$B$144,A13,'Leave Records'!$F$2:$F$144,"Unpaid")+M13*0.5*J13,2)</f>
        <v>0</v>
      </c>
      <c r="Q13" s="2" t="n">
        <f aca="false">INDEX('Employee Master'!$M$2:$M$201,MATCH(A13,'Employee Master'!$A$2:$A$201,0))</f>
        <v>12120</v>
      </c>
      <c r="R13" s="2" t="n">
        <v>0</v>
      </c>
      <c r="S13" s="2" t="n">
        <f aca="false">N13-O13-P13-Q13-R13</f>
        <v>88880</v>
      </c>
    </row>
    <row r="14" customFormat="false" ht="15" hidden="false" customHeight="false" outlineLevel="0" collapsed="false">
      <c r="A14" s="2" t="s">
        <v>64</v>
      </c>
      <c r="B14" s="2" t="s">
        <v>65</v>
      </c>
      <c r="C14" s="2" t="s">
        <v>649</v>
      </c>
      <c r="D14" s="2" t="n">
        <v>2026</v>
      </c>
      <c r="E14" s="2" t="n">
        <f aca="false">INDEX('Employee Master'!$G$2:$G$201,MATCH(A14,'Employee Master'!$A$2:$A$201,0))</f>
        <v>69500</v>
      </c>
      <c r="F14" s="2" t="n">
        <v>26</v>
      </c>
      <c r="G14" s="2" t="n">
        <f aca="false">COUNTIFS('Tally Attendance'!$A$2:$A$6201,A14,'Tally Attendance'!$F$2:$F$6201,"Present")</f>
        <v>20</v>
      </c>
      <c r="H14" s="2" t="n">
        <f aca="false">COUNTIFS('Tally Attendance'!$A$2:$A$6201,A14,'Tally Attendance'!$F$2:$F$6201,"Absent")</f>
        <v>2</v>
      </c>
      <c r="I14" s="2" t="n">
        <f aca="false">COUNTIFS('Tally Attendance'!$A$2:$A$6201,A14,'Tally Attendance'!$F$2:$F$6201,"Leave")</f>
        <v>2</v>
      </c>
      <c r="J14" s="2" t="n">
        <f aca="false">COUNTIFS('Tally Attendance'!$A$2:$A$6201,A14,'Tally Attendance'!$F$2:$F$6201,"Half Day")</f>
        <v>2</v>
      </c>
      <c r="K14" s="2" t="n">
        <f aca="false">MIN(H14,2)</f>
        <v>2</v>
      </c>
      <c r="L14" s="2" t="n">
        <f aca="false">MAX(H14-K14,0)</f>
        <v>0</v>
      </c>
      <c r="M14" s="2" t="n">
        <f aca="false">ROUND(E14/F14,2)</f>
        <v>2673.08</v>
      </c>
      <c r="N14" s="2" t="n">
        <f aca="false">E14</f>
        <v>69500</v>
      </c>
      <c r="O14" s="2" t="n">
        <f aca="false">ROUND(M14*L14,2)</f>
        <v>0</v>
      </c>
      <c r="P14" s="2" t="n">
        <f aca="false">ROUND(M14*COUNTIFS('Leave Records'!$B$2:$B$144,A14,'Leave Records'!$F$2:$F$144,"Unpaid")+M14*0.5*J14,2)</f>
        <v>5346.16</v>
      </c>
      <c r="Q14" s="2" t="n">
        <f aca="false">INDEX('Employee Master'!$M$2:$M$201,MATCH(A14,'Employee Master'!$A$2:$A$201,0))</f>
        <v>8340</v>
      </c>
      <c r="R14" s="2" t="n">
        <v>0</v>
      </c>
      <c r="S14" s="2" t="n">
        <f aca="false">N14-O14-P14-Q14-R14</f>
        <v>55813.84</v>
      </c>
    </row>
    <row r="15" customFormat="false" ht="15" hidden="false" customHeight="false" outlineLevel="0" collapsed="false">
      <c r="A15" s="2" t="s">
        <v>67</v>
      </c>
      <c r="B15" s="2" t="s">
        <v>68</v>
      </c>
      <c r="C15" s="2" t="s">
        <v>649</v>
      </c>
      <c r="D15" s="2" t="n">
        <v>2026</v>
      </c>
      <c r="E15" s="2" t="n">
        <f aca="false">INDEX('Employee Master'!$G$2:$G$201,MATCH(A15,'Employee Master'!$A$2:$A$201,0))</f>
        <v>60000</v>
      </c>
      <c r="F15" s="2" t="n">
        <v>26</v>
      </c>
      <c r="G15" s="2" t="n">
        <f aca="false">COUNTIFS('Tally Attendance'!$A$2:$A$6201,A15,'Tally Attendance'!$F$2:$F$6201,"Present")</f>
        <v>18</v>
      </c>
      <c r="H15" s="2" t="n">
        <f aca="false">COUNTIFS('Tally Attendance'!$A$2:$A$6201,A15,'Tally Attendance'!$F$2:$F$6201,"Absent")</f>
        <v>6</v>
      </c>
      <c r="I15" s="2" t="n">
        <f aca="false">COUNTIFS('Tally Attendance'!$A$2:$A$6201,A15,'Tally Attendance'!$F$2:$F$6201,"Leave")</f>
        <v>2</v>
      </c>
      <c r="J15" s="2" t="n">
        <f aca="false">COUNTIFS('Tally Attendance'!$A$2:$A$6201,A15,'Tally Attendance'!$F$2:$F$6201,"Half Day")</f>
        <v>0</v>
      </c>
      <c r="K15" s="2" t="n">
        <f aca="false">MIN(H15,2)</f>
        <v>2</v>
      </c>
      <c r="L15" s="2" t="n">
        <f aca="false">MAX(H15-K15,0)</f>
        <v>4</v>
      </c>
      <c r="M15" s="2" t="n">
        <f aca="false">ROUND(E15/F15,2)</f>
        <v>2307.69</v>
      </c>
      <c r="N15" s="2" t="n">
        <f aca="false">E15</f>
        <v>60000</v>
      </c>
      <c r="O15" s="2" t="n">
        <f aca="false">ROUND(M15*L15,2)</f>
        <v>9230.76</v>
      </c>
      <c r="P15" s="2" t="n">
        <f aca="false">ROUND(M15*COUNTIFS('Leave Records'!$B$2:$B$144,A15,'Leave Records'!$F$2:$F$144,"Unpaid")+M15*0.5*J15,2)</f>
        <v>0</v>
      </c>
      <c r="Q15" s="2" t="n">
        <f aca="false">INDEX('Employee Master'!$M$2:$M$201,MATCH(A15,'Employee Master'!$A$2:$A$201,0))</f>
        <v>7200</v>
      </c>
      <c r="R15" s="2" t="n">
        <v>0</v>
      </c>
      <c r="S15" s="2" t="n">
        <f aca="false">N15-O15-P15-Q15-R15</f>
        <v>43569.24</v>
      </c>
    </row>
    <row r="16" customFormat="false" ht="15" hidden="false" customHeight="false" outlineLevel="0" collapsed="false">
      <c r="A16" s="2" t="s">
        <v>69</v>
      </c>
      <c r="B16" s="2" t="s">
        <v>70</v>
      </c>
      <c r="C16" s="2" t="s">
        <v>649</v>
      </c>
      <c r="D16" s="2" t="n">
        <v>2026</v>
      </c>
      <c r="E16" s="2" t="n">
        <f aca="false">INDEX('Employee Master'!$G$2:$G$201,MATCH(A16,'Employee Master'!$A$2:$A$201,0))</f>
        <v>63500</v>
      </c>
      <c r="F16" s="2" t="n">
        <v>26</v>
      </c>
      <c r="G16" s="2" t="n">
        <f aca="false">COUNTIFS('Tally Attendance'!$A$2:$A$6201,A16,'Tally Attendance'!$F$2:$F$6201,"Present")</f>
        <v>23</v>
      </c>
      <c r="H16" s="2" t="n">
        <f aca="false">COUNTIFS('Tally Attendance'!$A$2:$A$6201,A16,'Tally Attendance'!$F$2:$F$6201,"Absent")</f>
        <v>1</v>
      </c>
      <c r="I16" s="2" t="n">
        <f aca="false">COUNTIFS('Tally Attendance'!$A$2:$A$6201,A16,'Tally Attendance'!$F$2:$F$6201,"Leave")</f>
        <v>2</v>
      </c>
      <c r="J16" s="2" t="n">
        <f aca="false">COUNTIFS('Tally Attendance'!$A$2:$A$6201,A16,'Tally Attendance'!$F$2:$F$6201,"Half Day")</f>
        <v>0</v>
      </c>
      <c r="K16" s="2" t="n">
        <f aca="false">MIN(H16,2)</f>
        <v>1</v>
      </c>
      <c r="L16" s="2" t="n">
        <f aca="false">MAX(H16-K16,0)</f>
        <v>0</v>
      </c>
      <c r="M16" s="2" t="n">
        <f aca="false">ROUND(E16/F16,2)</f>
        <v>2442.31</v>
      </c>
      <c r="N16" s="2" t="n">
        <f aca="false">E16</f>
        <v>63500</v>
      </c>
      <c r="O16" s="2" t="n">
        <f aca="false">ROUND(M16*L16,2)</f>
        <v>0</v>
      </c>
      <c r="P16" s="2" t="n">
        <f aca="false">ROUND(M16*COUNTIFS('Leave Records'!$B$2:$B$144,A16,'Leave Records'!$F$2:$F$144,"Unpaid")+M16*0.5*J16,2)</f>
        <v>2442.31</v>
      </c>
      <c r="Q16" s="2" t="n">
        <f aca="false">INDEX('Employee Master'!$M$2:$M$201,MATCH(A16,'Employee Master'!$A$2:$A$201,0))</f>
        <v>7620</v>
      </c>
      <c r="R16" s="2" t="n">
        <v>0</v>
      </c>
      <c r="S16" s="2" t="n">
        <f aca="false">N16-O16-P16-Q16-R16</f>
        <v>53437.69</v>
      </c>
    </row>
    <row r="17" customFormat="false" ht="15" hidden="false" customHeight="false" outlineLevel="0" collapsed="false">
      <c r="A17" s="2" t="s">
        <v>71</v>
      </c>
      <c r="B17" s="2" t="s">
        <v>72</v>
      </c>
      <c r="C17" s="2" t="s">
        <v>649</v>
      </c>
      <c r="D17" s="2" t="n">
        <v>2026</v>
      </c>
      <c r="E17" s="2" t="n">
        <f aca="false">INDEX('Employee Master'!$G$2:$G$201,MATCH(A17,'Employee Master'!$A$2:$A$201,0))</f>
        <v>94500</v>
      </c>
      <c r="F17" s="2" t="n">
        <v>26</v>
      </c>
      <c r="G17" s="2" t="n">
        <f aca="false">COUNTIFS('Tally Attendance'!$A$2:$A$6201,A17,'Tally Attendance'!$F$2:$F$6201,"Present")</f>
        <v>20</v>
      </c>
      <c r="H17" s="2" t="n">
        <f aca="false">COUNTIFS('Tally Attendance'!$A$2:$A$6201,A17,'Tally Attendance'!$F$2:$F$6201,"Absent")</f>
        <v>5</v>
      </c>
      <c r="I17" s="2" t="n">
        <f aca="false">COUNTIFS('Tally Attendance'!$A$2:$A$6201,A17,'Tally Attendance'!$F$2:$F$6201,"Leave")</f>
        <v>1</v>
      </c>
      <c r="J17" s="2" t="n">
        <f aca="false">COUNTIFS('Tally Attendance'!$A$2:$A$6201,A17,'Tally Attendance'!$F$2:$F$6201,"Half Day")</f>
        <v>0</v>
      </c>
      <c r="K17" s="2" t="n">
        <f aca="false">MIN(H17,2)</f>
        <v>2</v>
      </c>
      <c r="L17" s="2" t="n">
        <f aca="false">MAX(H17-K17,0)</f>
        <v>3</v>
      </c>
      <c r="M17" s="2" t="n">
        <f aca="false">ROUND(E17/F17,2)</f>
        <v>3634.62</v>
      </c>
      <c r="N17" s="2" t="n">
        <f aca="false">E17</f>
        <v>94500</v>
      </c>
      <c r="O17" s="2" t="n">
        <f aca="false">ROUND(M17*L17,2)</f>
        <v>10903.86</v>
      </c>
      <c r="P17" s="2" t="n">
        <f aca="false">ROUND(M17*COUNTIFS('Leave Records'!$B$2:$B$144,A17,'Leave Records'!$F$2:$F$144,"Unpaid")+M17*0.5*J17,2)</f>
        <v>3634.62</v>
      </c>
      <c r="Q17" s="2" t="n">
        <f aca="false">INDEX('Employee Master'!$M$2:$M$201,MATCH(A17,'Employee Master'!$A$2:$A$201,0))</f>
        <v>11340</v>
      </c>
      <c r="R17" s="2" t="n">
        <v>0</v>
      </c>
      <c r="S17" s="2" t="n">
        <f aca="false">N17-O17-P17-Q17-R17</f>
        <v>68621.52</v>
      </c>
    </row>
    <row r="18" customFormat="false" ht="15" hidden="false" customHeight="false" outlineLevel="0" collapsed="false">
      <c r="A18" s="2" t="s">
        <v>74</v>
      </c>
      <c r="B18" s="2" t="s">
        <v>75</v>
      </c>
      <c r="C18" s="2" t="s">
        <v>649</v>
      </c>
      <c r="D18" s="2" t="n">
        <v>2026</v>
      </c>
      <c r="E18" s="2" t="n">
        <f aca="false">INDEX('Employee Master'!$G$2:$G$201,MATCH(A18,'Employee Master'!$A$2:$A$201,0))</f>
        <v>66500</v>
      </c>
      <c r="F18" s="2" t="n">
        <v>26</v>
      </c>
      <c r="G18" s="2" t="n">
        <f aca="false">COUNTIFS('Tally Attendance'!$A$2:$A$6201,A18,'Tally Attendance'!$F$2:$F$6201,"Present")</f>
        <v>21</v>
      </c>
      <c r="H18" s="2" t="n">
        <f aca="false">COUNTIFS('Tally Attendance'!$A$2:$A$6201,A18,'Tally Attendance'!$F$2:$F$6201,"Absent")</f>
        <v>4</v>
      </c>
      <c r="I18" s="2" t="n">
        <f aca="false">COUNTIFS('Tally Attendance'!$A$2:$A$6201,A18,'Tally Attendance'!$F$2:$F$6201,"Leave")</f>
        <v>1</v>
      </c>
      <c r="J18" s="2" t="n">
        <f aca="false">COUNTIFS('Tally Attendance'!$A$2:$A$6201,A18,'Tally Attendance'!$F$2:$F$6201,"Half Day")</f>
        <v>0</v>
      </c>
      <c r="K18" s="2" t="n">
        <f aca="false">MIN(H18,2)</f>
        <v>2</v>
      </c>
      <c r="L18" s="2" t="n">
        <f aca="false">MAX(H18-K18,0)</f>
        <v>2</v>
      </c>
      <c r="M18" s="2" t="n">
        <f aca="false">ROUND(E18/F18,2)</f>
        <v>2557.69</v>
      </c>
      <c r="N18" s="2" t="n">
        <f aca="false">E18</f>
        <v>66500</v>
      </c>
      <c r="O18" s="2" t="n">
        <f aca="false">ROUND(M18*L18,2)</f>
        <v>5115.38</v>
      </c>
      <c r="P18" s="2" t="n">
        <f aca="false">ROUND(M18*COUNTIFS('Leave Records'!$B$2:$B$144,A18,'Leave Records'!$F$2:$F$144,"Unpaid")+M18*0.5*J18,2)</f>
        <v>2557.69</v>
      </c>
      <c r="Q18" s="2" t="n">
        <f aca="false">INDEX('Employee Master'!$M$2:$M$201,MATCH(A18,'Employee Master'!$A$2:$A$201,0))</f>
        <v>7980</v>
      </c>
      <c r="R18" s="2" t="n">
        <v>0</v>
      </c>
      <c r="S18" s="2" t="n">
        <f aca="false">N18-O18-P18-Q18-R18</f>
        <v>50846.93</v>
      </c>
    </row>
    <row r="19" customFormat="false" ht="15" hidden="false" customHeight="false" outlineLevel="0" collapsed="false">
      <c r="A19" s="2" t="s">
        <v>77</v>
      </c>
      <c r="B19" s="2" t="s">
        <v>78</v>
      </c>
      <c r="C19" s="2" t="s">
        <v>649</v>
      </c>
      <c r="D19" s="2" t="n">
        <v>2026</v>
      </c>
      <c r="E19" s="2" t="n">
        <f aca="false">INDEX('Employee Master'!$G$2:$G$201,MATCH(A19,'Employee Master'!$A$2:$A$201,0))</f>
        <v>38500</v>
      </c>
      <c r="F19" s="2" t="n">
        <v>26</v>
      </c>
      <c r="G19" s="2" t="n">
        <f aca="false">COUNTIFS('Tally Attendance'!$A$2:$A$6201,A19,'Tally Attendance'!$F$2:$F$6201,"Present")</f>
        <v>20</v>
      </c>
      <c r="H19" s="2" t="n">
        <f aca="false">COUNTIFS('Tally Attendance'!$A$2:$A$6201,A19,'Tally Attendance'!$F$2:$F$6201,"Absent")</f>
        <v>4</v>
      </c>
      <c r="I19" s="2" t="n">
        <f aca="false">COUNTIFS('Tally Attendance'!$A$2:$A$6201,A19,'Tally Attendance'!$F$2:$F$6201,"Leave")</f>
        <v>0</v>
      </c>
      <c r="J19" s="2" t="n">
        <f aca="false">COUNTIFS('Tally Attendance'!$A$2:$A$6201,A19,'Tally Attendance'!$F$2:$F$6201,"Half Day")</f>
        <v>2</v>
      </c>
      <c r="K19" s="2" t="n">
        <f aca="false">MIN(H19,2)</f>
        <v>2</v>
      </c>
      <c r="L19" s="2" t="n">
        <f aca="false">MAX(H19-K19,0)</f>
        <v>2</v>
      </c>
      <c r="M19" s="2" t="n">
        <f aca="false">ROUND(E19/F19,2)</f>
        <v>1480.77</v>
      </c>
      <c r="N19" s="2" t="n">
        <f aca="false">E19</f>
        <v>38500</v>
      </c>
      <c r="O19" s="2" t="n">
        <f aca="false">ROUND(M19*L19,2)</f>
        <v>2961.54</v>
      </c>
      <c r="P19" s="2" t="n">
        <f aca="false">ROUND(M19*COUNTIFS('Leave Records'!$B$2:$B$144,A19,'Leave Records'!$F$2:$F$144,"Unpaid")+M19*0.5*J19,2)</f>
        <v>1480.77</v>
      </c>
      <c r="Q19" s="2" t="n">
        <f aca="false">INDEX('Employee Master'!$M$2:$M$201,MATCH(A19,'Employee Master'!$A$2:$A$201,0))</f>
        <v>4620</v>
      </c>
      <c r="R19" s="2" t="n">
        <v>0</v>
      </c>
      <c r="S19" s="2" t="n">
        <f aca="false">N19-O19-P19-Q19-R19</f>
        <v>29437.69</v>
      </c>
    </row>
    <row r="20" customFormat="false" ht="15" hidden="false" customHeight="false" outlineLevel="0" collapsed="false">
      <c r="A20" s="2" t="s">
        <v>79</v>
      </c>
      <c r="B20" s="2" t="s">
        <v>80</v>
      </c>
      <c r="C20" s="2" t="s">
        <v>649</v>
      </c>
      <c r="D20" s="2" t="n">
        <v>2026</v>
      </c>
      <c r="E20" s="2" t="n">
        <f aca="false">INDEX('Employee Master'!$G$2:$G$201,MATCH(A20,'Employee Master'!$A$2:$A$201,0))</f>
        <v>37000</v>
      </c>
      <c r="F20" s="2" t="n">
        <v>26</v>
      </c>
      <c r="G20" s="2" t="n">
        <f aca="false">COUNTIFS('Tally Attendance'!$A$2:$A$6201,A20,'Tally Attendance'!$F$2:$F$6201,"Present")</f>
        <v>23</v>
      </c>
      <c r="H20" s="2" t="n">
        <f aca="false">COUNTIFS('Tally Attendance'!$A$2:$A$6201,A20,'Tally Attendance'!$F$2:$F$6201,"Absent")</f>
        <v>3</v>
      </c>
      <c r="I20" s="2" t="n">
        <f aca="false">COUNTIFS('Tally Attendance'!$A$2:$A$6201,A20,'Tally Attendance'!$F$2:$F$6201,"Leave")</f>
        <v>0</v>
      </c>
      <c r="J20" s="2" t="n">
        <f aca="false">COUNTIFS('Tally Attendance'!$A$2:$A$6201,A20,'Tally Attendance'!$F$2:$F$6201,"Half Day")</f>
        <v>0</v>
      </c>
      <c r="K20" s="2" t="n">
        <f aca="false">MIN(H20,2)</f>
        <v>2</v>
      </c>
      <c r="L20" s="2" t="n">
        <f aca="false">MAX(H20-K20,0)</f>
        <v>1</v>
      </c>
      <c r="M20" s="2" t="n">
        <f aca="false">ROUND(E20/F20,2)</f>
        <v>1423.08</v>
      </c>
      <c r="N20" s="2" t="n">
        <f aca="false">E20</f>
        <v>37000</v>
      </c>
      <c r="O20" s="2" t="n">
        <f aca="false">ROUND(M20*L20,2)</f>
        <v>1423.08</v>
      </c>
      <c r="P20" s="2" t="n">
        <f aca="false">ROUND(M20*COUNTIFS('Leave Records'!$B$2:$B$144,A20,'Leave Records'!$F$2:$F$144,"Unpaid")+M20*0.5*J20,2)</f>
        <v>0</v>
      </c>
      <c r="Q20" s="2" t="n">
        <f aca="false">INDEX('Employee Master'!$M$2:$M$201,MATCH(A20,'Employee Master'!$A$2:$A$201,0))</f>
        <v>4440</v>
      </c>
      <c r="R20" s="2" t="n">
        <v>0</v>
      </c>
      <c r="S20" s="2" t="n">
        <f aca="false">N20-O20-P20-Q20-R20</f>
        <v>31136.92</v>
      </c>
    </row>
    <row r="21" customFormat="false" ht="15" hidden="false" customHeight="false" outlineLevel="0" collapsed="false">
      <c r="A21" s="2" t="s">
        <v>81</v>
      </c>
      <c r="B21" s="2" t="s">
        <v>82</v>
      </c>
      <c r="C21" s="2" t="s">
        <v>649</v>
      </c>
      <c r="D21" s="2" t="n">
        <v>2026</v>
      </c>
      <c r="E21" s="2" t="n">
        <f aca="false">INDEX('Employee Master'!$G$2:$G$201,MATCH(A21,'Employee Master'!$A$2:$A$201,0))</f>
        <v>38000</v>
      </c>
      <c r="F21" s="2" t="n">
        <v>26</v>
      </c>
      <c r="G21" s="2" t="n">
        <f aca="false">COUNTIFS('Tally Attendance'!$A$2:$A$6201,A21,'Tally Attendance'!$F$2:$F$6201,"Present")</f>
        <v>17</v>
      </c>
      <c r="H21" s="2" t="n">
        <f aca="false">COUNTIFS('Tally Attendance'!$A$2:$A$6201,A21,'Tally Attendance'!$F$2:$F$6201,"Absent")</f>
        <v>8</v>
      </c>
      <c r="I21" s="2" t="n">
        <f aca="false">COUNTIFS('Tally Attendance'!$A$2:$A$6201,A21,'Tally Attendance'!$F$2:$F$6201,"Leave")</f>
        <v>0</v>
      </c>
      <c r="J21" s="2" t="n">
        <f aca="false">COUNTIFS('Tally Attendance'!$A$2:$A$6201,A21,'Tally Attendance'!$F$2:$F$6201,"Half Day")</f>
        <v>1</v>
      </c>
      <c r="K21" s="2" t="n">
        <f aca="false">MIN(H21,2)</f>
        <v>2</v>
      </c>
      <c r="L21" s="2" t="n">
        <f aca="false">MAX(H21-K21,0)</f>
        <v>6</v>
      </c>
      <c r="M21" s="2" t="n">
        <f aca="false">ROUND(E21/F21,2)</f>
        <v>1461.54</v>
      </c>
      <c r="N21" s="2" t="n">
        <f aca="false">E21</f>
        <v>38000</v>
      </c>
      <c r="O21" s="2" t="n">
        <f aca="false">ROUND(M21*L21,2)</f>
        <v>8769.24</v>
      </c>
      <c r="P21" s="2" t="n">
        <f aca="false">ROUND(M21*COUNTIFS('Leave Records'!$B$2:$B$144,A21,'Leave Records'!$F$2:$F$144,"Unpaid")+M21*0.5*J21,2)</f>
        <v>730.77</v>
      </c>
      <c r="Q21" s="2" t="n">
        <f aca="false">INDEX('Employee Master'!$M$2:$M$201,MATCH(A21,'Employee Master'!$A$2:$A$201,0))</f>
        <v>4560</v>
      </c>
      <c r="R21" s="2" t="n">
        <v>0</v>
      </c>
      <c r="S21" s="2" t="n">
        <f aca="false">N21-O21-P21-Q21-R21</f>
        <v>23939.99</v>
      </c>
    </row>
    <row r="22" customFormat="false" ht="15" hidden="false" customHeight="false" outlineLevel="0" collapsed="false">
      <c r="A22" s="2" t="s">
        <v>84</v>
      </c>
      <c r="B22" s="2" t="s">
        <v>85</v>
      </c>
      <c r="C22" s="2" t="s">
        <v>649</v>
      </c>
      <c r="D22" s="2" t="n">
        <v>2026</v>
      </c>
      <c r="E22" s="2" t="n">
        <f aca="false">INDEX('Employee Master'!$G$2:$G$201,MATCH(A22,'Employee Master'!$A$2:$A$201,0))</f>
        <v>54000</v>
      </c>
      <c r="F22" s="2" t="n">
        <v>26</v>
      </c>
      <c r="G22" s="2" t="n">
        <f aca="false">COUNTIFS('Tally Attendance'!$A$2:$A$6201,A22,'Tally Attendance'!$F$2:$F$6201,"Present")</f>
        <v>24</v>
      </c>
      <c r="H22" s="2" t="n">
        <f aca="false">COUNTIFS('Tally Attendance'!$A$2:$A$6201,A22,'Tally Attendance'!$F$2:$F$6201,"Absent")</f>
        <v>1</v>
      </c>
      <c r="I22" s="2" t="n">
        <f aca="false">COUNTIFS('Tally Attendance'!$A$2:$A$6201,A22,'Tally Attendance'!$F$2:$F$6201,"Leave")</f>
        <v>0</v>
      </c>
      <c r="J22" s="2" t="n">
        <f aca="false">COUNTIFS('Tally Attendance'!$A$2:$A$6201,A22,'Tally Attendance'!$F$2:$F$6201,"Half Day")</f>
        <v>1</v>
      </c>
      <c r="K22" s="2" t="n">
        <f aca="false">MIN(H22,2)</f>
        <v>1</v>
      </c>
      <c r="L22" s="2" t="n">
        <f aca="false">MAX(H22-K22,0)</f>
        <v>0</v>
      </c>
      <c r="M22" s="2" t="n">
        <f aca="false">ROUND(E22/F22,2)</f>
        <v>2076.92</v>
      </c>
      <c r="N22" s="2" t="n">
        <f aca="false">E22</f>
        <v>54000</v>
      </c>
      <c r="O22" s="2" t="n">
        <f aca="false">ROUND(M22*L22,2)</f>
        <v>0</v>
      </c>
      <c r="P22" s="2" t="n">
        <f aca="false">ROUND(M22*COUNTIFS('Leave Records'!$B$2:$B$144,A22,'Leave Records'!$F$2:$F$144,"Unpaid")+M22*0.5*J22,2)</f>
        <v>1038.46</v>
      </c>
      <c r="Q22" s="2" t="n">
        <f aca="false">INDEX('Employee Master'!$M$2:$M$201,MATCH(A22,'Employee Master'!$A$2:$A$201,0))</f>
        <v>6480</v>
      </c>
      <c r="R22" s="2" t="n">
        <v>0</v>
      </c>
      <c r="S22" s="2" t="n">
        <f aca="false">N22-O22-P22-Q22-R22</f>
        <v>46481.54</v>
      </c>
    </row>
    <row r="23" customFormat="false" ht="15" hidden="false" customHeight="false" outlineLevel="0" collapsed="false">
      <c r="A23" s="2" t="s">
        <v>86</v>
      </c>
      <c r="B23" s="2" t="s">
        <v>87</v>
      </c>
      <c r="C23" s="2" t="s">
        <v>649</v>
      </c>
      <c r="D23" s="2" t="n">
        <v>2026</v>
      </c>
      <c r="E23" s="2" t="n">
        <f aca="false">INDEX('Employee Master'!$G$2:$G$201,MATCH(A23,'Employee Master'!$A$2:$A$201,0))</f>
        <v>121000</v>
      </c>
      <c r="F23" s="2" t="n">
        <v>26</v>
      </c>
      <c r="G23" s="2" t="n">
        <f aca="false">COUNTIFS('Tally Attendance'!$A$2:$A$6201,A23,'Tally Attendance'!$F$2:$F$6201,"Present")</f>
        <v>17</v>
      </c>
      <c r="H23" s="2" t="n">
        <f aca="false">COUNTIFS('Tally Attendance'!$A$2:$A$6201,A23,'Tally Attendance'!$F$2:$F$6201,"Absent")</f>
        <v>9</v>
      </c>
      <c r="I23" s="2" t="n">
        <f aca="false">COUNTIFS('Tally Attendance'!$A$2:$A$6201,A23,'Tally Attendance'!$F$2:$F$6201,"Leave")</f>
        <v>0</v>
      </c>
      <c r="J23" s="2" t="n">
        <f aca="false">COUNTIFS('Tally Attendance'!$A$2:$A$6201,A23,'Tally Attendance'!$F$2:$F$6201,"Half Day")</f>
        <v>0</v>
      </c>
      <c r="K23" s="2" t="n">
        <f aca="false">MIN(H23,2)</f>
        <v>2</v>
      </c>
      <c r="L23" s="2" t="n">
        <f aca="false">MAX(H23-K23,0)</f>
        <v>7</v>
      </c>
      <c r="M23" s="2" t="n">
        <f aca="false">ROUND(E23/F23,2)</f>
        <v>4653.85</v>
      </c>
      <c r="N23" s="2" t="n">
        <f aca="false">E23</f>
        <v>121000</v>
      </c>
      <c r="O23" s="2" t="n">
        <f aca="false">ROUND(M23*L23,2)</f>
        <v>32576.95</v>
      </c>
      <c r="P23" s="2" t="n">
        <f aca="false">ROUND(M23*COUNTIFS('Leave Records'!$B$2:$B$144,A23,'Leave Records'!$F$2:$F$144,"Unpaid")+M23*0.5*J23,2)</f>
        <v>0</v>
      </c>
      <c r="Q23" s="2" t="n">
        <f aca="false">INDEX('Employee Master'!$M$2:$M$201,MATCH(A23,'Employee Master'!$A$2:$A$201,0))</f>
        <v>14520</v>
      </c>
      <c r="R23" s="2" t="n">
        <v>0</v>
      </c>
      <c r="S23" s="2" t="n">
        <f aca="false">N23-O23-P23-Q23-R23</f>
        <v>73903.05</v>
      </c>
    </row>
    <row r="24" customFormat="false" ht="15" hidden="false" customHeight="false" outlineLevel="0" collapsed="false">
      <c r="A24" s="2" t="s">
        <v>88</v>
      </c>
      <c r="B24" s="2" t="s">
        <v>89</v>
      </c>
      <c r="C24" s="2" t="s">
        <v>649</v>
      </c>
      <c r="D24" s="2" t="n">
        <v>2026</v>
      </c>
      <c r="E24" s="2" t="n">
        <f aca="false">INDEX('Employee Master'!$G$2:$G$201,MATCH(A24,'Employee Master'!$A$2:$A$201,0))</f>
        <v>88000</v>
      </c>
      <c r="F24" s="2" t="n">
        <v>26</v>
      </c>
      <c r="G24" s="2" t="n">
        <f aca="false">COUNTIFS('Tally Attendance'!$A$2:$A$6201,A24,'Tally Attendance'!$F$2:$F$6201,"Present")</f>
        <v>21</v>
      </c>
      <c r="H24" s="2" t="n">
        <f aca="false">COUNTIFS('Tally Attendance'!$A$2:$A$6201,A24,'Tally Attendance'!$F$2:$F$6201,"Absent")</f>
        <v>5</v>
      </c>
      <c r="I24" s="2" t="n">
        <f aca="false">COUNTIFS('Tally Attendance'!$A$2:$A$6201,A24,'Tally Attendance'!$F$2:$F$6201,"Leave")</f>
        <v>0</v>
      </c>
      <c r="J24" s="2" t="n">
        <f aca="false">COUNTIFS('Tally Attendance'!$A$2:$A$6201,A24,'Tally Attendance'!$F$2:$F$6201,"Half Day")</f>
        <v>0</v>
      </c>
      <c r="K24" s="2" t="n">
        <f aca="false">MIN(H24,2)</f>
        <v>2</v>
      </c>
      <c r="L24" s="2" t="n">
        <f aca="false">MAX(H24-K24,0)</f>
        <v>3</v>
      </c>
      <c r="M24" s="2" t="n">
        <f aca="false">ROUND(E24/F24,2)</f>
        <v>3384.62</v>
      </c>
      <c r="N24" s="2" t="n">
        <f aca="false">E24</f>
        <v>88000</v>
      </c>
      <c r="O24" s="2" t="n">
        <f aca="false">ROUND(M24*L24,2)</f>
        <v>10153.86</v>
      </c>
      <c r="P24" s="2" t="n">
        <f aca="false">ROUND(M24*COUNTIFS('Leave Records'!$B$2:$B$144,A24,'Leave Records'!$F$2:$F$144,"Unpaid")+M24*0.5*J24,2)</f>
        <v>0</v>
      </c>
      <c r="Q24" s="2" t="n">
        <f aca="false">INDEX('Employee Master'!$M$2:$M$201,MATCH(A24,'Employee Master'!$A$2:$A$201,0))</f>
        <v>10560</v>
      </c>
      <c r="R24" s="2" t="n">
        <v>0</v>
      </c>
      <c r="S24" s="2" t="n">
        <f aca="false">N24-O24-P24-Q24-R24</f>
        <v>67286.14</v>
      </c>
    </row>
    <row r="25" customFormat="false" ht="15" hidden="false" customHeight="false" outlineLevel="0" collapsed="false">
      <c r="A25" s="2" t="s">
        <v>90</v>
      </c>
      <c r="B25" s="2" t="s">
        <v>91</v>
      </c>
      <c r="C25" s="2" t="s">
        <v>649</v>
      </c>
      <c r="D25" s="2" t="n">
        <v>2026</v>
      </c>
      <c r="E25" s="2" t="n">
        <f aca="false">INDEX('Employee Master'!$G$2:$G$201,MATCH(A25,'Employee Master'!$A$2:$A$201,0))</f>
        <v>34500</v>
      </c>
      <c r="F25" s="2" t="n">
        <v>26</v>
      </c>
      <c r="G25" s="2" t="n">
        <f aca="false">COUNTIFS('Tally Attendance'!$A$2:$A$6201,A25,'Tally Attendance'!$F$2:$F$6201,"Present")</f>
        <v>24</v>
      </c>
      <c r="H25" s="2" t="n">
        <f aca="false">COUNTIFS('Tally Attendance'!$A$2:$A$6201,A25,'Tally Attendance'!$F$2:$F$6201,"Absent")</f>
        <v>2</v>
      </c>
      <c r="I25" s="2" t="n">
        <f aca="false">COUNTIFS('Tally Attendance'!$A$2:$A$6201,A25,'Tally Attendance'!$F$2:$F$6201,"Leave")</f>
        <v>0</v>
      </c>
      <c r="J25" s="2" t="n">
        <f aca="false">COUNTIFS('Tally Attendance'!$A$2:$A$6201,A25,'Tally Attendance'!$F$2:$F$6201,"Half Day")</f>
        <v>0</v>
      </c>
      <c r="K25" s="2" t="n">
        <f aca="false">MIN(H25,2)</f>
        <v>2</v>
      </c>
      <c r="L25" s="2" t="n">
        <f aca="false">MAX(H25-K25,0)</f>
        <v>0</v>
      </c>
      <c r="M25" s="2" t="n">
        <f aca="false">ROUND(E25/F25,2)</f>
        <v>1326.92</v>
      </c>
      <c r="N25" s="2" t="n">
        <f aca="false">E25</f>
        <v>34500</v>
      </c>
      <c r="O25" s="2" t="n">
        <f aca="false">ROUND(M25*L25,2)</f>
        <v>0</v>
      </c>
      <c r="P25" s="2" t="n">
        <f aca="false">ROUND(M25*COUNTIFS('Leave Records'!$B$2:$B$144,A25,'Leave Records'!$F$2:$F$144,"Unpaid")+M25*0.5*J25,2)</f>
        <v>0</v>
      </c>
      <c r="Q25" s="2" t="n">
        <f aca="false">INDEX('Employee Master'!$M$2:$M$201,MATCH(A25,'Employee Master'!$A$2:$A$201,0))</f>
        <v>4140</v>
      </c>
      <c r="R25" s="2" t="n">
        <v>0</v>
      </c>
      <c r="S25" s="2" t="n">
        <f aca="false">N25-O25-P25-Q25-R25</f>
        <v>30360</v>
      </c>
    </row>
    <row r="26" customFormat="false" ht="15" hidden="false" customHeight="false" outlineLevel="0" collapsed="false">
      <c r="A26" s="2" t="s">
        <v>93</v>
      </c>
      <c r="B26" s="2" t="s">
        <v>94</v>
      </c>
      <c r="C26" s="2" t="s">
        <v>649</v>
      </c>
      <c r="D26" s="2" t="n">
        <v>2026</v>
      </c>
      <c r="E26" s="2" t="n">
        <f aca="false">INDEX('Employee Master'!$G$2:$G$201,MATCH(A26,'Employee Master'!$A$2:$A$201,0))</f>
        <v>89500</v>
      </c>
      <c r="F26" s="2" t="n">
        <v>26</v>
      </c>
      <c r="G26" s="2" t="n">
        <f aca="false">COUNTIFS('Tally Attendance'!$A$2:$A$6201,A26,'Tally Attendance'!$F$2:$F$6201,"Present")</f>
        <v>22</v>
      </c>
      <c r="H26" s="2" t="n">
        <f aca="false">COUNTIFS('Tally Attendance'!$A$2:$A$6201,A26,'Tally Attendance'!$F$2:$F$6201,"Absent")</f>
        <v>3</v>
      </c>
      <c r="I26" s="2" t="n">
        <f aca="false">COUNTIFS('Tally Attendance'!$A$2:$A$6201,A26,'Tally Attendance'!$F$2:$F$6201,"Leave")</f>
        <v>1</v>
      </c>
      <c r="J26" s="2" t="n">
        <f aca="false">COUNTIFS('Tally Attendance'!$A$2:$A$6201,A26,'Tally Attendance'!$F$2:$F$6201,"Half Day")</f>
        <v>0</v>
      </c>
      <c r="K26" s="2" t="n">
        <f aca="false">MIN(H26,2)</f>
        <v>2</v>
      </c>
      <c r="L26" s="2" t="n">
        <f aca="false">MAX(H26-K26,0)</f>
        <v>1</v>
      </c>
      <c r="M26" s="2" t="n">
        <f aca="false">ROUND(E26/F26,2)</f>
        <v>3442.31</v>
      </c>
      <c r="N26" s="2" t="n">
        <f aca="false">E26</f>
        <v>89500</v>
      </c>
      <c r="O26" s="2" t="n">
        <f aca="false">ROUND(M26*L26,2)</f>
        <v>3442.31</v>
      </c>
      <c r="P26" s="2" t="n">
        <f aca="false">ROUND(M26*COUNTIFS('Leave Records'!$B$2:$B$144,A26,'Leave Records'!$F$2:$F$144,"Unpaid")+M26*0.5*J26,2)</f>
        <v>0</v>
      </c>
      <c r="Q26" s="2" t="n">
        <f aca="false">INDEX('Employee Master'!$M$2:$M$201,MATCH(A26,'Employee Master'!$A$2:$A$201,0))</f>
        <v>10740</v>
      </c>
      <c r="R26" s="2" t="n">
        <v>0</v>
      </c>
      <c r="S26" s="2" t="n">
        <f aca="false">N26-O26-P26-Q26-R26</f>
        <v>75317.69</v>
      </c>
    </row>
    <row r="27" customFormat="false" ht="15" hidden="false" customHeight="false" outlineLevel="0" collapsed="false">
      <c r="A27" s="2" t="s">
        <v>95</v>
      </c>
      <c r="B27" s="2" t="s">
        <v>96</v>
      </c>
      <c r="C27" s="2" t="s">
        <v>649</v>
      </c>
      <c r="D27" s="2" t="n">
        <v>2026</v>
      </c>
      <c r="E27" s="2" t="n">
        <f aca="false">INDEX('Employee Master'!$G$2:$G$201,MATCH(A27,'Employee Master'!$A$2:$A$201,0))</f>
        <v>76500</v>
      </c>
      <c r="F27" s="2" t="n">
        <v>26</v>
      </c>
      <c r="G27" s="2" t="n">
        <f aca="false">COUNTIFS('Tally Attendance'!$A$2:$A$6201,A27,'Tally Attendance'!$F$2:$F$6201,"Present")</f>
        <v>16</v>
      </c>
      <c r="H27" s="2" t="n">
        <f aca="false">COUNTIFS('Tally Attendance'!$A$2:$A$6201,A27,'Tally Attendance'!$F$2:$F$6201,"Absent")</f>
        <v>8</v>
      </c>
      <c r="I27" s="2" t="n">
        <f aca="false">COUNTIFS('Tally Attendance'!$A$2:$A$6201,A27,'Tally Attendance'!$F$2:$F$6201,"Leave")</f>
        <v>2</v>
      </c>
      <c r="J27" s="2" t="n">
        <f aca="false">COUNTIFS('Tally Attendance'!$A$2:$A$6201,A27,'Tally Attendance'!$F$2:$F$6201,"Half Day")</f>
        <v>0</v>
      </c>
      <c r="K27" s="2" t="n">
        <f aca="false">MIN(H27,2)</f>
        <v>2</v>
      </c>
      <c r="L27" s="2" t="n">
        <f aca="false">MAX(H27-K27,0)</f>
        <v>6</v>
      </c>
      <c r="M27" s="2" t="n">
        <f aca="false">ROUND(E27/F27,2)</f>
        <v>2942.31</v>
      </c>
      <c r="N27" s="2" t="n">
        <f aca="false">E27</f>
        <v>76500</v>
      </c>
      <c r="O27" s="2" t="n">
        <f aca="false">ROUND(M27*L27,2)</f>
        <v>17653.86</v>
      </c>
      <c r="P27" s="2" t="n">
        <f aca="false">ROUND(M27*COUNTIFS('Leave Records'!$B$2:$B$144,A27,'Leave Records'!$F$2:$F$144,"Unpaid")+M27*0.5*J27,2)</f>
        <v>0</v>
      </c>
      <c r="Q27" s="2" t="n">
        <f aca="false">INDEX('Employee Master'!$M$2:$M$201,MATCH(A27,'Employee Master'!$A$2:$A$201,0))</f>
        <v>9180</v>
      </c>
      <c r="R27" s="2" t="n">
        <v>0</v>
      </c>
      <c r="S27" s="2" t="n">
        <f aca="false">N27-O27-P27-Q27-R27</f>
        <v>49666.14</v>
      </c>
    </row>
    <row r="28" customFormat="false" ht="15" hidden="false" customHeight="false" outlineLevel="0" collapsed="false">
      <c r="A28" s="2" t="s">
        <v>97</v>
      </c>
      <c r="B28" s="2" t="s">
        <v>98</v>
      </c>
      <c r="C28" s="2" t="s">
        <v>649</v>
      </c>
      <c r="D28" s="2" t="n">
        <v>2026</v>
      </c>
      <c r="E28" s="2" t="n">
        <f aca="false">INDEX('Employee Master'!$G$2:$G$201,MATCH(A28,'Employee Master'!$A$2:$A$201,0))</f>
        <v>34000</v>
      </c>
      <c r="F28" s="2" t="n">
        <v>26</v>
      </c>
      <c r="G28" s="2" t="n">
        <f aca="false">COUNTIFS('Tally Attendance'!$A$2:$A$6201,A28,'Tally Attendance'!$F$2:$F$6201,"Present")</f>
        <v>22</v>
      </c>
      <c r="H28" s="2" t="n">
        <f aca="false">COUNTIFS('Tally Attendance'!$A$2:$A$6201,A28,'Tally Attendance'!$F$2:$F$6201,"Absent")</f>
        <v>3</v>
      </c>
      <c r="I28" s="2" t="n">
        <f aca="false">COUNTIFS('Tally Attendance'!$A$2:$A$6201,A28,'Tally Attendance'!$F$2:$F$6201,"Leave")</f>
        <v>1</v>
      </c>
      <c r="J28" s="2" t="n">
        <f aca="false">COUNTIFS('Tally Attendance'!$A$2:$A$6201,A28,'Tally Attendance'!$F$2:$F$6201,"Half Day")</f>
        <v>0</v>
      </c>
      <c r="K28" s="2" t="n">
        <f aca="false">MIN(H28,2)</f>
        <v>2</v>
      </c>
      <c r="L28" s="2" t="n">
        <f aca="false">MAX(H28-K28,0)</f>
        <v>1</v>
      </c>
      <c r="M28" s="2" t="n">
        <f aca="false">ROUND(E28/F28,2)</f>
        <v>1307.69</v>
      </c>
      <c r="N28" s="2" t="n">
        <f aca="false">E28</f>
        <v>34000</v>
      </c>
      <c r="O28" s="2" t="n">
        <f aca="false">ROUND(M28*L28,2)</f>
        <v>1307.69</v>
      </c>
      <c r="P28" s="2" t="n">
        <f aca="false">ROUND(M28*COUNTIFS('Leave Records'!$B$2:$B$144,A28,'Leave Records'!$F$2:$F$144,"Unpaid")+M28*0.5*J28,2)</f>
        <v>0</v>
      </c>
      <c r="Q28" s="2" t="n">
        <f aca="false">INDEX('Employee Master'!$M$2:$M$201,MATCH(A28,'Employee Master'!$A$2:$A$201,0))</f>
        <v>4080</v>
      </c>
      <c r="R28" s="2" t="n">
        <v>0</v>
      </c>
      <c r="S28" s="2" t="n">
        <f aca="false">N28-O28-P28-Q28-R28</f>
        <v>28612.31</v>
      </c>
    </row>
    <row r="29" customFormat="false" ht="15" hidden="false" customHeight="false" outlineLevel="0" collapsed="false">
      <c r="A29" s="2" t="s">
        <v>99</v>
      </c>
      <c r="B29" s="2" t="s">
        <v>100</v>
      </c>
      <c r="C29" s="2" t="s">
        <v>649</v>
      </c>
      <c r="D29" s="2" t="n">
        <v>2026</v>
      </c>
      <c r="E29" s="2" t="n">
        <f aca="false">INDEX('Employee Master'!$G$2:$G$201,MATCH(A29,'Employee Master'!$A$2:$A$201,0))</f>
        <v>138000</v>
      </c>
      <c r="F29" s="2" t="n">
        <v>26</v>
      </c>
      <c r="G29" s="2" t="n">
        <f aca="false">COUNTIFS('Tally Attendance'!$A$2:$A$6201,A29,'Tally Attendance'!$F$2:$F$6201,"Present")</f>
        <v>16</v>
      </c>
      <c r="H29" s="2" t="n">
        <f aca="false">COUNTIFS('Tally Attendance'!$A$2:$A$6201,A29,'Tally Attendance'!$F$2:$F$6201,"Absent")</f>
        <v>8</v>
      </c>
      <c r="I29" s="2" t="n">
        <f aca="false">COUNTIFS('Tally Attendance'!$A$2:$A$6201,A29,'Tally Attendance'!$F$2:$F$6201,"Leave")</f>
        <v>0</v>
      </c>
      <c r="J29" s="2" t="n">
        <f aca="false">COUNTIFS('Tally Attendance'!$A$2:$A$6201,A29,'Tally Attendance'!$F$2:$F$6201,"Half Day")</f>
        <v>2</v>
      </c>
      <c r="K29" s="2" t="n">
        <f aca="false">MIN(H29,2)</f>
        <v>2</v>
      </c>
      <c r="L29" s="2" t="n">
        <f aca="false">MAX(H29-K29,0)</f>
        <v>6</v>
      </c>
      <c r="M29" s="2" t="n">
        <f aca="false">ROUND(E29/F29,2)</f>
        <v>5307.69</v>
      </c>
      <c r="N29" s="2" t="n">
        <f aca="false">E29</f>
        <v>138000</v>
      </c>
      <c r="O29" s="2" t="n">
        <f aca="false">ROUND(M29*L29,2)</f>
        <v>31846.14</v>
      </c>
      <c r="P29" s="2" t="n">
        <f aca="false">ROUND(M29*COUNTIFS('Leave Records'!$B$2:$B$144,A29,'Leave Records'!$F$2:$F$144,"Unpaid")+M29*0.5*J29,2)</f>
        <v>5307.69</v>
      </c>
      <c r="Q29" s="2" t="n">
        <f aca="false">INDEX('Employee Master'!$M$2:$M$201,MATCH(A29,'Employee Master'!$A$2:$A$201,0))</f>
        <v>16560</v>
      </c>
      <c r="R29" s="2" t="n">
        <v>0</v>
      </c>
      <c r="S29" s="2" t="n">
        <f aca="false">N29-O29-P29-Q29-R29</f>
        <v>84286.17</v>
      </c>
    </row>
    <row r="30" customFormat="false" ht="15" hidden="false" customHeight="false" outlineLevel="0" collapsed="false">
      <c r="A30" s="2" t="s">
        <v>101</v>
      </c>
      <c r="B30" s="2" t="s">
        <v>102</v>
      </c>
      <c r="C30" s="2" t="s">
        <v>649</v>
      </c>
      <c r="D30" s="2" t="n">
        <v>2026</v>
      </c>
      <c r="E30" s="2" t="n">
        <f aca="false">INDEX('Employee Master'!$G$2:$G$201,MATCH(A30,'Employee Master'!$A$2:$A$201,0))</f>
        <v>21000</v>
      </c>
      <c r="F30" s="2" t="n">
        <v>26</v>
      </c>
      <c r="G30" s="2" t="n">
        <f aca="false">COUNTIFS('Tally Attendance'!$A$2:$A$6201,A30,'Tally Attendance'!$F$2:$F$6201,"Present")</f>
        <v>22</v>
      </c>
      <c r="H30" s="2" t="n">
        <f aca="false">COUNTIFS('Tally Attendance'!$A$2:$A$6201,A30,'Tally Attendance'!$F$2:$F$6201,"Absent")</f>
        <v>2</v>
      </c>
      <c r="I30" s="2" t="n">
        <f aca="false">COUNTIFS('Tally Attendance'!$A$2:$A$6201,A30,'Tally Attendance'!$F$2:$F$6201,"Leave")</f>
        <v>2</v>
      </c>
      <c r="J30" s="2" t="n">
        <f aca="false">COUNTIFS('Tally Attendance'!$A$2:$A$6201,A30,'Tally Attendance'!$F$2:$F$6201,"Half Day")</f>
        <v>0</v>
      </c>
      <c r="K30" s="2" t="n">
        <f aca="false">MIN(H30,2)</f>
        <v>2</v>
      </c>
      <c r="L30" s="2" t="n">
        <f aca="false">MAX(H30-K30,0)</f>
        <v>0</v>
      </c>
      <c r="M30" s="2" t="n">
        <f aca="false">ROUND(E30/F30,2)</f>
        <v>807.69</v>
      </c>
      <c r="N30" s="2" t="n">
        <f aca="false">E30</f>
        <v>21000</v>
      </c>
      <c r="O30" s="2" t="n">
        <f aca="false">ROUND(M30*L30,2)</f>
        <v>0</v>
      </c>
      <c r="P30" s="2" t="n">
        <f aca="false">ROUND(M30*COUNTIFS('Leave Records'!$B$2:$B$144,A30,'Leave Records'!$F$2:$F$144,"Unpaid")+M30*0.5*J30,2)</f>
        <v>807.69</v>
      </c>
      <c r="Q30" s="2" t="n">
        <f aca="false">INDEX('Employee Master'!$M$2:$M$201,MATCH(A30,'Employee Master'!$A$2:$A$201,0))</f>
        <v>2520</v>
      </c>
      <c r="R30" s="2" t="n">
        <v>0</v>
      </c>
      <c r="S30" s="2" t="n">
        <f aca="false">N30-O30-P30-Q30-R30</f>
        <v>17672.31</v>
      </c>
    </row>
    <row r="31" customFormat="false" ht="15" hidden="false" customHeight="false" outlineLevel="0" collapsed="false">
      <c r="A31" s="2" t="s">
        <v>104</v>
      </c>
      <c r="B31" s="2" t="s">
        <v>105</v>
      </c>
      <c r="C31" s="2" t="s">
        <v>649</v>
      </c>
      <c r="D31" s="2" t="n">
        <v>2026</v>
      </c>
      <c r="E31" s="2" t="n">
        <f aca="false">INDEX('Employee Master'!$G$2:$G$201,MATCH(A31,'Employee Master'!$A$2:$A$201,0))</f>
        <v>41000</v>
      </c>
      <c r="F31" s="2" t="n">
        <v>26</v>
      </c>
      <c r="G31" s="2" t="n">
        <f aca="false">COUNTIFS('Tally Attendance'!$A$2:$A$6201,A31,'Tally Attendance'!$F$2:$F$6201,"Present")</f>
        <v>21</v>
      </c>
      <c r="H31" s="2" t="n">
        <f aca="false">COUNTIFS('Tally Attendance'!$A$2:$A$6201,A31,'Tally Attendance'!$F$2:$F$6201,"Absent")</f>
        <v>4</v>
      </c>
      <c r="I31" s="2" t="n">
        <f aca="false">COUNTIFS('Tally Attendance'!$A$2:$A$6201,A31,'Tally Attendance'!$F$2:$F$6201,"Leave")</f>
        <v>1</v>
      </c>
      <c r="J31" s="2" t="n">
        <f aca="false">COUNTIFS('Tally Attendance'!$A$2:$A$6201,A31,'Tally Attendance'!$F$2:$F$6201,"Half Day")</f>
        <v>0</v>
      </c>
      <c r="K31" s="2" t="n">
        <f aca="false">MIN(H31,2)</f>
        <v>2</v>
      </c>
      <c r="L31" s="2" t="n">
        <f aca="false">MAX(H31-K31,0)</f>
        <v>2</v>
      </c>
      <c r="M31" s="2" t="n">
        <f aca="false">ROUND(E31/F31,2)</f>
        <v>1576.92</v>
      </c>
      <c r="N31" s="2" t="n">
        <f aca="false">E31</f>
        <v>41000</v>
      </c>
      <c r="O31" s="2" t="n">
        <f aca="false">ROUND(M31*L31,2)</f>
        <v>3153.84</v>
      </c>
      <c r="P31" s="2" t="n">
        <f aca="false">ROUND(M31*COUNTIFS('Leave Records'!$B$2:$B$144,A31,'Leave Records'!$F$2:$F$144,"Unpaid")+M31*0.5*J31,2)</f>
        <v>0</v>
      </c>
      <c r="Q31" s="2" t="n">
        <f aca="false">INDEX('Employee Master'!$M$2:$M$201,MATCH(A31,'Employee Master'!$A$2:$A$201,0))</f>
        <v>4920</v>
      </c>
      <c r="R31" s="2" t="n">
        <v>0</v>
      </c>
      <c r="S31" s="2" t="n">
        <f aca="false">N31-O31-P31-Q31-R31</f>
        <v>32926.16</v>
      </c>
    </row>
    <row r="32" customFormat="false" ht="15" hidden="false" customHeight="false" outlineLevel="0" collapsed="false">
      <c r="A32" s="2" t="s">
        <v>106</v>
      </c>
      <c r="B32" s="2" t="s">
        <v>107</v>
      </c>
      <c r="C32" s="2" t="s">
        <v>649</v>
      </c>
      <c r="D32" s="2" t="n">
        <v>2026</v>
      </c>
      <c r="E32" s="2" t="n">
        <f aca="false">INDEX('Employee Master'!$G$2:$G$201,MATCH(A32,'Employee Master'!$A$2:$A$201,0))</f>
        <v>39500</v>
      </c>
      <c r="F32" s="2" t="n">
        <v>26</v>
      </c>
      <c r="G32" s="2" t="n">
        <f aca="false">COUNTIFS('Tally Attendance'!$A$2:$A$6201,A32,'Tally Attendance'!$F$2:$F$6201,"Present")</f>
        <v>19</v>
      </c>
      <c r="H32" s="2" t="n">
        <f aca="false">COUNTIFS('Tally Attendance'!$A$2:$A$6201,A32,'Tally Attendance'!$F$2:$F$6201,"Absent")</f>
        <v>6</v>
      </c>
      <c r="I32" s="2" t="n">
        <f aca="false">COUNTIFS('Tally Attendance'!$A$2:$A$6201,A32,'Tally Attendance'!$F$2:$F$6201,"Leave")</f>
        <v>0</v>
      </c>
      <c r="J32" s="2" t="n">
        <f aca="false">COUNTIFS('Tally Attendance'!$A$2:$A$6201,A32,'Tally Attendance'!$F$2:$F$6201,"Half Day")</f>
        <v>1</v>
      </c>
      <c r="K32" s="2" t="n">
        <f aca="false">MIN(H32,2)</f>
        <v>2</v>
      </c>
      <c r="L32" s="2" t="n">
        <f aca="false">MAX(H32-K32,0)</f>
        <v>4</v>
      </c>
      <c r="M32" s="2" t="n">
        <f aca="false">ROUND(E32/F32,2)</f>
        <v>1519.23</v>
      </c>
      <c r="N32" s="2" t="n">
        <f aca="false">E32</f>
        <v>39500</v>
      </c>
      <c r="O32" s="2" t="n">
        <f aca="false">ROUND(M32*L32,2)</f>
        <v>6076.92</v>
      </c>
      <c r="P32" s="2" t="n">
        <f aca="false">ROUND(M32*COUNTIFS('Leave Records'!$B$2:$B$144,A32,'Leave Records'!$F$2:$F$144,"Unpaid")+M32*0.5*J32,2)</f>
        <v>759.62</v>
      </c>
      <c r="Q32" s="2" t="n">
        <f aca="false">INDEX('Employee Master'!$M$2:$M$201,MATCH(A32,'Employee Master'!$A$2:$A$201,0))</f>
        <v>4740</v>
      </c>
      <c r="R32" s="2" t="n">
        <v>0</v>
      </c>
      <c r="S32" s="2" t="n">
        <f aca="false">N32-O32-P32-Q32-R32</f>
        <v>27923.46</v>
      </c>
    </row>
    <row r="33" customFormat="false" ht="15" hidden="false" customHeight="false" outlineLevel="0" collapsed="false">
      <c r="A33" s="2" t="s">
        <v>108</v>
      </c>
      <c r="B33" s="2" t="s">
        <v>109</v>
      </c>
      <c r="C33" s="2" t="s">
        <v>649</v>
      </c>
      <c r="D33" s="2" t="n">
        <v>2026</v>
      </c>
      <c r="E33" s="2" t="n">
        <f aca="false">INDEX('Employee Master'!$G$2:$G$201,MATCH(A33,'Employee Master'!$A$2:$A$201,0))</f>
        <v>60000</v>
      </c>
      <c r="F33" s="2" t="n">
        <v>26</v>
      </c>
      <c r="G33" s="2" t="n">
        <f aca="false">COUNTIFS('Tally Attendance'!$A$2:$A$6201,A33,'Tally Attendance'!$F$2:$F$6201,"Present")</f>
        <v>24</v>
      </c>
      <c r="H33" s="2" t="n">
        <f aca="false">COUNTIFS('Tally Attendance'!$A$2:$A$6201,A33,'Tally Attendance'!$F$2:$F$6201,"Absent")</f>
        <v>0</v>
      </c>
      <c r="I33" s="2" t="n">
        <f aca="false">COUNTIFS('Tally Attendance'!$A$2:$A$6201,A33,'Tally Attendance'!$F$2:$F$6201,"Leave")</f>
        <v>0</v>
      </c>
      <c r="J33" s="2" t="n">
        <f aca="false">COUNTIFS('Tally Attendance'!$A$2:$A$6201,A33,'Tally Attendance'!$F$2:$F$6201,"Half Day")</f>
        <v>2</v>
      </c>
      <c r="K33" s="2" t="n">
        <f aca="false">MIN(H33,2)</f>
        <v>0</v>
      </c>
      <c r="L33" s="2" t="n">
        <f aca="false">MAX(H33-K33,0)</f>
        <v>0</v>
      </c>
      <c r="M33" s="2" t="n">
        <f aca="false">ROUND(E33/F33,2)</f>
        <v>2307.69</v>
      </c>
      <c r="N33" s="2" t="n">
        <f aca="false">E33</f>
        <v>60000</v>
      </c>
      <c r="O33" s="2" t="n">
        <f aca="false">ROUND(M33*L33,2)</f>
        <v>0</v>
      </c>
      <c r="P33" s="2" t="n">
        <f aca="false">ROUND(M33*COUNTIFS('Leave Records'!$B$2:$B$144,A33,'Leave Records'!$F$2:$F$144,"Unpaid")+M33*0.5*J33,2)</f>
        <v>2307.69</v>
      </c>
      <c r="Q33" s="2" t="n">
        <f aca="false">INDEX('Employee Master'!$M$2:$M$201,MATCH(A33,'Employee Master'!$A$2:$A$201,0))</f>
        <v>7200</v>
      </c>
      <c r="R33" s="2" t="n">
        <v>0</v>
      </c>
      <c r="S33" s="2" t="n">
        <f aca="false">N33-O33-P33-Q33-R33</f>
        <v>50492.31</v>
      </c>
    </row>
    <row r="34" customFormat="false" ht="15" hidden="false" customHeight="false" outlineLevel="0" collapsed="false">
      <c r="A34" s="2" t="s">
        <v>110</v>
      </c>
      <c r="B34" s="2" t="s">
        <v>111</v>
      </c>
      <c r="C34" s="2" t="s">
        <v>649</v>
      </c>
      <c r="D34" s="2" t="n">
        <v>2026</v>
      </c>
      <c r="E34" s="2" t="n">
        <f aca="false">INDEX('Employee Master'!$G$2:$G$201,MATCH(A34,'Employee Master'!$A$2:$A$201,0))</f>
        <v>87500</v>
      </c>
      <c r="F34" s="2" t="n">
        <v>26</v>
      </c>
      <c r="G34" s="2" t="n">
        <f aca="false">COUNTIFS('Tally Attendance'!$A$2:$A$6201,A34,'Tally Attendance'!$F$2:$F$6201,"Present")</f>
        <v>17</v>
      </c>
      <c r="H34" s="2" t="n">
        <f aca="false">COUNTIFS('Tally Attendance'!$A$2:$A$6201,A34,'Tally Attendance'!$F$2:$F$6201,"Absent")</f>
        <v>9</v>
      </c>
      <c r="I34" s="2" t="n">
        <f aca="false">COUNTIFS('Tally Attendance'!$A$2:$A$6201,A34,'Tally Attendance'!$F$2:$F$6201,"Leave")</f>
        <v>0</v>
      </c>
      <c r="J34" s="2" t="n">
        <f aca="false">COUNTIFS('Tally Attendance'!$A$2:$A$6201,A34,'Tally Attendance'!$F$2:$F$6201,"Half Day")</f>
        <v>0</v>
      </c>
      <c r="K34" s="2" t="n">
        <f aca="false">MIN(H34,2)</f>
        <v>2</v>
      </c>
      <c r="L34" s="2" t="n">
        <f aca="false">MAX(H34-K34,0)</f>
        <v>7</v>
      </c>
      <c r="M34" s="2" t="n">
        <f aca="false">ROUND(E34/F34,2)</f>
        <v>3365.38</v>
      </c>
      <c r="N34" s="2" t="n">
        <f aca="false">E34</f>
        <v>87500</v>
      </c>
      <c r="O34" s="2" t="n">
        <f aca="false">ROUND(M34*L34,2)</f>
        <v>23557.66</v>
      </c>
      <c r="P34" s="2" t="n">
        <f aca="false">ROUND(M34*COUNTIFS('Leave Records'!$B$2:$B$144,A34,'Leave Records'!$F$2:$F$144,"Unpaid")+M34*0.5*J34,2)</f>
        <v>0</v>
      </c>
      <c r="Q34" s="2" t="n">
        <f aca="false">INDEX('Employee Master'!$M$2:$M$201,MATCH(A34,'Employee Master'!$A$2:$A$201,0))</f>
        <v>10500</v>
      </c>
      <c r="R34" s="2" t="n">
        <v>0</v>
      </c>
      <c r="S34" s="2" t="n">
        <f aca="false">N34-O34-P34-Q34-R34</f>
        <v>53442.34</v>
      </c>
    </row>
    <row r="35" customFormat="false" ht="15" hidden="false" customHeight="false" outlineLevel="0" collapsed="false">
      <c r="A35" s="2" t="s">
        <v>112</v>
      </c>
      <c r="B35" s="2" t="s">
        <v>113</v>
      </c>
      <c r="C35" s="2" t="s">
        <v>649</v>
      </c>
      <c r="D35" s="2" t="n">
        <v>2026</v>
      </c>
      <c r="E35" s="2" t="n">
        <f aca="false">INDEX('Employee Master'!$G$2:$G$201,MATCH(A35,'Employee Master'!$A$2:$A$201,0))</f>
        <v>46500</v>
      </c>
      <c r="F35" s="2" t="n">
        <v>26</v>
      </c>
      <c r="G35" s="2" t="n">
        <f aca="false">COUNTIFS('Tally Attendance'!$A$2:$A$6201,A35,'Tally Attendance'!$F$2:$F$6201,"Present")</f>
        <v>24</v>
      </c>
      <c r="H35" s="2" t="n">
        <f aca="false">COUNTIFS('Tally Attendance'!$A$2:$A$6201,A35,'Tally Attendance'!$F$2:$F$6201,"Absent")</f>
        <v>0</v>
      </c>
      <c r="I35" s="2" t="n">
        <f aca="false">COUNTIFS('Tally Attendance'!$A$2:$A$6201,A35,'Tally Attendance'!$F$2:$F$6201,"Leave")</f>
        <v>0</v>
      </c>
      <c r="J35" s="2" t="n">
        <f aca="false">COUNTIFS('Tally Attendance'!$A$2:$A$6201,A35,'Tally Attendance'!$F$2:$F$6201,"Half Day")</f>
        <v>2</v>
      </c>
      <c r="K35" s="2" t="n">
        <f aca="false">MIN(H35,2)</f>
        <v>0</v>
      </c>
      <c r="L35" s="2" t="n">
        <f aca="false">MAX(H35-K35,0)</f>
        <v>0</v>
      </c>
      <c r="M35" s="2" t="n">
        <f aca="false">ROUND(E35/F35,2)</f>
        <v>1788.46</v>
      </c>
      <c r="N35" s="2" t="n">
        <f aca="false">E35</f>
        <v>46500</v>
      </c>
      <c r="O35" s="2" t="n">
        <f aca="false">ROUND(M35*L35,2)</f>
        <v>0</v>
      </c>
      <c r="P35" s="2" t="n">
        <f aca="false">ROUND(M35*COUNTIFS('Leave Records'!$B$2:$B$144,A35,'Leave Records'!$F$2:$F$144,"Unpaid")+M35*0.5*J35,2)</f>
        <v>1788.46</v>
      </c>
      <c r="Q35" s="2" t="n">
        <f aca="false">INDEX('Employee Master'!$M$2:$M$201,MATCH(A35,'Employee Master'!$A$2:$A$201,0))</f>
        <v>5580</v>
      </c>
      <c r="R35" s="2" t="n">
        <v>0</v>
      </c>
      <c r="S35" s="2" t="n">
        <f aca="false">N35-O35-P35-Q35-R35</f>
        <v>39131.54</v>
      </c>
    </row>
    <row r="36" customFormat="false" ht="15" hidden="false" customHeight="false" outlineLevel="0" collapsed="false">
      <c r="A36" s="2" t="s">
        <v>114</v>
      </c>
      <c r="B36" s="2" t="s">
        <v>115</v>
      </c>
      <c r="C36" s="2" t="s">
        <v>649</v>
      </c>
      <c r="D36" s="2" t="n">
        <v>2026</v>
      </c>
      <c r="E36" s="2" t="n">
        <f aca="false">INDEX('Employee Master'!$G$2:$G$201,MATCH(A36,'Employee Master'!$A$2:$A$201,0))</f>
        <v>48500</v>
      </c>
      <c r="F36" s="2" t="n">
        <v>26</v>
      </c>
      <c r="G36" s="2" t="n">
        <f aca="false">COUNTIFS('Tally Attendance'!$A$2:$A$6201,A36,'Tally Attendance'!$F$2:$F$6201,"Present")</f>
        <v>16</v>
      </c>
      <c r="H36" s="2" t="n">
        <f aca="false">COUNTIFS('Tally Attendance'!$A$2:$A$6201,A36,'Tally Attendance'!$F$2:$F$6201,"Absent")</f>
        <v>8</v>
      </c>
      <c r="I36" s="2" t="n">
        <f aca="false">COUNTIFS('Tally Attendance'!$A$2:$A$6201,A36,'Tally Attendance'!$F$2:$F$6201,"Leave")</f>
        <v>1</v>
      </c>
      <c r="J36" s="2" t="n">
        <f aca="false">COUNTIFS('Tally Attendance'!$A$2:$A$6201,A36,'Tally Attendance'!$F$2:$F$6201,"Half Day")</f>
        <v>1</v>
      </c>
      <c r="K36" s="2" t="n">
        <f aca="false">MIN(H36,2)</f>
        <v>2</v>
      </c>
      <c r="L36" s="2" t="n">
        <f aca="false">MAX(H36-K36,0)</f>
        <v>6</v>
      </c>
      <c r="M36" s="2" t="n">
        <f aca="false">ROUND(E36/F36,2)</f>
        <v>1865.38</v>
      </c>
      <c r="N36" s="2" t="n">
        <f aca="false">E36</f>
        <v>48500</v>
      </c>
      <c r="O36" s="2" t="n">
        <f aca="false">ROUND(M36*L36,2)</f>
        <v>11192.28</v>
      </c>
      <c r="P36" s="2" t="n">
        <f aca="false">ROUND(M36*COUNTIFS('Leave Records'!$B$2:$B$144,A36,'Leave Records'!$F$2:$F$144,"Unpaid")+M36*0.5*J36,2)</f>
        <v>932.69</v>
      </c>
      <c r="Q36" s="2" t="n">
        <f aca="false">INDEX('Employee Master'!$M$2:$M$201,MATCH(A36,'Employee Master'!$A$2:$A$201,0))</f>
        <v>5820</v>
      </c>
      <c r="R36" s="2" t="n">
        <v>0</v>
      </c>
      <c r="S36" s="2" t="n">
        <f aca="false">N36-O36-P36-Q36-R36</f>
        <v>30555.03</v>
      </c>
    </row>
    <row r="37" customFormat="false" ht="15" hidden="false" customHeight="false" outlineLevel="0" collapsed="false">
      <c r="A37" s="2" t="s">
        <v>116</v>
      </c>
      <c r="B37" s="2" t="s">
        <v>117</v>
      </c>
      <c r="C37" s="2" t="s">
        <v>649</v>
      </c>
      <c r="D37" s="2" t="n">
        <v>2026</v>
      </c>
      <c r="E37" s="2" t="n">
        <f aca="false">INDEX('Employee Master'!$G$2:$G$201,MATCH(A37,'Employee Master'!$A$2:$A$201,0))</f>
        <v>58500</v>
      </c>
      <c r="F37" s="2" t="n">
        <v>26</v>
      </c>
      <c r="G37" s="2" t="n">
        <f aca="false">COUNTIFS('Tally Attendance'!$A$2:$A$6201,A37,'Tally Attendance'!$F$2:$F$6201,"Present")</f>
        <v>23</v>
      </c>
      <c r="H37" s="2" t="n">
        <f aca="false">COUNTIFS('Tally Attendance'!$A$2:$A$6201,A37,'Tally Attendance'!$F$2:$F$6201,"Absent")</f>
        <v>2</v>
      </c>
      <c r="I37" s="2" t="n">
        <f aca="false">COUNTIFS('Tally Attendance'!$A$2:$A$6201,A37,'Tally Attendance'!$F$2:$F$6201,"Leave")</f>
        <v>1</v>
      </c>
      <c r="J37" s="2" t="n">
        <f aca="false">COUNTIFS('Tally Attendance'!$A$2:$A$6201,A37,'Tally Attendance'!$F$2:$F$6201,"Half Day")</f>
        <v>0</v>
      </c>
      <c r="K37" s="2" t="n">
        <f aca="false">MIN(H37,2)</f>
        <v>2</v>
      </c>
      <c r="L37" s="2" t="n">
        <f aca="false">MAX(H37-K37,0)</f>
        <v>0</v>
      </c>
      <c r="M37" s="2" t="n">
        <f aca="false">ROUND(E37/F37,2)</f>
        <v>2250</v>
      </c>
      <c r="N37" s="2" t="n">
        <f aca="false">E37</f>
        <v>58500</v>
      </c>
      <c r="O37" s="2" t="n">
        <f aca="false">ROUND(M37*L37,2)</f>
        <v>0</v>
      </c>
      <c r="P37" s="2" t="n">
        <f aca="false">ROUND(M37*COUNTIFS('Leave Records'!$B$2:$B$144,A37,'Leave Records'!$F$2:$F$144,"Unpaid")+M37*0.5*J37,2)</f>
        <v>0</v>
      </c>
      <c r="Q37" s="2" t="n">
        <f aca="false">INDEX('Employee Master'!$M$2:$M$201,MATCH(A37,'Employee Master'!$A$2:$A$201,0))</f>
        <v>7020</v>
      </c>
      <c r="R37" s="2" t="n">
        <v>0</v>
      </c>
      <c r="S37" s="2" t="n">
        <f aca="false">N37-O37-P37-Q37-R37</f>
        <v>51480</v>
      </c>
    </row>
    <row r="38" customFormat="false" ht="15" hidden="false" customHeight="false" outlineLevel="0" collapsed="false">
      <c r="A38" s="2" t="s">
        <v>118</v>
      </c>
      <c r="B38" s="2" t="s">
        <v>119</v>
      </c>
      <c r="C38" s="2" t="s">
        <v>649</v>
      </c>
      <c r="D38" s="2" t="n">
        <v>2026</v>
      </c>
      <c r="E38" s="2" t="n">
        <f aca="false">INDEX('Employee Master'!$G$2:$G$201,MATCH(A38,'Employee Master'!$A$2:$A$201,0))</f>
        <v>104500</v>
      </c>
      <c r="F38" s="2" t="n">
        <v>26</v>
      </c>
      <c r="G38" s="2" t="n">
        <f aca="false">COUNTIFS('Tally Attendance'!$A$2:$A$6201,A38,'Tally Attendance'!$F$2:$F$6201,"Present")</f>
        <v>23</v>
      </c>
      <c r="H38" s="2" t="n">
        <f aca="false">COUNTIFS('Tally Attendance'!$A$2:$A$6201,A38,'Tally Attendance'!$F$2:$F$6201,"Absent")</f>
        <v>3</v>
      </c>
      <c r="I38" s="2" t="n">
        <f aca="false">COUNTIFS('Tally Attendance'!$A$2:$A$6201,A38,'Tally Attendance'!$F$2:$F$6201,"Leave")</f>
        <v>0</v>
      </c>
      <c r="J38" s="2" t="n">
        <f aca="false">COUNTIFS('Tally Attendance'!$A$2:$A$6201,A38,'Tally Attendance'!$F$2:$F$6201,"Half Day")</f>
        <v>0</v>
      </c>
      <c r="K38" s="2" t="n">
        <f aca="false">MIN(H38,2)</f>
        <v>2</v>
      </c>
      <c r="L38" s="2" t="n">
        <f aca="false">MAX(H38-K38,0)</f>
        <v>1</v>
      </c>
      <c r="M38" s="2" t="n">
        <f aca="false">ROUND(E38/F38,2)</f>
        <v>4019.23</v>
      </c>
      <c r="N38" s="2" t="n">
        <f aca="false">E38</f>
        <v>104500</v>
      </c>
      <c r="O38" s="2" t="n">
        <f aca="false">ROUND(M38*L38,2)</f>
        <v>4019.23</v>
      </c>
      <c r="P38" s="2" t="n">
        <f aca="false">ROUND(M38*COUNTIFS('Leave Records'!$B$2:$B$144,A38,'Leave Records'!$F$2:$F$144,"Unpaid")+M38*0.5*J38,2)</f>
        <v>0</v>
      </c>
      <c r="Q38" s="2" t="n">
        <f aca="false">INDEX('Employee Master'!$M$2:$M$201,MATCH(A38,'Employee Master'!$A$2:$A$201,0))</f>
        <v>12540</v>
      </c>
      <c r="R38" s="2" t="n">
        <v>0</v>
      </c>
      <c r="S38" s="2" t="n">
        <f aca="false">N38-O38-P38-Q38-R38</f>
        <v>87940.77</v>
      </c>
    </row>
    <row r="39" customFormat="false" ht="15" hidden="false" customHeight="false" outlineLevel="0" collapsed="false">
      <c r="A39" s="2" t="s">
        <v>120</v>
      </c>
      <c r="B39" s="2" t="s">
        <v>121</v>
      </c>
      <c r="C39" s="2" t="s">
        <v>649</v>
      </c>
      <c r="D39" s="2" t="n">
        <v>2026</v>
      </c>
      <c r="E39" s="2" t="n">
        <f aca="false">INDEX('Employee Master'!$G$2:$G$201,MATCH(A39,'Employee Master'!$A$2:$A$201,0))</f>
        <v>138500</v>
      </c>
      <c r="F39" s="2" t="n">
        <v>26</v>
      </c>
      <c r="G39" s="2" t="n">
        <f aca="false">COUNTIFS('Tally Attendance'!$A$2:$A$6201,A39,'Tally Attendance'!$F$2:$F$6201,"Present")</f>
        <v>24</v>
      </c>
      <c r="H39" s="2" t="n">
        <f aca="false">COUNTIFS('Tally Attendance'!$A$2:$A$6201,A39,'Tally Attendance'!$F$2:$F$6201,"Absent")</f>
        <v>0</v>
      </c>
      <c r="I39" s="2" t="n">
        <f aca="false">COUNTIFS('Tally Attendance'!$A$2:$A$6201,A39,'Tally Attendance'!$F$2:$F$6201,"Leave")</f>
        <v>0</v>
      </c>
      <c r="J39" s="2" t="n">
        <f aca="false">COUNTIFS('Tally Attendance'!$A$2:$A$6201,A39,'Tally Attendance'!$F$2:$F$6201,"Half Day")</f>
        <v>2</v>
      </c>
      <c r="K39" s="2" t="n">
        <f aca="false">MIN(H39,2)</f>
        <v>0</v>
      </c>
      <c r="L39" s="2" t="n">
        <f aca="false">MAX(H39-K39,0)</f>
        <v>0</v>
      </c>
      <c r="M39" s="2" t="n">
        <f aca="false">ROUND(E39/F39,2)</f>
        <v>5326.92</v>
      </c>
      <c r="N39" s="2" t="n">
        <f aca="false">E39</f>
        <v>138500</v>
      </c>
      <c r="O39" s="2" t="n">
        <f aca="false">ROUND(M39*L39,2)</f>
        <v>0</v>
      </c>
      <c r="P39" s="2" t="n">
        <f aca="false">ROUND(M39*COUNTIFS('Leave Records'!$B$2:$B$144,A39,'Leave Records'!$F$2:$F$144,"Unpaid")+M39*0.5*J39,2)</f>
        <v>5326.92</v>
      </c>
      <c r="Q39" s="2" t="n">
        <f aca="false">INDEX('Employee Master'!$M$2:$M$201,MATCH(A39,'Employee Master'!$A$2:$A$201,0))</f>
        <v>16620</v>
      </c>
      <c r="R39" s="2" t="n">
        <v>0</v>
      </c>
      <c r="S39" s="2" t="n">
        <f aca="false">N39-O39-P39-Q39-R39</f>
        <v>116553.08</v>
      </c>
    </row>
    <row r="40" customFormat="false" ht="15" hidden="false" customHeight="false" outlineLevel="0" collapsed="false">
      <c r="A40" s="2" t="s">
        <v>122</v>
      </c>
      <c r="B40" s="2" t="s">
        <v>123</v>
      </c>
      <c r="C40" s="2" t="s">
        <v>649</v>
      </c>
      <c r="D40" s="2" t="n">
        <v>2026</v>
      </c>
      <c r="E40" s="2" t="n">
        <f aca="false">INDEX('Employee Master'!$G$2:$G$201,MATCH(A40,'Employee Master'!$A$2:$A$201,0))</f>
        <v>28000</v>
      </c>
      <c r="F40" s="2" t="n">
        <v>26</v>
      </c>
      <c r="G40" s="2" t="n">
        <f aca="false">COUNTIFS('Tally Attendance'!$A$2:$A$6201,A40,'Tally Attendance'!$F$2:$F$6201,"Present")</f>
        <v>18</v>
      </c>
      <c r="H40" s="2" t="n">
        <f aca="false">COUNTIFS('Tally Attendance'!$A$2:$A$6201,A40,'Tally Attendance'!$F$2:$F$6201,"Absent")</f>
        <v>7</v>
      </c>
      <c r="I40" s="2" t="n">
        <f aca="false">COUNTIFS('Tally Attendance'!$A$2:$A$6201,A40,'Tally Attendance'!$F$2:$F$6201,"Leave")</f>
        <v>1</v>
      </c>
      <c r="J40" s="2" t="n">
        <f aca="false">COUNTIFS('Tally Attendance'!$A$2:$A$6201,A40,'Tally Attendance'!$F$2:$F$6201,"Half Day")</f>
        <v>0</v>
      </c>
      <c r="K40" s="2" t="n">
        <f aca="false">MIN(H40,2)</f>
        <v>2</v>
      </c>
      <c r="L40" s="2" t="n">
        <f aca="false">MAX(H40-K40,0)</f>
        <v>5</v>
      </c>
      <c r="M40" s="2" t="n">
        <f aca="false">ROUND(E40/F40,2)</f>
        <v>1076.92</v>
      </c>
      <c r="N40" s="2" t="n">
        <f aca="false">E40</f>
        <v>28000</v>
      </c>
      <c r="O40" s="2" t="n">
        <f aca="false">ROUND(M40*L40,2)</f>
        <v>5384.6</v>
      </c>
      <c r="P40" s="2" t="n">
        <f aca="false">ROUND(M40*COUNTIFS('Leave Records'!$B$2:$B$144,A40,'Leave Records'!$F$2:$F$144,"Unpaid")+M40*0.5*J40,2)</f>
        <v>0</v>
      </c>
      <c r="Q40" s="2" t="n">
        <f aca="false">INDEX('Employee Master'!$M$2:$M$201,MATCH(A40,'Employee Master'!$A$2:$A$201,0))</f>
        <v>3360</v>
      </c>
      <c r="R40" s="2" t="n">
        <v>0</v>
      </c>
      <c r="S40" s="2" t="n">
        <f aca="false">N40-O40-P40-Q40-R40</f>
        <v>19255.4</v>
      </c>
    </row>
    <row r="41" customFormat="false" ht="15" hidden="false" customHeight="false" outlineLevel="0" collapsed="false">
      <c r="A41" s="2" t="s">
        <v>124</v>
      </c>
      <c r="B41" s="2" t="s">
        <v>125</v>
      </c>
      <c r="C41" s="2" t="s">
        <v>649</v>
      </c>
      <c r="D41" s="2" t="n">
        <v>2026</v>
      </c>
      <c r="E41" s="2" t="n">
        <f aca="false">INDEX('Employee Master'!$G$2:$G$201,MATCH(A41,'Employee Master'!$A$2:$A$201,0))</f>
        <v>76000</v>
      </c>
      <c r="F41" s="2" t="n">
        <v>26</v>
      </c>
      <c r="G41" s="2" t="n">
        <f aca="false">COUNTIFS('Tally Attendance'!$A$2:$A$6201,A41,'Tally Attendance'!$F$2:$F$6201,"Present")</f>
        <v>20</v>
      </c>
      <c r="H41" s="2" t="n">
        <f aca="false">COUNTIFS('Tally Attendance'!$A$2:$A$6201,A41,'Tally Attendance'!$F$2:$F$6201,"Absent")</f>
        <v>2</v>
      </c>
      <c r="I41" s="2" t="n">
        <f aca="false">COUNTIFS('Tally Attendance'!$A$2:$A$6201,A41,'Tally Attendance'!$F$2:$F$6201,"Leave")</f>
        <v>2</v>
      </c>
      <c r="J41" s="2" t="n">
        <f aca="false">COUNTIFS('Tally Attendance'!$A$2:$A$6201,A41,'Tally Attendance'!$F$2:$F$6201,"Half Day")</f>
        <v>2</v>
      </c>
      <c r="K41" s="2" t="n">
        <f aca="false">MIN(H41,2)</f>
        <v>2</v>
      </c>
      <c r="L41" s="2" t="n">
        <f aca="false">MAX(H41-K41,0)</f>
        <v>0</v>
      </c>
      <c r="M41" s="2" t="n">
        <f aca="false">ROUND(E41/F41,2)</f>
        <v>2923.08</v>
      </c>
      <c r="N41" s="2" t="n">
        <f aca="false">E41</f>
        <v>76000</v>
      </c>
      <c r="O41" s="2" t="n">
        <f aca="false">ROUND(M41*L41,2)</f>
        <v>0</v>
      </c>
      <c r="P41" s="2" t="n">
        <f aca="false">ROUND(M41*COUNTIFS('Leave Records'!$B$2:$B$144,A41,'Leave Records'!$F$2:$F$144,"Unpaid")+M41*0.5*J41,2)</f>
        <v>2923.08</v>
      </c>
      <c r="Q41" s="2" t="n">
        <f aca="false">INDEX('Employee Master'!$M$2:$M$201,MATCH(A41,'Employee Master'!$A$2:$A$201,0))</f>
        <v>9120</v>
      </c>
      <c r="R41" s="2" t="n">
        <v>0</v>
      </c>
      <c r="S41" s="2" t="n">
        <f aca="false">N41-O41-P41-Q41-R41</f>
        <v>63956.92</v>
      </c>
    </row>
    <row r="42" customFormat="false" ht="15" hidden="false" customHeight="false" outlineLevel="0" collapsed="false">
      <c r="A42" s="2" t="s">
        <v>126</v>
      </c>
      <c r="B42" s="2" t="s">
        <v>127</v>
      </c>
      <c r="C42" s="2" t="s">
        <v>649</v>
      </c>
      <c r="D42" s="2" t="n">
        <v>2026</v>
      </c>
      <c r="E42" s="2" t="n">
        <f aca="false">INDEX('Employee Master'!$G$2:$G$201,MATCH(A42,'Employee Master'!$A$2:$A$201,0))</f>
        <v>100500</v>
      </c>
      <c r="F42" s="2" t="n">
        <v>26</v>
      </c>
      <c r="G42" s="2" t="n">
        <f aca="false">COUNTIFS('Tally Attendance'!$A$2:$A$6201,A42,'Tally Attendance'!$F$2:$F$6201,"Present")</f>
        <v>14</v>
      </c>
      <c r="H42" s="2" t="n">
        <f aca="false">COUNTIFS('Tally Attendance'!$A$2:$A$6201,A42,'Tally Attendance'!$F$2:$F$6201,"Absent")</f>
        <v>8</v>
      </c>
      <c r="I42" s="2" t="n">
        <f aca="false">COUNTIFS('Tally Attendance'!$A$2:$A$6201,A42,'Tally Attendance'!$F$2:$F$6201,"Leave")</f>
        <v>2</v>
      </c>
      <c r="J42" s="2" t="n">
        <f aca="false">COUNTIFS('Tally Attendance'!$A$2:$A$6201,A42,'Tally Attendance'!$F$2:$F$6201,"Half Day")</f>
        <v>2</v>
      </c>
      <c r="K42" s="2" t="n">
        <f aca="false">MIN(H42,2)</f>
        <v>2</v>
      </c>
      <c r="L42" s="2" t="n">
        <f aca="false">MAX(H42-K42,0)</f>
        <v>6</v>
      </c>
      <c r="M42" s="2" t="n">
        <f aca="false">ROUND(E42/F42,2)</f>
        <v>3865.38</v>
      </c>
      <c r="N42" s="2" t="n">
        <f aca="false">E42</f>
        <v>100500</v>
      </c>
      <c r="O42" s="2" t="n">
        <f aca="false">ROUND(M42*L42,2)</f>
        <v>23192.28</v>
      </c>
      <c r="P42" s="2" t="n">
        <f aca="false">ROUND(M42*COUNTIFS('Leave Records'!$B$2:$B$144,A42,'Leave Records'!$F$2:$F$144,"Unpaid")+M42*0.5*J42,2)</f>
        <v>7730.76</v>
      </c>
      <c r="Q42" s="2" t="n">
        <f aca="false">INDEX('Employee Master'!$M$2:$M$201,MATCH(A42,'Employee Master'!$A$2:$A$201,0))</f>
        <v>12060</v>
      </c>
      <c r="R42" s="2" t="n">
        <v>0</v>
      </c>
      <c r="S42" s="2" t="n">
        <f aca="false">N42-O42-P42-Q42-R42</f>
        <v>57516.96</v>
      </c>
    </row>
    <row r="43" customFormat="false" ht="15" hidden="false" customHeight="false" outlineLevel="0" collapsed="false">
      <c r="A43" s="2" t="s">
        <v>128</v>
      </c>
      <c r="B43" s="2" t="s">
        <v>129</v>
      </c>
      <c r="C43" s="2" t="s">
        <v>649</v>
      </c>
      <c r="D43" s="2" t="n">
        <v>2026</v>
      </c>
      <c r="E43" s="2" t="n">
        <f aca="false">INDEX('Employee Master'!$G$2:$G$201,MATCH(A43,'Employee Master'!$A$2:$A$201,0))</f>
        <v>39000</v>
      </c>
      <c r="F43" s="2" t="n">
        <v>26</v>
      </c>
      <c r="G43" s="2" t="n">
        <f aca="false">COUNTIFS('Tally Attendance'!$A$2:$A$6201,A43,'Tally Attendance'!$F$2:$F$6201,"Present")</f>
        <v>23</v>
      </c>
      <c r="H43" s="2" t="n">
        <f aca="false">COUNTIFS('Tally Attendance'!$A$2:$A$6201,A43,'Tally Attendance'!$F$2:$F$6201,"Absent")</f>
        <v>3</v>
      </c>
      <c r="I43" s="2" t="n">
        <f aca="false">COUNTIFS('Tally Attendance'!$A$2:$A$6201,A43,'Tally Attendance'!$F$2:$F$6201,"Leave")</f>
        <v>0</v>
      </c>
      <c r="J43" s="2" t="n">
        <f aca="false">COUNTIFS('Tally Attendance'!$A$2:$A$6201,A43,'Tally Attendance'!$F$2:$F$6201,"Half Day")</f>
        <v>0</v>
      </c>
      <c r="K43" s="2" t="n">
        <f aca="false">MIN(H43,2)</f>
        <v>2</v>
      </c>
      <c r="L43" s="2" t="n">
        <f aca="false">MAX(H43-K43,0)</f>
        <v>1</v>
      </c>
      <c r="M43" s="2" t="n">
        <f aca="false">ROUND(E43/F43,2)</f>
        <v>1500</v>
      </c>
      <c r="N43" s="2" t="n">
        <f aca="false">E43</f>
        <v>39000</v>
      </c>
      <c r="O43" s="2" t="n">
        <f aca="false">ROUND(M43*L43,2)</f>
        <v>1500</v>
      </c>
      <c r="P43" s="2" t="n">
        <f aca="false">ROUND(M43*COUNTIFS('Leave Records'!$B$2:$B$144,A43,'Leave Records'!$F$2:$F$144,"Unpaid")+M43*0.5*J43,2)</f>
        <v>0</v>
      </c>
      <c r="Q43" s="2" t="n">
        <f aca="false">INDEX('Employee Master'!$M$2:$M$201,MATCH(A43,'Employee Master'!$A$2:$A$201,0))</f>
        <v>4680</v>
      </c>
      <c r="R43" s="2" t="n">
        <v>0</v>
      </c>
      <c r="S43" s="2" t="n">
        <f aca="false">N43-O43-P43-Q43-R43</f>
        <v>32820</v>
      </c>
    </row>
    <row r="44" customFormat="false" ht="15" hidden="false" customHeight="false" outlineLevel="0" collapsed="false">
      <c r="A44" s="2" t="s">
        <v>130</v>
      </c>
      <c r="B44" s="2" t="s">
        <v>131</v>
      </c>
      <c r="C44" s="2" t="s">
        <v>649</v>
      </c>
      <c r="D44" s="2" t="n">
        <v>2026</v>
      </c>
      <c r="E44" s="2" t="n">
        <f aca="false">INDEX('Employee Master'!$G$2:$G$201,MATCH(A44,'Employee Master'!$A$2:$A$201,0))</f>
        <v>22000</v>
      </c>
      <c r="F44" s="2" t="n">
        <v>26</v>
      </c>
      <c r="G44" s="2" t="n">
        <f aca="false">COUNTIFS('Tally Attendance'!$A$2:$A$6201,A44,'Tally Attendance'!$F$2:$F$6201,"Present")</f>
        <v>24</v>
      </c>
      <c r="H44" s="2" t="n">
        <f aca="false">COUNTIFS('Tally Attendance'!$A$2:$A$6201,A44,'Tally Attendance'!$F$2:$F$6201,"Absent")</f>
        <v>0</v>
      </c>
      <c r="I44" s="2" t="n">
        <f aca="false">COUNTIFS('Tally Attendance'!$A$2:$A$6201,A44,'Tally Attendance'!$F$2:$F$6201,"Leave")</f>
        <v>0</v>
      </c>
      <c r="J44" s="2" t="n">
        <f aca="false">COUNTIFS('Tally Attendance'!$A$2:$A$6201,A44,'Tally Attendance'!$F$2:$F$6201,"Half Day")</f>
        <v>2</v>
      </c>
      <c r="K44" s="2" t="n">
        <f aca="false">MIN(H44,2)</f>
        <v>0</v>
      </c>
      <c r="L44" s="2" t="n">
        <f aca="false">MAX(H44-K44,0)</f>
        <v>0</v>
      </c>
      <c r="M44" s="2" t="n">
        <f aca="false">ROUND(E44/F44,2)</f>
        <v>846.15</v>
      </c>
      <c r="N44" s="2" t="n">
        <f aca="false">E44</f>
        <v>22000</v>
      </c>
      <c r="O44" s="2" t="n">
        <f aca="false">ROUND(M44*L44,2)</f>
        <v>0</v>
      </c>
      <c r="P44" s="2" t="n">
        <f aca="false">ROUND(M44*COUNTIFS('Leave Records'!$B$2:$B$144,A44,'Leave Records'!$F$2:$F$144,"Unpaid")+M44*0.5*J44,2)</f>
        <v>846.15</v>
      </c>
      <c r="Q44" s="2" t="n">
        <f aca="false">INDEX('Employee Master'!$M$2:$M$201,MATCH(A44,'Employee Master'!$A$2:$A$201,0))</f>
        <v>2640</v>
      </c>
      <c r="R44" s="2" t="n">
        <v>0</v>
      </c>
      <c r="S44" s="2" t="n">
        <f aca="false">N44-O44-P44-Q44-R44</f>
        <v>18513.85</v>
      </c>
    </row>
    <row r="45" customFormat="false" ht="15" hidden="false" customHeight="false" outlineLevel="0" collapsed="false">
      <c r="A45" s="2" t="s">
        <v>132</v>
      </c>
      <c r="B45" s="2" t="s">
        <v>133</v>
      </c>
      <c r="C45" s="2" t="s">
        <v>649</v>
      </c>
      <c r="D45" s="2" t="n">
        <v>2026</v>
      </c>
      <c r="E45" s="2" t="n">
        <f aca="false">INDEX('Employee Master'!$G$2:$G$201,MATCH(A45,'Employee Master'!$A$2:$A$201,0))</f>
        <v>49000</v>
      </c>
      <c r="F45" s="2" t="n">
        <v>26</v>
      </c>
      <c r="G45" s="2" t="n">
        <f aca="false">COUNTIFS('Tally Attendance'!$A$2:$A$6201,A45,'Tally Attendance'!$F$2:$F$6201,"Present")</f>
        <v>25</v>
      </c>
      <c r="H45" s="2" t="n">
        <f aca="false">COUNTIFS('Tally Attendance'!$A$2:$A$6201,A45,'Tally Attendance'!$F$2:$F$6201,"Absent")</f>
        <v>0</v>
      </c>
      <c r="I45" s="2" t="n">
        <f aca="false">COUNTIFS('Tally Attendance'!$A$2:$A$6201,A45,'Tally Attendance'!$F$2:$F$6201,"Leave")</f>
        <v>0</v>
      </c>
      <c r="J45" s="2" t="n">
        <f aca="false">COUNTIFS('Tally Attendance'!$A$2:$A$6201,A45,'Tally Attendance'!$F$2:$F$6201,"Half Day")</f>
        <v>1</v>
      </c>
      <c r="K45" s="2" t="n">
        <f aca="false">MIN(H45,2)</f>
        <v>0</v>
      </c>
      <c r="L45" s="2" t="n">
        <f aca="false">MAX(H45-K45,0)</f>
        <v>0</v>
      </c>
      <c r="M45" s="2" t="n">
        <f aca="false">ROUND(E45/F45,2)</f>
        <v>1884.62</v>
      </c>
      <c r="N45" s="2" t="n">
        <f aca="false">E45</f>
        <v>49000</v>
      </c>
      <c r="O45" s="2" t="n">
        <f aca="false">ROUND(M45*L45,2)</f>
        <v>0</v>
      </c>
      <c r="P45" s="2" t="n">
        <f aca="false">ROUND(M45*COUNTIFS('Leave Records'!$B$2:$B$144,A45,'Leave Records'!$F$2:$F$144,"Unpaid")+M45*0.5*J45,2)</f>
        <v>942.31</v>
      </c>
      <c r="Q45" s="2" t="n">
        <f aca="false">INDEX('Employee Master'!$M$2:$M$201,MATCH(A45,'Employee Master'!$A$2:$A$201,0))</f>
        <v>5880</v>
      </c>
      <c r="R45" s="2" t="n">
        <v>0</v>
      </c>
      <c r="S45" s="2" t="n">
        <f aca="false">N45-O45-P45-Q45-R45</f>
        <v>42177.69</v>
      </c>
    </row>
    <row r="46" customFormat="false" ht="15" hidden="false" customHeight="false" outlineLevel="0" collapsed="false">
      <c r="A46" s="2" t="s">
        <v>134</v>
      </c>
      <c r="B46" s="2" t="s">
        <v>135</v>
      </c>
      <c r="C46" s="2" t="s">
        <v>649</v>
      </c>
      <c r="D46" s="2" t="n">
        <v>2026</v>
      </c>
      <c r="E46" s="2" t="n">
        <f aca="false">INDEX('Employee Master'!$G$2:$G$201,MATCH(A46,'Employee Master'!$A$2:$A$201,0))</f>
        <v>47000</v>
      </c>
      <c r="F46" s="2" t="n">
        <v>26</v>
      </c>
      <c r="G46" s="2" t="n">
        <f aca="false">COUNTIFS('Tally Attendance'!$A$2:$A$6201,A46,'Tally Attendance'!$F$2:$F$6201,"Present")</f>
        <v>22</v>
      </c>
      <c r="H46" s="2" t="n">
        <f aca="false">COUNTIFS('Tally Attendance'!$A$2:$A$6201,A46,'Tally Attendance'!$F$2:$F$6201,"Absent")</f>
        <v>2</v>
      </c>
      <c r="I46" s="2" t="n">
        <f aca="false">COUNTIFS('Tally Attendance'!$A$2:$A$6201,A46,'Tally Attendance'!$F$2:$F$6201,"Leave")</f>
        <v>2</v>
      </c>
      <c r="J46" s="2" t="n">
        <f aca="false">COUNTIFS('Tally Attendance'!$A$2:$A$6201,A46,'Tally Attendance'!$F$2:$F$6201,"Half Day")</f>
        <v>0</v>
      </c>
      <c r="K46" s="2" t="n">
        <f aca="false">MIN(H46,2)</f>
        <v>2</v>
      </c>
      <c r="L46" s="2" t="n">
        <f aca="false">MAX(H46-K46,0)</f>
        <v>0</v>
      </c>
      <c r="M46" s="2" t="n">
        <f aca="false">ROUND(E46/F46,2)</f>
        <v>1807.69</v>
      </c>
      <c r="N46" s="2" t="n">
        <f aca="false">E46</f>
        <v>47000</v>
      </c>
      <c r="O46" s="2" t="n">
        <f aca="false">ROUND(M46*L46,2)</f>
        <v>0</v>
      </c>
      <c r="P46" s="2" t="n">
        <f aca="false">ROUND(M46*COUNTIFS('Leave Records'!$B$2:$B$144,A46,'Leave Records'!$F$2:$F$144,"Unpaid")+M46*0.5*J46,2)</f>
        <v>1807.69</v>
      </c>
      <c r="Q46" s="2" t="n">
        <f aca="false">INDEX('Employee Master'!$M$2:$M$201,MATCH(A46,'Employee Master'!$A$2:$A$201,0))</f>
        <v>5640</v>
      </c>
      <c r="R46" s="2" t="n">
        <v>0</v>
      </c>
      <c r="S46" s="2" t="n">
        <f aca="false">N46-O46-P46-Q46-R46</f>
        <v>39552.31</v>
      </c>
    </row>
    <row r="47" customFormat="false" ht="15" hidden="false" customHeight="false" outlineLevel="0" collapsed="false">
      <c r="A47" s="2" t="s">
        <v>136</v>
      </c>
      <c r="B47" s="2" t="s">
        <v>137</v>
      </c>
      <c r="C47" s="2" t="s">
        <v>649</v>
      </c>
      <c r="D47" s="2" t="n">
        <v>2026</v>
      </c>
      <c r="E47" s="2" t="n">
        <f aca="false">INDEX('Employee Master'!$G$2:$G$201,MATCH(A47,'Employee Master'!$A$2:$A$201,0))</f>
        <v>69500</v>
      </c>
      <c r="F47" s="2" t="n">
        <v>26</v>
      </c>
      <c r="G47" s="2" t="n">
        <f aca="false">COUNTIFS('Tally Attendance'!$A$2:$A$6201,A47,'Tally Attendance'!$F$2:$F$6201,"Present")</f>
        <v>24</v>
      </c>
      <c r="H47" s="2" t="n">
        <f aca="false">COUNTIFS('Tally Attendance'!$A$2:$A$6201,A47,'Tally Attendance'!$F$2:$F$6201,"Absent")</f>
        <v>0</v>
      </c>
      <c r="I47" s="2" t="n">
        <f aca="false">COUNTIFS('Tally Attendance'!$A$2:$A$6201,A47,'Tally Attendance'!$F$2:$F$6201,"Leave")</f>
        <v>0</v>
      </c>
      <c r="J47" s="2" t="n">
        <f aca="false">COUNTIFS('Tally Attendance'!$A$2:$A$6201,A47,'Tally Attendance'!$F$2:$F$6201,"Half Day")</f>
        <v>2</v>
      </c>
      <c r="K47" s="2" t="n">
        <f aca="false">MIN(H47,2)</f>
        <v>0</v>
      </c>
      <c r="L47" s="2" t="n">
        <f aca="false">MAX(H47-K47,0)</f>
        <v>0</v>
      </c>
      <c r="M47" s="2" t="n">
        <f aca="false">ROUND(E47/F47,2)</f>
        <v>2673.08</v>
      </c>
      <c r="N47" s="2" t="n">
        <f aca="false">E47</f>
        <v>69500</v>
      </c>
      <c r="O47" s="2" t="n">
        <f aca="false">ROUND(M47*L47,2)</f>
        <v>0</v>
      </c>
      <c r="P47" s="2" t="n">
        <f aca="false">ROUND(M47*COUNTIFS('Leave Records'!$B$2:$B$144,A47,'Leave Records'!$F$2:$F$144,"Unpaid")+M47*0.5*J47,2)</f>
        <v>2673.08</v>
      </c>
      <c r="Q47" s="2" t="n">
        <f aca="false">INDEX('Employee Master'!$M$2:$M$201,MATCH(A47,'Employee Master'!$A$2:$A$201,0))</f>
        <v>8340</v>
      </c>
      <c r="R47" s="2" t="n">
        <v>0</v>
      </c>
      <c r="S47" s="2" t="n">
        <f aca="false">N47-O47-P47-Q47-R47</f>
        <v>58486.92</v>
      </c>
    </row>
    <row r="48" customFormat="false" ht="15" hidden="false" customHeight="false" outlineLevel="0" collapsed="false">
      <c r="A48" s="2" t="s">
        <v>138</v>
      </c>
      <c r="B48" s="2" t="s">
        <v>139</v>
      </c>
      <c r="C48" s="2" t="s">
        <v>649</v>
      </c>
      <c r="D48" s="2" t="n">
        <v>2026</v>
      </c>
      <c r="E48" s="2" t="n">
        <f aca="false">INDEX('Employee Master'!$G$2:$G$201,MATCH(A48,'Employee Master'!$A$2:$A$201,0))</f>
        <v>90500</v>
      </c>
      <c r="F48" s="2" t="n">
        <v>26</v>
      </c>
      <c r="G48" s="2" t="n">
        <f aca="false">COUNTIFS('Tally Attendance'!$A$2:$A$6201,A48,'Tally Attendance'!$F$2:$F$6201,"Present")</f>
        <v>20</v>
      </c>
      <c r="H48" s="2" t="n">
        <f aca="false">COUNTIFS('Tally Attendance'!$A$2:$A$6201,A48,'Tally Attendance'!$F$2:$F$6201,"Absent")</f>
        <v>4</v>
      </c>
      <c r="I48" s="2" t="n">
        <f aca="false">COUNTIFS('Tally Attendance'!$A$2:$A$6201,A48,'Tally Attendance'!$F$2:$F$6201,"Leave")</f>
        <v>0</v>
      </c>
      <c r="J48" s="2" t="n">
        <f aca="false">COUNTIFS('Tally Attendance'!$A$2:$A$6201,A48,'Tally Attendance'!$F$2:$F$6201,"Half Day")</f>
        <v>2</v>
      </c>
      <c r="K48" s="2" t="n">
        <f aca="false">MIN(H48,2)</f>
        <v>2</v>
      </c>
      <c r="L48" s="2" t="n">
        <f aca="false">MAX(H48-K48,0)</f>
        <v>2</v>
      </c>
      <c r="M48" s="2" t="n">
        <f aca="false">ROUND(E48/F48,2)</f>
        <v>3480.77</v>
      </c>
      <c r="N48" s="2" t="n">
        <f aca="false">E48</f>
        <v>90500</v>
      </c>
      <c r="O48" s="2" t="n">
        <f aca="false">ROUND(M48*L48,2)</f>
        <v>6961.54</v>
      </c>
      <c r="P48" s="2" t="n">
        <f aca="false">ROUND(M48*COUNTIFS('Leave Records'!$B$2:$B$144,A48,'Leave Records'!$F$2:$F$144,"Unpaid")+M48*0.5*J48,2)</f>
        <v>3480.77</v>
      </c>
      <c r="Q48" s="2" t="n">
        <f aca="false">INDEX('Employee Master'!$M$2:$M$201,MATCH(A48,'Employee Master'!$A$2:$A$201,0))</f>
        <v>10860</v>
      </c>
      <c r="R48" s="2" t="n">
        <v>0</v>
      </c>
      <c r="S48" s="2" t="n">
        <f aca="false">N48-O48-P48-Q48-R48</f>
        <v>69197.69</v>
      </c>
    </row>
    <row r="49" customFormat="false" ht="15" hidden="false" customHeight="false" outlineLevel="0" collapsed="false">
      <c r="A49" s="2" t="s">
        <v>140</v>
      </c>
      <c r="B49" s="2" t="s">
        <v>141</v>
      </c>
      <c r="C49" s="2" t="s">
        <v>649</v>
      </c>
      <c r="D49" s="2" t="n">
        <v>2026</v>
      </c>
      <c r="E49" s="2" t="n">
        <f aca="false">INDEX('Employee Master'!$G$2:$G$201,MATCH(A49,'Employee Master'!$A$2:$A$201,0))</f>
        <v>35000</v>
      </c>
      <c r="F49" s="2" t="n">
        <v>26</v>
      </c>
      <c r="G49" s="2" t="n">
        <f aca="false">COUNTIFS('Tally Attendance'!$A$2:$A$6201,A49,'Tally Attendance'!$F$2:$F$6201,"Present")</f>
        <v>20</v>
      </c>
      <c r="H49" s="2" t="n">
        <f aca="false">COUNTIFS('Tally Attendance'!$A$2:$A$6201,A49,'Tally Attendance'!$F$2:$F$6201,"Absent")</f>
        <v>4</v>
      </c>
      <c r="I49" s="2" t="n">
        <f aca="false">COUNTIFS('Tally Attendance'!$A$2:$A$6201,A49,'Tally Attendance'!$F$2:$F$6201,"Leave")</f>
        <v>0</v>
      </c>
      <c r="J49" s="2" t="n">
        <f aca="false">COUNTIFS('Tally Attendance'!$A$2:$A$6201,A49,'Tally Attendance'!$F$2:$F$6201,"Half Day")</f>
        <v>2</v>
      </c>
      <c r="K49" s="2" t="n">
        <f aca="false">MIN(H49,2)</f>
        <v>2</v>
      </c>
      <c r="L49" s="2" t="n">
        <f aca="false">MAX(H49-K49,0)</f>
        <v>2</v>
      </c>
      <c r="M49" s="2" t="n">
        <f aca="false">ROUND(E49/F49,2)</f>
        <v>1346.15</v>
      </c>
      <c r="N49" s="2" t="n">
        <f aca="false">E49</f>
        <v>35000</v>
      </c>
      <c r="O49" s="2" t="n">
        <f aca="false">ROUND(M49*L49,2)</f>
        <v>2692.3</v>
      </c>
      <c r="P49" s="2" t="n">
        <f aca="false">ROUND(M49*COUNTIFS('Leave Records'!$B$2:$B$144,A49,'Leave Records'!$F$2:$F$144,"Unpaid")+M49*0.5*J49,2)</f>
        <v>1346.15</v>
      </c>
      <c r="Q49" s="2" t="n">
        <f aca="false">INDEX('Employee Master'!$M$2:$M$201,MATCH(A49,'Employee Master'!$A$2:$A$201,0))</f>
        <v>4200</v>
      </c>
      <c r="R49" s="2" t="n">
        <v>0</v>
      </c>
      <c r="S49" s="2" t="n">
        <f aca="false">N49-O49-P49-Q49-R49</f>
        <v>26761.55</v>
      </c>
    </row>
    <row r="50" customFormat="false" ht="15" hidden="false" customHeight="false" outlineLevel="0" collapsed="false">
      <c r="A50" s="2" t="s">
        <v>142</v>
      </c>
      <c r="B50" s="2" t="s">
        <v>143</v>
      </c>
      <c r="C50" s="2" t="s">
        <v>649</v>
      </c>
      <c r="D50" s="2" t="n">
        <v>2026</v>
      </c>
      <c r="E50" s="2" t="n">
        <f aca="false">INDEX('Employee Master'!$G$2:$G$201,MATCH(A50,'Employee Master'!$A$2:$A$201,0))</f>
        <v>31000</v>
      </c>
      <c r="F50" s="2" t="n">
        <v>26</v>
      </c>
      <c r="G50" s="2" t="n">
        <f aca="false">COUNTIFS('Tally Attendance'!$A$2:$A$6201,A50,'Tally Attendance'!$F$2:$F$6201,"Present")</f>
        <v>22</v>
      </c>
      <c r="H50" s="2" t="n">
        <f aca="false">COUNTIFS('Tally Attendance'!$A$2:$A$6201,A50,'Tally Attendance'!$F$2:$F$6201,"Absent")</f>
        <v>4</v>
      </c>
      <c r="I50" s="2" t="n">
        <f aca="false">COUNTIFS('Tally Attendance'!$A$2:$A$6201,A50,'Tally Attendance'!$F$2:$F$6201,"Leave")</f>
        <v>0</v>
      </c>
      <c r="J50" s="2" t="n">
        <f aca="false">COUNTIFS('Tally Attendance'!$A$2:$A$6201,A50,'Tally Attendance'!$F$2:$F$6201,"Half Day")</f>
        <v>0</v>
      </c>
      <c r="K50" s="2" t="n">
        <f aca="false">MIN(H50,2)</f>
        <v>2</v>
      </c>
      <c r="L50" s="2" t="n">
        <f aca="false">MAX(H50-K50,0)</f>
        <v>2</v>
      </c>
      <c r="M50" s="2" t="n">
        <f aca="false">ROUND(E50/F50,2)</f>
        <v>1192.31</v>
      </c>
      <c r="N50" s="2" t="n">
        <f aca="false">E50</f>
        <v>31000</v>
      </c>
      <c r="O50" s="2" t="n">
        <f aca="false">ROUND(M50*L50,2)</f>
        <v>2384.62</v>
      </c>
      <c r="P50" s="2" t="n">
        <f aca="false">ROUND(M50*COUNTIFS('Leave Records'!$B$2:$B$144,A50,'Leave Records'!$F$2:$F$144,"Unpaid")+M50*0.5*J50,2)</f>
        <v>0</v>
      </c>
      <c r="Q50" s="2" t="n">
        <f aca="false">INDEX('Employee Master'!$M$2:$M$201,MATCH(A50,'Employee Master'!$A$2:$A$201,0))</f>
        <v>3720</v>
      </c>
      <c r="R50" s="2" t="n">
        <v>0</v>
      </c>
      <c r="S50" s="2" t="n">
        <f aca="false">N50-O50-P50-Q50-R50</f>
        <v>24895.38</v>
      </c>
    </row>
    <row r="51" customFormat="false" ht="15" hidden="false" customHeight="false" outlineLevel="0" collapsed="false">
      <c r="A51" s="2" t="s">
        <v>144</v>
      </c>
      <c r="B51" s="2" t="s">
        <v>145</v>
      </c>
      <c r="C51" s="2" t="s">
        <v>649</v>
      </c>
      <c r="D51" s="2" t="n">
        <v>2026</v>
      </c>
      <c r="E51" s="2" t="n">
        <f aca="false">INDEX('Employee Master'!$G$2:$G$201,MATCH(A51,'Employee Master'!$A$2:$A$201,0))</f>
        <v>32000</v>
      </c>
      <c r="F51" s="2" t="n">
        <v>26</v>
      </c>
      <c r="G51" s="2" t="n">
        <f aca="false">COUNTIFS('Tally Attendance'!$A$2:$A$6201,A51,'Tally Attendance'!$F$2:$F$6201,"Present")</f>
        <v>22</v>
      </c>
      <c r="H51" s="2" t="n">
        <f aca="false">COUNTIFS('Tally Attendance'!$A$2:$A$6201,A51,'Tally Attendance'!$F$2:$F$6201,"Absent")</f>
        <v>2</v>
      </c>
      <c r="I51" s="2" t="n">
        <f aca="false">COUNTIFS('Tally Attendance'!$A$2:$A$6201,A51,'Tally Attendance'!$F$2:$F$6201,"Leave")</f>
        <v>2</v>
      </c>
      <c r="J51" s="2" t="n">
        <f aca="false">COUNTIFS('Tally Attendance'!$A$2:$A$6201,A51,'Tally Attendance'!$F$2:$F$6201,"Half Day")</f>
        <v>0</v>
      </c>
      <c r="K51" s="2" t="n">
        <f aca="false">MIN(H51,2)</f>
        <v>2</v>
      </c>
      <c r="L51" s="2" t="n">
        <f aca="false">MAX(H51-K51,0)</f>
        <v>0</v>
      </c>
      <c r="M51" s="2" t="n">
        <f aca="false">ROUND(E51/F51,2)</f>
        <v>1230.77</v>
      </c>
      <c r="N51" s="2" t="n">
        <f aca="false">E51</f>
        <v>32000</v>
      </c>
      <c r="O51" s="2" t="n">
        <f aca="false">ROUND(M51*L51,2)</f>
        <v>0</v>
      </c>
      <c r="P51" s="2" t="n">
        <f aca="false">ROUND(M51*COUNTIFS('Leave Records'!$B$2:$B$144,A51,'Leave Records'!$F$2:$F$144,"Unpaid")+M51*0.5*J51,2)</f>
        <v>1230.77</v>
      </c>
      <c r="Q51" s="2" t="n">
        <f aca="false">INDEX('Employee Master'!$M$2:$M$201,MATCH(A51,'Employee Master'!$A$2:$A$201,0))</f>
        <v>3840</v>
      </c>
      <c r="R51" s="2" t="n">
        <v>0</v>
      </c>
      <c r="S51" s="2" t="n">
        <f aca="false">N51-O51-P51-Q51-R51</f>
        <v>26929.23</v>
      </c>
    </row>
    <row r="52" customFormat="false" ht="15" hidden="false" customHeight="false" outlineLevel="0" collapsed="false">
      <c r="A52" s="2" t="s">
        <v>146</v>
      </c>
      <c r="B52" s="2" t="s">
        <v>147</v>
      </c>
      <c r="C52" s="2" t="s">
        <v>649</v>
      </c>
      <c r="D52" s="2" t="n">
        <v>2026</v>
      </c>
      <c r="E52" s="2" t="n">
        <f aca="false">INDEX('Employee Master'!$G$2:$G$201,MATCH(A52,'Employee Master'!$A$2:$A$201,0))</f>
        <v>61000</v>
      </c>
      <c r="F52" s="2" t="n">
        <v>26</v>
      </c>
      <c r="G52" s="2" t="n">
        <f aca="false">COUNTIFS('Tally Attendance'!$A$2:$A$6201,A52,'Tally Attendance'!$F$2:$F$6201,"Present")</f>
        <v>21</v>
      </c>
      <c r="H52" s="2" t="n">
        <f aca="false">COUNTIFS('Tally Attendance'!$A$2:$A$6201,A52,'Tally Attendance'!$F$2:$F$6201,"Absent")</f>
        <v>4</v>
      </c>
      <c r="I52" s="2" t="n">
        <f aca="false">COUNTIFS('Tally Attendance'!$A$2:$A$6201,A52,'Tally Attendance'!$F$2:$F$6201,"Leave")</f>
        <v>1</v>
      </c>
      <c r="J52" s="2" t="n">
        <f aca="false">COUNTIFS('Tally Attendance'!$A$2:$A$6201,A52,'Tally Attendance'!$F$2:$F$6201,"Half Day")</f>
        <v>0</v>
      </c>
      <c r="K52" s="2" t="n">
        <f aca="false">MIN(H52,2)</f>
        <v>2</v>
      </c>
      <c r="L52" s="2" t="n">
        <f aca="false">MAX(H52-K52,0)</f>
        <v>2</v>
      </c>
      <c r="M52" s="2" t="n">
        <f aca="false">ROUND(E52/F52,2)</f>
        <v>2346.15</v>
      </c>
      <c r="N52" s="2" t="n">
        <f aca="false">E52</f>
        <v>61000</v>
      </c>
      <c r="O52" s="2" t="n">
        <f aca="false">ROUND(M52*L52,2)</f>
        <v>4692.3</v>
      </c>
      <c r="P52" s="2" t="n">
        <f aca="false">ROUND(M52*COUNTIFS('Leave Records'!$B$2:$B$144,A52,'Leave Records'!$F$2:$F$144,"Unpaid")+M52*0.5*J52,2)</f>
        <v>2346.15</v>
      </c>
      <c r="Q52" s="2" t="n">
        <f aca="false">INDEX('Employee Master'!$M$2:$M$201,MATCH(A52,'Employee Master'!$A$2:$A$201,0))</f>
        <v>7320</v>
      </c>
      <c r="R52" s="2" t="n">
        <v>0</v>
      </c>
      <c r="S52" s="2" t="n">
        <f aca="false">N52-O52-P52-Q52-R52</f>
        <v>46641.55</v>
      </c>
    </row>
    <row r="53" customFormat="false" ht="15" hidden="false" customHeight="false" outlineLevel="0" collapsed="false">
      <c r="A53" s="2" t="s">
        <v>149</v>
      </c>
      <c r="B53" s="2" t="s">
        <v>150</v>
      </c>
      <c r="C53" s="2" t="s">
        <v>649</v>
      </c>
      <c r="D53" s="2" t="n">
        <v>2026</v>
      </c>
      <c r="E53" s="2" t="n">
        <f aca="false">INDEX('Employee Master'!$G$2:$G$201,MATCH(A53,'Employee Master'!$A$2:$A$201,0))</f>
        <v>41000</v>
      </c>
      <c r="F53" s="2" t="n">
        <v>26</v>
      </c>
      <c r="G53" s="2" t="n">
        <f aca="false">COUNTIFS('Tally Attendance'!$A$2:$A$6201,A53,'Tally Attendance'!$F$2:$F$6201,"Present")</f>
        <v>25</v>
      </c>
      <c r="H53" s="2" t="n">
        <f aca="false">COUNTIFS('Tally Attendance'!$A$2:$A$6201,A53,'Tally Attendance'!$F$2:$F$6201,"Absent")</f>
        <v>0</v>
      </c>
      <c r="I53" s="2" t="n">
        <f aca="false">COUNTIFS('Tally Attendance'!$A$2:$A$6201,A53,'Tally Attendance'!$F$2:$F$6201,"Leave")</f>
        <v>0</v>
      </c>
      <c r="J53" s="2" t="n">
        <f aca="false">COUNTIFS('Tally Attendance'!$A$2:$A$6201,A53,'Tally Attendance'!$F$2:$F$6201,"Half Day")</f>
        <v>1</v>
      </c>
      <c r="K53" s="2" t="n">
        <f aca="false">MIN(H53,2)</f>
        <v>0</v>
      </c>
      <c r="L53" s="2" t="n">
        <f aca="false">MAX(H53-K53,0)</f>
        <v>0</v>
      </c>
      <c r="M53" s="2" t="n">
        <f aca="false">ROUND(E53/F53,2)</f>
        <v>1576.92</v>
      </c>
      <c r="N53" s="2" t="n">
        <f aca="false">E53</f>
        <v>41000</v>
      </c>
      <c r="O53" s="2" t="n">
        <f aca="false">ROUND(M53*L53,2)</f>
        <v>0</v>
      </c>
      <c r="P53" s="2" t="n">
        <f aca="false">ROUND(M53*COUNTIFS('Leave Records'!$B$2:$B$144,A53,'Leave Records'!$F$2:$F$144,"Unpaid")+M53*0.5*J53,2)</f>
        <v>788.46</v>
      </c>
      <c r="Q53" s="2" t="n">
        <f aca="false">INDEX('Employee Master'!$M$2:$M$201,MATCH(A53,'Employee Master'!$A$2:$A$201,0))</f>
        <v>4920</v>
      </c>
      <c r="R53" s="2" t="n">
        <v>0</v>
      </c>
      <c r="S53" s="2" t="n">
        <f aca="false">N53-O53-P53-Q53-R53</f>
        <v>35291.54</v>
      </c>
    </row>
    <row r="54" customFormat="false" ht="15" hidden="false" customHeight="false" outlineLevel="0" collapsed="false">
      <c r="A54" s="2" t="s">
        <v>152</v>
      </c>
      <c r="B54" s="2" t="s">
        <v>153</v>
      </c>
      <c r="C54" s="2" t="s">
        <v>649</v>
      </c>
      <c r="D54" s="2" t="n">
        <v>2026</v>
      </c>
      <c r="E54" s="2" t="n">
        <f aca="false">INDEX('Employee Master'!$G$2:$G$201,MATCH(A54,'Employee Master'!$A$2:$A$201,0))</f>
        <v>69000</v>
      </c>
      <c r="F54" s="2" t="n">
        <v>26</v>
      </c>
      <c r="G54" s="2" t="n">
        <f aca="false">COUNTIFS('Tally Attendance'!$A$2:$A$6201,A54,'Tally Attendance'!$F$2:$F$6201,"Present")</f>
        <v>15</v>
      </c>
      <c r="H54" s="2" t="n">
        <f aca="false">COUNTIFS('Tally Attendance'!$A$2:$A$6201,A54,'Tally Attendance'!$F$2:$F$6201,"Absent")</f>
        <v>9</v>
      </c>
      <c r="I54" s="2" t="n">
        <f aca="false">COUNTIFS('Tally Attendance'!$A$2:$A$6201,A54,'Tally Attendance'!$F$2:$F$6201,"Leave")</f>
        <v>2</v>
      </c>
      <c r="J54" s="2" t="n">
        <f aca="false">COUNTIFS('Tally Attendance'!$A$2:$A$6201,A54,'Tally Attendance'!$F$2:$F$6201,"Half Day")</f>
        <v>0</v>
      </c>
      <c r="K54" s="2" t="n">
        <f aca="false">MIN(H54,2)</f>
        <v>2</v>
      </c>
      <c r="L54" s="2" t="n">
        <f aca="false">MAX(H54-K54,0)</f>
        <v>7</v>
      </c>
      <c r="M54" s="2" t="n">
        <f aca="false">ROUND(E54/F54,2)</f>
        <v>2653.85</v>
      </c>
      <c r="N54" s="2" t="n">
        <f aca="false">E54</f>
        <v>69000</v>
      </c>
      <c r="O54" s="2" t="n">
        <f aca="false">ROUND(M54*L54,2)</f>
        <v>18576.95</v>
      </c>
      <c r="P54" s="2" t="n">
        <f aca="false">ROUND(M54*COUNTIFS('Leave Records'!$B$2:$B$144,A54,'Leave Records'!$F$2:$F$144,"Unpaid")+M54*0.5*J54,2)</f>
        <v>0</v>
      </c>
      <c r="Q54" s="2" t="n">
        <f aca="false">INDEX('Employee Master'!$M$2:$M$201,MATCH(A54,'Employee Master'!$A$2:$A$201,0))</f>
        <v>8280</v>
      </c>
      <c r="R54" s="2" t="n">
        <v>0</v>
      </c>
      <c r="S54" s="2" t="n">
        <f aca="false">N54-O54-P54-Q54-R54</f>
        <v>42143.05</v>
      </c>
    </row>
    <row r="55" customFormat="false" ht="15" hidden="false" customHeight="false" outlineLevel="0" collapsed="false">
      <c r="A55" s="2" t="s">
        <v>154</v>
      </c>
      <c r="B55" s="2" t="s">
        <v>155</v>
      </c>
      <c r="C55" s="2" t="s">
        <v>649</v>
      </c>
      <c r="D55" s="2" t="n">
        <v>2026</v>
      </c>
      <c r="E55" s="2" t="n">
        <f aca="false">INDEX('Employee Master'!$G$2:$G$201,MATCH(A55,'Employee Master'!$A$2:$A$201,0))</f>
        <v>63000</v>
      </c>
      <c r="F55" s="2" t="n">
        <v>26</v>
      </c>
      <c r="G55" s="2" t="n">
        <f aca="false">COUNTIFS('Tally Attendance'!$A$2:$A$6201,A55,'Tally Attendance'!$F$2:$F$6201,"Present")</f>
        <v>24</v>
      </c>
      <c r="H55" s="2" t="n">
        <f aca="false">COUNTIFS('Tally Attendance'!$A$2:$A$6201,A55,'Tally Attendance'!$F$2:$F$6201,"Absent")</f>
        <v>1</v>
      </c>
      <c r="I55" s="2" t="n">
        <f aca="false">COUNTIFS('Tally Attendance'!$A$2:$A$6201,A55,'Tally Attendance'!$F$2:$F$6201,"Leave")</f>
        <v>1</v>
      </c>
      <c r="J55" s="2" t="n">
        <f aca="false">COUNTIFS('Tally Attendance'!$A$2:$A$6201,A55,'Tally Attendance'!$F$2:$F$6201,"Half Day")</f>
        <v>0</v>
      </c>
      <c r="K55" s="2" t="n">
        <f aca="false">MIN(H55,2)</f>
        <v>1</v>
      </c>
      <c r="L55" s="2" t="n">
        <f aca="false">MAX(H55-K55,0)</f>
        <v>0</v>
      </c>
      <c r="M55" s="2" t="n">
        <f aca="false">ROUND(E55/F55,2)</f>
        <v>2423.08</v>
      </c>
      <c r="N55" s="2" t="n">
        <f aca="false">E55</f>
        <v>63000</v>
      </c>
      <c r="O55" s="2" t="n">
        <f aca="false">ROUND(M55*L55,2)</f>
        <v>0</v>
      </c>
      <c r="P55" s="2" t="n">
        <f aca="false">ROUND(M55*COUNTIFS('Leave Records'!$B$2:$B$144,A55,'Leave Records'!$F$2:$F$144,"Unpaid")+M55*0.5*J55,2)</f>
        <v>2423.08</v>
      </c>
      <c r="Q55" s="2" t="n">
        <f aca="false">INDEX('Employee Master'!$M$2:$M$201,MATCH(A55,'Employee Master'!$A$2:$A$201,0))</f>
        <v>7560</v>
      </c>
      <c r="R55" s="2" t="n">
        <v>0</v>
      </c>
      <c r="S55" s="2" t="n">
        <f aca="false">N55-O55-P55-Q55-R55</f>
        <v>53016.92</v>
      </c>
    </row>
    <row r="56" customFormat="false" ht="15" hidden="false" customHeight="false" outlineLevel="0" collapsed="false">
      <c r="A56" s="2" t="s">
        <v>156</v>
      </c>
      <c r="B56" s="2" t="s">
        <v>157</v>
      </c>
      <c r="C56" s="2" t="s">
        <v>649</v>
      </c>
      <c r="D56" s="2" t="n">
        <v>2026</v>
      </c>
      <c r="E56" s="2" t="n">
        <f aca="false">INDEX('Employee Master'!$G$2:$G$201,MATCH(A56,'Employee Master'!$A$2:$A$201,0))</f>
        <v>37500</v>
      </c>
      <c r="F56" s="2" t="n">
        <v>26</v>
      </c>
      <c r="G56" s="2" t="n">
        <f aca="false">COUNTIFS('Tally Attendance'!$A$2:$A$6201,A56,'Tally Attendance'!$F$2:$F$6201,"Present")</f>
        <v>22</v>
      </c>
      <c r="H56" s="2" t="n">
        <f aca="false">COUNTIFS('Tally Attendance'!$A$2:$A$6201,A56,'Tally Attendance'!$F$2:$F$6201,"Absent")</f>
        <v>1</v>
      </c>
      <c r="I56" s="2" t="n">
        <f aca="false">COUNTIFS('Tally Attendance'!$A$2:$A$6201,A56,'Tally Attendance'!$F$2:$F$6201,"Leave")</f>
        <v>1</v>
      </c>
      <c r="J56" s="2" t="n">
        <f aca="false">COUNTIFS('Tally Attendance'!$A$2:$A$6201,A56,'Tally Attendance'!$F$2:$F$6201,"Half Day")</f>
        <v>2</v>
      </c>
      <c r="K56" s="2" t="n">
        <f aca="false">MIN(H56,2)</f>
        <v>1</v>
      </c>
      <c r="L56" s="2" t="n">
        <f aca="false">MAX(H56-K56,0)</f>
        <v>0</v>
      </c>
      <c r="M56" s="2" t="n">
        <f aca="false">ROUND(E56/F56,2)</f>
        <v>1442.31</v>
      </c>
      <c r="N56" s="2" t="n">
        <f aca="false">E56</f>
        <v>37500</v>
      </c>
      <c r="O56" s="2" t="n">
        <f aca="false">ROUND(M56*L56,2)</f>
        <v>0</v>
      </c>
      <c r="P56" s="2" t="n">
        <f aca="false">ROUND(M56*COUNTIFS('Leave Records'!$B$2:$B$144,A56,'Leave Records'!$F$2:$F$144,"Unpaid")+M56*0.5*J56,2)</f>
        <v>1442.31</v>
      </c>
      <c r="Q56" s="2" t="n">
        <f aca="false">INDEX('Employee Master'!$M$2:$M$201,MATCH(A56,'Employee Master'!$A$2:$A$201,0))</f>
        <v>4500</v>
      </c>
      <c r="R56" s="2" t="n">
        <v>0</v>
      </c>
      <c r="S56" s="2" t="n">
        <f aca="false">N56-O56-P56-Q56-R56</f>
        <v>31557.69</v>
      </c>
    </row>
    <row r="57" customFormat="false" ht="15" hidden="false" customHeight="false" outlineLevel="0" collapsed="false">
      <c r="A57" s="2" t="s">
        <v>158</v>
      </c>
      <c r="B57" s="2" t="s">
        <v>159</v>
      </c>
      <c r="C57" s="2" t="s">
        <v>649</v>
      </c>
      <c r="D57" s="2" t="n">
        <v>2026</v>
      </c>
      <c r="E57" s="2" t="n">
        <f aca="false">INDEX('Employee Master'!$G$2:$G$201,MATCH(A57,'Employee Master'!$A$2:$A$201,0))</f>
        <v>64500</v>
      </c>
      <c r="F57" s="2" t="n">
        <v>26</v>
      </c>
      <c r="G57" s="2" t="n">
        <f aca="false">COUNTIFS('Tally Attendance'!$A$2:$A$6201,A57,'Tally Attendance'!$F$2:$F$6201,"Present")</f>
        <v>16</v>
      </c>
      <c r="H57" s="2" t="n">
        <f aca="false">COUNTIFS('Tally Attendance'!$A$2:$A$6201,A57,'Tally Attendance'!$F$2:$F$6201,"Absent")</f>
        <v>7</v>
      </c>
      <c r="I57" s="2" t="n">
        <f aca="false">COUNTIFS('Tally Attendance'!$A$2:$A$6201,A57,'Tally Attendance'!$F$2:$F$6201,"Leave")</f>
        <v>2</v>
      </c>
      <c r="J57" s="2" t="n">
        <f aca="false">COUNTIFS('Tally Attendance'!$A$2:$A$6201,A57,'Tally Attendance'!$F$2:$F$6201,"Half Day")</f>
        <v>1</v>
      </c>
      <c r="K57" s="2" t="n">
        <f aca="false">MIN(H57,2)</f>
        <v>2</v>
      </c>
      <c r="L57" s="2" t="n">
        <f aca="false">MAX(H57-K57,0)</f>
        <v>5</v>
      </c>
      <c r="M57" s="2" t="n">
        <f aca="false">ROUND(E57/F57,2)</f>
        <v>2480.77</v>
      </c>
      <c r="N57" s="2" t="n">
        <f aca="false">E57</f>
        <v>64500</v>
      </c>
      <c r="O57" s="2" t="n">
        <f aca="false">ROUND(M57*L57,2)</f>
        <v>12403.85</v>
      </c>
      <c r="P57" s="2" t="n">
        <f aca="false">ROUND(M57*COUNTIFS('Leave Records'!$B$2:$B$144,A57,'Leave Records'!$F$2:$F$144,"Unpaid")+M57*0.5*J57,2)</f>
        <v>1240.39</v>
      </c>
      <c r="Q57" s="2" t="n">
        <f aca="false">INDEX('Employee Master'!$M$2:$M$201,MATCH(A57,'Employee Master'!$A$2:$A$201,0))</f>
        <v>7740</v>
      </c>
      <c r="R57" s="2" t="n">
        <v>0</v>
      </c>
      <c r="S57" s="2" t="n">
        <f aca="false">N57-O57-P57-Q57-R57</f>
        <v>43115.76</v>
      </c>
    </row>
    <row r="58" customFormat="false" ht="15" hidden="false" customHeight="false" outlineLevel="0" collapsed="false">
      <c r="A58" s="2" t="s">
        <v>160</v>
      </c>
      <c r="B58" s="2" t="s">
        <v>161</v>
      </c>
      <c r="C58" s="2" t="s">
        <v>649</v>
      </c>
      <c r="D58" s="2" t="n">
        <v>2026</v>
      </c>
      <c r="E58" s="2" t="n">
        <f aca="false">INDEX('Employee Master'!$G$2:$G$201,MATCH(A58,'Employee Master'!$A$2:$A$201,0))</f>
        <v>44500</v>
      </c>
      <c r="F58" s="2" t="n">
        <v>26</v>
      </c>
      <c r="G58" s="2" t="n">
        <f aca="false">COUNTIFS('Tally Attendance'!$A$2:$A$6201,A58,'Tally Attendance'!$F$2:$F$6201,"Present")</f>
        <v>26</v>
      </c>
      <c r="H58" s="2" t="n">
        <f aca="false">COUNTIFS('Tally Attendance'!$A$2:$A$6201,A58,'Tally Attendance'!$F$2:$F$6201,"Absent")</f>
        <v>0</v>
      </c>
      <c r="I58" s="2" t="n">
        <f aca="false">COUNTIFS('Tally Attendance'!$A$2:$A$6201,A58,'Tally Attendance'!$F$2:$F$6201,"Leave")</f>
        <v>0</v>
      </c>
      <c r="J58" s="2" t="n">
        <f aca="false">COUNTIFS('Tally Attendance'!$A$2:$A$6201,A58,'Tally Attendance'!$F$2:$F$6201,"Half Day")</f>
        <v>0</v>
      </c>
      <c r="K58" s="2" t="n">
        <f aca="false">MIN(H58,2)</f>
        <v>0</v>
      </c>
      <c r="L58" s="2" t="n">
        <f aca="false">MAX(H58-K58,0)</f>
        <v>0</v>
      </c>
      <c r="M58" s="2" t="n">
        <f aca="false">ROUND(E58/F58,2)</f>
        <v>1711.54</v>
      </c>
      <c r="N58" s="2" t="n">
        <f aca="false">E58</f>
        <v>44500</v>
      </c>
      <c r="O58" s="2" t="n">
        <f aca="false">ROUND(M58*L58,2)</f>
        <v>0</v>
      </c>
      <c r="P58" s="2" t="n">
        <f aca="false">ROUND(M58*COUNTIFS('Leave Records'!$B$2:$B$144,A58,'Leave Records'!$F$2:$F$144,"Unpaid")+M58*0.5*J58,2)</f>
        <v>0</v>
      </c>
      <c r="Q58" s="2" t="n">
        <f aca="false">INDEX('Employee Master'!$M$2:$M$201,MATCH(A58,'Employee Master'!$A$2:$A$201,0))</f>
        <v>5340</v>
      </c>
      <c r="R58" s="2" t="n">
        <v>0</v>
      </c>
      <c r="S58" s="2" t="n">
        <f aca="false">N58-O58-P58-Q58-R58</f>
        <v>39160</v>
      </c>
    </row>
    <row r="59" customFormat="false" ht="15" hidden="false" customHeight="false" outlineLevel="0" collapsed="false">
      <c r="A59" s="2" t="s">
        <v>162</v>
      </c>
      <c r="B59" s="2" t="s">
        <v>163</v>
      </c>
      <c r="C59" s="2" t="s">
        <v>649</v>
      </c>
      <c r="D59" s="2" t="n">
        <v>2026</v>
      </c>
      <c r="E59" s="2" t="n">
        <f aca="false">INDEX('Employee Master'!$G$2:$G$201,MATCH(A59,'Employee Master'!$A$2:$A$201,0))</f>
        <v>39500</v>
      </c>
      <c r="F59" s="2" t="n">
        <v>26</v>
      </c>
      <c r="G59" s="2" t="n">
        <f aca="false">COUNTIFS('Tally Attendance'!$A$2:$A$6201,A59,'Tally Attendance'!$F$2:$F$6201,"Present")</f>
        <v>25</v>
      </c>
      <c r="H59" s="2" t="n">
        <f aca="false">COUNTIFS('Tally Attendance'!$A$2:$A$6201,A59,'Tally Attendance'!$F$2:$F$6201,"Absent")</f>
        <v>1</v>
      </c>
      <c r="I59" s="2" t="n">
        <f aca="false">COUNTIFS('Tally Attendance'!$A$2:$A$6201,A59,'Tally Attendance'!$F$2:$F$6201,"Leave")</f>
        <v>0</v>
      </c>
      <c r="J59" s="2" t="n">
        <f aca="false">COUNTIFS('Tally Attendance'!$A$2:$A$6201,A59,'Tally Attendance'!$F$2:$F$6201,"Half Day")</f>
        <v>0</v>
      </c>
      <c r="K59" s="2" t="n">
        <f aca="false">MIN(H59,2)</f>
        <v>1</v>
      </c>
      <c r="L59" s="2" t="n">
        <f aca="false">MAX(H59-K59,0)</f>
        <v>0</v>
      </c>
      <c r="M59" s="2" t="n">
        <f aca="false">ROUND(E59/F59,2)</f>
        <v>1519.23</v>
      </c>
      <c r="N59" s="2" t="n">
        <f aca="false">E59</f>
        <v>39500</v>
      </c>
      <c r="O59" s="2" t="n">
        <f aca="false">ROUND(M59*L59,2)</f>
        <v>0</v>
      </c>
      <c r="P59" s="2" t="n">
        <f aca="false">ROUND(M59*COUNTIFS('Leave Records'!$B$2:$B$144,A59,'Leave Records'!$F$2:$F$144,"Unpaid")+M59*0.5*J59,2)</f>
        <v>0</v>
      </c>
      <c r="Q59" s="2" t="n">
        <f aca="false">INDEX('Employee Master'!$M$2:$M$201,MATCH(A59,'Employee Master'!$A$2:$A$201,0))</f>
        <v>4740</v>
      </c>
      <c r="R59" s="2" t="n">
        <v>0</v>
      </c>
      <c r="S59" s="2" t="n">
        <f aca="false">N59-O59-P59-Q59-R59</f>
        <v>34760</v>
      </c>
    </row>
    <row r="60" customFormat="false" ht="15" hidden="false" customHeight="false" outlineLevel="0" collapsed="false">
      <c r="A60" s="2" t="s">
        <v>164</v>
      </c>
      <c r="B60" s="2" t="s">
        <v>165</v>
      </c>
      <c r="C60" s="2" t="s">
        <v>649</v>
      </c>
      <c r="D60" s="2" t="n">
        <v>2026</v>
      </c>
      <c r="E60" s="2" t="n">
        <f aca="false">INDEX('Employee Master'!$G$2:$G$201,MATCH(A60,'Employee Master'!$A$2:$A$201,0))</f>
        <v>25000</v>
      </c>
      <c r="F60" s="2" t="n">
        <v>26</v>
      </c>
      <c r="G60" s="2" t="n">
        <f aca="false">COUNTIFS('Tally Attendance'!$A$2:$A$6201,A60,'Tally Attendance'!$F$2:$F$6201,"Present")</f>
        <v>20</v>
      </c>
      <c r="H60" s="2" t="n">
        <f aca="false">COUNTIFS('Tally Attendance'!$A$2:$A$6201,A60,'Tally Attendance'!$F$2:$F$6201,"Absent")</f>
        <v>5</v>
      </c>
      <c r="I60" s="2" t="n">
        <f aca="false">COUNTIFS('Tally Attendance'!$A$2:$A$6201,A60,'Tally Attendance'!$F$2:$F$6201,"Leave")</f>
        <v>1</v>
      </c>
      <c r="J60" s="2" t="n">
        <f aca="false">COUNTIFS('Tally Attendance'!$A$2:$A$6201,A60,'Tally Attendance'!$F$2:$F$6201,"Half Day")</f>
        <v>0</v>
      </c>
      <c r="K60" s="2" t="n">
        <f aca="false">MIN(H60,2)</f>
        <v>2</v>
      </c>
      <c r="L60" s="2" t="n">
        <f aca="false">MAX(H60-K60,0)</f>
        <v>3</v>
      </c>
      <c r="M60" s="2" t="n">
        <f aca="false">ROUND(E60/F60,2)</f>
        <v>961.54</v>
      </c>
      <c r="N60" s="2" t="n">
        <f aca="false">E60</f>
        <v>25000</v>
      </c>
      <c r="O60" s="2" t="n">
        <f aca="false">ROUND(M60*L60,2)</f>
        <v>2884.62</v>
      </c>
      <c r="P60" s="2" t="n">
        <f aca="false">ROUND(M60*COUNTIFS('Leave Records'!$B$2:$B$144,A60,'Leave Records'!$F$2:$F$144,"Unpaid")+M60*0.5*J60,2)</f>
        <v>961.54</v>
      </c>
      <c r="Q60" s="2" t="n">
        <f aca="false">INDEX('Employee Master'!$M$2:$M$201,MATCH(A60,'Employee Master'!$A$2:$A$201,0))</f>
        <v>3000</v>
      </c>
      <c r="R60" s="2" t="n">
        <v>0</v>
      </c>
      <c r="S60" s="2" t="n">
        <f aca="false">N60-O60-P60-Q60-R60</f>
        <v>18153.84</v>
      </c>
    </row>
    <row r="61" customFormat="false" ht="15" hidden="false" customHeight="false" outlineLevel="0" collapsed="false">
      <c r="A61" s="2" t="s">
        <v>166</v>
      </c>
      <c r="B61" s="2" t="s">
        <v>167</v>
      </c>
      <c r="C61" s="2" t="s">
        <v>649</v>
      </c>
      <c r="D61" s="2" t="n">
        <v>2026</v>
      </c>
      <c r="E61" s="2" t="n">
        <f aca="false">INDEX('Employee Master'!$G$2:$G$201,MATCH(A61,'Employee Master'!$A$2:$A$201,0))</f>
        <v>28000</v>
      </c>
      <c r="F61" s="2" t="n">
        <v>26</v>
      </c>
      <c r="G61" s="2" t="n">
        <f aca="false">COUNTIFS('Tally Attendance'!$A$2:$A$6201,A61,'Tally Attendance'!$F$2:$F$6201,"Present")</f>
        <v>22</v>
      </c>
      <c r="H61" s="2" t="n">
        <f aca="false">COUNTIFS('Tally Attendance'!$A$2:$A$6201,A61,'Tally Attendance'!$F$2:$F$6201,"Absent")</f>
        <v>2</v>
      </c>
      <c r="I61" s="2" t="n">
        <f aca="false">COUNTIFS('Tally Attendance'!$A$2:$A$6201,A61,'Tally Attendance'!$F$2:$F$6201,"Leave")</f>
        <v>2</v>
      </c>
      <c r="J61" s="2" t="n">
        <f aca="false">COUNTIFS('Tally Attendance'!$A$2:$A$6201,A61,'Tally Attendance'!$F$2:$F$6201,"Half Day")</f>
        <v>0</v>
      </c>
      <c r="K61" s="2" t="n">
        <f aca="false">MIN(H61,2)</f>
        <v>2</v>
      </c>
      <c r="L61" s="2" t="n">
        <f aca="false">MAX(H61-K61,0)</f>
        <v>0</v>
      </c>
      <c r="M61" s="2" t="n">
        <f aca="false">ROUND(E61/F61,2)</f>
        <v>1076.92</v>
      </c>
      <c r="N61" s="2" t="n">
        <f aca="false">E61</f>
        <v>28000</v>
      </c>
      <c r="O61" s="2" t="n">
        <f aca="false">ROUND(M61*L61,2)</f>
        <v>0</v>
      </c>
      <c r="P61" s="2" t="n">
        <f aca="false">ROUND(M61*COUNTIFS('Leave Records'!$B$2:$B$144,A61,'Leave Records'!$F$2:$F$144,"Unpaid")+M61*0.5*J61,2)</f>
        <v>2153.84</v>
      </c>
      <c r="Q61" s="2" t="n">
        <f aca="false">INDEX('Employee Master'!$M$2:$M$201,MATCH(A61,'Employee Master'!$A$2:$A$201,0))</f>
        <v>3360</v>
      </c>
      <c r="R61" s="2" t="n">
        <v>0</v>
      </c>
      <c r="S61" s="2" t="n">
        <f aca="false">N61-O61-P61-Q61-R61</f>
        <v>22486.16</v>
      </c>
    </row>
    <row r="62" customFormat="false" ht="15" hidden="false" customHeight="false" outlineLevel="0" collapsed="false">
      <c r="A62" s="2" t="s">
        <v>168</v>
      </c>
      <c r="B62" s="2" t="s">
        <v>169</v>
      </c>
      <c r="C62" s="2" t="s">
        <v>649</v>
      </c>
      <c r="D62" s="2" t="n">
        <v>2026</v>
      </c>
      <c r="E62" s="2" t="n">
        <f aca="false">INDEX('Employee Master'!$G$2:$G$201,MATCH(A62,'Employee Master'!$A$2:$A$201,0))</f>
        <v>50500</v>
      </c>
      <c r="F62" s="2" t="n">
        <v>26</v>
      </c>
      <c r="G62" s="2" t="n">
        <f aca="false">COUNTIFS('Tally Attendance'!$A$2:$A$6201,A62,'Tally Attendance'!$F$2:$F$6201,"Present")</f>
        <v>18</v>
      </c>
      <c r="H62" s="2" t="n">
        <f aca="false">COUNTIFS('Tally Attendance'!$A$2:$A$6201,A62,'Tally Attendance'!$F$2:$F$6201,"Absent")</f>
        <v>7</v>
      </c>
      <c r="I62" s="2" t="n">
        <f aca="false">COUNTIFS('Tally Attendance'!$A$2:$A$6201,A62,'Tally Attendance'!$F$2:$F$6201,"Leave")</f>
        <v>1</v>
      </c>
      <c r="J62" s="2" t="n">
        <f aca="false">COUNTIFS('Tally Attendance'!$A$2:$A$6201,A62,'Tally Attendance'!$F$2:$F$6201,"Half Day")</f>
        <v>0</v>
      </c>
      <c r="K62" s="2" t="n">
        <f aca="false">MIN(H62,2)</f>
        <v>2</v>
      </c>
      <c r="L62" s="2" t="n">
        <f aca="false">MAX(H62-K62,0)</f>
        <v>5</v>
      </c>
      <c r="M62" s="2" t="n">
        <f aca="false">ROUND(E62/F62,2)</f>
        <v>1942.31</v>
      </c>
      <c r="N62" s="2" t="n">
        <f aca="false">E62</f>
        <v>50500</v>
      </c>
      <c r="O62" s="2" t="n">
        <f aca="false">ROUND(M62*L62,2)</f>
        <v>9711.55</v>
      </c>
      <c r="P62" s="2" t="n">
        <f aca="false">ROUND(M62*COUNTIFS('Leave Records'!$B$2:$B$144,A62,'Leave Records'!$F$2:$F$144,"Unpaid")+M62*0.5*J62,2)</f>
        <v>0</v>
      </c>
      <c r="Q62" s="2" t="n">
        <f aca="false">INDEX('Employee Master'!$M$2:$M$201,MATCH(A62,'Employee Master'!$A$2:$A$201,0))</f>
        <v>6060</v>
      </c>
      <c r="R62" s="2" t="n">
        <v>0</v>
      </c>
      <c r="S62" s="2" t="n">
        <f aca="false">N62-O62-P62-Q62-R62</f>
        <v>34728.45</v>
      </c>
    </row>
    <row r="63" customFormat="false" ht="15" hidden="false" customHeight="false" outlineLevel="0" collapsed="false">
      <c r="A63" s="2" t="s">
        <v>170</v>
      </c>
      <c r="B63" s="2" t="s">
        <v>171</v>
      </c>
      <c r="C63" s="2" t="s">
        <v>649</v>
      </c>
      <c r="D63" s="2" t="n">
        <v>2026</v>
      </c>
      <c r="E63" s="2" t="n">
        <f aca="false">INDEX('Employee Master'!$G$2:$G$201,MATCH(A63,'Employee Master'!$A$2:$A$201,0))</f>
        <v>58000</v>
      </c>
      <c r="F63" s="2" t="n">
        <v>26</v>
      </c>
      <c r="G63" s="2" t="n">
        <f aca="false">COUNTIFS('Tally Attendance'!$A$2:$A$6201,A63,'Tally Attendance'!$F$2:$F$6201,"Present")</f>
        <v>26</v>
      </c>
      <c r="H63" s="2" t="n">
        <f aca="false">COUNTIFS('Tally Attendance'!$A$2:$A$6201,A63,'Tally Attendance'!$F$2:$F$6201,"Absent")</f>
        <v>0</v>
      </c>
      <c r="I63" s="2" t="n">
        <f aca="false">COUNTIFS('Tally Attendance'!$A$2:$A$6201,A63,'Tally Attendance'!$F$2:$F$6201,"Leave")</f>
        <v>0</v>
      </c>
      <c r="J63" s="2" t="n">
        <f aca="false">COUNTIFS('Tally Attendance'!$A$2:$A$6201,A63,'Tally Attendance'!$F$2:$F$6201,"Half Day")</f>
        <v>0</v>
      </c>
      <c r="K63" s="2" t="n">
        <f aca="false">MIN(H63,2)</f>
        <v>0</v>
      </c>
      <c r="L63" s="2" t="n">
        <f aca="false">MAX(H63-K63,0)</f>
        <v>0</v>
      </c>
      <c r="M63" s="2" t="n">
        <f aca="false">ROUND(E63/F63,2)</f>
        <v>2230.77</v>
      </c>
      <c r="N63" s="2" t="n">
        <f aca="false">E63</f>
        <v>58000</v>
      </c>
      <c r="O63" s="2" t="n">
        <f aca="false">ROUND(M63*L63,2)</f>
        <v>0</v>
      </c>
      <c r="P63" s="2" t="n">
        <f aca="false">ROUND(M63*COUNTIFS('Leave Records'!$B$2:$B$144,A63,'Leave Records'!$F$2:$F$144,"Unpaid")+M63*0.5*J63,2)</f>
        <v>0</v>
      </c>
      <c r="Q63" s="2" t="n">
        <f aca="false">INDEX('Employee Master'!$M$2:$M$201,MATCH(A63,'Employee Master'!$A$2:$A$201,0))</f>
        <v>6960</v>
      </c>
      <c r="R63" s="2" t="n">
        <v>0</v>
      </c>
      <c r="S63" s="2" t="n">
        <f aca="false">N63-O63-P63-Q63-R63</f>
        <v>51040</v>
      </c>
    </row>
    <row r="64" customFormat="false" ht="15" hidden="false" customHeight="false" outlineLevel="0" collapsed="false">
      <c r="A64" s="2" t="s">
        <v>172</v>
      </c>
      <c r="B64" s="2" t="s">
        <v>173</v>
      </c>
      <c r="C64" s="2" t="s">
        <v>649</v>
      </c>
      <c r="D64" s="2" t="n">
        <v>2026</v>
      </c>
      <c r="E64" s="2" t="n">
        <f aca="false">INDEX('Employee Master'!$G$2:$G$201,MATCH(A64,'Employee Master'!$A$2:$A$201,0))</f>
        <v>23500</v>
      </c>
      <c r="F64" s="2" t="n">
        <v>26</v>
      </c>
      <c r="G64" s="2" t="n">
        <f aca="false">COUNTIFS('Tally Attendance'!$A$2:$A$6201,A64,'Tally Attendance'!$F$2:$F$6201,"Present")</f>
        <v>14</v>
      </c>
      <c r="H64" s="2" t="n">
        <f aca="false">COUNTIFS('Tally Attendance'!$A$2:$A$6201,A64,'Tally Attendance'!$F$2:$F$6201,"Absent")</f>
        <v>9</v>
      </c>
      <c r="I64" s="2" t="n">
        <f aca="false">COUNTIFS('Tally Attendance'!$A$2:$A$6201,A64,'Tally Attendance'!$F$2:$F$6201,"Leave")</f>
        <v>1</v>
      </c>
      <c r="J64" s="2" t="n">
        <f aca="false">COUNTIFS('Tally Attendance'!$A$2:$A$6201,A64,'Tally Attendance'!$F$2:$F$6201,"Half Day")</f>
        <v>2</v>
      </c>
      <c r="K64" s="2" t="n">
        <f aca="false">MIN(H64,2)</f>
        <v>2</v>
      </c>
      <c r="L64" s="2" t="n">
        <f aca="false">MAX(H64-K64,0)</f>
        <v>7</v>
      </c>
      <c r="M64" s="2" t="n">
        <f aca="false">ROUND(E64/F64,2)</f>
        <v>903.85</v>
      </c>
      <c r="N64" s="2" t="n">
        <f aca="false">E64</f>
        <v>23500</v>
      </c>
      <c r="O64" s="2" t="n">
        <f aca="false">ROUND(M64*L64,2)</f>
        <v>6326.95</v>
      </c>
      <c r="P64" s="2" t="n">
        <f aca="false">ROUND(M64*COUNTIFS('Leave Records'!$B$2:$B$144,A64,'Leave Records'!$F$2:$F$144,"Unpaid")+M64*0.5*J64,2)</f>
        <v>903.85</v>
      </c>
      <c r="Q64" s="2" t="n">
        <f aca="false">INDEX('Employee Master'!$M$2:$M$201,MATCH(A64,'Employee Master'!$A$2:$A$201,0))</f>
        <v>2820</v>
      </c>
      <c r="R64" s="2" t="n">
        <v>0</v>
      </c>
      <c r="S64" s="2" t="n">
        <f aca="false">N64-O64-P64-Q64-R64</f>
        <v>13449.2</v>
      </c>
    </row>
    <row r="65" customFormat="false" ht="15" hidden="false" customHeight="false" outlineLevel="0" collapsed="false">
      <c r="A65" s="2" t="s">
        <v>174</v>
      </c>
      <c r="B65" s="2" t="s">
        <v>175</v>
      </c>
      <c r="C65" s="2" t="s">
        <v>649</v>
      </c>
      <c r="D65" s="2" t="n">
        <v>2026</v>
      </c>
      <c r="E65" s="2" t="n">
        <f aca="false">INDEX('Employee Master'!$G$2:$G$201,MATCH(A65,'Employee Master'!$A$2:$A$201,0))</f>
        <v>51500</v>
      </c>
      <c r="F65" s="2" t="n">
        <v>26</v>
      </c>
      <c r="G65" s="2" t="n">
        <f aca="false">COUNTIFS('Tally Attendance'!$A$2:$A$6201,A65,'Tally Attendance'!$F$2:$F$6201,"Present")</f>
        <v>23</v>
      </c>
      <c r="H65" s="2" t="n">
        <f aca="false">COUNTIFS('Tally Attendance'!$A$2:$A$6201,A65,'Tally Attendance'!$F$2:$F$6201,"Absent")</f>
        <v>2</v>
      </c>
      <c r="I65" s="2" t="n">
        <f aca="false">COUNTIFS('Tally Attendance'!$A$2:$A$6201,A65,'Tally Attendance'!$F$2:$F$6201,"Leave")</f>
        <v>1</v>
      </c>
      <c r="J65" s="2" t="n">
        <f aca="false">COUNTIFS('Tally Attendance'!$A$2:$A$6201,A65,'Tally Attendance'!$F$2:$F$6201,"Half Day")</f>
        <v>0</v>
      </c>
      <c r="K65" s="2" t="n">
        <f aca="false">MIN(H65,2)</f>
        <v>2</v>
      </c>
      <c r="L65" s="2" t="n">
        <f aca="false">MAX(H65-K65,0)</f>
        <v>0</v>
      </c>
      <c r="M65" s="2" t="n">
        <f aca="false">ROUND(E65/F65,2)</f>
        <v>1980.77</v>
      </c>
      <c r="N65" s="2" t="n">
        <f aca="false">E65</f>
        <v>51500</v>
      </c>
      <c r="O65" s="2" t="n">
        <f aca="false">ROUND(M65*L65,2)</f>
        <v>0</v>
      </c>
      <c r="P65" s="2" t="n">
        <f aca="false">ROUND(M65*COUNTIFS('Leave Records'!$B$2:$B$144,A65,'Leave Records'!$F$2:$F$144,"Unpaid")+M65*0.5*J65,2)</f>
        <v>0</v>
      </c>
      <c r="Q65" s="2" t="n">
        <f aca="false">INDEX('Employee Master'!$M$2:$M$201,MATCH(A65,'Employee Master'!$A$2:$A$201,0))</f>
        <v>6180</v>
      </c>
      <c r="R65" s="2" t="n">
        <v>0</v>
      </c>
      <c r="S65" s="2" t="n">
        <f aca="false">N65-O65-P65-Q65-R65</f>
        <v>45320</v>
      </c>
    </row>
    <row r="66" customFormat="false" ht="15" hidden="false" customHeight="false" outlineLevel="0" collapsed="false">
      <c r="A66" s="2" t="s">
        <v>176</v>
      </c>
      <c r="B66" s="2" t="s">
        <v>177</v>
      </c>
      <c r="C66" s="2" t="s">
        <v>649</v>
      </c>
      <c r="D66" s="2" t="n">
        <v>2026</v>
      </c>
      <c r="E66" s="2" t="n">
        <f aca="false">INDEX('Employee Master'!$G$2:$G$201,MATCH(A66,'Employee Master'!$A$2:$A$201,0))</f>
        <v>33500</v>
      </c>
      <c r="F66" s="2" t="n">
        <v>26</v>
      </c>
      <c r="G66" s="2" t="n">
        <f aca="false">COUNTIFS('Tally Attendance'!$A$2:$A$6201,A66,'Tally Attendance'!$F$2:$F$6201,"Present")</f>
        <v>15</v>
      </c>
      <c r="H66" s="2" t="n">
        <f aca="false">COUNTIFS('Tally Attendance'!$A$2:$A$6201,A66,'Tally Attendance'!$F$2:$F$6201,"Absent")</f>
        <v>8</v>
      </c>
      <c r="I66" s="2" t="n">
        <f aca="false">COUNTIFS('Tally Attendance'!$A$2:$A$6201,A66,'Tally Attendance'!$F$2:$F$6201,"Leave")</f>
        <v>2</v>
      </c>
      <c r="J66" s="2" t="n">
        <f aca="false">COUNTIFS('Tally Attendance'!$A$2:$A$6201,A66,'Tally Attendance'!$F$2:$F$6201,"Half Day")</f>
        <v>1</v>
      </c>
      <c r="K66" s="2" t="n">
        <f aca="false">MIN(H66,2)</f>
        <v>2</v>
      </c>
      <c r="L66" s="2" t="n">
        <f aca="false">MAX(H66-K66,0)</f>
        <v>6</v>
      </c>
      <c r="M66" s="2" t="n">
        <f aca="false">ROUND(E66/F66,2)</f>
        <v>1288.46</v>
      </c>
      <c r="N66" s="2" t="n">
        <f aca="false">E66</f>
        <v>33500</v>
      </c>
      <c r="O66" s="2" t="n">
        <f aca="false">ROUND(M66*L66,2)</f>
        <v>7730.76</v>
      </c>
      <c r="P66" s="2" t="n">
        <f aca="false">ROUND(M66*COUNTIFS('Leave Records'!$B$2:$B$144,A66,'Leave Records'!$F$2:$F$144,"Unpaid")+M66*0.5*J66,2)</f>
        <v>644.23</v>
      </c>
      <c r="Q66" s="2" t="n">
        <f aca="false">INDEX('Employee Master'!$M$2:$M$201,MATCH(A66,'Employee Master'!$A$2:$A$201,0))</f>
        <v>4020</v>
      </c>
      <c r="R66" s="2" t="n">
        <v>0</v>
      </c>
      <c r="S66" s="2" t="n">
        <f aca="false">N66-O66-P66-Q66-R66</f>
        <v>21105.01</v>
      </c>
    </row>
    <row r="67" customFormat="false" ht="15" hidden="false" customHeight="false" outlineLevel="0" collapsed="false">
      <c r="A67" s="2" t="s">
        <v>178</v>
      </c>
      <c r="B67" s="2" t="s">
        <v>179</v>
      </c>
      <c r="C67" s="2" t="s">
        <v>649</v>
      </c>
      <c r="D67" s="2" t="n">
        <v>2026</v>
      </c>
      <c r="E67" s="2" t="n">
        <f aca="false">INDEX('Employee Master'!$G$2:$G$201,MATCH(A67,'Employee Master'!$A$2:$A$201,0))</f>
        <v>51000</v>
      </c>
      <c r="F67" s="2" t="n">
        <v>26</v>
      </c>
      <c r="G67" s="2" t="n">
        <f aca="false">COUNTIFS('Tally Attendance'!$A$2:$A$6201,A67,'Tally Attendance'!$F$2:$F$6201,"Present")</f>
        <v>22</v>
      </c>
      <c r="H67" s="2" t="n">
        <f aca="false">COUNTIFS('Tally Attendance'!$A$2:$A$6201,A67,'Tally Attendance'!$F$2:$F$6201,"Absent")</f>
        <v>1</v>
      </c>
      <c r="I67" s="2" t="n">
        <f aca="false">COUNTIFS('Tally Attendance'!$A$2:$A$6201,A67,'Tally Attendance'!$F$2:$F$6201,"Leave")</f>
        <v>2</v>
      </c>
      <c r="J67" s="2" t="n">
        <f aca="false">COUNTIFS('Tally Attendance'!$A$2:$A$6201,A67,'Tally Attendance'!$F$2:$F$6201,"Half Day")</f>
        <v>1</v>
      </c>
      <c r="K67" s="2" t="n">
        <f aca="false">MIN(H67,2)</f>
        <v>1</v>
      </c>
      <c r="L67" s="2" t="n">
        <f aca="false">MAX(H67-K67,0)</f>
        <v>0</v>
      </c>
      <c r="M67" s="2" t="n">
        <f aca="false">ROUND(E67/F67,2)</f>
        <v>1961.54</v>
      </c>
      <c r="N67" s="2" t="n">
        <f aca="false">E67</f>
        <v>51000</v>
      </c>
      <c r="O67" s="2" t="n">
        <f aca="false">ROUND(M67*L67,2)</f>
        <v>0</v>
      </c>
      <c r="P67" s="2" t="n">
        <f aca="false">ROUND(M67*COUNTIFS('Leave Records'!$B$2:$B$144,A67,'Leave Records'!$F$2:$F$144,"Unpaid")+M67*0.5*J67,2)</f>
        <v>980.77</v>
      </c>
      <c r="Q67" s="2" t="n">
        <f aca="false">INDEX('Employee Master'!$M$2:$M$201,MATCH(A67,'Employee Master'!$A$2:$A$201,0))</f>
        <v>6120</v>
      </c>
      <c r="R67" s="2" t="n">
        <v>0</v>
      </c>
      <c r="S67" s="2" t="n">
        <f aca="false">N67-O67-P67-Q67-R67</f>
        <v>43899.23</v>
      </c>
    </row>
    <row r="68" customFormat="false" ht="15" hidden="false" customHeight="false" outlineLevel="0" collapsed="false">
      <c r="A68" s="2" t="s">
        <v>180</v>
      </c>
      <c r="B68" s="2" t="s">
        <v>181</v>
      </c>
      <c r="C68" s="2" t="s">
        <v>649</v>
      </c>
      <c r="D68" s="2" t="n">
        <v>2026</v>
      </c>
      <c r="E68" s="2" t="n">
        <f aca="false">INDEX('Employee Master'!$G$2:$G$201,MATCH(A68,'Employee Master'!$A$2:$A$201,0))</f>
        <v>96500</v>
      </c>
      <c r="F68" s="2" t="n">
        <v>26</v>
      </c>
      <c r="G68" s="2" t="n">
        <f aca="false">COUNTIFS('Tally Attendance'!$A$2:$A$6201,A68,'Tally Attendance'!$F$2:$F$6201,"Present")</f>
        <v>24</v>
      </c>
      <c r="H68" s="2" t="n">
        <f aca="false">COUNTIFS('Tally Attendance'!$A$2:$A$6201,A68,'Tally Attendance'!$F$2:$F$6201,"Absent")</f>
        <v>0</v>
      </c>
      <c r="I68" s="2" t="n">
        <f aca="false">COUNTIFS('Tally Attendance'!$A$2:$A$6201,A68,'Tally Attendance'!$F$2:$F$6201,"Leave")</f>
        <v>0</v>
      </c>
      <c r="J68" s="2" t="n">
        <f aca="false">COUNTIFS('Tally Attendance'!$A$2:$A$6201,A68,'Tally Attendance'!$F$2:$F$6201,"Half Day")</f>
        <v>2</v>
      </c>
      <c r="K68" s="2" t="n">
        <f aca="false">MIN(H68,2)</f>
        <v>0</v>
      </c>
      <c r="L68" s="2" t="n">
        <f aca="false">MAX(H68-K68,0)</f>
        <v>0</v>
      </c>
      <c r="M68" s="2" t="n">
        <f aca="false">ROUND(E68/F68,2)</f>
        <v>3711.54</v>
      </c>
      <c r="N68" s="2" t="n">
        <f aca="false">E68</f>
        <v>96500</v>
      </c>
      <c r="O68" s="2" t="n">
        <f aca="false">ROUND(M68*L68,2)</f>
        <v>0</v>
      </c>
      <c r="P68" s="2" t="n">
        <f aca="false">ROUND(M68*COUNTIFS('Leave Records'!$B$2:$B$144,A68,'Leave Records'!$F$2:$F$144,"Unpaid")+M68*0.5*J68,2)</f>
        <v>3711.54</v>
      </c>
      <c r="Q68" s="2" t="n">
        <f aca="false">INDEX('Employee Master'!$M$2:$M$201,MATCH(A68,'Employee Master'!$A$2:$A$201,0))</f>
        <v>11580</v>
      </c>
      <c r="R68" s="2" t="n">
        <v>0</v>
      </c>
      <c r="S68" s="2" t="n">
        <f aca="false">N68-O68-P68-Q68-R68</f>
        <v>81208.46</v>
      </c>
    </row>
    <row r="69" customFormat="false" ht="15" hidden="false" customHeight="false" outlineLevel="0" collapsed="false">
      <c r="A69" s="2" t="s">
        <v>182</v>
      </c>
      <c r="B69" s="2" t="s">
        <v>183</v>
      </c>
      <c r="C69" s="2" t="s">
        <v>649</v>
      </c>
      <c r="D69" s="2" t="n">
        <v>2026</v>
      </c>
      <c r="E69" s="2" t="n">
        <f aca="false">INDEX('Employee Master'!$G$2:$G$201,MATCH(A69,'Employee Master'!$A$2:$A$201,0))</f>
        <v>143500</v>
      </c>
      <c r="F69" s="2" t="n">
        <v>26</v>
      </c>
      <c r="G69" s="2" t="n">
        <f aca="false">COUNTIFS('Tally Attendance'!$A$2:$A$6201,A69,'Tally Attendance'!$F$2:$F$6201,"Present")</f>
        <v>25</v>
      </c>
      <c r="H69" s="2" t="n">
        <f aca="false">COUNTIFS('Tally Attendance'!$A$2:$A$6201,A69,'Tally Attendance'!$F$2:$F$6201,"Absent")</f>
        <v>1</v>
      </c>
      <c r="I69" s="2" t="n">
        <f aca="false">COUNTIFS('Tally Attendance'!$A$2:$A$6201,A69,'Tally Attendance'!$F$2:$F$6201,"Leave")</f>
        <v>0</v>
      </c>
      <c r="J69" s="2" t="n">
        <f aca="false">COUNTIFS('Tally Attendance'!$A$2:$A$6201,A69,'Tally Attendance'!$F$2:$F$6201,"Half Day")</f>
        <v>0</v>
      </c>
      <c r="K69" s="2" t="n">
        <f aca="false">MIN(H69,2)</f>
        <v>1</v>
      </c>
      <c r="L69" s="2" t="n">
        <f aca="false">MAX(H69-K69,0)</f>
        <v>0</v>
      </c>
      <c r="M69" s="2" t="n">
        <f aca="false">ROUND(E69/F69,2)</f>
        <v>5519.23</v>
      </c>
      <c r="N69" s="2" t="n">
        <f aca="false">E69</f>
        <v>143500</v>
      </c>
      <c r="O69" s="2" t="n">
        <f aca="false">ROUND(M69*L69,2)</f>
        <v>0</v>
      </c>
      <c r="P69" s="2" t="n">
        <f aca="false">ROUND(M69*COUNTIFS('Leave Records'!$B$2:$B$144,A69,'Leave Records'!$F$2:$F$144,"Unpaid")+M69*0.5*J69,2)</f>
        <v>0</v>
      </c>
      <c r="Q69" s="2" t="n">
        <f aca="false">INDEX('Employee Master'!$M$2:$M$201,MATCH(A69,'Employee Master'!$A$2:$A$201,0))</f>
        <v>17220</v>
      </c>
      <c r="R69" s="2" t="n">
        <v>0</v>
      </c>
      <c r="S69" s="2" t="n">
        <f aca="false">N69-O69-P69-Q69-R69</f>
        <v>126280</v>
      </c>
    </row>
    <row r="70" customFormat="false" ht="15" hidden="false" customHeight="false" outlineLevel="0" collapsed="false">
      <c r="A70" s="2" t="s">
        <v>184</v>
      </c>
      <c r="B70" s="2" t="s">
        <v>185</v>
      </c>
      <c r="C70" s="2" t="s">
        <v>649</v>
      </c>
      <c r="D70" s="2" t="n">
        <v>2026</v>
      </c>
      <c r="E70" s="2" t="n">
        <f aca="false">INDEX('Employee Master'!$G$2:$G$201,MATCH(A70,'Employee Master'!$A$2:$A$201,0))</f>
        <v>30500</v>
      </c>
      <c r="F70" s="2" t="n">
        <v>26</v>
      </c>
      <c r="G70" s="2" t="n">
        <f aca="false">COUNTIFS('Tally Attendance'!$A$2:$A$6201,A70,'Tally Attendance'!$F$2:$F$6201,"Present")</f>
        <v>23</v>
      </c>
      <c r="H70" s="2" t="n">
        <f aca="false">COUNTIFS('Tally Attendance'!$A$2:$A$6201,A70,'Tally Attendance'!$F$2:$F$6201,"Absent")</f>
        <v>2</v>
      </c>
      <c r="I70" s="2" t="n">
        <f aca="false">COUNTIFS('Tally Attendance'!$A$2:$A$6201,A70,'Tally Attendance'!$F$2:$F$6201,"Leave")</f>
        <v>1</v>
      </c>
      <c r="J70" s="2" t="n">
        <f aca="false">COUNTIFS('Tally Attendance'!$A$2:$A$6201,A70,'Tally Attendance'!$F$2:$F$6201,"Half Day")</f>
        <v>0</v>
      </c>
      <c r="K70" s="2" t="n">
        <f aca="false">MIN(H70,2)</f>
        <v>2</v>
      </c>
      <c r="L70" s="2" t="n">
        <f aca="false">MAX(H70-K70,0)</f>
        <v>0</v>
      </c>
      <c r="M70" s="2" t="n">
        <f aca="false">ROUND(E70/F70,2)</f>
        <v>1173.08</v>
      </c>
      <c r="N70" s="2" t="n">
        <f aca="false">E70</f>
        <v>30500</v>
      </c>
      <c r="O70" s="2" t="n">
        <f aca="false">ROUND(M70*L70,2)</f>
        <v>0</v>
      </c>
      <c r="P70" s="2" t="n">
        <f aca="false">ROUND(M70*COUNTIFS('Leave Records'!$B$2:$B$144,A70,'Leave Records'!$F$2:$F$144,"Unpaid")+M70*0.5*J70,2)</f>
        <v>0</v>
      </c>
      <c r="Q70" s="2" t="n">
        <f aca="false">INDEX('Employee Master'!$M$2:$M$201,MATCH(A70,'Employee Master'!$A$2:$A$201,0))</f>
        <v>3660</v>
      </c>
      <c r="R70" s="2" t="n">
        <v>0</v>
      </c>
      <c r="S70" s="2" t="n">
        <f aca="false">N70-O70-P70-Q70-R70</f>
        <v>26840</v>
      </c>
    </row>
    <row r="71" customFormat="false" ht="15" hidden="false" customHeight="false" outlineLevel="0" collapsed="false">
      <c r="A71" s="2" t="s">
        <v>186</v>
      </c>
      <c r="B71" s="2" t="s">
        <v>187</v>
      </c>
      <c r="C71" s="2" t="s">
        <v>649</v>
      </c>
      <c r="D71" s="2" t="n">
        <v>2026</v>
      </c>
      <c r="E71" s="2" t="n">
        <f aca="false">INDEX('Employee Master'!$G$2:$G$201,MATCH(A71,'Employee Master'!$A$2:$A$201,0))</f>
        <v>51000</v>
      </c>
      <c r="F71" s="2" t="n">
        <v>26</v>
      </c>
      <c r="G71" s="2" t="n">
        <f aca="false">COUNTIFS('Tally Attendance'!$A$2:$A$6201,A71,'Tally Attendance'!$F$2:$F$6201,"Present")</f>
        <v>20</v>
      </c>
      <c r="H71" s="2" t="n">
        <f aca="false">COUNTIFS('Tally Attendance'!$A$2:$A$6201,A71,'Tally Attendance'!$F$2:$F$6201,"Absent")</f>
        <v>4</v>
      </c>
      <c r="I71" s="2" t="n">
        <f aca="false">COUNTIFS('Tally Attendance'!$A$2:$A$6201,A71,'Tally Attendance'!$F$2:$F$6201,"Leave")</f>
        <v>1</v>
      </c>
      <c r="J71" s="2" t="n">
        <f aca="false">COUNTIFS('Tally Attendance'!$A$2:$A$6201,A71,'Tally Attendance'!$F$2:$F$6201,"Half Day")</f>
        <v>1</v>
      </c>
      <c r="K71" s="2" t="n">
        <f aca="false">MIN(H71,2)</f>
        <v>2</v>
      </c>
      <c r="L71" s="2" t="n">
        <f aca="false">MAX(H71-K71,0)</f>
        <v>2</v>
      </c>
      <c r="M71" s="2" t="n">
        <f aca="false">ROUND(E71/F71,2)</f>
        <v>1961.54</v>
      </c>
      <c r="N71" s="2" t="n">
        <f aca="false">E71</f>
        <v>51000</v>
      </c>
      <c r="O71" s="2" t="n">
        <f aca="false">ROUND(M71*L71,2)</f>
        <v>3923.08</v>
      </c>
      <c r="P71" s="2" t="n">
        <f aca="false">ROUND(M71*COUNTIFS('Leave Records'!$B$2:$B$144,A71,'Leave Records'!$F$2:$F$144,"Unpaid")+M71*0.5*J71,2)</f>
        <v>2942.31</v>
      </c>
      <c r="Q71" s="2" t="n">
        <f aca="false">INDEX('Employee Master'!$M$2:$M$201,MATCH(A71,'Employee Master'!$A$2:$A$201,0))</f>
        <v>6120</v>
      </c>
      <c r="R71" s="2" t="n">
        <v>0</v>
      </c>
      <c r="S71" s="2" t="n">
        <f aca="false">N71-O71-P71-Q71-R71</f>
        <v>38014.61</v>
      </c>
    </row>
    <row r="72" customFormat="false" ht="15" hidden="false" customHeight="false" outlineLevel="0" collapsed="false">
      <c r="A72" s="2" t="s">
        <v>188</v>
      </c>
      <c r="B72" s="2" t="s">
        <v>189</v>
      </c>
      <c r="C72" s="2" t="s">
        <v>649</v>
      </c>
      <c r="D72" s="2" t="n">
        <v>2026</v>
      </c>
      <c r="E72" s="2" t="n">
        <f aca="false">INDEX('Employee Master'!$G$2:$G$201,MATCH(A72,'Employee Master'!$A$2:$A$201,0))</f>
        <v>50000</v>
      </c>
      <c r="F72" s="2" t="n">
        <v>26</v>
      </c>
      <c r="G72" s="2" t="n">
        <f aca="false">COUNTIFS('Tally Attendance'!$A$2:$A$6201,A72,'Tally Attendance'!$F$2:$F$6201,"Present")</f>
        <v>21</v>
      </c>
      <c r="H72" s="2" t="n">
        <f aca="false">COUNTIFS('Tally Attendance'!$A$2:$A$6201,A72,'Tally Attendance'!$F$2:$F$6201,"Absent")</f>
        <v>2</v>
      </c>
      <c r="I72" s="2" t="n">
        <f aca="false">COUNTIFS('Tally Attendance'!$A$2:$A$6201,A72,'Tally Attendance'!$F$2:$F$6201,"Leave")</f>
        <v>1</v>
      </c>
      <c r="J72" s="2" t="n">
        <f aca="false">COUNTIFS('Tally Attendance'!$A$2:$A$6201,A72,'Tally Attendance'!$F$2:$F$6201,"Half Day")</f>
        <v>2</v>
      </c>
      <c r="K72" s="2" t="n">
        <f aca="false">MIN(H72,2)</f>
        <v>2</v>
      </c>
      <c r="L72" s="2" t="n">
        <f aca="false">MAX(H72-K72,0)</f>
        <v>0</v>
      </c>
      <c r="M72" s="2" t="n">
        <f aca="false">ROUND(E72/F72,2)</f>
        <v>1923.08</v>
      </c>
      <c r="N72" s="2" t="n">
        <f aca="false">E72</f>
        <v>50000</v>
      </c>
      <c r="O72" s="2" t="n">
        <f aca="false">ROUND(M72*L72,2)</f>
        <v>0</v>
      </c>
      <c r="P72" s="2" t="n">
        <f aca="false">ROUND(M72*COUNTIFS('Leave Records'!$B$2:$B$144,A72,'Leave Records'!$F$2:$F$144,"Unpaid")+M72*0.5*J72,2)</f>
        <v>1923.08</v>
      </c>
      <c r="Q72" s="2" t="n">
        <f aca="false">INDEX('Employee Master'!$M$2:$M$201,MATCH(A72,'Employee Master'!$A$2:$A$201,0))</f>
        <v>6000</v>
      </c>
      <c r="R72" s="2" t="n">
        <v>0</v>
      </c>
      <c r="S72" s="2" t="n">
        <f aca="false">N72-O72-P72-Q72-R72</f>
        <v>42076.92</v>
      </c>
    </row>
    <row r="73" customFormat="false" ht="15" hidden="false" customHeight="false" outlineLevel="0" collapsed="false">
      <c r="A73" s="2" t="s">
        <v>191</v>
      </c>
      <c r="B73" s="2" t="s">
        <v>192</v>
      </c>
      <c r="C73" s="2" t="s">
        <v>649</v>
      </c>
      <c r="D73" s="2" t="n">
        <v>2026</v>
      </c>
      <c r="E73" s="2" t="n">
        <f aca="false">INDEX('Employee Master'!$G$2:$G$201,MATCH(A73,'Employee Master'!$A$2:$A$201,0))</f>
        <v>46000</v>
      </c>
      <c r="F73" s="2" t="n">
        <v>26</v>
      </c>
      <c r="G73" s="2" t="n">
        <f aca="false">COUNTIFS('Tally Attendance'!$A$2:$A$6201,A73,'Tally Attendance'!$F$2:$F$6201,"Present")</f>
        <v>16</v>
      </c>
      <c r="H73" s="2" t="n">
        <f aca="false">COUNTIFS('Tally Attendance'!$A$2:$A$6201,A73,'Tally Attendance'!$F$2:$F$6201,"Absent")</f>
        <v>9</v>
      </c>
      <c r="I73" s="2" t="n">
        <f aca="false">COUNTIFS('Tally Attendance'!$A$2:$A$6201,A73,'Tally Attendance'!$F$2:$F$6201,"Leave")</f>
        <v>1</v>
      </c>
      <c r="J73" s="2" t="n">
        <f aca="false">COUNTIFS('Tally Attendance'!$A$2:$A$6201,A73,'Tally Attendance'!$F$2:$F$6201,"Half Day")</f>
        <v>0</v>
      </c>
      <c r="K73" s="2" t="n">
        <f aca="false">MIN(H73,2)</f>
        <v>2</v>
      </c>
      <c r="L73" s="2" t="n">
        <f aca="false">MAX(H73-K73,0)</f>
        <v>7</v>
      </c>
      <c r="M73" s="2" t="n">
        <f aca="false">ROUND(E73/F73,2)</f>
        <v>1769.23</v>
      </c>
      <c r="N73" s="2" t="n">
        <f aca="false">E73</f>
        <v>46000</v>
      </c>
      <c r="O73" s="2" t="n">
        <f aca="false">ROUND(M73*L73,2)</f>
        <v>12384.61</v>
      </c>
      <c r="P73" s="2" t="n">
        <f aca="false">ROUND(M73*COUNTIFS('Leave Records'!$B$2:$B$144,A73,'Leave Records'!$F$2:$F$144,"Unpaid")+M73*0.5*J73,2)</f>
        <v>0</v>
      </c>
      <c r="Q73" s="2" t="n">
        <f aca="false">INDEX('Employee Master'!$M$2:$M$201,MATCH(A73,'Employee Master'!$A$2:$A$201,0))</f>
        <v>5520</v>
      </c>
      <c r="R73" s="2" t="n">
        <v>0</v>
      </c>
      <c r="S73" s="2" t="n">
        <f aca="false">N73-O73-P73-Q73-R73</f>
        <v>28095.39</v>
      </c>
    </row>
    <row r="74" customFormat="false" ht="15" hidden="false" customHeight="false" outlineLevel="0" collapsed="false">
      <c r="A74" s="2" t="s">
        <v>193</v>
      </c>
      <c r="B74" s="2" t="s">
        <v>194</v>
      </c>
      <c r="C74" s="2" t="s">
        <v>649</v>
      </c>
      <c r="D74" s="2" t="n">
        <v>2026</v>
      </c>
      <c r="E74" s="2" t="n">
        <f aca="false">INDEX('Employee Master'!$G$2:$G$201,MATCH(A74,'Employee Master'!$A$2:$A$201,0))</f>
        <v>91500</v>
      </c>
      <c r="F74" s="2" t="n">
        <v>26</v>
      </c>
      <c r="G74" s="2" t="n">
        <f aca="false">COUNTIFS('Tally Attendance'!$A$2:$A$6201,A74,'Tally Attendance'!$F$2:$F$6201,"Present")</f>
        <v>26</v>
      </c>
      <c r="H74" s="2" t="n">
        <f aca="false">COUNTIFS('Tally Attendance'!$A$2:$A$6201,A74,'Tally Attendance'!$F$2:$F$6201,"Absent")</f>
        <v>0</v>
      </c>
      <c r="I74" s="2" t="n">
        <f aca="false">COUNTIFS('Tally Attendance'!$A$2:$A$6201,A74,'Tally Attendance'!$F$2:$F$6201,"Leave")</f>
        <v>0</v>
      </c>
      <c r="J74" s="2" t="n">
        <f aca="false">COUNTIFS('Tally Attendance'!$A$2:$A$6201,A74,'Tally Attendance'!$F$2:$F$6201,"Half Day")</f>
        <v>0</v>
      </c>
      <c r="K74" s="2" t="n">
        <f aca="false">MIN(H74,2)</f>
        <v>0</v>
      </c>
      <c r="L74" s="2" t="n">
        <f aca="false">MAX(H74-K74,0)</f>
        <v>0</v>
      </c>
      <c r="M74" s="2" t="n">
        <f aca="false">ROUND(E74/F74,2)</f>
        <v>3519.23</v>
      </c>
      <c r="N74" s="2" t="n">
        <f aca="false">E74</f>
        <v>91500</v>
      </c>
      <c r="O74" s="2" t="n">
        <f aca="false">ROUND(M74*L74,2)</f>
        <v>0</v>
      </c>
      <c r="P74" s="2" t="n">
        <f aca="false">ROUND(M74*COUNTIFS('Leave Records'!$B$2:$B$144,A74,'Leave Records'!$F$2:$F$144,"Unpaid")+M74*0.5*J74,2)</f>
        <v>0</v>
      </c>
      <c r="Q74" s="2" t="n">
        <f aca="false">INDEX('Employee Master'!$M$2:$M$201,MATCH(A74,'Employee Master'!$A$2:$A$201,0))</f>
        <v>10980</v>
      </c>
      <c r="R74" s="2" t="n">
        <v>0</v>
      </c>
      <c r="S74" s="2" t="n">
        <f aca="false">N74-O74-P74-Q74-R74</f>
        <v>80520</v>
      </c>
    </row>
    <row r="75" customFormat="false" ht="15" hidden="false" customHeight="false" outlineLevel="0" collapsed="false">
      <c r="A75" s="2" t="s">
        <v>195</v>
      </c>
      <c r="B75" s="2" t="s">
        <v>196</v>
      </c>
      <c r="C75" s="2" t="s">
        <v>649</v>
      </c>
      <c r="D75" s="2" t="n">
        <v>2026</v>
      </c>
      <c r="E75" s="2" t="n">
        <f aca="false">INDEX('Employee Master'!$G$2:$G$201,MATCH(A75,'Employee Master'!$A$2:$A$201,0))</f>
        <v>45500</v>
      </c>
      <c r="F75" s="2" t="n">
        <v>26</v>
      </c>
      <c r="G75" s="2" t="n">
        <f aca="false">COUNTIFS('Tally Attendance'!$A$2:$A$6201,A75,'Tally Attendance'!$F$2:$F$6201,"Present")</f>
        <v>20</v>
      </c>
      <c r="H75" s="2" t="n">
        <f aca="false">COUNTIFS('Tally Attendance'!$A$2:$A$6201,A75,'Tally Attendance'!$F$2:$F$6201,"Absent")</f>
        <v>5</v>
      </c>
      <c r="I75" s="2" t="n">
        <f aca="false">COUNTIFS('Tally Attendance'!$A$2:$A$6201,A75,'Tally Attendance'!$F$2:$F$6201,"Leave")</f>
        <v>1</v>
      </c>
      <c r="J75" s="2" t="n">
        <f aca="false">COUNTIFS('Tally Attendance'!$A$2:$A$6201,A75,'Tally Attendance'!$F$2:$F$6201,"Half Day")</f>
        <v>0</v>
      </c>
      <c r="K75" s="2" t="n">
        <f aca="false">MIN(H75,2)</f>
        <v>2</v>
      </c>
      <c r="L75" s="2" t="n">
        <f aca="false">MAX(H75-K75,0)</f>
        <v>3</v>
      </c>
      <c r="M75" s="2" t="n">
        <f aca="false">ROUND(E75/F75,2)</f>
        <v>1750</v>
      </c>
      <c r="N75" s="2" t="n">
        <f aca="false">E75</f>
        <v>45500</v>
      </c>
      <c r="O75" s="2" t="n">
        <f aca="false">ROUND(M75*L75,2)</f>
        <v>5250</v>
      </c>
      <c r="P75" s="2" t="n">
        <f aca="false">ROUND(M75*COUNTIFS('Leave Records'!$B$2:$B$144,A75,'Leave Records'!$F$2:$F$144,"Unpaid")+M75*0.5*J75,2)</f>
        <v>1750</v>
      </c>
      <c r="Q75" s="2" t="n">
        <f aca="false">INDEX('Employee Master'!$M$2:$M$201,MATCH(A75,'Employee Master'!$A$2:$A$201,0))</f>
        <v>5460</v>
      </c>
      <c r="R75" s="2" t="n">
        <v>0</v>
      </c>
      <c r="S75" s="2" t="n">
        <f aca="false">N75-O75-P75-Q75-R75</f>
        <v>33040</v>
      </c>
    </row>
    <row r="76" customFormat="false" ht="15" hidden="false" customHeight="false" outlineLevel="0" collapsed="false">
      <c r="A76" s="2" t="s">
        <v>197</v>
      </c>
      <c r="B76" s="2" t="s">
        <v>198</v>
      </c>
      <c r="C76" s="2" t="s">
        <v>649</v>
      </c>
      <c r="D76" s="2" t="n">
        <v>2026</v>
      </c>
      <c r="E76" s="2" t="n">
        <f aca="false">INDEX('Employee Master'!$G$2:$G$201,MATCH(A76,'Employee Master'!$A$2:$A$201,0))</f>
        <v>87500</v>
      </c>
      <c r="F76" s="2" t="n">
        <v>26</v>
      </c>
      <c r="G76" s="2" t="n">
        <f aca="false">COUNTIFS('Tally Attendance'!$A$2:$A$6201,A76,'Tally Attendance'!$F$2:$F$6201,"Present")</f>
        <v>25</v>
      </c>
      <c r="H76" s="2" t="n">
        <f aca="false">COUNTIFS('Tally Attendance'!$A$2:$A$6201,A76,'Tally Attendance'!$F$2:$F$6201,"Absent")</f>
        <v>1</v>
      </c>
      <c r="I76" s="2" t="n">
        <f aca="false">COUNTIFS('Tally Attendance'!$A$2:$A$6201,A76,'Tally Attendance'!$F$2:$F$6201,"Leave")</f>
        <v>0</v>
      </c>
      <c r="J76" s="2" t="n">
        <f aca="false">COUNTIFS('Tally Attendance'!$A$2:$A$6201,A76,'Tally Attendance'!$F$2:$F$6201,"Half Day")</f>
        <v>0</v>
      </c>
      <c r="K76" s="2" t="n">
        <f aca="false">MIN(H76,2)</f>
        <v>1</v>
      </c>
      <c r="L76" s="2" t="n">
        <f aca="false">MAX(H76-K76,0)</f>
        <v>0</v>
      </c>
      <c r="M76" s="2" t="n">
        <f aca="false">ROUND(E76/F76,2)</f>
        <v>3365.38</v>
      </c>
      <c r="N76" s="2" t="n">
        <f aca="false">E76</f>
        <v>87500</v>
      </c>
      <c r="O76" s="2" t="n">
        <f aca="false">ROUND(M76*L76,2)</f>
        <v>0</v>
      </c>
      <c r="P76" s="2" t="n">
        <f aca="false">ROUND(M76*COUNTIFS('Leave Records'!$B$2:$B$144,A76,'Leave Records'!$F$2:$F$144,"Unpaid")+M76*0.5*J76,2)</f>
        <v>0</v>
      </c>
      <c r="Q76" s="2" t="n">
        <f aca="false">INDEX('Employee Master'!$M$2:$M$201,MATCH(A76,'Employee Master'!$A$2:$A$201,0))</f>
        <v>10500</v>
      </c>
      <c r="R76" s="2" t="n">
        <v>0</v>
      </c>
      <c r="S76" s="2" t="n">
        <f aca="false">N76-O76-P76-Q76-R76</f>
        <v>77000</v>
      </c>
    </row>
    <row r="77" customFormat="false" ht="15" hidden="false" customHeight="false" outlineLevel="0" collapsed="false">
      <c r="A77" s="2" t="s">
        <v>199</v>
      </c>
      <c r="B77" s="2" t="s">
        <v>200</v>
      </c>
      <c r="C77" s="2" t="s">
        <v>649</v>
      </c>
      <c r="D77" s="2" t="n">
        <v>2026</v>
      </c>
      <c r="E77" s="2" t="n">
        <f aca="false">INDEX('Employee Master'!$G$2:$G$201,MATCH(A77,'Employee Master'!$A$2:$A$201,0))</f>
        <v>27500</v>
      </c>
      <c r="F77" s="2" t="n">
        <v>26</v>
      </c>
      <c r="G77" s="2" t="n">
        <f aca="false">COUNTIFS('Tally Attendance'!$A$2:$A$6201,A77,'Tally Attendance'!$F$2:$F$6201,"Present")</f>
        <v>21</v>
      </c>
      <c r="H77" s="2" t="n">
        <f aca="false">COUNTIFS('Tally Attendance'!$A$2:$A$6201,A77,'Tally Attendance'!$F$2:$F$6201,"Absent")</f>
        <v>2</v>
      </c>
      <c r="I77" s="2" t="n">
        <f aca="false">COUNTIFS('Tally Attendance'!$A$2:$A$6201,A77,'Tally Attendance'!$F$2:$F$6201,"Leave")</f>
        <v>1</v>
      </c>
      <c r="J77" s="2" t="n">
        <f aca="false">COUNTIFS('Tally Attendance'!$A$2:$A$6201,A77,'Tally Attendance'!$F$2:$F$6201,"Half Day")</f>
        <v>2</v>
      </c>
      <c r="K77" s="2" t="n">
        <f aca="false">MIN(H77,2)</f>
        <v>2</v>
      </c>
      <c r="L77" s="2" t="n">
        <f aca="false">MAX(H77-K77,0)</f>
        <v>0</v>
      </c>
      <c r="M77" s="2" t="n">
        <f aca="false">ROUND(E77/F77,2)</f>
        <v>1057.69</v>
      </c>
      <c r="N77" s="2" t="n">
        <f aca="false">E77</f>
        <v>27500</v>
      </c>
      <c r="O77" s="2" t="n">
        <f aca="false">ROUND(M77*L77,2)</f>
        <v>0</v>
      </c>
      <c r="P77" s="2" t="n">
        <f aca="false">ROUND(M77*COUNTIFS('Leave Records'!$B$2:$B$144,A77,'Leave Records'!$F$2:$F$144,"Unpaid")+M77*0.5*J77,2)</f>
        <v>1057.69</v>
      </c>
      <c r="Q77" s="2" t="n">
        <f aca="false">INDEX('Employee Master'!$M$2:$M$201,MATCH(A77,'Employee Master'!$A$2:$A$201,0))</f>
        <v>3300</v>
      </c>
      <c r="R77" s="2" t="n">
        <v>0</v>
      </c>
      <c r="S77" s="2" t="n">
        <f aca="false">N77-O77-P77-Q77-R77</f>
        <v>23142.31</v>
      </c>
    </row>
    <row r="78" customFormat="false" ht="15" hidden="false" customHeight="false" outlineLevel="0" collapsed="false">
      <c r="A78" s="2" t="s">
        <v>201</v>
      </c>
      <c r="B78" s="2" t="s">
        <v>202</v>
      </c>
      <c r="C78" s="2" t="s">
        <v>649</v>
      </c>
      <c r="D78" s="2" t="n">
        <v>2026</v>
      </c>
      <c r="E78" s="2" t="n">
        <f aca="false">INDEX('Employee Master'!$G$2:$G$201,MATCH(A78,'Employee Master'!$A$2:$A$201,0))</f>
        <v>86000</v>
      </c>
      <c r="F78" s="2" t="n">
        <v>26</v>
      </c>
      <c r="G78" s="2" t="n">
        <f aca="false">COUNTIFS('Tally Attendance'!$A$2:$A$6201,A78,'Tally Attendance'!$F$2:$F$6201,"Present")</f>
        <v>26</v>
      </c>
      <c r="H78" s="2" t="n">
        <f aca="false">COUNTIFS('Tally Attendance'!$A$2:$A$6201,A78,'Tally Attendance'!$F$2:$F$6201,"Absent")</f>
        <v>0</v>
      </c>
      <c r="I78" s="2" t="n">
        <f aca="false">COUNTIFS('Tally Attendance'!$A$2:$A$6201,A78,'Tally Attendance'!$F$2:$F$6201,"Leave")</f>
        <v>0</v>
      </c>
      <c r="J78" s="2" t="n">
        <f aca="false">COUNTIFS('Tally Attendance'!$A$2:$A$6201,A78,'Tally Attendance'!$F$2:$F$6201,"Half Day")</f>
        <v>0</v>
      </c>
      <c r="K78" s="2" t="n">
        <f aca="false">MIN(H78,2)</f>
        <v>0</v>
      </c>
      <c r="L78" s="2" t="n">
        <f aca="false">MAX(H78-K78,0)</f>
        <v>0</v>
      </c>
      <c r="M78" s="2" t="n">
        <f aca="false">ROUND(E78/F78,2)</f>
        <v>3307.69</v>
      </c>
      <c r="N78" s="2" t="n">
        <f aca="false">E78</f>
        <v>86000</v>
      </c>
      <c r="O78" s="2" t="n">
        <f aca="false">ROUND(M78*L78,2)</f>
        <v>0</v>
      </c>
      <c r="P78" s="2" t="n">
        <f aca="false">ROUND(M78*COUNTIFS('Leave Records'!$B$2:$B$144,A78,'Leave Records'!$F$2:$F$144,"Unpaid")+M78*0.5*J78,2)</f>
        <v>0</v>
      </c>
      <c r="Q78" s="2" t="n">
        <f aca="false">INDEX('Employee Master'!$M$2:$M$201,MATCH(A78,'Employee Master'!$A$2:$A$201,0))</f>
        <v>10320</v>
      </c>
      <c r="R78" s="2" t="n">
        <v>0</v>
      </c>
      <c r="S78" s="2" t="n">
        <f aca="false">N78-O78-P78-Q78-R78</f>
        <v>75680</v>
      </c>
    </row>
    <row r="79" customFormat="false" ht="15" hidden="false" customHeight="false" outlineLevel="0" collapsed="false">
      <c r="A79" s="2" t="s">
        <v>203</v>
      </c>
      <c r="B79" s="2" t="s">
        <v>204</v>
      </c>
      <c r="C79" s="2" t="s">
        <v>649</v>
      </c>
      <c r="D79" s="2" t="n">
        <v>2026</v>
      </c>
      <c r="E79" s="2" t="n">
        <f aca="false">INDEX('Employee Master'!$G$2:$G$201,MATCH(A79,'Employee Master'!$A$2:$A$201,0))</f>
        <v>126000</v>
      </c>
      <c r="F79" s="2" t="n">
        <v>26</v>
      </c>
      <c r="G79" s="2" t="n">
        <f aca="false">COUNTIFS('Tally Attendance'!$A$2:$A$6201,A79,'Tally Attendance'!$F$2:$F$6201,"Present")</f>
        <v>21</v>
      </c>
      <c r="H79" s="2" t="n">
        <f aca="false">COUNTIFS('Tally Attendance'!$A$2:$A$6201,A79,'Tally Attendance'!$F$2:$F$6201,"Absent")</f>
        <v>2</v>
      </c>
      <c r="I79" s="2" t="n">
        <f aca="false">COUNTIFS('Tally Attendance'!$A$2:$A$6201,A79,'Tally Attendance'!$F$2:$F$6201,"Leave")</f>
        <v>2</v>
      </c>
      <c r="J79" s="2" t="n">
        <f aca="false">COUNTIFS('Tally Attendance'!$A$2:$A$6201,A79,'Tally Attendance'!$F$2:$F$6201,"Half Day")</f>
        <v>1</v>
      </c>
      <c r="K79" s="2" t="n">
        <f aca="false">MIN(H79,2)</f>
        <v>2</v>
      </c>
      <c r="L79" s="2" t="n">
        <f aca="false">MAX(H79-K79,0)</f>
        <v>0</v>
      </c>
      <c r="M79" s="2" t="n">
        <f aca="false">ROUND(E79/F79,2)</f>
        <v>4846.15</v>
      </c>
      <c r="N79" s="2" t="n">
        <f aca="false">E79</f>
        <v>126000</v>
      </c>
      <c r="O79" s="2" t="n">
        <f aca="false">ROUND(M79*L79,2)</f>
        <v>0</v>
      </c>
      <c r="P79" s="2" t="n">
        <f aca="false">ROUND(M79*COUNTIFS('Leave Records'!$B$2:$B$144,A79,'Leave Records'!$F$2:$F$144,"Unpaid")+M79*0.5*J79,2)</f>
        <v>2423.08</v>
      </c>
      <c r="Q79" s="2" t="n">
        <f aca="false">INDEX('Employee Master'!$M$2:$M$201,MATCH(A79,'Employee Master'!$A$2:$A$201,0))</f>
        <v>15120</v>
      </c>
      <c r="R79" s="2" t="n">
        <v>0</v>
      </c>
      <c r="S79" s="2" t="n">
        <f aca="false">N79-O79-P79-Q79-R79</f>
        <v>108456.92</v>
      </c>
    </row>
    <row r="80" customFormat="false" ht="15" hidden="false" customHeight="false" outlineLevel="0" collapsed="false">
      <c r="A80" s="2" t="s">
        <v>205</v>
      </c>
      <c r="B80" s="2" t="s">
        <v>206</v>
      </c>
      <c r="C80" s="2" t="s">
        <v>649</v>
      </c>
      <c r="D80" s="2" t="n">
        <v>2026</v>
      </c>
      <c r="E80" s="2" t="n">
        <f aca="false">INDEX('Employee Master'!$G$2:$G$201,MATCH(A80,'Employee Master'!$A$2:$A$201,0))</f>
        <v>22000</v>
      </c>
      <c r="F80" s="2" t="n">
        <v>26</v>
      </c>
      <c r="G80" s="2" t="n">
        <f aca="false">COUNTIFS('Tally Attendance'!$A$2:$A$6201,A80,'Tally Attendance'!$F$2:$F$6201,"Present")</f>
        <v>16</v>
      </c>
      <c r="H80" s="2" t="n">
        <f aca="false">COUNTIFS('Tally Attendance'!$A$2:$A$6201,A80,'Tally Attendance'!$F$2:$F$6201,"Absent")</f>
        <v>8</v>
      </c>
      <c r="I80" s="2" t="n">
        <f aca="false">COUNTIFS('Tally Attendance'!$A$2:$A$6201,A80,'Tally Attendance'!$F$2:$F$6201,"Leave")</f>
        <v>2</v>
      </c>
      <c r="J80" s="2" t="n">
        <f aca="false">COUNTIFS('Tally Attendance'!$A$2:$A$6201,A80,'Tally Attendance'!$F$2:$F$6201,"Half Day")</f>
        <v>0</v>
      </c>
      <c r="K80" s="2" t="n">
        <f aca="false">MIN(H80,2)</f>
        <v>2</v>
      </c>
      <c r="L80" s="2" t="n">
        <f aca="false">MAX(H80-K80,0)</f>
        <v>6</v>
      </c>
      <c r="M80" s="2" t="n">
        <f aca="false">ROUND(E80/F80,2)</f>
        <v>846.15</v>
      </c>
      <c r="N80" s="2" t="n">
        <f aca="false">E80</f>
        <v>22000</v>
      </c>
      <c r="O80" s="2" t="n">
        <f aca="false">ROUND(M80*L80,2)</f>
        <v>5076.9</v>
      </c>
      <c r="P80" s="2" t="n">
        <f aca="false">ROUND(M80*COUNTIFS('Leave Records'!$B$2:$B$144,A80,'Leave Records'!$F$2:$F$144,"Unpaid")+M80*0.5*J80,2)</f>
        <v>846.15</v>
      </c>
      <c r="Q80" s="2" t="n">
        <f aca="false">INDEX('Employee Master'!$M$2:$M$201,MATCH(A80,'Employee Master'!$A$2:$A$201,0))</f>
        <v>2640</v>
      </c>
      <c r="R80" s="2" t="n">
        <v>0</v>
      </c>
      <c r="S80" s="2" t="n">
        <f aca="false">N80-O80-P80-Q80-R80</f>
        <v>13436.95</v>
      </c>
    </row>
    <row r="81" customFormat="false" ht="15" hidden="false" customHeight="false" outlineLevel="0" collapsed="false">
      <c r="A81" s="2" t="s">
        <v>207</v>
      </c>
      <c r="B81" s="2" t="s">
        <v>208</v>
      </c>
      <c r="C81" s="2" t="s">
        <v>649</v>
      </c>
      <c r="D81" s="2" t="n">
        <v>2026</v>
      </c>
      <c r="E81" s="2" t="n">
        <f aca="false">INDEX('Employee Master'!$G$2:$G$201,MATCH(A81,'Employee Master'!$A$2:$A$201,0))</f>
        <v>21000</v>
      </c>
      <c r="F81" s="2" t="n">
        <v>26</v>
      </c>
      <c r="G81" s="2" t="n">
        <f aca="false">COUNTIFS('Tally Attendance'!$A$2:$A$6201,A81,'Tally Attendance'!$F$2:$F$6201,"Present")</f>
        <v>26</v>
      </c>
      <c r="H81" s="2" t="n">
        <f aca="false">COUNTIFS('Tally Attendance'!$A$2:$A$6201,A81,'Tally Attendance'!$F$2:$F$6201,"Absent")</f>
        <v>0</v>
      </c>
      <c r="I81" s="2" t="n">
        <f aca="false">COUNTIFS('Tally Attendance'!$A$2:$A$6201,A81,'Tally Attendance'!$F$2:$F$6201,"Leave")</f>
        <v>0</v>
      </c>
      <c r="J81" s="2" t="n">
        <f aca="false">COUNTIFS('Tally Attendance'!$A$2:$A$6201,A81,'Tally Attendance'!$F$2:$F$6201,"Half Day")</f>
        <v>0</v>
      </c>
      <c r="K81" s="2" t="n">
        <f aca="false">MIN(H81,2)</f>
        <v>0</v>
      </c>
      <c r="L81" s="2" t="n">
        <f aca="false">MAX(H81-K81,0)</f>
        <v>0</v>
      </c>
      <c r="M81" s="2" t="n">
        <f aca="false">ROUND(E81/F81,2)</f>
        <v>807.69</v>
      </c>
      <c r="N81" s="2" t="n">
        <f aca="false">E81</f>
        <v>21000</v>
      </c>
      <c r="O81" s="2" t="n">
        <f aca="false">ROUND(M81*L81,2)</f>
        <v>0</v>
      </c>
      <c r="P81" s="2" t="n">
        <f aca="false">ROUND(M81*COUNTIFS('Leave Records'!$B$2:$B$144,A81,'Leave Records'!$F$2:$F$144,"Unpaid")+M81*0.5*J81,2)</f>
        <v>0</v>
      </c>
      <c r="Q81" s="2" t="n">
        <f aca="false">INDEX('Employee Master'!$M$2:$M$201,MATCH(A81,'Employee Master'!$A$2:$A$201,0))</f>
        <v>2520</v>
      </c>
      <c r="R81" s="2" t="n">
        <v>0</v>
      </c>
      <c r="S81" s="2" t="n">
        <f aca="false">N81-O81-P81-Q81-R81</f>
        <v>18480</v>
      </c>
    </row>
    <row r="82" customFormat="false" ht="15" hidden="false" customHeight="false" outlineLevel="0" collapsed="false">
      <c r="A82" s="2" t="s">
        <v>209</v>
      </c>
      <c r="B82" s="2" t="s">
        <v>210</v>
      </c>
      <c r="C82" s="2" t="s">
        <v>649</v>
      </c>
      <c r="D82" s="2" t="n">
        <v>2026</v>
      </c>
      <c r="E82" s="2" t="n">
        <f aca="false">INDEX('Employee Master'!$G$2:$G$201,MATCH(A82,'Employee Master'!$A$2:$A$201,0))</f>
        <v>83000</v>
      </c>
      <c r="F82" s="2" t="n">
        <v>26</v>
      </c>
      <c r="G82" s="2" t="n">
        <f aca="false">COUNTIFS('Tally Attendance'!$A$2:$A$6201,A82,'Tally Attendance'!$F$2:$F$6201,"Present")</f>
        <v>22</v>
      </c>
      <c r="H82" s="2" t="n">
        <f aca="false">COUNTIFS('Tally Attendance'!$A$2:$A$6201,A82,'Tally Attendance'!$F$2:$F$6201,"Absent")</f>
        <v>3</v>
      </c>
      <c r="I82" s="2" t="n">
        <f aca="false">COUNTIFS('Tally Attendance'!$A$2:$A$6201,A82,'Tally Attendance'!$F$2:$F$6201,"Leave")</f>
        <v>1</v>
      </c>
      <c r="J82" s="2" t="n">
        <f aca="false">COUNTIFS('Tally Attendance'!$A$2:$A$6201,A82,'Tally Attendance'!$F$2:$F$6201,"Half Day")</f>
        <v>0</v>
      </c>
      <c r="K82" s="2" t="n">
        <f aca="false">MIN(H82,2)</f>
        <v>2</v>
      </c>
      <c r="L82" s="2" t="n">
        <f aca="false">MAX(H82-K82,0)</f>
        <v>1</v>
      </c>
      <c r="M82" s="2" t="n">
        <f aca="false">ROUND(E82/F82,2)</f>
        <v>3192.31</v>
      </c>
      <c r="N82" s="2" t="n">
        <f aca="false">E82</f>
        <v>83000</v>
      </c>
      <c r="O82" s="2" t="n">
        <f aca="false">ROUND(M82*L82,2)</f>
        <v>3192.31</v>
      </c>
      <c r="P82" s="2" t="n">
        <f aca="false">ROUND(M82*COUNTIFS('Leave Records'!$B$2:$B$144,A82,'Leave Records'!$F$2:$F$144,"Unpaid")+M82*0.5*J82,2)</f>
        <v>0</v>
      </c>
      <c r="Q82" s="2" t="n">
        <f aca="false">INDEX('Employee Master'!$M$2:$M$201,MATCH(A82,'Employee Master'!$A$2:$A$201,0))</f>
        <v>9960</v>
      </c>
      <c r="R82" s="2" t="n">
        <v>0</v>
      </c>
      <c r="S82" s="2" t="n">
        <f aca="false">N82-O82-P82-Q82-R82</f>
        <v>69847.69</v>
      </c>
    </row>
    <row r="83" customFormat="false" ht="15" hidden="false" customHeight="false" outlineLevel="0" collapsed="false">
      <c r="A83" s="2" t="s">
        <v>211</v>
      </c>
      <c r="B83" s="2" t="s">
        <v>212</v>
      </c>
      <c r="C83" s="2" t="s">
        <v>649</v>
      </c>
      <c r="D83" s="2" t="n">
        <v>2026</v>
      </c>
      <c r="E83" s="2" t="n">
        <f aca="false">INDEX('Employee Master'!$G$2:$G$201,MATCH(A83,'Employee Master'!$A$2:$A$201,0))</f>
        <v>82000</v>
      </c>
      <c r="F83" s="2" t="n">
        <v>26</v>
      </c>
      <c r="G83" s="2" t="n">
        <f aca="false">COUNTIFS('Tally Attendance'!$A$2:$A$6201,A83,'Tally Attendance'!$F$2:$F$6201,"Present")</f>
        <v>24</v>
      </c>
      <c r="H83" s="2" t="n">
        <f aca="false">COUNTIFS('Tally Attendance'!$A$2:$A$6201,A83,'Tally Attendance'!$F$2:$F$6201,"Absent")</f>
        <v>2</v>
      </c>
      <c r="I83" s="2" t="n">
        <f aca="false">COUNTIFS('Tally Attendance'!$A$2:$A$6201,A83,'Tally Attendance'!$F$2:$F$6201,"Leave")</f>
        <v>0</v>
      </c>
      <c r="J83" s="2" t="n">
        <f aca="false">COUNTIFS('Tally Attendance'!$A$2:$A$6201,A83,'Tally Attendance'!$F$2:$F$6201,"Half Day")</f>
        <v>0</v>
      </c>
      <c r="K83" s="2" t="n">
        <f aca="false">MIN(H83,2)</f>
        <v>2</v>
      </c>
      <c r="L83" s="2" t="n">
        <f aca="false">MAX(H83-K83,0)</f>
        <v>0</v>
      </c>
      <c r="M83" s="2" t="n">
        <f aca="false">ROUND(E83/F83,2)</f>
        <v>3153.85</v>
      </c>
      <c r="N83" s="2" t="n">
        <f aca="false">E83</f>
        <v>82000</v>
      </c>
      <c r="O83" s="2" t="n">
        <f aca="false">ROUND(M83*L83,2)</f>
        <v>0</v>
      </c>
      <c r="P83" s="2" t="n">
        <f aca="false">ROUND(M83*COUNTIFS('Leave Records'!$B$2:$B$144,A83,'Leave Records'!$F$2:$F$144,"Unpaid")+M83*0.5*J83,2)</f>
        <v>0</v>
      </c>
      <c r="Q83" s="2" t="n">
        <f aca="false">INDEX('Employee Master'!$M$2:$M$201,MATCH(A83,'Employee Master'!$A$2:$A$201,0))</f>
        <v>9840</v>
      </c>
      <c r="R83" s="2" t="n">
        <v>0</v>
      </c>
      <c r="S83" s="2" t="n">
        <f aca="false">N83-O83-P83-Q83-R83</f>
        <v>72160</v>
      </c>
    </row>
    <row r="84" customFormat="false" ht="15" hidden="false" customHeight="false" outlineLevel="0" collapsed="false">
      <c r="A84" s="2" t="s">
        <v>213</v>
      </c>
      <c r="B84" s="2" t="s">
        <v>214</v>
      </c>
      <c r="C84" s="2" t="s">
        <v>649</v>
      </c>
      <c r="D84" s="2" t="n">
        <v>2026</v>
      </c>
      <c r="E84" s="2" t="n">
        <f aca="false">INDEX('Employee Master'!$G$2:$G$201,MATCH(A84,'Employee Master'!$A$2:$A$201,0))</f>
        <v>38000</v>
      </c>
      <c r="F84" s="2" t="n">
        <v>26</v>
      </c>
      <c r="G84" s="2" t="n">
        <f aca="false">COUNTIFS('Tally Attendance'!$A$2:$A$6201,A84,'Tally Attendance'!$F$2:$F$6201,"Present")</f>
        <v>21</v>
      </c>
      <c r="H84" s="2" t="n">
        <f aca="false">COUNTIFS('Tally Attendance'!$A$2:$A$6201,A84,'Tally Attendance'!$F$2:$F$6201,"Absent")</f>
        <v>2</v>
      </c>
      <c r="I84" s="2" t="n">
        <f aca="false">COUNTIFS('Tally Attendance'!$A$2:$A$6201,A84,'Tally Attendance'!$F$2:$F$6201,"Leave")</f>
        <v>1</v>
      </c>
      <c r="J84" s="2" t="n">
        <f aca="false">COUNTIFS('Tally Attendance'!$A$2:$A$6201,A84,'Tally Attendance'!$F$2:$F$6201,"Half Day")</f>
        <v>2</v>
      </c>
      <c r="K84" s="2" t="n">
        <f aca="false">MIN(H84,2)</f>
        <v>2</v>
      </c>
      <c r="L84" s="2" t="n">
        <f aca="false">MAX(H84-K84,0)</f>
        <v>0</v>
      </c>
      <c r="M84" s="2" t="n">
        <f aca="false">ROUND(E84/F84,2)</f>
        <v>1461.54</v>
      </c>
      <c r="N84" s="2" t="n">
        <f aca="false">E84</f>
        <v>38000</v>
      </c>
      <c r="O84" s="2" t="n">
        <f aca="false">ROUND(M84*L84,2)</f>
        <v>0</v>
      </c>
      <c r="P84" s="2" t="n">
        <f aca="false">ROUND(M84*COUNTIFS('Leave Records'!$B$2:$B$144,A84,'Leave Records'!$F$2:$F$144,"Unpaid")+M84*0.5*J84,2)</f>
        <v>1461.54</v>
      </c>
      <c r="Q84" s="2" t="n">
        <f aca="false">INDEX('Employee Master'!$M$2:$M$201,MATCH(A84,'Employee Master'!$A$2:$A$201,0))</f>
        <v>4560</v>
      </c>
      <c r="R84" s="2" t="n">
        <v>0</v>
      </c>
      <c r="S84" s="2" t="n">
        <f aca="false">N84-O84-P84-Q84-R84</f>
        <v>31978.46</v>
      </c>
    </row>
    <row r="85" customFormat="false" ht="15" hidden="false" customHeight="false" outlineLevel="0" collapsed="false">
      <c r="A85" s="2" t="s">
        <v>215</v>
      </c>
      <c r="B85" s="2" t="s">
        <v>216</v>
      </c>
      <c r="C85" s="2" t="s">
        <v>649</v>
      </c>
      <c r="D85" s="2" t="n">
        <v>2026</v>
      </c>
      <c r="E85" s="2" t="n">
        <f aca="false">INDEX('Employee Master'!$G$2:$G$201,MATCH(A85,'Employee Master'!$A$2:$A$201,0))</f>
        <v>51500</v>
      </c>
      <c r="F85" s="2" t="n">
        <v>26</v>
      </c>
      <c r="G85" s="2" t="n">
        <f aca="false">COUNTIFS('Tally Attendance'!$A$2:$A$6201,A85,'Tally Attendance'!$F$2:$F$6201,"Present")</f>
        <v>26</v>
      </c>
      <c r="H85" s="2" t="n">
        <f aca="false">COUNTIFS('Tally Attendance'!$A$2:$A$6201,A85,'Tally Attendance'!$F$2:$F$6201,"Absent")</f>
        <v>0</v>
      </c>
      <c r="I85" s="2" t="n">
        <f aca="false">COUNTIFS('Tally Attendance'!$A$2:$A$6201,A85,'Tally Attendance'!$F$2:$F$6201,"Leave")</f>
        <v>0</v>
      </c>
      <c r="J85" s="2" t="n">
        <f aca="false">COUNTIFS('Tally Attendance'!$A$2:$A$6201,A85,'Tally Attendance'!$F$2:$F$6201,"Half Day")</f>
        <v>0</v>
      </c>
      <c r="K85" s="2" t="n">
        <f aca="false">MIN(H85,2)</f>
        <v>0</v>
      </c>
      <c r="L85" s="2" t="n">
        <f aca="false">MAX(H85-K85,0)</f>
        <v>0</v>
      </c>
      <c r="M85" s="2" t="n">
        <f aca="false">ROUND(E85/F85,2)</f>
        <v>1980.77</v>
      </c>
      <c r="N85" s="2" t="n">
        <f aca="false">E85</f>
        <v>51500</v>
      </c>
      <c r="O85" s="2" t="n">
        <f aca="false">ROUND(M85*L85,2)</f>
        <v>0</v>
      </c>
      <c r="P85" s="2" t="n">
        <f aca="false">ROUND(M85*COUNTIFS('Leave Records'!$B$2:$B$144,A85,'Leave Records'!$F$2:$F$144,"Unpaid")+M85*0.5*J85,2)</f>
        <v>0</v>
      </c>
      <c r="Q85" s="2" t="n">
        <f aca="false">INDEX('Employee Master'!$M$2:$M$201,MATCH(A85,'Employee Master'!$A$2:$A$201,0))</f>
        <v>6180</v>
      </c>
      <c r="R85" s="2" t="n">
        <v>0</v>
      </c>
      <c r="S85" s="2" t="n">
        <f aca="false">N85-O85-P85-Q85-R85</f>
        <v>45320</v>
      </c>
    </row>
    <row r="86" customFormat="false" ht="15" hidden="false" customHeight="false" outlineLevel="0" collapsed="false">
      <c r="A86" s="2" t="s">
        <v>217</v>
      </c>
      <c r="B86" s="2" t="s">
        <v>218</v>
      </c>
      <c r="C86" s="2" t="s">
        <v>649</v>
      </c>
      <c r="D86" s="2" t="n">
        <v>2026</v>
      </c>
      <c r="E86" s="2" t="n">
        <f aca="false">INDEX('Employee Master'!$G$2:$G$201,MATCH(A86,'Employee Master'!$A$2:$A$201,0))</f>
        <v>67500</v>
      </c>
      <c r="F86" s="2" t="n">
        <v>26</v>
      </c>
      <c r="G86" s="2" t="n">
        <f aca="false">COUNTIFS('Tally Attendance'!$A$2:$A$6201,A86,'Tally Attendance'!$F$2:$F$6201,"Present")</f>
        <v>21</v>
      </c>
      <c r="H86" s="2" t="n">
        <f aca="false">COUNTIFS('Tally Attendance'!$A$2:$A$6201,A86,'Tally Attendance'!$F$2:$F$6201,"Absent")</f>
        <v>5</v>
      </c>
      <c r="I86" s="2" t="n">
        <f aca="false">COUNTIFS('Tally Attendance'!$A$2:$A$6201,A86,'Tally Attendance'!$F$2:$F$6201,"Leave")</f>
        <v>0</v>
      </c>
      <c r="J86" s="2" t="n">
        <f aca="false">COUNTIFS('Tally Attendance'!$A$2:$A$6201,A86,'Tally Attendance'!$F$2:$F$6201,"Half Day")</f>
        <v>0</v>
      </c>
      <c r="K86" s="2" t="n">
        <f aca="false">MIN(H86,2)</f>
        <v>2</v>
      </c>
      <c r="L86" s="2" t="n">
        <f aca="false">MAX(H86-K86,0)</f>
        <v>3</v>
      </c>
      <c r="M86" s="2" t="n">
        <f aca="false">ROUND(E86/F86,2)</f>
        <v>2596.15</v>
      </c>
      <c r="N86" s="2" t="n">
        <f aca="false">E86</f>
        <v>67500</v>
      </c>
      <c r="O86" s="2" t="n">
        <f aca="false">ROUND(M86*L86,2)</f>
        <v>7788.45</v>
      </c>
      <c r="P86" s="2" t="n">
        <f aca="false">ROUND(M86*COUNTIFS('Leave Records'!$B$2:$B$144,A86,'Leave Records'!$F$2:$F$144,"Unpaid")+M86*0.5*J86,2)</f>
        <v>0</v>
      </c>
      <c r="Q86" s="2" t="n">
        <f aca="false">INDEX('Employee Master'!$M$2:$M$201,MATCH(A86,'Employee Master'!$A$2:$A$201,0))</f>
        <v>8100</v>
      </c>
      <c r="R86" s="2" t="n">
        <v>0</v>
      </c>
      <c r="S86" s="2" t="n">
        <f aca="false">N86-O86-P86-Q86-R86</f>
        <v>51611.55</v>
      </c>
    </row>
    <row r="87" customFormat="false" ht="15" hidden="false" customHeight="false" outlineLevel="0" collapsed="false">
      <c r="A87" s="2" t="s">
        <v>219</v>
      </c>
      <c r="B87" s="2" t="s">
        <v>220</v>
      </c>
      <c r="C87" s="2" t="s">
        <v>649</v>
      </c>
      <c r="D87" s="2" t="n">
        <v>2026</v>
      </c>
      <c r="E87" s="2" t="n">
        <f aca="false">INDEX('Employee Master'!$G$2:$G$201,MATCH(A87,'Employee Master'!$A$2:$A$201,0))</f>
        <v>57500</v>
      </c>
      <c r="F87" s="2" t="n">
        <v>26</v>
      </c>
      <c r="G87" s="2" t="n">
        <f aca="false">COUNTIFS('Tally Attendance'!$A$2:$A$6201,A87,'Tally Attendance'!$F$2:$F$6201,"Present")</f>
        <v>18</v>
      </c>
      <c r="H87" s="2" t="n">
        <f aca="false">COUNTIFS('Tally Attendance'!$A$2:$A$6201,A87,'Tally Attendance'!$F$2:$F$6201,"Absent")</f>
        <v>4</v>
      </c>
      <c r="I87" s="2" t="n">
        <f aca="false">COUNTIFS('Tally Attendance'!$A$2:$A$6201,A87,'Tally Attendance'!$F$2:$F$6201,"Leave")</f>
        <v>2</v>
      </c>
      <c r="J87" s="2" t="n">
        <f aca="false">COUNTIFS('Tally Attendance'!$A$2:$A$6201,A87,'Tally Attendance'!$F$2:$F$6201,"Half Day")</f>
        <v>2</v>
      </c>
      <c r="K87" s="2" t="n">
        <f aca="false">MIN(H87,2)</f>
        <v>2</v>
      </c>
      <c r="L87" s="2" t="n">
        <f aca="false">MAX(H87-K87,0)</f>
        <v>2</v>
      </c>
      <c r="M87" s="2" t="n">
        <f aca="false">ROUND(E87/F87,2)</f>
        <v>2211.54</v>
      </c>
      <c r="N87" s="2" t="n">
        <f aca="false">E87</f>
        <v>57500</v>
      </c>
      <c r="O87" s="2" t="n">
        <f aca="false">ROUND(M87*L87,2)</f>
        <v>4423.08</v>
      </c>
      <c r="P87" s="2" t="n">
        <f aca="false">ROUND(M87*COUNTIFS('Leave Records'!$B$2:$B$144,A87,'Leave Records'!$F$2:$F$144,"Unpaid")+M87*0.5*J87,2)</f>
        <v>2211.54</v>
      </c>
      <c r="Q87" s="2" t="n">
        <f aca="false">INDEX('Employee Master'!$M$2:$M$201,MATCH(A87,'Employee Master'!$A$2:$A$201,0))</f>
        <v>6900</v>
      </c>
      <c r="R87" s="2" t="n">
        <v>0</v>
      </c>
      <c r="S87" s="2" t="n">
        <f aca="false">N87-O87-P87-Q87-R87</f>
        <v>43965.38</v>
      </c>
    </row>
    <row r="88" customFormat="false" ht="15" hidden="false" customHeight="false" outlineLevel="0" collapsed="false">
      <c r="A88" s="2" t="s">
        <v>221</v>
      </c>
      <c r="B88" s="2" t="s">
        <v>222</v>
      </c>
      <c r="C88" s="2" t="s">
        <v>649</v>
      </c>
      <c r="D88" s="2" t="n">
        <v>2026</v>
      </c>
      <c r="E88" s="2" t="n">
        <f aca="false">INDEX('Employee Master'!$G$2:$G$201,MATCH(A88,'Employee Master'!$A$2:$A$201,0))</f>
        <v>25000</v>
      </c>
      <c r="F88" s="2" t="n">
        <v>26</v>
      </c>
      <c r="G88" s="2" t="n">
        <f aca="false">COUNTIFS('Tally Attendance'!$A$2:$A$6201,A88,'Tally Attendance'!$F$2:$F$6201,"Present")</f>
        <v>22</v>
      </c>
      <c r="H88" s="2" t="n">
        <f aca="false">COUNTIFS('Tally Attendance'!$A$2:$A$6201,A88,'Tally Attendance'!$F$2:$F$6201,"Absent")</f>
        <v>2</v>
      </c>
      <c r="I88" s="2" t="n">
        <f aca="false">COUNTIFS('Tally Attendance'!$A$2:$A$6201,A88,'Tally Attendance'!$F$2:$F$6201,"Leave")</f>
        <v>1</v>
      </c>
      <c r="J88" s="2" t="n">
        <f aca="false">COUNTIFS('Tally Attendance'!$A$2:$A$6201,A88,'Tally Attendance'!$F$2:$F$6201,"Half Day")</f>
        <v>1</v>
      </c>
      <c r="K88" s="2" t="n">
        <f aca="false">MIN(H88,2)</f>
        <v>2</v>
      </c>
      <c r="L88" s="2" t="n">
        <f aca="false">MAX(H88-K88,0)</f>
        <v>0</v>
      </c>
      <c r="M88" s="2" t="n">
        <f aca="false">ROUND(E88/F88,2)</f>
        <v>961.54</v>
      </c>
      <c r="N88" s="2" t="n">
        <f aca="false">E88</f>
        <v>25000</v>
      </c>
      <c r="O88" s="2" t="n">
        <f aca="false">ROUND(M88*L88,2)</f>
        <v>0</v>
      </c>
      <c r="P88" s="2" t="n">
        <f aca="false">ROUND(M88*COUNTIFS('Leave Records'!$B$2:$B$144,A88,'Leave Records'!$F$2:$F$144,"Unpaid")+M88*0.5*J88,2)</f>
        <v>480.77</v>
      </c>
      <c r="Q88" s="2" t="n">
        <f aca="false">INDEX('Employee Master'!$M$2:$M$201,MATCH(A88,'Employee Master'!$A$2:$A$201,0))</f>
        <v>3000</v>
      </c>
      <c r="R88" s="2" t="n">
        <v>0</v>
      </c>
      <c r="S88" s="2" t="n">
        <f aca="false">N88-O88-P88-Q88-R88</f>
        <v>21519.23</v>
      </c>
    </row>
    <row r="89" customFormat="false" ht="15" hidden="false" customHeight="false" outlineLevel="0" collapsed="false">
      <c r="A89" s="2" t="s">
        <v>223</v>
      </c>
      <c r="B89" s="2" t="s">
        <v>224</v>
      </c>
      <c r="C89" s="2" t="s">
        <v>649</v>
      </c>
      <c r="D89" s="2" t="n">
        <v>2026</v>
      </c>
      <c r="E89" s="2" t="n">
        <f aca="false">INDEX('Employee Master'!$G$2:$G$201,MATCH(A89,'Employee Master'!$A$2:$A$201,0))</f>
        <v>27000</v>
      </c>
      <c r="F89" s="2" t="n">
        <v>26</v>
      </c>
      <c r="G89" s="2" t="n">
        <f aca="false">COUNTIFS('Tally Attendance'!$A$2:$A$6201,A89,'Tally Attendance'!$F$2:$F$6201,"Present")</f>
        <v>21</v>
      </c>
      <c r="H89" s="2" t="n">
        <f aca="false">COUNTIFS('Tally Attendance'!$A$2:$A$6201,A89,'Tally Attendance'!$F$2:$F$6201,"Absent")</f>
        <v>3</v>
      </c>
      <c r="I89" s="2" t="n">
        <f aca="false">COUNTIFS('Tally Attendance'!$A$2:$A$6201,A89,'Tally Attendance'!$F$2:$F$6201,"Leave")</f>
        <v>1</v>
      </c>
      <c r="J89" s="2" t="n">
        <f aca="false">COUNTIFS('Tally Attendance'!$A$2:$A$6201,A89,'Tally Attendance'!$F$2:$F$6201,"Half Day")</f>
        <v>1</v>
      </c>
      <c r="K89" s="2" t="n">
        <f aca="false">MIN(H89,2)</f>
        <v>2</v>
      </c>
      <c r="L89" s="2" t="n">
        <f aca="false">MAX(H89-K89,0)</f>
        <v>1</v>
      </c>
      <c r="M89" s="2" t="n">
        <f aca="false">ROUND(E89/F89,2)</f>
        <v>1038.46</v>
      </c>
      <c r="N89" s="2" t="n">
        <f aca="false">E89</f>
        <v>27000</v>
      </c>
      <c r="O89" s="2" t="n">
        <f aca="false">ROUND(M89*L89,2)</f>
        <v>1038.46</v>
      </c>
      <c r="P89" s="2" t="n">
        <f aca="false">ROUND(M89*COUNTIFS('Leave Records'!$B$2:$B$144,A89,'Leave Records'!$F$2:$F$144,"Unpaid")+M89*0.5*J89,2)</f>
        <v>1557.69</v>
      </c>
      <c r="Q89" s="2" t="n">
        <f aca="false">INDEX('Employee Master'!$M$2:$M$201,MATCH(A89,'Employee Master'!$A$2:$A$201,0))</f>
        <v>3240</v>
      </c>
      <c r="R89" s="2" t="n">
        <v>0</v>
      </c>
      <c r="S89" s="2" t="n">
        <f aca="false">N89-O89-P89-Q89-R89</f>
        <v>21163.85</v>
      </c>
    </row>
    <row r="90" customFormat="false" ht="15" hidden="false" customHeight="false" outlineLevel="0" collapsed="false">
      <c r="A90" s="2" t="s">
        <v>225</v>
      </c>
      <c r="B90" s="2" t="s">
        <v>226</v>
      </c>
      <c r="C90" s="2" t="s">
        <v>649</v>
      </c>
      <c r="D90" s="2" t="n">
        <v>2026</v>
      </c>
      <c r="E90" s="2" t="n">
        <f aca="false">INDEX('Employee Master'!$G$2:$G$201,MATCH(A90,'Employee Master'!$A$2:$A$201,0))</f>
        <v>30500</v>
      </c>
      <c r="F90" s="2" t="n">
        <v>26</v>
      </c>
      <c r="G90" s="2" t="n">
        <f aca="false">COUNTIFS('Tally Attendance'!$A$2:$A$6201,A90,'Tally Attendance'!$F$2:$F$6201,"Present")</f>
        <v>24</v>
      </c>
      <c r="H90" s="2" t="n">
        <f aca="false">COUNTIFS('Tally Attendance'!$A$2:$A$6201,A90,'Tally Attendance'!$F$2:$F$6201,"Absent")</f>
        <v>2</v>
      </c>
      <c r="I90" s="2" t="n">
        <f aca="false">COUNTIFS('Tally Attendance'!$A$2:$A$6201,A90,'Tally Attendance'!$F$2:$F$6201,"Leave")</f>
        <v>0</v>
      </c>
      <c r="J90" s="2" t="n">
        <f aca="false">COUNTIFS('Tally Attendance'!$A$2:$A$6201,A90,'Tally Attendance'!$F$2:$F$6201,"Half Day")</f>
        <v>0</v>
      </c>
      <c r="K90" s="2" t="n">
        <f aca="false">MIN(H90,2)</f>
        <v>2</v>
      </c>
      <c r="L90" s="2" t="n">
        <f aca="false">MAX(H90-K90,0)</f>
        <v>0</v>
      </c>
      <c r="M90" s="2" t="n">
        <f aca="false">ROUND(E90/F90,2)</f>
        <v>1173.08</v>
      </c>
      <c r="N90" s="2" t="n">
        <f aca="false">E90</f>
        <v>30500</v>
      </c>
      <c r="O90" s="2" t="n">
        <f aca="false">ROUND(M90*L90,2)</f>
        <v>0</v>
      </c>
      <c r="P90" s="2" t="n">
        <f aca="false">ROUND(M90*COUNTIFS('Leave Records'!$B$2:$B$144,A90,'Leave Records'!$F$2:$F$144,"Unpaid")+M90*0.5*J90,2)</f>
        <v>0</v>
      </c>
      <c r="Q90" s="2" t="n">
        <f aca="false">INDEX('Employee Master'!$M$2:$M$201,MATCH(A90,'Employee Master'!$A$2:$A$201,0))</f>
        <v>3660</v>
      </c>
      <c r="R90" s="2" t="n">
        <v>0</v>
      </c>
      <c r="S90" s="2" t="n">
        <f aca="false">N90-O90-P90-Q90-R90</f>
        <v>26840</v>
      </c>
    </row>
    <row r="91" customFormat="false" ht="15" hidden="false" customHeight="false" outlineLevel="0" collapsed="false">
      <c r="A91" s="2" t="s">
        <v>227</v>
      </c>
      <c r="B91" s="2" t="s">
        <v>228</v>
      </c>
      <c r="C91" s="2" t="s">
        <v>649</v>
      </c>
      <c r="D91" s="2" t="n">
        <v>2026</v>
      </c>
      <c r="E91" s="2" t="n">
        <f aca="false">INDEX('Employee Master'!$G$2:$G$201,MATCH(A91,'Employee Master'!$A$2:$A$201,0))</f>
        <v>55000</v>
      </c>
      <c r="F91" s="2" t="n">
        <v>26</v>
      </c>
      <c r="G91" s="2" t="n">
        <f aca="false">COUNTIFS('Tally Attendance'!$A$2:$A$6201,A91,'Tally Attendance'!$F$2:$F$6201,"Present")</f>
        <v>21</v>
      </c>
      <c r="H91" s="2" t="n">
        <f aca="false">COUNTIFS('Tally Attendance'!$A$2:$A$6201,A91,'Tally Attendance'!$F$2:$F$6201,"Absent")</f>
        <v>4</v>
      </c>
      <c r="I91" s="2" t="n">
        <f aca="false">COUNTIFS('Tally Attendance'!$A$2:$A$6201,A91,'Tally Attendance'!$F$2:$F$6201,"Leave")</f>
        <v>1</v>
      </c>
      <c r="J91" s="2" t="n">
        <f aca="false">COUNTIFS('Tally Attendance'!$A$2:$A$6201,A91,'Tally Attendance'!$F$2:$F$6201,"Half Day")</f>
        <v>0</v>
      </c>
      <c r="K91" s="2" t="n">
        <f aca="false">MIN(H91,2)</f>
        <v>2</v>
      </c>
      <c r="L91" s="2" t="n">
        <f aca="false">MAX(H91-K91,0)</f>
        <v>2</v>
      </c>
      <c r="M91" s="2" t="n">
        <f aca="false">ROUND(E91/F91,2)</f>
        <v>2115.38</v>
      </c>
      <c r="N91" s="2" t="n">
        <f aca="false">E91</f>
        <v>55000</v>
      </c>
      <c r="O91" s="2" t="n">
        <f aca="false">ROUND(M91*L91,2)</f>
        <v>4230.76</v>
      </c>
      <c r="P91" s="2" t="n">
        <f aca="false">ROUND(M91*COUNTIFS('Leave Records'!$B$2:$B$144,A91,'Leave Records'!$F$2:$F$144,"Unpaid")+M91*0.5*J91,2)</f>
        <v>0</v>
      </c>
      <c r="Q91" s="2" t="n">
        <f aca="false">INDEX('Employee Master'!$M$2:$M$201,MATCH(A91,'Employee Master'!$A$2:$A$201,0))</f>
        <v>6600</v>
      </c>
      <c r="R91" s="2" t="n">
        <v>0</v>
      </c>
      <c r="S91" s="2" t="n">
        <f aca="false">N91-O91-P91-Q91-R91</f>
        <v>44169.24</v>
      </c>
    </row>
    <row r="92" customFormat="false" ht="15" hidden="false" customHeight="false" outlineLevel="0" collapsed="false">
      <c r="A92" s="2" t="s">
        <v>229</v>
      </c>
      <c r="B92" s="2" t="s">
        <v>230</v>
      </c>
      <c r="C92" s="2" t="s">
        <v>649</v>
      </c>
      <c r="D92" s="2" t="n">
        <v>2026</v>
      </c>
      <c r="E92" s="2" t="n">
        <f aca="false">INDEX('Employee Master'!$G$2:$G$201,MATCH(A92,'Employee Master'!$A$2:$A$201,0))</f>
        <v>85000</v>
      </c>
      <c r="F92" s="2" t="n">
        <v>26</v>
      </c>
      <c r="G92" s="2" t="n">
        <f aca="false">COUNTIFS('Tally Attendance'!$A$2:$A$6201,A92,'Tally Attendance'!$F$2:$F$6201,"Present")</f>
        <v>23</v>
      </c>
      <c r="H92" s="2" t="n">
        <f aca="false">COUNTIFS('Tally Attendance'!$A$2:$A$6201,A92,'Tally Attendance'!$F$2:$F$6201,"Absent")</f>
        <v>2</v>
      </c>
      <c r="I92" s="2" t="n">
        <f aca="false">COUNTIFS('Tally Attendance'!$A$2:$A$6201,A92,'Tally Attendance'!$F$2:$F$6201,"Leave")</f>
        <v>1</v>
      </c>
      <c r="J92" s="2" t="n">
        <f aca="false">COUNTIFS('Tally Attendance'!$A$2:$A$6201,A92,'Tally Attendance'!$F$2:$F$6201,"Half Day")</f>
        <v>0</v>
      </c>
      <c r="K92" s="2" t="n">
        <f aca="false">MIN(H92,2)</f>
        <v>2</v>
      </c>
      <c r="L92" s="2" t="n">
        <f aca="false">MAX(H92-K92,0)</f>
        <v>0</v>
      </c>
      <c r="M92" s="2" t="n">
        <f aca="false">ROUND(E92/F92,2)</f>
        <v>3269.23</v>
      </c>
      <c r="N92" s="2" t="n">
        <f aca="false">E92</f>
        <v>85000</v>
      </c>
      <c r="O92" s="2" t="n">
        <f aca="false">ROUND(M92*L92,2)</f>
        <v>0</v>
      </c>
      <c r="P92" s="2" t="n">
        <f aca="false">ROUND(M92*COUNTIFS('Leave Records'!$B$2:$B$144,A92,'Leave Records'!$F$2:$F$144,"Unpaid")+M92*0.5*J92,2)</f>
        <v>0</v>
      </c>
      <c r="Q92" s="2" t="n">
        <f aca="false">INDEX('Employee Master'!$M$2:$M$201,MATCH(A92,'Employee Master'!$A$2:$A$201,0))</f>
        <v>10200</v>
      </c>
      <c r="R92" s="2" t="n">
        <v>0</v>
      </c>
      <c r="S92" s="2" t="n">
        <f aca="false">N92-O92-P92-Q92-R92</f>
        <v>74800</v>
      </c>
    </row>
    <row r="93" customFormat="false" ht="15" hidden="false" customHeight="false" outlineLevel="0" collapsed="false">
      <c r="A93" s="2" t="s">
        <v>231</v>
      </c>
      <c r="B93" s="2" t="s">
        <v>232</v>
      </c>
      <c r="C93" s="2" t="s">
        <v>649</v>
      </c>
      <c r="D93" s="2" t="n">
        <v>2026</v>
      </c>
      <c r="E93" s="2" t="n">
        <f aca="false">INDEX('Employee Master'!$G$2:$G$201,MATCH(A93,'Employee Master'!$A$2:$A$201,0))</f>
        <v>40500</v>
      </c>
      <c r="F93" s="2" t="n">
        <v>26</v>
      </c>
      <c r="G93" s="2" t="n">
        <f aca="false">COUNTIFS('Tally Attendance'!$A$2:$A$6201,A93,'Tally Attendance'!$F$2:$F$6201,"Present")</f>
        <v>23</v>
      </c>
      <c r="H93" s="2" t="n">
        <f aca="false">COUNTIFS('Tally Attendance'!$A$2:$A$6201,A93,'Tally Attendance'!$F$2:$F$6201,"Absent")</f>
        <v>3</v>
      </c>
      <c r="I93" s="2" t="n">
        <f aca="false">COUNTIFS('Tally Attendance'!$A$2:$A$6201,A93,'Tally Attendance'!$F$2:$F$6201,"Leave")</f>
        <v>0</v>
      </c>
      <c r="J93" s="2" t="n">
        <f aca="false">COUNTIFS('Tally Attendance'!$A$2:$A$6201,A93,'Tally Attendance'!$F$2:$F$6201,"Half Day")</f>
        <v>0</v>
      </c>
      <c r="K93" s="2" t="n">
        <f aca="false">MIN(H93,2)</f>
        <v>2</v>
      </c>
      <c r="L93" s="2" t="n">
        <f aca="false">MAX(H93-K93,0)</f>
        <v>1</v>
      </c>
      <c r="M93" s="2" t="n">
        <f aca="false">ROUND(E93/F93,2)</f>
        <v>1557.69</v>
      </c>
      <c r="N93" s="2" t="n">
        <f aca="false">E93</f>
        <v>40500</v>
      </c>
      <c r="O93" s="2" t="n">
        <f aca="false">ROUND(M93*L93,2)</f>
        <v>1557.69</v>
      </c>
      <c r="P93" s="2" t="n">
        <f aca="false">ROUND(M93*COUNTIFS('Leave Records'!$B$2:$B$144,A93,'Leave Records'!$F$2:$F$144,"Unpaid")+M93*0.5*J93,2)</f>
        <v>0</v>
      </c>
      <c r="Q93" s="2" t="n">
        <f aca="false">INDEX('Employee Master'!$M$2:$M$201,MATCH(A93,'Employee Master'!$A$2:$A$201,0))</f>
        <v>4860</v>
      </c>
      <c r="R93" s="2" t="n">
        <v>0</v>
      </c>
      <c r="S93" s="2" t="n">
        <f aca="false">N93-O93-P93-Q93-R93</f>
        <v>34082.31</v>
      </c>
    </row>
    <row r="94" customFormat="false" ht="15" hidden="false" customHeight="false" outlineLevel="0" collapsed="false">
      <c r="A94" s="2" t="s">
        <v>233</v>
      </c>
      <c r="B94" s="2" t="s">
        <v>234</v>
      </c>
      <c r="C94" s="2" t="s">
        <v>649</v>
      </c>
      <c r="D94" s="2" t="n">
        <v>2026</v>
      </c>
      <c r="E94" s="2" t="n">
        <f aca="false">INDEX('Employee Master'!$G$2:$G$201,MATCH(A94,'Employee Master'!$A$2:$A$201,0))</f>
        <v>33500</v>
      </c>
      <c r="F94" s="2" t="n">
        <v>26</v>
      </c>
      <c r="G94" s="2" t="n">
        <f aca="false">COUNTIFS('Tally Attendance'!$A$2:$A$6201,A94,'Tally Attendance'!$F$2:$F$6201,"Present")</f>
        <v>22</v>
      </c>
      <c r="H94" s="2" t="n">
        <f aca="false">COUNTIFS('Tally Attendance'!$A$2:$A$6201,A94,'Tally Attendance'!$F$2:$F$6201,"Absent")</f>
        <v>3</v>
      </c>
      <c r="I94" s="2" t="n">
        <f aca="false">COUNTIFS('Tally Attendance'!$A$2:$A$6201,A94,'Tally Attendance'!$F$2:$F$6201,"Leave")</f>
        <v>1</v>
      </c>
      <c r="J94" s="2" t="n">
        <f aca="false">COUNTIFS('Tally Attendance'!$A$2:$A$6201,A94,'Tally Attendance'!$F$2:$F$6201,"Half Day")</f>
        <v>0</v>
      </c>
      <c r="K94" s="2" t="n">
        <f aca="false">MIN(H94,2)</f>
        <v>2</v>
      </c>
      <c r="L94" s="2" t="n">
        <f aca="false">MAX(H94-K94,0)</f>
        <v>1</v>
      </c>
      <c r="M94" s="2" t="n">
        <f aca="false">ROUND(E94/F94,2)</f>
        <v>1288.46</v>
      </c>
      <c r="N94" s="2" t="n">
        <f aca="false">E94</f>
        <v>33500</v>
      </c>
      <c r="O94" s="2" t="n">
        <f aca="false">ROUND(M94*L94,2)</f>
        <v>1288.46</v>
      </c>
      <c r="P94" s="2" t="n">
        <f aca="false">ROUND(M94*COUNTIFS('Leave Records'!$B$2:$B$144,A94,'Leave Records'!$F$2:$F$144,"Unpaid")+M94*0.5*J94,2)</f>
        <v>0</v>
      </c>
      <c r="Q94" s="2" t="n">
        <f aca="false">INDEX('Employee Master'!$M$2:$M$201,MATCH(A94,'Employee Master'!$A$2:$A$201,0))</f>
        <v>4020</v>
      </c>
      <c r="R94" s="2" t="n">
        <v>0</v>
      </c>
      <c r="S94" s="2" t="n">
        <f aca="false">N94-O94-P94-Q94-R94</f>
        <v>28191.54</v>
      </c>
    </row>
    <row r="95" customFormat="false" ht="15" hidden="false" customHeight="false" outlineLevel="0" collapsed="false">
      <c r="A95" s="2" t="s">
        <v>235</v>
      </c>
      <c r="B95" s="2" t="s">
        <v>236</v>
      </c>
      <c r="C95" s="2" t="s">
        <v>649</v>
      </c>
      <c r="D95" s="2" t="n">
        <v>2026</v>
      </c>
      <c r="E95" s="2" t="n">
        <f aca="false">INDEX('Employee Master'!$G$2:$G$201,MATCH(A95,'Employee Master'!$A$2:$A$201,0))</f>
        <v>29500</v>
      </c>
      <c r="F95" s="2" t="n">
        <v>26</v>
      </c>
      <c r="G95" s="2" t="n">
        <f aca="false">COUNTIFS('Tally Attendance'!$A$2:$A$6201,A95,'Tally Attendance'!$F$2:$F$6201,"Present")</f>
        <v>24</v>
      </c>
      <c r="H95" s="2" t="n">
        <f aca="false">COUNTIFS('Tally Attendance'!$A$2:$A$6201,A95,'Tally Attendance'!$F$2:$F$6201,"Absent")</f>
        <v>1</v>
      </c>
      <c r="I95" s="2" t="n">
        <f aca="false">COUNTIFS('Tally Attendance'!$A$2:$A$6201,A95,'Tally Attendance'!$F$2:$F$6201,"Leave")</f>
        <v>1</v>
      </c>
      <c r="J95" s="2" t="n">
        <f aca="false">COUNTIFS('Tally Attendance'!$A$2:$A$6201,A95,'Tally Attendance'!$F$2:$F$6201,"Half Day")</f>
        <v>0</v>
      </c>
      <c r="K95" s="2" t="n">
        <f aca="false">MIN(H95,2)</f>
        <v>1</v>
      </c>
      <c r="L95" s="2" t="n">
        <f aca="false">MAX(H95-K95,0)</f>
        <v>0</v>
      </c>
      <c r="M95" s="2" t="n">
        <f aca="false">ROUND(E95/F95,2)</f>
        <v>1134.62</v>
      </c>
      <c r="N95" s="2" t="n">
        <f aca="false">E95</f>
        <v>29500</v>
      </c>
      <c r="O95" s="2" t="n">
        <f aca="false">ROUND(M95*L95,2)</f>
        <v>0</v>
      </c>
      <c r="P95" s="2" t="n">
        <f aca="false">ROUND(M95*COUNTIFS('Leave Records'!$B$2:$B$144,A95,'Leave Records'!$F$2:$F$144,"Unpaid")+M95*0.5*J95,2)</f>
        <v>0</v>
      </c>
      <c r="Q95" s="2" t="n">
        <f aca="false">INDEX('Employee Master'!$M$2:$M$201,MATCH(A95,'Employee Master'!$A$2:$A$201,0))</f>
        <v>3540</v>
      </c>
      <c r="R95" s="2" t="n">
        <v>0</v>
      </c>
      <c r="S95" s="2" t="n">
        <f aca="false">N95-O95-P95-Q95-R95</f>
        <v>25960</v>
      </c>
    </row>
    <row r="96" customFormat="false" ht="15" hidden="false" customHeight="false" outlineLevel="0" collapsed="false">
      <c r="A96" s="2" t="s">
        <v>237</v>
      </c>
      <c r="B96" s="2" t="s">
        <v>238</v>
      </c>
      <c r="C96" s="2" t="s">
        <v>649</v>
      </c>
      <c r="D96" s="2" t="n">
        <v>2026</v>
      </c>
      <c r="E96" s="2" t="n">
        <f aca="false">INDEX('Employee Master'!$G$2:$G$201,MATCH(A96,'Employee Master'!$A$2:$A$201,0))</f>
        <v>49500</v>
      </c>
      <c r="F96" s="2" t="n">
        <v>26</v>
      </c>
      <c r="G96" s="2" t="n">
        <f aca="false">COUNTIFS('Tally Attendance'!$A$2:$A$6201,A96,'Tally Attendance'!$F$2:$F$6201,"Present")</f>
        <v>24</v>
      </c>
      <c r="H96" s="2" t="n">
        <f aca="false">COUNTIFS('Tally Attendance'!$A$2:$A$6201,A96,'Tally Attendance'!$F$2:$F$6201,"Absent")</f>
        <v>1</v>
      </c>
      <c r="I96" s="2" t="n">
        <f aca="false">COUNTIFS('Tally Attendance'!$A$2:$A$6201,A96,'Tally Attendance'!$F$2:$F$6201,"Leave")</f>
        <v>0</v>
      </c>
      <c r="J96" s="2" t="n">
        <f aca="false">COUNTIFS('Tally Attendance'!$A$2:$A$6201,A96,'Tally Attendance'!$F$2:$F$6201,"Half Day")</f>
        <v>1</v>
      </c>
      <c r="K96" s="2" t="n">
        <f aca="false">MIN(H96,2)</f>
        <v>1</v>
      </c>
      <c r="L96" s="2" t="n">
        <f aca="false">MAX(H96-K96,0)</f>
        <v>0</v>
      </c>
      <c r="M96" s="2" t="n">
        <f aca="false">ROUND(E96/F96,2)</f>
        <v>1903.85</v>
      </c>
      <c r="N96" s="2" t="n">
        <f aca="false">E96</f>
        <v>49500</v>
      </c>
      <c r="O96" s="2" t="n">
        <f aca="false">ROUND(M96*L96,2)</f>
        <v>0</v>
      </c>
      <c r="P96" s="2" t="n">
        <f aca="false">ROUND(M96*COUNTIFS('Leave Records'!$B$2:$B$144,A96,'Leave Records'!$F$2:$F$144,"Unpaid")+M96*0.5*J96,2)</f>
        <v>951.93</v>
      </c>
      <c r="Q96" s="2" t="n">
        <f aca="false">INDEX('Employee Master'!$M$2:$M$201,MATCH(A96,'Employee Master'!$A$2:$A$201,0))</f>
        <v>5940</v>
      </c>
      <c r="R96" s="2" t="n">
        <v>0</v>
      </c>
      <c r="S96" s="2" t="n">
        <f aca="false">N96-O96-P96-Q96-R96</f>
        <v>42608.07</v>
      </c>
    </row>
    <row r="97" customFormat="false" ht="15" hidden="false" customHeight="false" outlineLevel="0" collapsed="false">
      <c r="A97" s="2" t="s">
        <v>239</v>
      </c>
      <c r="B97" s="2" t="s">
        <v>240</v>
      </c>
      <c r="C97" s="2" t="s">
        <v>649</v>
      </c>
      <c r="D97" s="2" t="n">
        <v>2026</v>
      </c>
      <c r="E97" s="2" t="n">
        <f aca="false">INDEX('Employee Master'!$G$2:$G$201,MATCH(A97,'Employee Master'!$A$2:$A$201,0))</f>
        <v>32000</v>
      </c>
      <c r="F97" s="2" t="n">
        <v>26</v>
      </c>
      <c r="G97" s="2" t="n">
        <f aca="false">COUNTIFS('Tally Attendance'!$A$2:$A$6201,A97,'Tally Attendance'!$F$2:$F$6201,"Present")</f>
        <v>21</v>
      </c>
      <c r="H97" s="2" t="n">
        <f aca="false">COUNTIFS('Tally Attendance'!$A$2:$A$6201,A97,'Tally Attendance'!$F$2:$F$6201,"Absent")</f>
        <v>4</v>
      </c>
      <c r="I97" s="2" t="n">
        <f aca="false">COUNTIFS('Tally Attendance'!$A$2:$A$6201,A97,'Tally Attendance'!$F$2:$F$6201,"Leave")</f>
        <v>1</v>
      </c>
      <c r="J97" s="2" t="n">
        <f aca="false">COUNTIFS('Tally Attendance'!$A$2:$A$6201,A97,'Tally Attendance'!$F$2:$F$6201,"Half Day")</f>
        <v>0</v>
      </c>
      <c r="K97" s="2" t="n">
        <f aca="false">MIN(H97,2)</f>
        <v>2</v>
      </c>
      <c r="L97" s="2" t="n">
        <f aca="false">MAX(H97-K97,0)</f>
        <v>2</v>
      </c>
      <c r="M97" s="2" t="n">
        <f aca="false">ROUND(E97/F97,2)</f>
        <v>1230.77</v>
      </c>
      <c r="N97" s="2" t="n">
        <f aca="false">E97</f>
        <v>32000</v>
      </c>
      <c r="O97" s="2" t="n">
        <f aca="false">ROUND(M97*L97,2)</f>
        <v>2461.54</v>
      </c>
      <c r="P97" s="2" t="n">
        <f aca="false">ROUND(M97*COUNTIFS('Leave Records'!$B$2:$B$144,A97,'Leave Records'!$F$2:$F$144,"Unpaid")+M97*0.5*J97,2)</f>
        <v>0</v>
      </c>
      <c r="Q97" s="2" t="n">
        <f aca="false">INDEX('Employee Master'!$M$2:$M$201,MATCH(A97,'Employee Master'!$A$2:$A$201,0))</f>
        <v>3840</v>
      </c>
      <c r="R97" s="2" t="n">
        <v>0</v>
      </c>
      <c r="S97" s="2" t="n">
        <f aca="false">N97-O97-P97-Q97-R97</f>
        <v>25698.46</v>
      </c>
    </row>
    <row r="98" customFormat="false" ht="15" hidden="false" customHeight="false" outlineLevel="0" collapsed="false">
      <c r="A98" s="2" t="s">
        <v>241</v>
      </c>
      <c r="B98" s="2" t="s">
        <v>242</v>
      </c>
      <c r="C98" s="2" t="s">
        <v>649</v>
      </c>
      <c r="D98" s="2" t="n">
        <v>2026</v>
      </c>
      <c r="E98" s="2" t="n">
        <f aca="false">INDEX('Employee Master'!$G$2:$G$201,MATCH(A98,'Employee Master'!$A$2:$A$201,0))</f>
        <v>64500</v>
      </c>
      <c r="F98" s="2" t="n">
        <v>26</v>
      </c>
      <c r="G98" s="2" t="n">
        <f aca="false">COUNTIFS('Tally Attendance'!$A$2:$A$6201,A98,'Tally Attendance'!$F$2:$F$6201,"Present")</f>
        <v>16</v>
      </c>
      <c r="H98" s="2" t="n">
        <f aca="false">COUNTIFS('Tally Attendance'!$A$2:$A$6201,A98,'Tally Attendance'!$F$2:$F$6201,"Absent")</f>
        <v>7</v>
      </c>
      <c r="I98" s="2" t="n">
        <f aca="false">COUNTIFS('Tally Attendance'!$A$2:$A$6201,A98,'Tally Attendance'!$F$2:$F$6201,"Leave")</f>
        <v>2</v>
      </c>
      <c r="J98" s="2" t="n">
        <f aca="false">COUNTIFS('Tally Attendance'!$A$2:$A$6201,A98,'Tally Attendance'!$F$2:$F$6201,"Half Day")</f>
        <v>1</v>
      </c>
      <c r="K98" s="2" t="n">
        <f aca="false">MIN(H98,2)</f>
        <v>2</v>
      </c>
      <c r="L98" s="2" t="n">
        <f aca="false">MAX(H98-K98,0)</f>
        <v>5</v>
      </c>
      <c r="M98" s="2" t="n">
        <f aca="false">ROUND(E98/F98,2)</f>
        <v>2480.77</v>
      </c>
      <c r="N98" s="2" t="n">
        <f aca="false">E98</f>
        <v>64500</v>
      </c>
      <c r="O98" s="2" t="n">
        <f aca="false">ROUND(M98*L98,2)</f>
        <v>12403.85</v>
      </c>
      <c r="P98" s="2" t="n">
        <f aca="false">ROUND(M98*COUNTIFS('Leave Records'!$B$2:$B$144,A98,'Leave Records'!$F$2:$F$144,"Unpaid")+M98*0.5*J98,2)</f>
        <v>1240.39</v>
      </c>
      <c r="Q98" s="2" t="n">
        <f aca="false">INDEX('Employee Master'!$M$2:$M$201,MATCH(A98,'Employee Master'!$A$2:$A$201,0))</f>
        <v>7740</v>
      </c>
      <c r="R98" s="2" t="n">
        <v>0</v>
      </c>
      <c r="S98" s="2" t="n">
        <f aca="false">N98-O98-P98-Q98-R98</f>
        <v>43115.76</v>
      </c>
    </row>
    <row r="99" customFormat="false" ht="15" hidden="false" customHeight="false" outlineLevel="0" collapsed="false">
      <c r="A99" s="2" t="s">
        <v>243</v>
      </c>
      <c r="B99" s="2" t="s">
        <v>244</v>
      </c>
      <c r="C99" s="2" t="s">
        <v>649</v>
      </c>
      <c r="D99" s="2" t="n">
        <v>2026</v>
      </c>
      <c r="E99" s="2" t="n">
        <f aca="false">INDEX('Employee Master'!$G$2:$G$201,MATCH(A99,'Employee Master'!$A$2:$A$201,0))</f>
        <v>137500</v>
      </c>
      <c r="F99" s="2" t="n">
        <v>26</v>
      </c>
      <c r="G99" s="2" t="n">
        <f aca="false">COUNTIFS('Tally Attendance'!$A$2:$A$6201,A99,'Tally Attendance'!$F$2:$F$6201,"Present")</f>
        <v>24</v>
      </c>
      <c r="H99" s="2" t="n">
        <f aca="false">COUNTIFS('Tally Attendance'!$A$2:$A$6201,A99,'Tally Attendance'!$F$2:$F$6201,"Absent")</f>
        <v>1</v>
      </c>
      <c r="I99" s="2" t="n">
        <f aca="false">COUNTIFS('Tally Attendance'!$A$2:$A$6201,A99,'Tally Attendance'!$F$2:$F$6201,"Leave")</f>
        <v>0</v>
      </c>
      <c r="J99" s="2" t="n">
        <f aca="false">COUNTIFS('Tally Attendance'!$A$2:$A$6201,A99,'Tally Attendance'!$F$2:$F$6201,"Half Day")</f>
        <v>1</v>
      </c>
      <c r="K99" s="2" t="n">
        <f aca="false">MIN(H99,2)</f>
        <v>1</v>
      </c>
      <c r="L99" s="2" t="n">
        <f aca="false">MAX(H99-K99,0)</f>
        <v>0</v>
      </c>
      <c r="M99" s="2" t="n">
        <f aca="false">ROUND(E99/F99,2)</f>
        <v>5288.46</v>
      </c>
      <c r="N99" s="2" t="n">
        <f aca="false">E99</f>
        <v>137500</v>
      </c>
      <c r="O99" s="2" t="n">
        <f aca="false">ROUND(M99*L99,2)</f>
        <v>0</v>
      </c>
      <c r="P99" s="2" t="n">
        <f aca="false">ROUND(M99*COUNTIFS('Leave Records'!$B$2:$B$144,A99,'Leave Records'!$F$2:$F$144,"Unpaid")+M99*0.5*J99,2)</f>
        <v>2644.23</v>
      </c>
      <c r="Q99" s="2" t="n">
        <f aca="false">INDEX('Employee Master'!$M$2:$M$201,MATCH(A99,'Employee Master'!$A$2:$A$201,0))</f>
        <v>16500</v>
      </c>
      <c r="R99" s="2" t="n">
        <v>0</v>
      </c>
      <c r="S99" s="2" t="n">
        <f aca="false">N99-O99-P99-Q99-R99</f>
        <v>118355.77</v>
      </c>
    </row>
    <row r="100" customFormat="false" ht="15" hidden="false" customHeight="false" outlineLevel="0" collapsed="false">
      <c r="A100" s="2" t="s">
        <v>245</v>
      </c>
      <c r="B100" s="2" t="s">
        <v>246</v>
      </c>
      <c r="C100" s="2" t="s">
        <v>649</v>
      </c>
      <c r="D100" s="2" t="n">
        <v>2026</v>
      </c>
      <c r="E100" s="2" t="n">
        <f aca="false">INDEX('Employee Master'!$G$2:$G$201,MATCH(A100,'Employee Master'!$A$2:$A$201,0))</f>
        <v>29000</v>
      </c>
      <c r="F100" s="2" t="n">
        <v>26</v>
      </c>
      <c r="G100" s="2" t="n">
        <f aca="false">COUNTIFS('Tally Attendance'!$A$2:$A$6201,A100,'Tally Attendance'!$F$2:$F$6201,"Present")</f>
        <v>25</v>
      </c>
      <c r="H100" s="2" t="n">
        <f aca="false">COUNTIFS('Tally Attendance'!$A$2:$A$6201,A100,'Tally Attendance'!$F$2:$F$6201,"Absent")</f>
        <v>1</v>
      </c>
      <c r="I100" s="2" t="n">
        <f aca="false">COUNTIFS('Tally Attendance'!$A$2:$A$6201,A100,'Tally Attendance'!$F$2:$F$6201,"Leave")</f>
        <v>0</v>
      </c>
      <c r="J100" s="2" t="n">
        <f aca="false">COUNTIFS('Tally Attendance'!$A$2:$A$6201,A100,'Tally Attendance'!$F$2:$F$6201,"Half Day")</f>
        <v>0</v>
      </c>
      <c r="K100" s="2" t="n">
        <f aca="false">MIN(H100,2)</f>
        <v>1</v>
      </c>
      <c r="L100" s="2" t="n">
        <f aca="false">MAX(H100-K100,0)</f>
        <v>0</v>
      </c>
      <c r="M100" s="2" t="n">
        <f aca="false">ROUND(E100/F100,2)</f>
        <v>1115.38</v>
      </c>
      <c r="N100" s="2" t="n">
        <f aca="false">E100</f>
        <v>29000</v>
      </c>
      <c r="O100" s="2" t="n">
        <f aca="false">ROUND(M100*L100,2)</f>
        <v>0</v>
      </c>
      <c r="P100" s="2" t="n">
        <f aca="false">ROUND(M100*COUNTIFS('Leave Records'!$B$2:$B$144,A100,'Leave Records'!$F$2:$F$144,"Unpaid")+M100*0.5*J100,2)</f>
        <v>0</v>
      </c>
      <c r="Q100" s="2" t="n">
        <f aca="false">INDEX('Employee Master'!$M$2:$M$201,MATCH(A100,'Employee Master'!$A$2:$A$201,0))</f>
        <v>3480</v>
      </c>
      <c r="R100" s="2" t="n">
        <v>0</v>
      </c>
      <c r="S100" s="2" t="n">
        <f aca="false">N100-O100-P100-Q100-R100</f>
        <v>25520</v>
      </c>
    </row>
    <row r="101" customFormat="false" ht="15" hidden="false" customHeight="false" outlineLevel="0" collapsed="false">
      <c r="A101" s="2" t="s">
        <v>247</v>
      </c>
      <c r="B101" s="2" t="s">
        <v>248</v>
      </c>
      <c r="C101" s="2" t="s">
        <v>649</v>
      </c>
      <c r="D101" s="2" t="n">
        <v>2026</v>
      </c>
      <c r="E101" s="2" t="n">
        <f aca="false">INDEX('Employee Master'!$G$2:$G$201,MATCH(A101,'Employee Master'!$A$2:$A$201,0))</f>
        <v>25000</v>
      </c>
      <c r="F101" s="2" t="n">
        <v>26</v>
      </c>
      <c r="G101" s="2" t="n">
        <f aca="false">COUNTIFS('Tally Attendance'!$A$2:$A$6201,A101,'Tally Attendance'!$F$2:$F$6201,"Present")</f>
        <v>23</v>
      </c>
      <c r="H101" s="2" t="n">
        <f aca="false">COUNTIFS('Tally Attendance'!$A$2:$A$6201,A101,'Tally Attendance'!$F$2:$F$6201,"Absent")</f>
        <v>2</v>
      </c>
      <c r="I101" s="2" t="n">
        <f aca="false">COUNTIFS('Tally Attendance'!$A$2:$A$6201,A101,'Tally Attendance'!$F$2:$F$6201,"Leave")</f>
        <v>0</v>
      </c>
      <c r="J101" s="2" t="n">
        <f aca="false">COUNTIFS('Tally Attendance'!$A$2:$A$6201,A101,'Tally Attendance'!$F$2:$F$6201,"Half Day")</f>
        <v>1</v>
      </c>
      <c r="K101" s="2" t="n">
        <f aca="false">MIN(H101,2)</f>
        <v>2</v>
      </c>
      <c r="L101" s="2" t="n">
        <f aca="false">MAX(H101-K101,0)</f>
        <v>0</v>
      </c>
      <c r="M101" s="2" t="n">
        <f aca="false">ROUND(E101/F101,2)</f>
        <v>961.54</v>
      </c>
      <c r="N101" s="2" t="n">
        <f aca="false">E101</f>
        <v>25000</v>
      </c>
      <c r="O101" s="2" t="n">
        <f aca="false">ROUND(M101*L101,2)</f>
        <v>0</v>
      </c>
      <c r="P101" s="2" t="n">
        <f aca="false">ROUND(M101*COUNTIFS('Leave Records'!$B$2:$B$144,A101,'Leave Records'!$F$2:$F$144,"Unpaid")+M101*0.5*J101,2)</f>
        <v>480.77</v>
      </c>
      <c r="Q101" s="2" t="n">
        <f aca="false">INDEX('Employee Master'!$M$2:$M$201,MATCH(A101,'Employee Master'!$A$2:$A$201,0))</f>
        <v>3000</v>
      </c>
      <c r="R101" s="2" t="n">
        <v>0</v>
      </c>
      <c r="S101" s="2" t="n">
        <f aca="false">N101-O101-P101-Q101-R101</f>
        <v>21519.23</v>
      </c>
    </row>
    <row r="102" customFormat="false" ht="15" hidden="false" customHeight="false" outlineLevel="0" collapsed="false">
      <c r="A102" s="2" t="s">
        <v>249</v>
      </c>
      <c r="B102" s="2" t="s">
        <v>250</v>
      </c>
      <c r="C102" s="2" t="s">
        <v>649</v>
      </c>
      <c r="D102" s="2" t="n">
        <v>2026</v>
      </c>
      <c r="E102" s="2" t="n">
        <f aca="false">INDEX('Employee Master'!$G$2:$G$201,MATCH(A102,'Employee Master'!$A$2:$A$201,0))</f>
        <v>50000</v>
      </c>
      <c r="F102" s="2" t="n">
        <v>26</v>
      </c>
      <c r="G102" s="2" t="n">
        <f aca="false">COUNTIFS('Tally Attendance'!$A$2:$A$6201,A102,'Tally Attendance'!$F$2:$F$6201,"Present")</f>
        <v>17</v>
      </c>
      <c r="H102" s="2" t="n">
        <f aca="false">COUNTIFS('Tally Attendance'!$A$2:$A$6201,A102,'Tally Attendance'!$F$2:$F$6201,"Absent")</f>
        <v>5</v>
      </c>
      <c r="I102" s="2" t="n">
        <f aca="false">COUNTIFS('Tally Attendance'!$A$2:$A$6201,A102,'Tally Attendance'!$F$2:$F$6201,"Leave")</f>
        <v>2</v>
      </c>
      <c r="J102" s="2" t="n">
        <f aca="false">COUNTIFS('Tally Attendance'!$A$2:$A$6201,A102,'Tally Attendance'!$F$2:$F$6201,"Half Day")</f>
        <v>2</v>
      </c>
      <c r="K102" s="2" t="n">
        <f aca="false">MIN(H102,2)</f>
        <v>2</v>
      </c>
      <c r="L102" s="2" t="n">
        <f aca="false">MAX(H102-K102,0)</f>
        <v>3</v>
      </c>
      <c r="M102" s="2" t="n">
        <f aca="false">ROUND(E102/F102,2)</f>
        <v>1923.08</v>
      </c>
      <c r="N102" s="2" t="n">
        <f aca="false">E102</f>
        <v>50000</v>
      </c>
      <c r="O102" s="2" t="n">
        <f aca="false">ROUND(M102*L102,2)</f>
        <v>5769.24</v>
      </c>
      <c r="P102" s="2" t="n">
        <f aca="false">ROUND(M102*COUNTIFS('Leave Records'!$B$2:$B$144,A102,'Leave Records'!$F$2:$F$144,"Unpaid")+M102*0.5*J102,2)</f>
        <v>1923.08</v>
      </c>
      <c r="Q102" s="2" t="n">
        <f aca="false">INDEX('Employee Master'!$M$2:$M$201,MATCH(A102,'Employee Master'!$A$2:$A$201,0))</f>
        <v>6000</v>
      </c>
      <c r="R102" s="2" t="n">
        <v>0</v>
      </c>
      <c r="S102" s="2" t="n">
        <f aca="false">N102-O102-P102-Q102-R102</f>
        <v>36307.68</v>
      </c>
    </row>
    <row r="103" customFormat="false" ht="15" hidden="false" customHeight="false" outlineLevel="0" collapsed="false">
      <c r="A103" s="2" t="s">
        <v>251</v>
      </c>
      <c r="B103" s="2" t="s">
        <v>252</v>
      </c>
      <c r="C103" s="2" t="s">
        <v>649</v>
      </c>
      <c r="D103" s="2" t="n">
        <v>2026</v>
      </c>
      <c r="E103" s="2" t="n">
        <f aca="false">INDEX('Employee Master'!$G$2:$G$201,MATCH(A103,'Employee Master'!$A$2:$A$201,0))</f>
        <v>80000</v>
      </c>
      <c r="F103" s="2" t="n">
        <v>26</v>
      </c>
      <c r="G103" s="2" t="n">
        <f aca="false">COUNTIFS('Tally Attendance'!$A$2:$A$6201,A103,'Tally Attendance'!$F$2:$F$6201,"Present")</f>
        <v>23</v>
      </c>
      <c r="H103" s="2" t="n">
        <f aca="false">COUNTIFS('Tally Attendance'!$A$2:$A$6201,A103,'Tally Attendance'!$F$2:$F$6201,"Absent")</f>
        <v>1</v>
      </c>
      <c r="I103" s="2" t="n">
        <f aca="false">COUNTIFS('Tally Attendance'!$A$2:$A$6201,A103,'Tally Attendance'!$F$2:$F$6201,"Leave")</f>
        <v>0</v>
      </c>
      <c r="J103" s="2" t="n">
        <f aca="false">COUNTIFS('Tally Attendance'!$A$2:$A$6201,A103,'Tally Attendance'!$F$2:$F$6201,"Half Day")</f>
        <v>2</v>
      </c>
      <c r="K103" s="2" t="n">
        <f aca="false">MIN(H103,2)</f>
        <v>1</v>
      </c>
      <c r="L103" s="2" t="n">
        <f aca="false">MAX(H103-K103,0)</f>
        <v>0</v>
      </c>
      <c r="M103" s="2" t="n">
        <f aca="false">ROUND(E103/F103,2)</f>
        <v>3076.92</v>
      </c>
      <c r="N103" s="2" t="n">
        <f aca="false">E103</f>
        <v>80000</v>
      </c>
      <c r="O103" s="2" t="n">
        <f aca="false">ROUND(M103*L103,2)</f>
        <v>0</v>
      </c>
      <c r="P103" s="2" t="n">
        <f aca="false">ROUND(M103*COUNTIFS('Leave Records'!$B$2:$B$144,A103,'Leave Records'!$F$2:$F$144,"Unpaid")+M103*0.5*J103,2)</f>
        <v>3076.92</v>
      </c>
      <c r="Q103" s="2" t="n">
        <f aca="false">INDEX('Employee Master'!$M$2:$M$201,MATCH(A103,'Employee Master'!$A$2:$A$201,0))</f>
        <v>9600</v>
      </c>
      <c r="R103" s="2" t="n">
        <v>0</v>
      </c>
      <c r="S103" s="2" t="n">
        <f aca="false">N103-O103-P103-Q103-R103</f>
        <v>67323.08</v>
      </c>
    </row>
    <row r="104" customFormat="false" ht="15" hidden="false" customHeight="false" outlineLevel="0" collapsed="false">
      <c r="A104" s="2" t="s">
        <v>253</v>
      </c>
      <c r="B104" s="2" t="s">
        <v>254</v>
      </c>
      <c r="C104" s="2" t="s">
        <v>649</v>
      </c>
      <c r="D104" s="2" t="n">
        <v>2026</v>
      </c>
      <c r="E104" s="2" t="n">
        <f aca="false">INDEX('Employee Master'!$G$2:$G$201,MATCH(A104,'Employee Master'!$A$2:$A$201,0))</f>
        <v>35500</v>
      </c>
      <c r="F104" s="2" t="n">
        <v>26</v>
      </c>
      <c r="G104" s="2" t="n">
        <f aca="false">COUNTIFS('Tally Attendance'!$A$2:$A$6201,A104,'Tally Attendance'!$F$2:$F$6201,"Present")</f>
        <v>20</v>
      </c>
      <c r="H104" s="2" t="n">
        <f aca="false">COUNTIFS('Tally Attendance'!$A$2:$A$6201,A104,'Tally Attendance'!$F$2:$F$6201,"Absent")</f>
        <v>5</v>
      </c>
      <c r="I104" s="2" t="n">
        <f aca="false">COUNTIFS('Tally Attendance'!$A$2:$A$6201,A104,'Tally Attendance'!$F$2:$F$6201,"Leave")</f>
        <v>1</v>
      </c>
      <c r="J104" s="2" t="n">
        <f aca="false">COUNTIFS('Tally Attendance'!$A$2:$A$6201,A104,'Tally Attendance'!$F$2:$F$6201,"Half Day")</f>
        <v>0</v>
      </c>
      <c r="K104" s="2" t="n">
        <f aca="false">MIN(H104,2)</f>
        <v>2</v>
      </c>
      <c r="L104" s="2" t="n">
        <f aca="false">MAX(H104-K104,0)</f>
        <v>3</v>
      </c>
      <c r="M104" s="2" t="n">
        <f aca="false">ROUND(E104/F104,2)</f>
        <v>1365.38</v>
      </c>
      <c r="N104" s="2" t="n">
        <f aca="false">E104</f>
        <v>35500</v>
      </c>
      <c r="O104" s="2" t="n">
        <f aca="false">ROUND(M104*L104,2)</f>
        <v>4096.14</v>
      </c>
      <c r="P104" s="2" t="n">
        <f aca="false">ROUND(M104*COUNTIFS('Leave Records'!$B$2:$B$144,A104,'Leave Records'!$F$2:$F$144,"Unpaid")+M104*0.5*J104,2)</f>
        <v>0</v>
      </c>
      <c r="Q104" s="2" t="n">
        <f aca="false">INDEX('Employee Master'!$M$2:$M$201,MATCH(A104,'Employee Master'!$A$2:$A$201,0))</f>
        <v>4260</v>
      </c>
      <c r="R104" s="2" t="n">
        <v>0</v>
      </c>
      <c r="S104" s="2" t="n">
        <f aca="false">N104-O104-P104-Q104-R104</f>
        <v>27143.86</v>
      </c>
    </row>
    <row r="105" customFormat="false" ht="15" hidden="false" customHeight="false" outlineLevel="0" collapsed="false">
      <c r="A105" s="2" t="s">
        <v>255</v>
      </c>
      <c r="B105" s="2" t="s">
        <v>256</v>
      </c>
      <c r="C105" s="2" t="s">
        <v>649</v>
      </c>
      <c r="D105" s="2" t="n">
        <v>2026</v>
      </c>
      <c r="E105" s="2" t="n">
        <f aca="false">INDEX('Employee Master'!$G$2:$G$201,MATCH(A105,'Employee Master'!$A$2:$A$201,0))</f>
        <v>41000</v>
      </c>
      <c r="F105" s="2" t="n">
        <v>26</v>
      </c>
      <c r="G105" s="2" t="n">
        <f aca="false">COUNTIFS('Tally Attendance'!$A$2:$A$6201,A105,'Tally Attendance'!$F$2:$F$6201,"Present")</f>
        <v>25</v>
      </c>
      <c r="H105" s="2" t="n">
        <f aca="false">COUNTIFS('Tally Attendance'!$A$2:$A$6201,A105,'Tally Attendance'!$F$2:$F$6201,"Absent")</f>
        <v>0</v>
      </c>
      <c r="I105" s="2" t="n">
        <f aca="false">COUNTIFS('Tally Attendance'!$A$2:$A$6201,A105,'Tally Attendance'!$F$2:$F$6201,"Leave")</f>
        <v>0</v>
      </c>
      <c r="J105" s="2" t="n">
        <f aca="false">COUNTIFS('Tally Attendance'!$A$2:$A$6201,A105,'Tally Attendance'!$F$2:$F$6201,"Half Day")</f>
        <v>1</v>
      </c>
      <c r="K105" s="2" t="n">
        <f aca="false">MIN(H105,2)</f>
        <v>0</v>
      </c>
      <c r="L105" s="2" t="n">
        <f aca="false">MAX(H105-K105,0)</f>
        <v>0</v>
      </c>
      <c r="M105" s="2" t="n">
        <f aca="false">ROUND(E105/F105,2)</f>
        <v>1576.92</v>
      </c>
      <c r="N105" s="2" t="n">
        <f aca="false">E105</f>
        <v>41000</v>
      </c>
      <c r="O105" s="2" t="n">
        <f aca="false">ROUND(M105*L105,2)</f>
        <v>0</v>
      </c>
      <c r="P105" s="2" t="n">
        <f aca="false">ROUND(M105*COUNTIFS('Leave Records'!$B$2:$B$144,A105,'Leave Records'!$F$2:$F$144,"Unpaid")+M105*0.5*J105,2)</f>
        <v>788.46</v>
      </c>
      <c r="Q105" s="2" t="n">
        <f aca="false">INDEX('Employee Master'!$M$2:$M$201,MATCH(A105,'Employee Master'!$A$2:$A$201,0))</f>
        <v>4920</v>
      </c>
      <c r="R105" s="2" t="n">
        <v>0</v>
      </c>
      <c r="S105" s="2" t="n">
        <f aca="false">N105-O105-P105-Q105-R105</f>
        <v>35291.54</v>
      </c>
    </row>
    <row r="106" customFormat="false" ht="15" hidden="false" customHeight="false" outlineLevel="0" collapsed="false">
      <c r="A106" s="2" t="s">
        <v>257</v>
      </c>
      <c r="B106" s="2" t="s">
        <v>258</v>
      </c>
      <c r="C106" s="2" t="s">
        <v>649</v>
      </c>
      <c r="D106" s="2" t="n">
        <v>2026</v>
      </c>
      <c r="E106" s="2" t="n">
        <f aca="false">INDEX('Employee Master'!$G$2:$G$201,MATCH(A106,'Employee Master'!$A$2:$A$201,0))</f>
        <v>37500</v>
      </c>
      <c r="F106" s="2" t="n">
        <v>26</v>
      </c>
      <c r="G106" s="2" t="n">
        <f aca="false">COUNTIFS('Tally Attendance'!$A$2:$A$6201,A106,'Tally Attendance'!$F$2:$F$6201,"Present")</f>
        <v>17</v>
      </c>
      <c r="H106" s="2" t="n">
        <f aca="false">COUNTIFS('Tally Attendance'!$A$2:$A$6201,A106,'Tally Attendance'!$F$2:$F$6201,"Absent")</f>
        <v>7</v>
      </c>
      <c r="I106" s="2" t="n">
        <f aca="false">COUNTIFS('Tally Attendance'!$A$2:$A$6201,A106,'Tally Attendance'!$F$2:$F$6201,"Leave")</f>
        <v>0</v>
      </c>
      <c r="J106" s="2" t="n">
        <f aca="false">COUNTIFS('Tally Attendance'!$A$2:$A$6201,A106,'Tally Attendance'!$F$2:$F$6201,"Half Day")</f>
        <v>2</v>
      </c>
      <c r="K106" s="2" t="n">
        <f aca="false">MIN(H106,2)</f>
        <v>2</v>
      </c>
      <c r="L106" s="2" t="n">
        <f aca="false">MAX(H106-K106,0)</f>
        <v>5</v>
      </c>
      <c r="M106" s="2" t="n">
        <f aca="false">ROUND(E106/F106,2)</f>
        <v>1442.31</v>
      </c>
      <c r="N106" s="2" t="n">
        <f aca="false">E106</f>
        <v>37500</v>
      </c>
      <c r="O106" s="2" t="n">
        <f aca="false">ROUND(M106*L106,2)</f>
        <v>7211.55</v>
      </c>
      <c r="P106" s="2" t="n">
        <f aca="false">ROUND(M106*COUNTIFS('Leave Records'!$B$2:$B$144,A106,'Leave Records'!$F$2:$F$144,"Unpaid")+M106*0.5*J106,2)</f>
        <v>1442.31</v>
      </c>
      <c r="Q106" s="2" t="n">
        <f aca="false">INDEX('Employee Master'!$M$2:$M$201,MATCH(A106,'Employee Master'!$A$2:$A$201,0))</f>
        <v>4500</v>
      </c>
      <c r="R106" s="2" t="n">
        <v>0</v>
      </c>
      <c r="S106" s="2" t="n">
        <f aca="false">N106-O106-P106-Q106-R106</f>
        <v>24346.14</v>
      </c>
    </row>
    <row r="107" customFormat="false" ht="15" hidden="false" customHeight="false" outlineLevel="0" collapsed="false">
      <c r="A107" s="2" t="s">
        <v>259</v>
      </c>
      <c r="B107" s="2" t="s">
        <v>260</v>
      </c>
      <c r="C107" s="2" t="s">
        <v>649</v>
      </c>
      <c r="D107" s="2" t="n">
        <v>2026</v>
      </c>
      <c r="E107" s="2" t="n">
        <f aca="false">INDEX('Employee Master'!$G$2:$G$201,MATCH(A107,'Employee Master'!$A$2:$A$201,0))</f>
        <v>23500</v>
      </c>
      <c r="F107" s="2" t="n">
        <v>26</v>
      </c>
      <c r="G107" s="2" t="n">
        <f aca="false">COUNTIFS('Tally Attendance'!$A$2:$A$6201,A107,'Tally Attendance'!$F$2:$F$6201,"Present")</f>
        <v>19</v>
      </c>
      <c r="H107" s="2" t="n">
        <f aca="false">COUNTIFS('Tally Attendance'!$A$2:$A$6201,A107,'Tally Attendance'!$F$2:$F$6201,"Absent")</f>
        <v>6</v>
      </c>
      <c r="I107" s="2" t="n">
        <f aca="false">COUNTIFS('Tally Attendance'!$A$2:$A$6201,A107,'Tally Attendance'!$F$2:$F$6201,"Leave")</f>
        <v>1</v>
      </c>
      <c r="J107" s="2" t="n">
        <f aca="false">COUNTIFS('Tally Attendance'!$A$2:$A$6201,A107,'Tally Attendance'!$F$2:$F$6201,"Half Day")</f>
        <v>0</v>
      </c>
      <c r="K107" s="2" t="n">
        <f aca="false">MIN(H107,2)</f>
        <v>2</v>
      </c>
      <c r="L107" s="2" t="n">
        <f aca="false">MAX(H107-K107,0)</f>
        <v>4</v>
      </c>
      <c r="M107" s="2" t="n">
        <f aca="false">ROUND(E107/F107,2)</f>
        <v>903.85</v>
      </c>
      <c r="N107" s="2" t="n">
        <f aca="false">E107</f>
        <v>23500</v>
      </c>
      <c r="O107" s="2" t="n">
        <f aca="false">ROUND(M107*L107,2)</f>
        <v>3615.4</v>
      </c>
      <c r="P107" s="2" t="n">
        <f aca="false">ROUND(M107*COUNTIFS('Leave Records'!$B$2:$B$144,A107,'Leave Records'!$F$2:$F$144,"Unpaid")+M107*0.5*J107,2)</f>
        <v>0</v>
      </c>
      <c r="Q107" s="2" t="n">
        <f aca="false">INDEX('Employee Master'!$M$2:$M$201,MATCH(A107,'Employee Master'!$A$2:$A$201,0))</f>
        <v>2820</v>
      </c>
      <c r="R107" s="2" t="n">
        <v>0</v>
      </c>
      <c r="S107" s="2" t="n">
        <f aca="false">N107-O107-P107-Q107-R107</f>
        <v>17064.6</v>
      </c>
    </row>
    <row r="108" customFormat="false" ht="15" hidden="false" customHeight="false" outlineLevel="0" collapsed="false">
      <c r="A108" s="2" t="s">
        <v>261</v>
      </c>
      <c r="B108" s="2" t="s">
        <v>262</v>
      </c>
      <c r="C108" s="2" t="s">
        <v>649</v>
      </c>
      <c r="D108" s="2" t="n">
        <v>2026</v>
      </c>
      <c r="E108" s="2" t="n">
        <f aca="false">INDEX('Employee Master'!$G$2:$G$201,MATCH(A108,'Employee Master'!$A$2:$A$201,0))</f>
        <v>105000</v>
      </c>
      <c r="F108" s="2" t="n">
        <v>26</v>
      </c>
      <c r="G108" s="2" t="n">
        <f aca="false">COUNTIFS('Tally Attendance'!$A$2:$A$6201,A108,'Tally Attendance'!$F$2:$F$6201,"Present")</f>
        <v>18</v>
      </c>
      <c r="H108" s="2" t="n">
        <f aca="false">COUNTIFS('Tally Attendance'!$A$2:$A$6201,A108,'Tally Attendance'!$F$2:$F$6201,"Absent")</f>
        <v>6</v>
      </c>
      <c r="I108" s="2" t="n">
        <f aca="false">COUNTIFS('Tally Attendance'!$A$2:$A$6201,A108,'Tally Attendance'!$F$2:$F$6201,"Leave")</f>
        <v>2</v>
      </c>
      <c r="J108" s="2" t="n">
        <f aca="false">COUNTIFS('Tally Attendance'!$A$2:$A$6201,A108,'Tally Attendance'!$F$2:$F$6201,"Half Day")</f>
        <v>0</v>
      </c>
      <c r="K108" s="2" t="n">
        <f aca="false">MIN(H108,2)</f>
        <v>2</v>
      </c>
      <c r="L108" s="2" t="n">
        <f aca="false">MAX(H108-K108,0)</f>
        <v>4</v>
      </c>
      <c r="M108" s="2" t="n">
        <f aca="false">ROUND(E108/F108,2)</f>
        <v>4038.46</v>
      </c>
      <c r="N108" s="2" t="n">
        <f aca="false">E108</f>
        <v>105000</v>
      </c>
      <c r="O108" s="2" t="n">
        <f aca="false">ROUND(M108*L108,2)</f>
        <v>16153.84</v>
      </c>
      <c r="P108" s="2" t="n">
        <f aca="false">ROUND(M108*COUNTIFS('Leave Records'!$B$2:$B$144,A108,'Leave Records'!$F$2:$F$144,"Unpaid")+M108*0.5*J108,2)</f>
        <v>0</v>
      </c>
      <c r="Q108" s="2" t="n">
        <f aca="false">INDEX('Employee Master'!$M$2:$M$201,MATCH(A108,'Employee Master'!$A$2:$A$201,0))</f>
        <v>12600</v>
      </c>
      <c r="R108" s="2" t="n">
        <v>0</v>
      </c>
      <c r="S108" s="2" t="n">
        <f aca="false">N108-O108-P108-Q108-R108</f>
        <v>76246.16</v>
      </c>
    </row>
    <row r="109" customFormat="false" ht="15" hidden="false" customHeight="false" outlineLevel="0" collapsed="false">
      <c r="A109" s="2" t="s">
        <v>263</v>
      </c>
      <c r="B109" s="2" t="s">
        <v>264</v>
      </c>
      <c r="C109" s="2" t="s">
        <v>649</v>
      </c>
      <c r="D109" s="2" t="n">
        <v>2026</v>
      </c>
      <c r="E109" s="2" t="n">
        <f aca="false">INDEX('Employee Master'!$G$2:$G$201,MATCH(A109,'Employee Master'!$A$2:$A$201,0))</f>
        <v>122500</v>
      </c>
      <c r="F109" s="2" t="n">
        <v>26</v>
      </c>
      <c r="G109" s="2" t="n">
        <f aca="false">COUNTIFS('Tally Attendance'!$A$2:$A$6201,A109,'Tally Attendance'!$F$2:$F$6201,"Present")</f>
        <v>20</v>
      </c>
      <c r="H109" s="2" t="n">
        <f aca="false">COUNTIFS('Tally Attendance'!$A$2:$A$6201,A109,'Tally Attendance'!$F$2:$F$6201,"Absent")</f>
        <v>6</v>
      </c>
      <c r="I109" s="2" t="n">
        <f aca="false">COUNTIFS('Tally Attendance'!$A$2:$A$6201,A109,'Tally Attendance'!$F$2:$F$6201,"Leave")</f>
        <v>0</v>
      </c>
      <c r="J109" s="2" t="n">
        <f aca="false">COUNTIFS('Tally Attendance'!$A$2:$A$6201,A109,'Tally Attendance'!$F$2:$F$6201,"Half Day")</f>
        <v>0</v>
      </c>
      <c r="K109" s="2" t="n">
        <f aca="false">MIN(H109,2)</f>
        <v>2</v>
      </c>
      <c r="L109" s="2" t="n">
        <f aca="false">MAX(H109-K109,0)</f>
        <v>4</v>
      </c>
      <c r="M109" s="2" t="n">
        <f aca="false">ROUND(E109/F109,2)</f>
        <v>4711.54</v>
      </c>
      <c r="N109" s="2" t="n">
        <f aca="false">E109</f>
        <v>122500</v>
      </c>
      <c r="O109" s="2" t="n">
        <f aca="false">ROUND(M109*L109,2)</f>
        <v>18846.16</v>
      </c>
      <c r="P109" s="2" t="n">
        <f aca="false">ROUND(M109*COUNTIFS('Leave Records'!$B$2:$B$144,A109,'Leave Records'!$F$2:$F$144,"Unpaid")+M109*0.5*J109,2)</f>
        <v>0</v>
      </c>
      <c r="Q109" s="2" t="n">
        <f aca="false">INDEX('Employee Master'!$M$2:$M$201,MATCH(A109,'Employee Master'!$A$2:$A$201,0))</f>
        <v>14700</v>
      </c>
      <c r="R109" s="2" t="n">
        <v>0</v>
      </c>
      <c r="S109" s="2" t="n">
        <f aca="false">N109-O109-P109-Q109-R109</f>
        <v>88953.84</v>
      </c>
    </row>
    <row r="110" customFormat="false" ht="15" hidden="false" customHeight="false" outlineLevel="0" collapsed="false">
      <c r="A110" s="2" t="s">
        <v>265</v>
      </c>
      <c r="B110" s="2" t="s">
        <v>266</v>
      </c>
      <c r="C110" s="2" t="s">
        <v>649</v>
      </c>
      <c r="D110" s="2" t="n">
        <v>2026</v>
      </c>
      <c r="E110" s="2" t="n">
        <f aca="false">INDEX('Employee Master'!$G$2:$G$201,MATCH(A110,'Employee Master'!$A$2:$A$201,0))</f>
        <v>33000</v>
      </c>
      <c r="F110" s="2" t="n">
        <v>26</v>
      </c>
      <c r="G110" s="2" t="n">
        <f aca="false">COUNTIFS('Tally Attendance'!$A$2:$A$6201,A110,'Tally Attendance'!$F$2:$F$6201,"Present")</f>
        <v>17</v>
      </c>
      <c r="H110" s="2" t="n">
        <f aca="false">COUNTIFS('Tally Attendance'!$A$2:$A$6201,A110,'Tally Attendance'!$F$2:$F$6201,"Absent")</f>
        <v>6</v>
      </c>
      <c r="I110" s="2" t="n">
        <f aca="false">COUNTIFS('Tally Attendance'!$A$2:$A$6201,A110,'Tally Attendance'!$F$2:$F$6201,"Leave")</f>
        <v>1</v>
      </c>
      <c r="J110" s="2" t="n">
        <f aca="false">COUNTIFS('Tally Attendance'!$A$2:$A$6201,A110,'Tally Attendance'!$F$2:$F$6201,"Half Day")</f>
        <v>2</v>
      </c>
      <c r="K110" s="2" t="n">
        <f aca="false">MIN(H110,2)</f>
        <v>2</v>
      </c>
      <c r="L110" s="2" t="n">
        <f aca="false">MAX(H110-K110,0)</f>
        <v>4</v>
      </c>
      <c r="M110" s="2" t="n">
        <f aca="false">ROUND(E110/F110,2)</f>
        <v>1269.23</v>
      </c>
      <c r="N110" s="2" t="n">
        <f aca="false">E110</f>
        <v>33000</v>
      </c>
      <c r="O110" s="2" t="n">
        <f aca="false">ROUND(M110*L110,2)</f>
        <v>5076.92</v>
      </c>
      <c r="P110" s="2" t="n">
        <f aca="false">ROUND(M110*COUNTIFS('Leave Records'!$B$2:$B$144,A110,'Leave Records'!$F$2:$F$144,"Unpaid")+M110*0.5*J110,2)</f>
        <v>1269.23</v>
      </c>
      <c r="Q110" s="2" t="n">
        <f aca="false">INDEX('Employee Master'!$M$2:$M$201,MATCH(A110,'Employee Master'!$A$2:$A$201,0))</f>
        <v>3960</v>
      </c>
      <c r="R110" s="2" t="n">
        <v>0</v>
      </c>
      <c r="S110" s="2" t="n">
        <f aca="false">N110-O110-P110-Q110-R110</f>
        <v>22693.85</v>
      </c>
    </row>
    <row r="111" customFormat="false" ht="15" hidden="false" customHeight="false" outlineLevel="0" collapsed="false">
      <c r="A111" s="2" t="s">
        <v>267</v>
      </c>
      <c r="B111" s="2" t="s">
        <v>268</v>
      </c>
      <c r="C111" s="2" t="s">
        <v>649</v>
      </c>
      <c r="D111" s="2" t="n">
        <v>2026</v>
      </c>
      <c r="E111" s="2" t="n">
        <f aca="false">INDEX('Employee Master'!$G$2:$G$201,MATCH(A111,'Employee Master'!$A$2:$A$201,0))</f>
        <v>76000</v>
      </c>
      <c r="F111" s="2" t="n">
        <v>26</v>
      </c>
      <c r="G111" s="2" t="n">
        <f aca="false">COUNTIFS('Tally Attendance'!$A$2:$A$6201,A111,'Tally Attendance'!$F$2:$F$6201,"Present")</f>
        <v>18</v>
      </c>
      <c r="H111" s="2" t="n">
        <f aca="false">COUNTIFS('Tally Attendance'!$A$2:$A$6201,A111,'Tally Attendance'!$F$2:$F$6201,"Absent")</f>
        <v>5</v>
      </c>
      <c r="I111" s="2" t="n">
        <f aca="false">COUNTIFS('Tally Attendance'!$A$2:$A$6201,A111,'Tally Attendance'!$F$2:$F$6201,"Leave")</f>
        <v>2</v>
      </c>
      <c r="J111" s="2" t="n">
        <f aca="false">COUNTIFS('Tally Attendance'!$A$2:$A$6201,A111,'Tally Attendance'!$F$2:$F$6201,"Half Day")</f>
        <v>1</v>
      </c>
      <c r="K111" s="2" t="n">
        <f aca="false">MIN(H111,2)</f>
        <v>2</v>
      </c>
      <c r="L111" s="2" t="n">
        <f aca="false">MAX(H111-K111,0)</f>
        <v>3</v>
      </c>
      <c r="M111" s="2" t="n">
        <f aca="false">ROUND(E111/F111,2)</f>
        <v>2923.08</v>
      </c>
      <c r="N111" s="2" t="n">
        <f aca="false">E111</f>
        <v>76000</v>
      </c>
      <c r="O111" s="2" t="n">
        <f aca="false">ROUND(M111*L111,2)</f>
        <v>8769.24</v>
      </c>
      <c r="P111" s="2" t="n">
        <f aca="false">ROUND(M111*COUNTIFS('Leave Records'!$B$2:$B$144,A111,'Leave Records'!$F$2:$F$144,"Unpaid")+M111*0.5*J111,2)</f>
        <v>1461.54</v>
      </c>
      <c r="Q111" s="2" t="n">
        <f aca="false">INDEX('Employee Master'!$M$2:$M$201,MATCH(A111,'Employee Master'!$A$2:$A$201,0))</f>
        <v>9120</v>
      </c>
      <c r="R111" s="2" t="n">
        <v>0</v>
      </c>
      <c r="S111" s="2" t="n">
        <f aca="false">N111-O111-P111-Q111-R111</f>
        <v>56649.22</v>
      </c>
    </row>
    <row r="112" customFormat="false" ht="15" hidden="false" customHeight="false" outlineLevel="0" collapsed="false">
      <c r="A112" s="2" t="s">
        <v>269</v>
      </c>
      <c r="B112" s="2" t="s">
        <v>270</v>
      </c>
      <c r="C112" s="2" t="s">
        <v>649</v>
      </c>
      <c r="D112" s="2" t="n">
        <v>2026</v>
      </c>
      <c r="E112" s="2" t="n">
        <f aca="false">INDEX('Employee Master'!$G$2:$G$201,MATCH(A112,'Employee Master'!$A$2:$A$201,0))</f>
        <v>49000</v>
      </c>
      <c r="F112" s="2" t="n">
        <v>26</v>
      </c>
      <c r="G112" s="2" t="n">
        <f aca="false">COUNTIFS('Tally Attendance'!$A$2:$A$6201,A112,'Tally Attendance'!$F$2:$F$6201,"Present")</f>
        <v>26</v>
      </c>
      <c r="H112" s="2" t="n">
        <f aca="false">COUNTIFS('Tally Attendance'!$A$2:$A$6201,A112,'Tally Attendance'!$F$2:$F$6201,"Absent")</f>
        <v>0</v>
      </c>
      <c r="I112" s="2" t="n">
        <f aca="false">COUNTIFS('Tally Attendance'!$A$2:$A$6201,A112,'Tally Attendance'!$F$2:$F$6201,"Leave")</f>
        <v>0</v>
      </c>
      <c r="J112" s="2" t="n">
        <f aca="false">COUNTIFS('Tally Attendance'!$A$2:$A$6201,A112,'Tally Attendance'!$F$2:$F$6201,"Half Day")</f>
        <v>0</v>
      </c>
      <c r="K112" s="2" t="n">
        <f aca="false">MIN(H112,2)</f>
        <v>0</v>
      </c>
      <c r="L112" s="2" t="n">
        <f aca="false">MAX(H112-K112,0)</f>
        <v>0</v>
      </c>
      <c r="M112" s="2" t="n">
        <f aca="false">ROUND(E112/F112,2)</f>
        <v>1884.62</v>
      </c>
      <c r="N112" s="2" t="n">
        <f aca="false">E112</f>
        <v>49000</v>
      </c>
      <c r="O112" s="2" t="n">
        <f aca="false">ROUND(M112*L112,2)</f>
        <v>0</v>
      </c>
      <c r="P112" s="2" t="n">
        <f aca="false">ROUND(M112*COUNTIFS('Leave Records'!$B$2:$B$144,A112,'Leave Records'!$F$2:$F$144,"Unpaid")+M112*0.5*J112,2)</f>
        <v>0</v>
      </c>
      <c r="Q112" s="2" t="n">
        <f aca="false">INDEX('Employee Master'!$M$2:$M$201,MATCH(A112,'Employee Master'!$A$2:$A$201,0))</f>
        <v>5880</v>
      </c>
      <c r="R112" s="2" t="n">
        <v>0</v>
      </c>
      <c r="S112" s="2" t="n">
        <f aca="false">N112-O112-P112-Q112-R112</f>
        <v>43120</v>
      </c>
    </row>
    <row r="113" customFormat="false" ht="15" hidden="false" customHeight="false" outlineLevel="0" collapsed="false">
      <c r="A113" s="2" t="s">
        <v>271</v>
      </c>
      <c r="B113" s="2" t="s">
        <v>272</v>
      </c>
      <c r="C113" s="2" t="s">
        <v>649</v>
      </c>
      <c r="D113" s="2" t="n">
        <v>2026</v>
      </c>
      <c r="E113" s="2" t="n">
        <f aca="false">INDEX('Employee Master'!$G$2:$G$201,MATCH(A113,'Employee Master'!$A$2:$A$201,0))</f>
        <v>71500</v>
      </c>
      <c r="F113" s="2" t="n">
        <v>26</v>
      </c>
      <c r="G113" s="2" t="n">
        <f aca="false">COUNTIFS('Tally Attendance'!$A$2:$A$6201,A113,'Tally Attendance'!$F$2:$F$6201,"Present")</f>
        <v>26</v>
      </c>
      <c r="H113" s="2" t="n">
        <f aca="false">COUNTIFS('Tally Attendance'!$A$2:$A$6201,A113,'Tally Attendance'!$F$2:$F$6201,"Absent")</f>
        <v>0</v>
      </c>
      <c r="I113" s="2" t="n">
        <f aca="false">COUNTIFS('Tally Attendance'!$A$2:$A$6201,A113,'Tally Attendance'!$F$2:$F$6201,"Leave")</f>
        <v>0</v>
      </c>
      <c r="J113" s="2" t="n">
        <f aca="false">COUNTIFS('Tally Attendance'!$A$2:$A$6201,A113,'Tally Attendance'!$F$2:$F$6201,"Half Day")</f>
        <v>0</v>
      </c>
      <c r="K113" s="2" t="n">
        <f aca="false">MIN(H113,2)</f>
        <v>0</v>
      </c>
      <c r="L113" s="2" t="n">
        <f aca="false">MAX(H113-K113,0)</f>
        <v>0</v>
      </c>
      <c r="M113" s="2" t="n">
        <f aca="false">ROUND(E113/F113,2)</f>
        <v>2750</v>
      </c>
      <c r="N113" s="2" t="n">
        <f aca="false">E113</f>
        <v>71500</v>
      </c>
      <c r="O113" s="2" t="n">
        <f aca="false">ROUND(M113*L113,2)</f>
        <v>0</v>
      </c>
      <c r="P113" s="2" t="n">
        <f aca="false">ROUND(M113*COUNTIFS('Leave Records'!$B$2:$B$144,A113,'Leave Records'!$F$2:$F$144,"Unpaid")+M113*0.5*J113,2)</f>
        <v>0</v>
      </c>
      <c r="Q113" s="2" t="n">
        <f aca="false">INDEX('Employee Master'!$M$2:$M$201,MATCH(A113,'Employee Master'!$A$2:$A$201,0))</f>
        <v>8580</v>
      </c>
      <c r="R113" s="2" t="n">
        <v>0</v>
      </c>
      <c r="S113" s="2" t="n">
        <f aca="false">N113-O113-P113-Q113-R113</f>
        <v>62920</v>
      </c>
    </row>
    <row r="114" customFormat="false" ht="15" hidden="false" customHeight="false" outlineLevel="0" collapsed="false">
      <c r="A114" s="2" t="s">
        <v>273</v>
      </c>
      <c r="B114" s="2" t="s">
        <v>274</v>
      </c>
      <c r="C114" s="2" t="s">
        <v>649</v>
      </c>
      <c r="D114" s="2" t="n">
        <v>2026</v>
      </c>
      <c r="E114" s="2" t="n">
        <f aca="false">INDEX('Employee Master'!$G$2:$G$201,MATCH(A114,'Employee Master'!$A$2:$A$201,0))</f>
        <v>91000</v>
      </c>
      <c r="F114" s="2" t="n">
        <v>26</v>
      </c>
      <c r="G114" s="2" t="n">
        <f aca="false">COUNTIFS('Tally Attendance'!$A$2:$A$6201,A114,'Tally Attendance'!$F$2:$F$6201,"Present")</f>
        <v>22</v>
      </c>
      <c r="H114" s="2" t="n">
        <f aca="false">COUNTIFS('Tally Attendance'!$A$2:$A$6201,A114,'Tally Attendance'!$F$2:$F$6201,"Absent")</f>
        <v>4</v>
      </c>
      <c r="I114" s="2" t="n">
        <f aca="false">COUNTIFS('Tally Attendance'!$A$2:$A$6201,A114,'Tally Attendance'!$F$2:$F$6201,"Leave")</f>
        <v>0</v>
      </c>
      <c r="J114" s="2" t="n">
        <f aca="false">COUNTIFS('Tally Attendance'!$A$2:$A$6201,A114,'Tally Attendance'!$F$2:$F$6201,"Half Day")</f>
        <v>0</v>
      </c>
      <c r="K114" s="2" t="n">
        <f aca="false">MIN(H114,2)</f>
        <v>2</v>
      </c>
      <c r="L114" s="2" t="n">
        <f aca="false">MAX(H114-K114,0)</f>
        <v>2</v>
      </c>
      <c r="M114" s="2" t="n">
        <f aca="false">ROUND(E114/F114,2)</f>
        <v>3500</v>
      </c>
      <c r="N114" s="2" t="n">
        <f aca="false">E114</f>
        <v>91000</v>
      </c>
      <c r="O114" s="2" t="n">
        <f aca="false">ROUND(M114*L114,2)</f>
        <v>7000</v>
      </c>
      <c r="P114" s="2" t="n">
        <f aca="false">ROUND(M114*COUNTIFS('Leave Records'!$B$2:$B$144,A114,'Leave Records'!$F$2:$F$144,"Unpaid")+M114*0.5*J114,2)</f>
        <v>0</v>
      </c>
      <c r="Q114" s="2" t="n">
        <f aca="false">INDEX('Employee Master'!$M$2:$M$201,MATCH(A114,'Employee Master'!$A$2:$A$201,0))</f>
        <v>10920</v>
      </c>
      <c r="R114" s="2" t="n">
        <v>0</v>
      </c>
      <c r="S114" s="2" t="n">
        <f aca="false">N114-O114-P114-Q114-R114</f>
        <v>73080</v>
      </c>
    </row>
    <row r="115" customFormat="false" ht="15" hidden="false" customHeight="false" outlineLevel="0" collapsed="false">
      <c r="A115" s="2" t="s">
        <v>275</v>
      </c>
      <c r="B115" s="2" t="s">
        <v>276</v>
      </c>
      <c r="C115" s="2" t="s">
        <v>649</v>
      </c>
      <c r="D115" s="2" t="n">
        <v>2026</v>
      </c>
      <c r="E115" s="2" t="n">
        <f aca="false">INDEX('Employee Master'!$G$2:$G$201,MATCH(A115,'Employee Master'!$A$2:$A$201,0))</f>
        <v>37000</v>
      </c>
      <c r="F115" s="2" t="n">
        <v>26</v>
      </c>
      <c r="G115" s="2" t="n">
        <f aca="false">COUNTIFS('Tally Attendance'!$A$2:$A$6201,A115,'Tally Attendance'!$F$2:$F$6201,"Present")</f>
        <v>25</v>
      </c>
      <c r="H115" s="2" t="n">
        <f aca="false">COUNTIFS('Tally Attendance'!$A$2:$A$6201,A115,'Tally Attendance'!$F$2:$F$6201,"Absent")</f>
        <v>0</v>
      </c>
      <c r="I115" s="2" t="n">
        <f aca="false">COUNTIFS('Tally Attendance'!$A$2:$A$6201,A115,'Tally Attendance'!$F$2:$F$6201,"Leave")</f>
        <v>0</v>
      </c>
      <c r="J115" s="2" t="n">
        <f aca="false">COUNTIFS('Tally Attendance'!$A$2:$A$6201,A115,'Tally Attendance'!$F$2:$F$6201,"Half Day")</f>
        <v>1</v>
      </c>
      <c r="K115" s="2" t="n">
        <f aca="false">MIN(H115,2)</f>
        <v>0</v>
      </c>
      <c r="L115" s="2" t="n">
        <f aca="false">MAX(H115-K115,0)</f>
        <v>0</v>
      </c>
      <c r="M115" s="2" t="n">
        <f aca="false">ROUND(E115/F115,2)</f>
        <v>1423.08</v>
      </c>
      <c r="N115" s="2" t="n">
        <f aca="false">E115</f>
        <v>37000</v>
      </c>
      <c r="O115" s="2" t="n">
        <f aca="false">ROUND(M115*L115,2)</f>
        <v>0</v>
      </c>
      <c r="P115" s="2" t="n">
        <f aca="false">ROUND(M115*COUNTIFS('Leave Records'!$B$2:$B$144,A115,'Leave Records'!$F$2:$F$144,"Unpaid")+M115*0.5*J115,2)</f>
        <v>711.54</v>
      </c>
      <c r="Q115" s="2" t="n">
        <f aca="false">INDEX('Employee Master'!$M$2:$M$201,MATCH(A115,'Employee Master'!$A$2:$A$201,0))</f>
        <v>4440</v>
      </c>
      <c r="R115" s="2" t="n">
        <v>0</v>
      </c>
      <c r="S115" s="2" t="n">
        <f aca="false">N115-O115-P115-Q115-R115</f>
        <v>31848.46</v>
      </c>
    </row>
    <row r="116" customFormat="false" ht="15" hidden="false" customHeight="false" outlineLevel="0" collapsed="false">
      <c r="A116" s="2" t="s">
        <v>277</v>
      </c>
      <c r="B116" s="2" t="s">
        <v>278</v>
      </c>
      <c r="C116" s="2" t="s">
        <v>649</v>
      </c>
      <c r="D116" s="2" t="n">
        <v>2026</v>
      </c>
      <c r="E116" s="2" t="n">
        <f aca="false">INDEX('Employee Master'!$G$2:$G$201,MATCH(A116,'Employee Master'!$A$2:$A$201,0))</f>
        <v>78500</v>
      </c>
      <c r="F116" s="2" t="n">
        <v>26</v>
      </c>
      <c r="G116" s="2" t="n">
        <f aca="false">COUNTIFS('Tally Attendance'!$A$2:$A$6201,A116,'Tally Attendance'!$F$2:$F$6201,"Present")</f>
        <v>19</v>
      </c>
      <c r="H116" s="2" t="n">
        <f aca="false">COUNTIFS('Tally Attendance'!$A$2:$A$6201,A116,'Tally Attendance'!$F$2:$F$6201,"Absent")</f>
        <v>7</v>
      </c>
      <c r="I116" s="2" t="n">
        <f aca="false">COUNTIFS('Tally Attendance'!$A$2:$A$6201,A116,'Tally Attendance'!$F$2:$F$6201,"Leave")</f>
        <v>0</v>
      </c>
      <c r="J116" s="2" t="n">
        <f aca="false">COUNTIFS('Tally Attendance'!$A$2:$A$6201,A116,'Tally Attendance'!$F$2:$F$6201,"Half Day")</f>
        <v>0</v>
      </c>
      <c r="K116" s="2" t="n">
        <f aca="false">MIN(H116,2)</f>
        <v>2</v>
      </c>
      <c r="L116" s="2" t="n">
        <f aca="false">MAX(H116-K116,0)</f>
        <v>5</v>
      </c>
      <c r="M116" s="2" t="n">
        <f aca="false">ROUND(E116/F116,2)</f>
        <v>3019.23</v>
      </c>
      <c r="N116" s="2" t="n">
        <f aca="false">E116</f>
        <v>78500</v>
      </c>
      <c r="O116" s="2" t="n">
        <f aca="false">ROUND(M116*L116,2)</f>
        <v>15096.15</v>
      </c>
      <c r="P116" s="2" t="n">
        <f aca="false">ROUND(M116*COUNTIFS('Leave Records'!$B$2:$B$144,A116,'Leave Records'!$F$2:$F$144,"Unpaid")+M116*0.5*J116,2)</f>
        <v>0</v>
      </c>
      <c r="Q116" s="2" t="n">
        <f aca="false">INDEX('Employee Master'!$M$2:$M$201,MATCH(A116,'Employee Master'!$A$2:$A$201,0))</f>
        <v>9420</v>
      </c>
      <c r="R116" s="2" t="n">
        <v>0</v>
      </c>
      <c r="S116" s="2" t="n">
        <f aca="false">N116-O116-P116-Q116-R116</f>
        <v>53983.85</v>
      </c>
    </row>
    <row r="117" customFormat="false" ht="15" hidden="false" customHeight="false" outlineLevel="0" collapsed="false">
      <c r="A117" s="2" t="s">
        <v>279</v>
      </c>
      <c r="B117" s="2" t="s">
        <v>280</v>
      </c>
      <c r="C117" s="2" t="s">
        <v>649</v>
      </c>
      <c r="D117" s="2" t="n">
        <v>2026</v>
      </c>
      <c r="E117" s="2" t="n">
        <f aca="false">INDEX('Employee Master'!$G$2:$G$201,MATCH(A117,'Employee Master'!$A$2:$A$201,0))</f>
        <v>66000</v>
      </c>
      <c r="F117" s="2" t="n">
        <v>26</v>
      </c>
      <c r="G117" s="2" t="n">
        <f aca="false">COUNTIFS('Tally Attendance'!$A$2:$A$6201,A117,'Tally Attendance'!$F$2:$F$6201,"Present")</f>
        <v>15</v>
      </c>
      <c r="H117" s="2" t="n">
        <f aca="false">COUNTIFS('Tally Attendance'!$A$2:$A$6201,A117,'Tally Attendance'!$F$2:$F$6201,"Absent")</f>
        <v>9</v>
      </c>
      <c r="I117" s="2" t="n">
        <f aca="false">COUNTIFS('Tally Attendance'!$A$2:$A$6201,A117,'Tally Attendance'!$F$2:$F$6201,"Leave")</f>
        <v>0</v>
      </c>
      <c r="J117" s="2" t="n">
        <f aca="false">COUNTIFS('Tally Attendance'!$A$2:$A$6201,A117,'Tally Attendance'!$F$2:$F$6201,"Half Day")</f>
        <v>2</v>
      </c>
      <c r="K117" s="2" t="n">
        <f aca="false">MIN(H117,2)</f>
        <v>2</v>
      </c>
      <c r="L117" s="2" t="n">
        <f aca="false">MAX(H117-K117,0)</f>
        <v>7</v>
      </c>
      <c r="M117" s="2" t="n">
        <f aca="false">ROUND(E117/F117,2)</f>
        <v>2538.46</v>
      </c>
      <c r="N117" s="2" t="n">
        <f aca="false">E117</f>
        <v>66000</v>
      </c>
      <c r="O117" s="2" t="n">
        <f aca="false">ROUND(M117*L117,2)</f>
        <v>17769.22</v>
      </c>
      <c r="P117" s="2" t="n">
        <f aca="false">ROUND(M117*COUNTIFS('Leave Records'!$B$2:$B$144,A117,'Leave Records'!$F$2:$F$144,"Unpaid")+M117*0.5*J117,2)</f>
        <v>2538.46</v>
      </c>
      <c r="Q117" s="2" t="n">
        <f aca="false">INDEX('Employee Master'!$M$2:$M$201,MATCH(A117,'Employee Master'!$A$2:$A$201,0))</f>
        <v>7920</v>
      </c>
      <c r="R117" s="2" t="n">
        <v>0</v>
      </c>
      <c r="S117" s="2" t="n">
        <f aca="false">N117-O117-P117-Q117-R117</f>
        <v>37772.32</v>
      </c>
    </row>
    <row r="118" customFormat="false" ht="15" hidden="false" customHeight="false" outlineLevel="0" collapsed="false">
      <c r="A118" s="2" t="s">
        <v>281</v>
      </c>
      <c r="B118" s="2" t="s">
        <v>282</v>
      </c>
      <c r="C118" s="2" t="s">
        <v>649</v>
      </c>
      <c r="D118" s="2" t="n">
        <v>2026</v>
      </c>
      <c r="E118" s="2" t="n">
        <f aca="false">INDEX('Employee Master'!$G$2:$G$201,MATCH(A118,'Employee Master'!$A$2:$A$201,0))</f>
        <v>22500</v>
      </c>
      <c r="F118" s="2" t="n">
        <v>26</v>
      </c>
      <c r="G118" s="2" t="n">
        <f aca="false">COUNTIFS('Tally Attendance'!$A$2:$A$6201,A118,'Tally Attendance'!$F$2:$F$6201,"Present")</f>
        <v>21</v>
      </c>
      <c r="H118" s="2" t="n">
        <f aca="false">COUNTIFS('Tally Attendance'!$A$2:$A$6201,A118,'Tally Attendance'!$F$2:$F$6201,"Absent")</f>
        <v>4</v>
      </c>
      <c r="I118" s="2" t="n">
        <f aca="false">COUNTIFS('Tally Attendance'!$A$2:$A$6201,A118,'Tally Attendance'!$F$2:$F$6201,"Leave")</f>
        <v>1</v>
      </c>
      <c r="J118" s="2" t="n">
        <f aca="false">COUNTIFS('Tally Attendance'!$A$2:$A$6201,A118,'Tally Attendance'!$F$2:$F$6201,"Half Day")</f>
        <v>0</v>
      </c>
      <c r="K118" s="2" t="n">
        <f aca="false">MIN(H118,2)</f>
        <v>2</v>
      </c>
      <c r="L118" s="2" t="n">
        <f aca="false">MAX(H118-K118,0)</f>
        <v>2</v>
      </c>
      <c r="M118" s="2" t="n">
        <f aca="false">ROUND(E118/F118,2)</f>
        <v>865.38</v>
      </c>
      <c r="N118" s="2" t="n">
        <f aca="false">E118</f>
        <v>22500</v>
      </c>
      <c r="O118" s="2" t="n">
        <f aca="false">ROUND(M118*L118,2)</f>
        <v>1730.76</v>
      </c>
      <c r="P118" s="2" t="n">
        <f aca="false">ROUND(M118*COUNTIFS('Leave Records'!$B$2:$B$144,A118,'Leave Records'!$F$2:$F$144,"Unpaid")+M118*0.5*J118,2)</f>
        <v>0</v>
      </c>
      <c r="Q118" s="2" t="n">
        <f aca="false">INDEX('Employee Master'!$M$2:$M$201,MATCH(A118,'Employee Master'!$A$2:$A$201,0))</f>
        <v>2700</v>
      </c>
      <c r="R118" s="2" t="n">
        <v>0</v>
      </c>
      <c r="S118" s="2" t="n">
        <f aca="false">N118-O118-P118-Q118-R118</f>
        <v>18069.24</v>
      </c>
    </row>
    <row r="119" customFormat="false" ht="15" hidden="false" customHeight="false" outlineLevel="0" collapsed="false">
      <c r="A119" s="2" t="s">
        <v>283</v>
      </c>
      <c r="B119" s="2" t="s">
        <v>284</v>
      </c>
      <c r="C119" s="2" t="s">
        <v>649</v>
      </c>
      <c r="D119" s="2" t="n">
        <v>2026</v>
      </c>
      <c r="E119" s="2" t="n">
        <f aca="false">INDEX('Employee Master'!$G$2:$G$201,MATCH(A119,'Employee Master'!$A$2:$A$201,0))</f>
        <v>146500</v>
      </c>
      <c r="F119" s="2" t="n">
        <v>26</v>
      </c>
      <c r="G119" s="2" t="n">
        <f aca="false">COUNTIFS('Tally Attendance'!$A$2:$A$6201,A119,'Tally Attendance'!$F$2:$F$6201,"Present")</f>
        <v>24</v>
      </c>
      <c r="H119" s="2" t="n">
        <f aca="false">COUNTIFS('Tally Attendance'!$A$2:$A$6201,A119,'Tally Attendance'!$F$2:$F$6201,"Absent")</f>
        <v>1</v>
      </c>
      <c r="I119" s="2" t="n">
        <f aca="false">COUNTIFS('Tally Attendance'!$A$2:$A$6201,A119,'Tally Attendance'!$F$2:$F$6201,"Leave")</f>
        <v>1</v>
      </c>
      <c r="J119" s="2" t="n">
        <f aca="false">COUNTIFS('Tally Attendance'!$A$2:$A$6201,A119,'Tally Attendance'!$F$2:$F$6201,"Half Day")</f>
        <v>0</v>
      </c>
      <c r="K119" s="2" t="n">
        <f aca="false">MIN(H119,2)</f>
        <v>1</v>
      </c>
      <c r="L119" s="2" t="n">
        <f aca="false">MAX(H119-K119,0)</f>
        <v>0</v>
      </c>
      <c r="M119" s="2" t="n">
        <f aca="false">ROUND(E119/F119,2)</f>
        <v>5634.62</v>
      </c>
      <c r="N119" s="2" t="n">
        <f aca="false">E119</f>
        <v>146500</v>
      </c>
      <c r="O119" s="2" t="n">
        <f aca="false">ROUND(M119*L119,2)</f>
        <v>0</v>
      </c>
      <c r="P119" s="2" t="n">
        <f aca="false">ROUND(M119*COUNTIFS('Leave Records'!$B$2:$B$144,A119,'Leave Records'!$F$2:$F$144,"Unpaid")+M119*0.5*J119,2)</f>
        <v>0</v>
      </c>
      <c r="Q119" s="2" t="n">
        <f aca="false">INDEX('Employee Master'!$M$2:$M$201,MATCH(A119,'Employee Master'!$A$2:$A$201,0))</f>
        <v>17580</v>
      </c>
      <c r="R119" s="2" t="n">
        <v>0</v>
      </c>
      <c r="S119" s="2" t="n">
        <f aca="false">N119-O119-P119-Q119-R119</f>
        <v>128920</v>
      </c>
    </row>
    <row r="120" customFormat="false" ht="15" hidden="false" customHeight="false" outlineLevel="0" collapsed="false">
      <c r="A120" s="2" t="s">
        <v>285</v>
      </c>
      <c r="B120" s="2" t="s">
        <v>286</v>
      </c>
      <c r="C120" s="2" t="s">
        <v>649</v>
      </c>
      <c r="D120" s="2" t="n">
        <v>2026</v>
      </c>
      <c r="E120" s="2" t="n">
        <f aca="false">INDEX('Employee Master'!$G$2:$G$201,MATCH(A120,'Employee Master'!$A$2:$A$201,0))</f>
        <v>36000</v>
      </c>
      <c r="F120" s="2" t="n">
        <v>26</v>
      </c>
      <c r="G120" s="2" t="n">
        <f aca="false">COUNTIFS('Tally Attendance'!$A$2:$A$6201,A120,'Tally Attendance'!$F$2:$F$6201,"Present")</f>
        <v>20</v>
      </c>
      <c r="H120" s="2" t="n">
        <f aca="false">COUNTIFS('Tally Attendance'!$A$2:$A$6201,A120,'Tally Attendance'!$F$2:$F$6201,"Absent")</f>
        <v>5</v>
      </c>
      <c r="I120" s="2" t="n">
        <f aca="false">COUNTIFS('Tally Attendance'!$A$2:$A$6201,A120,'Tally Attendance'!$F$2:$F$6201,"Leave")</f>
        <v>1</v>
      </c>
      <c r="J120" s="2" t="n">
        <f aca="false">COUNTIFS('Tally Attendance'!$A$2:$A$6201,A120,'Tally Attendance'!$F$2:$F$6201,"Half Day")</f>
        <v>0</v>
      </c>
      <c r="K120" s="2" t="n">
        <f aca="false">MIN(H120,2)</f>
        <v>2</v>
      </c>
      <c r="L120" s="2" t="n">
        <f aca="false">MAX(H120-K120,0)</f>
        <v>3</v>
      </c>
      <c r="M120" s="2" t="n">
        <f aca="false">ROUND(E120/F120,2)</f>
        <v>1384.62</v>
      </c>
      <c r="N120" s="2" t="n">
        <f aca="false">E120</f>
        <v>36000</v>
      </c>
      <c r="O120" s="2" t="n">
        <f aca="false">ROUND(M120*L120,2)</f>
        <v>4153.86</v>
      </c>
      <c r="P120" s="2" t="n">
        <f aca="false">ROUND(M120*COUNTIFS('Leave Records'!$B$2:$B$144,A120,'Leave Records'!$F$2:$F$144,"Unpaid")+M120*0.5*J120,2)</f>
        <v>1384.62</v>
      </c>
      <c r="Q120" s="2" t="n">
        <f aca="false">INDEX('Employee Master'!$M$2:$M$201,MATCH(A120,'Employee Master'!$A$2:$A$201,0))</f>
        <v>4320</v>
      </c>
      <c r="R120" s="2" t="n">
        <v>0</v>
      </c>
      <c r="S120" s="2" t="n">
        <f aca="false">N120-O120-P120-Q120-R120</f>
        <v>26141.52</v>
      </c>
    </row>
    <row r="121" customFormat="false" ht="15" hidden="false" customHeight="false" outlineLevel="0" collapsed="false">
      <c r="A121" s="2" t="s">
        <v>287</v>
      </c>
      <c r="B121" s="2" t="s">
        <v>288</v>
      </c>
      <c r="C121" s="2" t="s">
        <v>649</v>
      </c>
      <c r="D121" s="2" t="n">
        <v>2026</v>
      </c>
      <c r="E121" s="2" t="n">
        <f aca="false">INDEX('Employee Master'!$G$2:$G$201,MATCH(A121,'Employee Master'!$A$2:$A$201,0))</f>
        <v>71000</v>
      </c>
      <c r="F121" s="2" t="n">
        <v>26</v>
      </c>
      <c r="G121" s="2" t="n">
        <f aca="false">COUNTIFS('Tally Attendance'!$A$2:$A$6201,A121,'Tally Attendance'!$F$2:$F$6201,"Present")</f>
        <v>24</v>
      </c>
      <c r="H121" s="2" t="n">
        <f aca="false">COUNTIFS('Tally Attendance'!$A$2:$A$6201,A121,'Tally Attendance'!$F$2:$F$6201,"Absent")</f>
        <v>1</v>
      </c>
      <c r="I121" s="2" t="n">
        <f aca="false">COUNTIFS('Tally Attendance'!$A$2:$A$6201,A121,'Tally Attendance'!$F$2:$F$6201,"Leave")</f>
        <v>1</v>
      </c>
      <c r="J121" s="2" t="n">
        <f aca="false">COUNTIFS('Tally Attendance'!$A$2:$A$6201,A121,'Tally Attendance'!$F$2:$F$6201,"Half Day")</f>
        <v>0</v>
      </c>
      <c r="K121" s="2" t="n">
        <f aca="false">MIN(H121,2)</f>
        <v>1</v>
      </c>
      <c r="L121" s="2" t="n">
        <f aca="false">MAX(H121-K121,0)</f>
        <v>0</v>
      </c>
      <c r="M121" s="2" t="n">
        <f aca="false">ROUND(E121/F121,2)</f>
        <v>2730.77</v>
      </c>
      <c r="N121" s="2" t="n">
        <f aca="false">E121</f>
        <v>71000</v>
      </c>
      <c r="O121" s="2" t="n">
        <f aca="false">ROUND(M121*L121,2)</f>
        <v>0</v>
      </c>
      <c r="P121" s="2" t="n">
        <f aca="false">ROUND(M121*COUNTIFS('Leave Records'!$B$2:$B$144,A121,'Leave Records'!$F$2:$F$144,"Unpaid")+M121*0.5*J121,2)</f>
        <v>0</v>
      </c>
      <c r="Q121" s="2" t="n">
        <f aca="false">INDEX('Employee Master'!$M$2:$M$201,MATCH(A121,'Employee Master'!$A$2:$A$201,0))</f>
        <v>8520</v>
      </c>
      <c r="R121" s="2" t="n">
        <v>0</v>
      </c>
      <c r="S121" s="2" t="n">
        <f aca="false">N121-O121-P121-Q121-R121</f>
        <v>62480</v>
      </c>
    </row>
    <row r="122" customFormat="false" ht="15" hidden="false" customHeight="false" outlineLevel="0" collapsed="false">
      <c r="A122" s="2" t="s">
        <v>289</v>
      </c>
      <c r="B122" s="2" t="s">
        <v>290</v>
      </c>
      <c r="C122" s="2" t="s">
        <v>649</v>
      </c>
      <c r="D122" s="2" t="n">
        <v>2026</v>
      </c>
      <c r="E122" s="2" t="n">
        <f aca="false">INDEX('Employee Master'!$G$2:$G$201,MATCH(A122,'Employee Master'!$A$2:$A$201,0))</f>
        <v>75500</v>
      </c>
      <c r="F122" s="2" t="n">
        <v>26</v>
      </c>
      <c r="G122" s="2" t="n">
        <f aca="false">COUNTIFS('Tally Attendance'!$A$2:$A$6201,A122,'Tally Attendance'!$F$2:$F$6201,"Present")</f>
        <v>19</v>
      </c>
      <c r="H122" s="2" t="n">
        <f aca="false">COUNTIFS('Tally Attendance'!$A$2:$A$6201,A122,'Tally Attendance'!$F$2:$F$6201,"Absent")</f>
        <v>5</v>
      </c>
      <c r="I122" s="2" t="n">
        <f aca="false">COUNTIFS('Tally Attendance'!$A$2:$A$6201,A122,'Tally Attendance'!$F$2:$F$6201,"Leave")</f>
        <v>2</v>
      </c>
      <c r="J122" s="2" t="n">
        <f aca="false">COUNTIFS('Tally Attendance'!$A$2:$A$6201,A122,'Tally Attendance'!$F$2:$F$6201,"Half Day")</f>
        <v>0</v>
      </c>
      <c r="K122" s="2" t="n">
        <f aca="false">MIN(H122,2)</f>
        <v>2</v>
      </c>
      <c r="L122" s="2" t="n">
        <f aca="false">MAX(H122-K122,0)</f>
        <v>3</v>
      </c>
      <c r="M122" s="2" t="n">
        <f aca="false">ROUND(E122/F122,2)</f>
        <v>2903.85</v>
      </c>
      <c r="N122" s="2" t="n">
        <f aca="false">E122</f>
        <v>75500</v>
      </c>
      <c r="O122" s="2" t="n">
        <f aca="false">ROUND(M122*L122,2)</f>
        <v>8711.55</v>
      </c>
      <c r="P122" s="2" t="n">
        <f aca="false">ROUND(M122*COUNTIFS('Leave Records'!$B$2:$B$144,A122,'Leave Records'!$F$2:$F$144,"Unpaid")+M122*0.5*J122,2)</f>
        <v>2903.85</v>
      </c>
      <c r="Q122" s="2" t="n">
        <f aca="false">INDEX('Employee Master'!$M$2:$M$201,MATCH(A122,'Employee Master'!$A$2:$A$201,0))</f>
        <v>9060</v>
      </c>
      <c r="R122" s="2" t="n">
        <v>0</v>
      </c>
      <c r="S122" s="2" t="n">
        <f aca="false">N122-O122-P122-Q122-R122</f>
        <v>54824.6</v>
      </c>
    </row>
    <row r="123" customFormat="false" ht="15" hidden="false" customHeight="false" outlineLevel="0" collapsed="false">
      <c r="A123" s="2" t="s">
        <v>291</v>
      </c>
      <c r="B123" s="2" t="s">
        <v>292</v>
      </c>
      <c r="C123" s="2" t="s">
        <v>649</v>
      </c>
      <c r="D123" s="2" t="n">
        <v>2026</v>
      </c>
      <c r="E123" s="2" t="n">
        <f aca="false">INDEX('Employee Master'!$G$2:$G$201,MATCH(A123,'Employee Master'!$A$2:$A$201,0))</f>
        <v>35000</v>
      </c>
      <c r="F123" s="2" t="n">
        <v>26</v>
      </c>
      <c r="G123" s="2" t="n">
        <f aca="false">COUNTIFS('Tally Attendance'!$A$2:$A$6201,A123,'Tally Attendance'!$F$2:$F$6201,"Present")</f>
        <v>18</v>
      </c>
      <c r="H123" s="2" t="n">
        <f aca="false">COUNTIFS('Tally Attendance'!$A$2:$A$6201,A123,'Tally Attendance'!$F$2:$F$6201,"Absent")</f>
        <v>6</v>
      </c>
      <c r="I123" s="2" t="n">
        <f aca="false">COUNTIFS('Tally Attendance'!$A$2:$A$6201,A123,'Tally Attendance'!$F$2:$F$6201,"Leave")</f>
        <v>0</v>
      </c>
      <c r="J123" s="2" t="n">
        <f aca="false">COUNTIFS('Tally Attendance'!$A$2:$A$6201,A123,'Tally Attendance'!$F$2:$F$6201,"Half Day")</f>
        <v>2</v>
      </c>
      <c r="K123" s="2" t="n">
        <f aca="false">MIN(H123,2)</f>
        <v>2</v>
      </c>
      <c r="L123" s="2" t="n">
        <f aca="false">MAX(H123-K123,0)</f>
        <v>4</v>
      </c>
      <c r="M123" s="2" t="n">
        <f aca="false">ROUND(E123/F123,2)</f>
        <v>1346.15</v>
      </c>
      <c r="N123" s="2" t="n">
        <f aca="false">E123</f>
        <v>35000</v>
      </c>
      <c r="O123" s="2" t="n">
        <f aca="false">ROUND(M123*L123,2)</f>
        <v>5384.6</v>
      </c>
      <c r="P123" s="2" t="n">
        <f aca="false">ROUND(M123*COUNTIFS('Leave Records'!$B$2:$B$144,A123,'Leave Records'!$F$2:$F$144,"Unpaid")+M123*0.5*J123,2)</f>
        <v>1346.15</v>
      </c>
      <c r="Q123" s="2" t="n">
        <f aca="false">INDEX('Employee Master'!$M$2:$M$201,MATCH(A123,'Employee Master'!$A$2:$A$201,0))</f>
        <v>4200</v>
      </c>
      <c r="R123" s="2" t="n">
        <v>0</v>
      </c>
      <c r="S123" s="2" t="n">
        <f aca="false">N123-O123-P123-Q123-R123</f>
        <v>24069.25</v>
      </c>
    </row>
    <row r="124" customFormat="false" ht="15" hidden="false" customHeight="false" outlineLevel="0" collapsed="false">
      <c r="A124" s="2" t="s">
        <v>293</v>
      </c>
      <c r="B124" s="2" t="s">
        <v>294</v>
      </c>
      <c r="C124" s="2" t="s">
        <v>649</v>
      </c>
      <c r="D124" s="2" t="n">
        <v>2026</v>
      </c>
      <c r="E124" s="2" t="n">
        <f aca="false">INDEX('Employee Master'!$G$2:$G$201,MATCH(A124,'Employee Master'!$A$2:$A$201,0))</f>
        <v>80500</v>
      </c>
      <c r="F124" s="2" t="n">
        <v>26</v>
      </c>
      <c r="G124" s="2" t="n">
        <f aca="false">COUNTIFS('Tally Attendance'!$A$2:$A$6201,A124,'Tally Attendance'!$F$2:$F$6201,"Present")</f>
        <v>24</v>
      </c>
      <c r="H124" s="2" t="n">
        <f aca="false">COUNTIFS('Tally Attendance'!$A$2:$A$6201,A124,'Tally Attendance'!$F$2:$F$6201,"Absent")</f>
        <v>1</v>
      </c>
      <c r="I124" s="2" t="n">
        <f aca="false">COUNTIFS('Tally Attendance'!$A$2:$A$6201,A124,'Tally Attendance'!$F$2:$F$6201,"Leave")</f>
        <v>0</v>
      </c>
      <c r="J124" s="2" t="n">
        <f aca="false">COUNTIFS('Tally Attendance'!$A$2:$A$6201,A124,'Tally Attendance'!$F$2:$F$6201,"Half Day")</f>
        <v>1</v>
      </c>
      <c r="K124" s="2" t="n">
        <f aca="false">MIN(H124,2)</f>
        <v>1</v>
      </c>
      <c r="L124" s="2" t="n">
        <f aca="false">MAX(H124-K124,0)</f>
        <v>0</v>
      </c>
      <c r="M124" s="2" t="n">
        <f aca="false">ROUND(E124/F124,2)</f>
        <v>3096.15</v>
      </c>
      <c r="N124" s="2" t="n">
        <f aca="false">E124</f>
        <v>80500</v>
      </c>
      <c r="O124" s="2" t="n">
        <f aca="false">ROUND(M124*L124,2)</f>
        <v>0</v>
      </c>
      <c r="P124" s="2" t="n">
        <f aca="false">ROUND(M124*COUNTIFS('Leave Records'!$B$2:$B$144,A124,'Leave Records'!$F$2:$F$144,"Unpaid")+M124*0.5*J124,2)</f>
        <v>1548.08</v>
      </c>
      <c r="Q124" s="2" t="n">
        <f aca="false">INDEX('Employee Master'!$M$2:$M$201,MATCH(A124,'Employee Master'!$A$2:$A$201,0))</f>
        <v>9660</v>
      </c>
      <c r="R124" s="2" t="n">
        <v>0</v>
      </c>
      <c r="S124" s="2" t="n">
        <f aca="false">N124-O124-P124-Q124-R124</f>
        <v>69291.92</v>
      </c>
    </row>
    <row r="125" customFormat="false" ht="15" hidden="false" customHeight="false" outlineLevel="0" collapsed="false">
      <c r="A125" s="2" t="s">
        <v>295</v>
      </c>
      <c r="B125" s="2" t="s">
        <v>296</v>
      </c>
      <c r="C125" s="2" t="s">
        <v>649</v>
      </c>
      <c r="D125" s="2" t="n">
        <v>2026</v>
      </c>
      <c r="E125" s="2" t="n">
        <f aca="false">INDEX('Employee Master'!$G$2:$G$201,MATCH(A125,'Employee Master'!$A$2:$A$201,0))</f>
        <v>38000</v>
      </c>
      <c r="F125" s="2" t="n">
        <v>26</v>
      </c>
      <c r="G125" s="2" t="n">
        <f aca="false">COUNTIFS('Tally Attendance'!$A$2:$A$6201,A125,'Tally Attendance'!$F$2:$F$6201,"Present")</f>
        <v>20</v>
      </c>
      <c r="H125" s="2" t="n">
        <f aca="false">COUNTIFS('Tally Attendance'!$A$2:$A$6201,A125,'Tally Attendance'!$F$2:$F$6201,"Absent")</f>
        <v>4</v>
      </c>
      <c r="I125" s="2" t="n">
        <f aca="false">COUNTIFS('Tally Attendance'!$A$2:$A$6201,A125,'Tally Attendance'!$F$2:$F$6201,"Leave")</f>
        <v>2</v>
      </c>
      <c r="J125" s="2" t="n">
        <f aca="false">COUNTIFS('Tally Attendance'!$A$2:$A$6201,A125,'Tally Attendance'!$F$2:$F$6201,"Half Day")</f>
        <v>0</v>
      </c>
      <c r="K125" s="2" t="n">
        <f aca="false">MIN(H125,2)</f>
        <v>2</v>
      </c>
      <c r="L125" s="2" t="n">
        <f aca="false">MAX(H125-K125,0)</f>
        <v>2</v>
      </c>
      <c r="M125" s="2" t="n">
        <f aca="false">ROUND(E125/F125,2)</f>
        <v>1461.54</v>
      </c>
      <c r="N125" s="2" t="n">
        <f aca="false">E125</f>
        <v>38000</v>
      </c>
      <c r="O125" s="2" t="n">
        <f aca="false">ROUND(M125*L125,2)</f>
        <v>2923.08</v>
      </c>
      <c r="P125" s="2" t="n">
        <f aca="false">ROUND(M125*COUNTIFS('Leave Records'!$B$2:$B$144,A125,'Leave Records'!$F$2:$F$144,"Unpaid")+M125*0.5*J125,2)</f>
        <v>0</v>
      </c>
      <c r="Q125" s="2" t="n">
        <f aca="false">INDEX('Employee Master'!$M$2:$M$201,MATCH(A125,'Employee Master'!$A$2:$A$201,0))</f>
        <v>4560</v>
      </c>
      <c r="R125" s="2" t="n">
        <v>0</v>
      </c>
      <c r="S125" s="2" t="n">
        <f aca="false">N125-O125-P125-Q125-R125</f>
        <v>30516.92</v>
      </c>
    </row>
    <row r="126" customFormat="false" ht="15" hidden="false" customHeight="false" outlineLevel="0" collapsed="false">
      <c r="A126" s="2" t="s">
        <v>297</v>
      </c>
      <c r="B126" s="2" t="s">
        <v>298</v>
      </c>
      <c r="C126" s="2" t="s">
        <v>649</v>
      </c>
      <c r="D126" s="2" t="n">
        <v>2026</v>
      </c>
      <c r="E126" s="2" t="n">
        <f aca="false">INDEX('Employee Master'!$G$2:$G$201,MATCH(A126,'Employee Master'!$A$2:$A$201,0))</f>
        <v>51500</v>
      </c>
      <c r="F126" s="2" t="n">
        <v>26</v>
      </c>
      <c r="G126" s="2" t="n">
        <f aca="false">COUNTIFS('Tally Attendance'!$A$2:$A$6201,A126,'Tally Attendance'!$F$2:$F$6201,"Present")</f>
        <v>24</v>
      </c>
      <c r="H126" s="2" t="n">
        <f aca="false">COUNTIFS('Tally Attendance'!$A$2:$A$6201,A126,'Tally Attendance'!$F$2:$F$6201,"Absent")</f>
        <v>0</v>
      </c>
      <c r="I126" s="2" t="n">
        <f aca="false">COUNTIFS('Tally Attendance'!$A$2:$A$6201,A126,'Tally Attendance'!$F$2:$F$6201,"Leave")</f>
        <v>0</v>
      </c>
      <c r="J126" s="2" t="n">
        <f aca="false">COUNTIFS('Tally Attendance'!$A$2:$A$6201,A126,'Tally Attendance'!$F$2:$F$6201,"Half Day")</f>
        <v>2</v>
      </c>
      <c r="K126" s="2" t="n">
        <f aca="false">MIN(H126,2)</f>
        <v>0</v>
      </c>
      <c r="L126" s="2" t="n">
        <f aca="false">MAX(H126-K126,0)</f>
        <v>0</v>
      </c>
      <c r="M126" s="2" t="n">
        <f aca="false">ROUND(E126/F126,2)</f>
        <v>1980.77</v>
      </c>
      <c r="N126" s="2" t="n">
        <f aca="false">E126</f>
        <v>51500</v>
      </c>
      <c r="O126" s="2" t="n">
        <f aca="false">ROUND(M126*L126,2)</f>
        <v>0</v>
      </c>
      <c r="P126" s="2" t="n">
        <f aca="false">ROUND(M126*COUNTIFS('Leave Records'!$B$2:$B$144,A126,'Leave Records'!$F$2:$F$144,"Unpaid")+M126*0.5*J126,2)</f>
        <v>1980.77</v>
      </c>
      <c r="Q126" s="2" t="n">
        <f aca="false">INDEX('Employee Master'!$M$2:$M$201,MATCH(A126,'Employee Master'!$A$2:$A$201,0))</f>
        <v>6180</v>
      </c>
      <c r="R126" s="2" t="n">
        <v>0</v>
      </c>
      <c r="S126" s="2" t="n">
        <f aca="false">N126-O126-P126-Q126-R126</f>
        <v>43339.23</v>
      </c>
    </row>
    <row r="127" customFormat="false" ht="15" hidden="false" customHeight="false" outlineLevel="0" collapsed="false">
      <c r="A127" s="2" t="s">
        <v>299</v>
      </c>
      <c r="B127" s="2" t="s">
        <v>300</v>
      </c>
      <c r="C127" s="2" t="s">
        <v>649</v>
      </c>
      <c r="D127" s="2" t="n">
        <v>2026</v>
      </c>
      <c r="E127" s="2" t="n">
        <f aca="false">INDEX('Employee Master'!$G$2:$G$201,MATCH(A127,'Employee Master'!$A$2:$A$201,0))</f>
        <v>22500</v>
      </c>
      <c r="F127" s="2" t="n">
        <v>26</v>
      </c>
      <c r="G127" s="2" t="n">
        <f aca="false">COUNTIFS('Tally Attendance'!$A$2:$A$6201,A127,'Tally Attendance'!$F$2:$F$6201,"Present")</f>
        <v>14</v>
      </c>
      <c r="H127" s="2" t="n">
        <f aca="false">COUNTIFS('Tally Attendance'!$A$2:$A$6201,A127,'Tally Attendance'!$F$2:$F$6201,"Absent")</f>
        <v>8</v>
      </c>
      <c r="I127" s="2" t="n">
        <f aca="false">COUNTIFS('Tally Attendance'!$A$2:$A$6201,A127,'Tally Attendance'!$F$2:$F$6201,"Leave")</f>
        <v>2</v>
      </c>
      <c r="J127" s="2" t="n">
        <f aca="false">COUNTIFS('Tally Attendance'!$A$2:$A$6201,A127,'Tally Attendance'!$F$2:$F$6201,"Half Day")</f>
        <v>2</v>
      </c>
      <c r="K127" s="2" t="n">
        <f aca="false">MIN(H127,2)</f>
        <v>2</v>
      </c>
      <c r="L127" s="2" t="n">
        <f aca="false">MAX(H127-K127,0)</f>
        <v>6</v>
      </c>
      <c r="M127" s="2" t="n">
        <f aca="false">ROUND(E127/F127,2)</f>
        <v>865.38</v>
      </c>
      <c r="N127" s="2" t="n">
        <f aca="false">E127</f>
        <v>22500</v>
      </c>
      <c r="O127" s="2" t="n">
        <f aca="false">ROUND(M127*L127,2)</f>
        <v>5192.28</v>
      </c>
      <c r="P127" s="2" t="n">
        <f aca="false">ROUND(M127*COUNTIFS('Leave Records'!$B$2:$B$144,A127,'Leave Records'!$F$2:$F$144,"Unpaid")+M127*0.5*J127,2)</f>
        <v>865.38</v>
      </c>
      <c r="Q127" s="2" t="n">
        <f aca="false">INDEX('Employee Master'!$M$2:$M$201,MATCH(A127,'Employee Master'!$A$2:$A$201,0))</f>
        <v>2700</v>
      </c>
      <c r="R127" s="2" t="n">
        <v>0</v>
      </c>
      <c r="S127" s="2" t="n">
        <f aca="false">N127-O127-P127-Q127-R127</f>
        <v>13742.34</v>
      </c>
    </row>
    <row r="128" customFormat="false" ht="15" hidden="false" customHeight="false" outlineLevel="0" collapsed="false">
      <c r="A128" s="2" t="s">
        <v>301</v>
      </c>
      <c r="B128" s="2" t="s">
        <v>302</v>
      </c>
      <c r="C128" s="2" t="s">
        <v>649</v>
      </c>
      <c r="D128" s="2" t="n">
        <v>2026</v>
      </c>
      <c r="E128" s="2" t="n">
        <f aca="false">INDEX('Employee Master'!$G$2:$G$201,MATCH(A128,'Employee Master'!$A$2:$A$201,0))</f>
        <v>35500</v>
      </c>
      <c r="F128" s="2" t="n">
        <v>26</v>
      </c>
      <c r="G128" s="2" t="n">
        <f aca="false">COUNTIFS('Tally Attendance'!$A$2:$A$6201,A128,'Tally Attendance'!$F$2:$F$6201,"Present")</f>
        <v>24</v>
      </c>
      <c r="H128" s="2" t="n">
        <f aca="false">COUNTIFS('Tally Attendance'!$A$2:$A$6201,A128,'Tally Attendance'!$F$2:$F$6201,"Absent")</f>
        <v>2</v>
      </c>
      <c r="I128" s="2" t="n">
        <f aca="false">COUNTIFS('Tally Attendance'!$A$2:$A$6201,A128,'Tally Attendance'!$F$2:$F$6201,"Leave")</f>
        <v>0</v>
      </c>
      <c r="J128" s="2" t="n">
        <f aca="false">COUNTIFS('Tally Attendance'!$A$2:$A$6201,A128,'Tally Attendance'!$F$2:$F$6201,"Half Day")</f>
        <v>0</v>
      </c>
      <c r="K128" s="2" t="n">
        <f aca="false">MIN(H128,2)</f>
        <v>2</v>
      </c>
      <c r="L128" s="2" t="n">
        <f aca="false">MAX(H128-K128,0)</f>
        <v>0</v>
      </c>
      <c r="M128" s="2" t="n">
        <f aca="false">ROUND(E128/F128,2)</f>
        <v>1365.38</v>
      </c>
      <c r="N128" s="2" t="n">
        <f aca="false">E128</f>
        <v>35500</v>
      </c>
      <c r="O128" s="2" t="n">
        <f aca="false">ROUND(M128*L128,2)</f>
        <v>0</v>
      </c>
      <c r="P128" s="2" t="n">
        <f aca="false">ROUND(M128*COUNTIFS('Leave Records'!$B$2:$B$144,A128,'Leave Records'!$F$2:$F$144,"Unpaid")+M128*0.5*J128,2)</f>
        <v>0</v>
      </c>
      <c r="Q128" s="2" t="n">
        <f aca="false">INDEX('Employee Master'!$M$2:$M$201,MATCH(A128,'Employee Master'!$A$2:$A$201,0))</f>
        <v>4260</v>
      </c>
      <c r="R128" s="2" t="n">
        <v>0</v>
      </c>
      <c r="S128" s="2" t="n">
        <f aca="false">N128-O128-P128-Q128-R128</f>
        <v>31240</v>
      </c>
    </row>
    <row r="129" customFormat="false" ht="15" hidden="false" customHeight="false" outlineLevel="0" collapsed="false">
      <c r="A129" s="2" t="s">
        <v>303</v>
      </c>
      <c r="B129" s="2" t="s">
        <v>304</v>
      </c>
      <c r="C129" s="2" t="s">
        <v>649</v>
      </c>
      <c r="D129" s="2" t="n">
        <v>2026</v>
      </c>
      <c r="E129" s="2" t="n">
        <f aca="false">INDEX('Employee Master'!$G$2:$G$201,MATCH(A129,'Employee Master'!$A$2:$A$201,0))</f>
        <v>30000</v>
      </c>
      <c r="F129" s="2" t="n">
        <v>26</v>
      </c>
      <c r="G129" s="2" t="n">
        <f aca="false">COUNTIFS('Tally Attendance'!$A$2:$A$6201,A129,'Tally Attendance'!$F$2:$F$6201,"Present")</f>
        <v>20</v>
      </c>
      <c r="H129" s="2" t="n">
        <f aca="false">COUNTIFS('Tally Attendance'!$A$2:$A$6201,A129,'Tally Attendance'!$F$2:$F$6201,"Absent")</f>
        <v>4</v>
      </c>
      <c r="I129" s="2" t="n">
        <f aca="false">COUNTIFS('Tally Attendance'!$A$2:$A$6201,A129,'Tally Attendance'!$F$2:$F$6201,"Leave")</f>
        <v>2</v>
      </c>
      <c r="J129" s="2" t="n">
        <f aca="false">COUNTIFS('Tally Attendance'!$A$2:$A$6201,A129,'Tally Attendance'!$F$2:$F$6201,"Half Day")</f>
        <v>0</v>
      </c>
      <c r="K129" s="2" t="n">
        <f aca="false">MIN(H129,2)</f>
        <v>2</v>
      </c>
      <c r="L129" s="2" t="n">
        <f aca="false">MAX(H129-K129,0)</f>
        <v>2</v>
      </c>
      <c r="M129" s="2" t="n">
        <f aca="false">ROUND(E129/F129,2)</f>
        <v>1153.85</v>
      </c>
      <c r="N129" s="2" t="n">
        <f aca="false">E129</f>
        <v>30000</v>
      </c>
      <c r="O129" s="2" t="n">
        <f aca="false">ROUND(M129*L129,2)</f>
        <v>2307.7</v>
      </c>
      <c r="P129" s="2" t="n">
        <f aca="false">ROUND(M129*COUNTIFS('Leave Records'!$B$2:$B$144,A129,'Leave Records'!$F$2:$F$144,"Unpaid")+M129*0.5*J129,2)</f>
        <v>1153.85</v>
      </c>
      <c r="Q129" s="2" t="n">
        <f aca="false">INDEX('Employee Master'!$M$2:$M$201,MATCH(A129,'Employee Master'!$A$2:$A$201,0))</f>
        <v>3600</v>
      </c>
      <c r="R129" s="2" t="n">
        <v>0</v>
      </c>
      <c r="S129" s="2" t="n">
        <f aca="false">N129-O129-P129-Q129-R129</f>
        <v>22938.45</v>
      </c>
    </row>
    <row r="130" customFormat="false" ht="15" hidden="false" customHeight="false" outlineLevel="0" collapsed="false">
      <c r="A130" s="2" t="s">
        <v>305</v>
      </c>
      <c r="B130" s="2" t="s">
        <v>306</v>
      </c>
      <c r="C130" s="2" t="s">
        <v>649</v>
      </c>
      <c r="D130" s="2" t="n">
        <v>2026</v>
      </c>
      <c r="E130" s="2" t="n">
        <f aca="false">INDEX('Employee Master'!$G$2:$G$201,MATCH(A130,'Employee Master'!$A$2:$A$201,0))</f>
        <v>36000</v>
      </c>
      <c r="F130" s="2" t="n">
        <v>26</v>
      </c>
      <c r="G130" s="2" t="n">
        <f aca="false">COUNTIFS('Tally Attendance'!$A$2:$A$6201,A130,'Tally Attendance'!$F$2:$F$6201,"Present")</f>
        <v>21</v>
      </c>
      <c r="H130" s="2" t="n">
        <f aca="false">COUNTIFS('Tally Attendance'!$A$2:$A$6201,A130,'Tally Attendance'!$F$2:$F$6201,"Absent")</f>
        <v>4</v>
      </c>
      <c r="I130" s="2" t="n">
        <f aca="false">COUNTIFS('Tally Attendance'!$A$2:$A$6201,A130,'Tally Attendance'!$F$2:$F$6201,"Leave")</f>
        <v>0</v>
      </c>
      <c r="J130" s="2" t="n">
        <f aca="false">COUNTIFS('Tally Attendance'!$A$2:$A$6201,A130,'Tally Attendance'!$F$2:$F$6201,"Half Day")</f>
        <v>1</v>
      </c>
      <c r="K130" s="2" t="n">
        <f aca="false">MIN(H130,2)</f>
        <v>2</v>
      </c>
      <c r="L130" s="2" t="n">
        <f aca="false">MAX(H130-K130,0)</f>
        <v>2</v>
      </c>
      <c r="M130" s="2" t="n">
        <f aca="false">ROUND(E130/F130,2)</f>
        <v>1384.62</v>
      </c>
      <c r="N130" s="2" t="n">
        <f aca="false">E130</f>
        <v>36000</v>
      </c>
      <c r="O130" s="2" t="n">
        <f aca="false">ROUND(M130*L130,2)</f>
        <v>2769.24</v>
      </c>
      <c r="P130" s="2" t="n">
        <f aca="false">ROUND(M130*COUNTIFS('Leave Records'!$B$2:$B$144,A130,'Leave Records'!$F$2:$F$144,"Unpaid")+M130*0.5*J130,2)</f>
        <v>692.31</v>
      </c>
      <c r="Q130" s="2" t="n">
        <f aca="false">INDEX('Employee Master'!$M$2:$M$201,MATCH(A130,'Employee Master'!$A$2:$A$201,0))</f>
        <v>4320</v>
      </c>
      <c r="R130" s="2" t="n">
        <v>0</v>
      </c>
      <c r="S130" s="2" t="n">
        <f aca="false">N130-O130-P130-Q130-R130</f>
        <v>28218.45</v>
      </c>
    </row>
    <row r="131" customFormat="false" ht="15" hidden="false" customHeight="false" outlineLevel="0" collapsed="false">
      <c r="A131" s="2" t="s">
        <v>307</v>
      </c>
      <c r="B131" s="2" t="s">
        <v>308</v>
      </c>
      <c r="C131" s="2" t="s">
        <v>649</v>
      </c>
      <c r="D131" s="2" t="n">
        <v>2026</v>
      </c>
      <c r="E131" s="2" t="n">
        <f aca="false">INDEX('Employee Master'!$G$2:$G$201,MATCH(A131,'Employee Master'!$A$2:$A$201,0))</f>
        <v>50000</v>
      </c>
      <c r="F131" s="2" t="n">
        <v>26</v>
      </c>
      <c r="G131" s="2" t="n">
        <f aca="false">COUNTIFS('Tally Attendance'!$A$2:$A$6201,A131,'Tally Attendance'!$F$2:$F$6201,"Present")</f>
        <v>21</v>
      </c>
      <c r="H131" s="2" t="n">
        <f aca="false">COUNTIFS('Tally Attendance'!$A$2:$A$6201,A131,'Tally Attendance'!$F$2:$F$6201,"Absent")</f>
        <v>4</v>
      </c>
      <c r="I131" s="2" t="n">
        <f aca="false">COUNTIFS('Tally Attendance'!$A$2:$A$6201,A131,'Tally Attendance'!$F$2:$F$6201,"Leave")</f>
        <v>1</v>
      </c>
      <c r="J131" s="2" t="n">
        <f aca="false">COUNTIFS('Tally Attendance'!$A$2:$A$6201,A131,'Tally Attendance'!$F$2:$F$6201,"Half Day")</f>
        <v>0</v>
      </c>
      <c r="K131" s="2" t="n">
        <f aca="false">MIN(H131,2)</f>
        <v>2</v>
      </c>
      <c r="L131" s="2" t="n">
        <f aca="false">MAX(H131-K131,0)</f>
        <v>2</v>
      </c>
      <c r="M131" s="2" t="n">
        <f aca="false">ROUND(E131/F131,2)</f>
        <v>1923.08</v>
      </c>
      <c r="N131" s="2" t="n">
        <f aca="false">E131</f>
        <v>50000</v>
      </c>
      <c r="O131" s="2" t="n">
        <f aca="false">ROUND(M131*L131,2)</f>
        <v>3846.16</v>
      </c>
      <c r="P131" s="2" t="n">
        <f aca="false">ROUND(M131*COUNTIFS('Leave Records'!$B$2:$B$144,A131,'Leave Records'!$F$2:$F$144,"Unpaid")+M131*0.5*J131,2)</f>
        <v>0</v>
      </c>
      <c r="Q131" s="2" t="n">
        <f aca="false">INDEX('Employee Master'!$M$2:$M$201,MATCH(A131,'Employee Master'!$A$2:$A$201,0))</f>
        <v>6000</v>
      </c>
      <c r="R131" s="2" t="n">
        <v>0</v>
      </c>
      <c r="S131" s="2" t="n">
        <f aca="false">N131-O131-P131-Q131-R131</f>
        <v>40153.84</v>
      </c>
    </row>
    <row r="132" customFormat="false" ht="15" hidden="false" customHeight="false" outlineLevel="0" collapsed="false">
      <c r="A132" s="2" t="s">
        <v>309</v>
      </c>
      <c r="B132" s="2" t="s">
        <v>310</v>
      </c>
      <c r="C132" s="2" t="s">
        <v>649</v>
      </c>
      <c r="D132" s="2" t="n">
        <v>2026</v>
      </c>
      <c r="E132" s="2" t="n">
        <f aca="false">INDEX('Employee Master'!$G$2:$G$201,MATCH(A132,'Employee Master'!$A$2:$A$201,0))</f>
        <v>64000</v>
      </c>
      <c r="F132" s="2" t="n">
        <v>26</v>
      </c>
      <c r="G132" s="2" t="n">
        <f aca="false">COUNTIFS('Tally Attendance'!$A$2:$A$6201,A132,'Tally Attendance'!$F$2:$F$6201,"Present")</f>
        <v>22</v>
      </c>
      <c r="H132" s="2" t="n">
        <f aca="false">COUNTIFS('Tally Attendance'!$A$2:$A$6201,A132,'Tally Attendance'!$F$2:$F$6201,"Absent")</f>
        <v>1</v>
      </c>
      <c r="I132" s="2" t="n">
        <f aca="false">COUNTIFS('Tally Attendance'!$A$2:$A$6201,A132,'Tally Attendance'!$F$2:$F$6201,"Leave")</f>
        <v>1</v>
      </c>
      <c r="J132" s="2" t="n">
        <f aca="false">COUNTIFS('Tally Attendance'!$A$2:$A$6201,A132,'Tally Attendance'!$F$2:$F$6201,"Half Day")</f>
        <v>2</v>
      </c>
      <c r="K132" s="2" t="n">
        <f aca="false">MIN(H132,2)</f>
        <v>1</v>
      </c>
      <c r="L132" s="2" t="n">
        <f aca="false">MAX(H132-K132,0)</f>
        <v>0</v>
      </c>
      <c r="M132" s="2" t="n">
        <f aca="false">ROUND(E132/F132,2)</f>
        <v>2461.54</v>
      </c>
      <c r="N132" s="2" t="n">
        <f aca="false">E132</f>
        <v>64000</v>
      </c>
      <c r="O132" s="2" t="n">
        <f aca="false">ROUND(M132*L132,2)</f>
        <v>0</v>
      </c>
      <c r="P132" s="2" t="n">
        <f aca="false">ROUND(M132*COUNTIFS('Leave Records'!$B$2:$B$144,A132,'Leave Records'!$F$2:$F$144,"Unpaid")+M132*0.5*J132,2)</f>
        <v>2461.54</v>
      </c>
      <c r="Q132" s="2" t="n">
        <f aca="false">INDEX('Employee Master'!$M$2:$M$201,MATCH(A132,'Employee Master'!$A$2:$A$201,0))</f>
        <v>7680</v>
      </c>
      <c r="R132" s="2" t="n">
        <v>0</v>
      </c>
      <c r="S132" s="2" t="n">
        <f aca="false">N132-O132-P132-Q132-R132</f>
        <v>53858.46</v>
      </c>
    </row>
    <row r="133" customFormat="false" ht="15" hidden="false" customHeight="false" outlineLevel="0" collapsed="false">
      <c r="A133" s="2" t="s">
        <v>311</v>
      </c>
      <c r="B133" s="2" t="s">
        <v>312</v>
      </c>
      <c r="C133" s="2" t="s">
        <v>649</v>
      </c>
      <c r="D133" s="2" t="n">
        <v>2026</v>
      </c>
      <c r="E133" s="2" t="n">
        <f aca="false">INDEX('Employee Master'!$G$2:$G$201,MATCH(A133,'Employee Master'!$A$2:$A$201,0))</f>
        <v>51500</v>
      </c>
      <c r="F133" s="2" t="n">
        <v>26</v>
      </c>
      <c r="G133" s="2" t="n">
        <f aca="false">COUNTIFS('Tally Attendance'!$A$2:$A$6201,A133,'Tally Attendance'!$F$2:$F$6201,"Present")</f>
        <v>18</v>
      </c>
      <c r="H133" s="2" t="n">
        <f aca="false">COUNTIFS('Tally Attendance'!$A$2:$A$6201,A133,'Tally Attendance'!$F$2:$F$6201,"Absent")</f>
        <v>8</v>
      </c>
      <c r="I133" s="2" t="n">
        <f aca="false">COUNTIFS('Tally Attendance'!$A$2:$A$6201,A133,'Tally Attendance'!$F$2:$F$6201,"Leave")</f>
        <v>0</v>
      </c>
      <c r="J133" s="2" t="n">
        <f aca="false">COUNTIFS('Tally Attendance'!$A$2:$A$6201,A133,'Tally Attendance'!$F$2:$F$6201,"Half Day")</f>
        <v>0</v>
      </c>
      <c r="K133" s="2" t="n">
        <f aca="false">MIN(H133,2)</f>
        <v>2</v>
      </c>
      <c r="L133" s="2" t="n">
        <f aca="false">MAX(H133-K133,0)</f>
        <v>6</v>
      </c>
      <c r="M133" s="2" t="n">
        <f aca="false">ROUND(E133/F133,2)</f>
        <v>1980.77</v>
      </c>
      <c r="N133" s="2" t="n">
        <f aca="false">E133</f>
        <v>51500</v>
      </c>
      <c r="O133" s="2" t="n">
        <f aca="false">ROUND(M133*L133,2)</f>
        <v>11884.62</v>
      </c>
      <c r="P133" s="2" t="n">
        <f aca="false">ROUND(M133*COUNTIFS('Leave Records'!$B$2:$B$144,A133,'Leave Records'!$F$2:$F$144,"Unpaid")+M133*0.5*J133,2)</f>
        <v>0</v>
      </c>
      <c r="Q133" s="2" t="n">
        <f aca="false">INDEX('Employee Master'!$M$2:$M$201,MATCH(A133,'Employee Master'!$A$2:$A$201,0))</f>
        <v>6180</v>
      </c>
      <c r="R133" s="2" t="n">
        <v>0</v>
      </c>
      <c r="S133" s="2" t="n">
        <f aca="false">N133-O133-P133-Q133-R133</f>
        <v>33435.38</v>
      </c>
    </row>
    <row r="134" customFormat="false" ht="15" hidden="false" customHeight="false" outlineLevel="0" collapsed="false">
      <c r="A134" s="2" t="s">
        <v>313</v>
      </c>
      <c r="B134" s="2" t="s">
        <v>314</v>
      </c>
      <c r="C134" s="2" t="s">
        <v>649</v>
      </c>
      <c r="D134" s="2" t="n">
        <v>2026</v>
      </c>
      <c r="E134" s="2" t="n">
        <f aca="false">INDEX('Employee Master'!$G$2:$G$201,MATCH(A134,'Employee Master'!$A$2:$A$201,0))</f>
        <v>28000</v>
      </c>
      <c r="F134" s="2" t="n">
        <v>26</v>
      </c>
      <c r="G134" s="2" t="n">
        <f aca="false">COUNTIFS('Tally Attendance'!$A$2:$A$6201,A134,'Tally Attendance'!$F$2:$F$6201,"Present")</f>
        <v>22</v>
      </c>
      <c r="H134" s="2" t="n">
        <f aca="false">COUNTIFS('Tally Attendance'!$A$2:$A$6201,A134,'Tally Attendance'!$F$2:$F$6201,"Absent")</f>
        <v>2</v>
      </c>
      <c r="I134" s="2" t="n">
        <f aca="false">COUNTIFS('Tally Attendance'!$A$2:$A$6201,A134,'Tally Attendance'!$F$2:$F$6201,"Leave")</f>
        <v>2</v>
      </c>
      <c r="J134" s="2" t="n">
        <f aca="false">COUNTIFS('Tally Attendance'!$A$2:$A$6201,A134,'Tally Attendance'!$F$2:$F$6201,"Half Day")</f>
        <v>0</v>
      </c>
      <c r="K134" s="2" t="n">
        <f aca="false">MIN(H134,2)</f>
        <v>2</v>
      </c>
      <c r="L134" s="2" t="n">
        <f aca="false">MAX(H134-K134,0)</f>
        <v>0</v>
      </c>
      <c r="M134" s="2" t="n">
        <f aca="false">ROUND(E134/F134,2)</f>
        <v>1076.92</v>
      </c>
      <c r="N134" s="2" t="n">
        <f aca="false">E134</f>
        <v>28000</v>
      </c>
      <c r="O134" s="2" t="n">
        <f aca="false">ROUND(M134*L134,2)</f>
        <v>0</v>
      </c>
      <c r="P134" s="2" t="n">
        <f aca="false">ROUND(M134*COUNTIFS('Leave Records'!$B$2:$B$144,A134,'Leave Records'!$F$2:$F$144,"Unpaid")+M134*0.5*J134,2)</f>
        <v>0</v>
      </c>
      <c r="Q134" s="2" t="n">
        <f aca="false">INDEX('Employee Master'!$M$2:$M$201,MATCH(A134,'Employee Master'!$A$2:$A$201,0))</f>
        <v>3360</v>
      </c>
      <c r="R134" s="2" t="n">
        <v>0</v>
      </c>
      <c r="S134" s="2" t="n">
        <f aca="false">N134-O134-P134-Q134-R134</f>
        <v>24640</v>
      </c>
    </row>
    <row r="135" customFormat="false" ht="15" hidden="false" customHeight="false" outlineLevel="0" collapsed="false">
      <c r="A135" s="2" t="s">
        <v>315</v>
      </c>
      <c r="B135" s="2" t="s">
        <v>316</v>
      </c>
      <c r="C135" s="2" t="s">
        <v>649</v>
      </c>
      <c r="D135" s="2" t="n">
        <v>2026</v>
      </c>
      <c r="E135" s="2" t="n">
        <f aca="false">INDEX('Employee Master'!$G$2:$G$201,MATCH(A135,'Employee Master'!$A$2:$A$201,0))</f>
        <v>27500</v>
      </c>
      <c r="F135" s="2" t="n">
        <v>26</v>
      </c>
      <c r="G135" s="2" t="n">
        <f aca="false">COUNTIFS('Tally Attendance'!$A$2:$A$6201,A135,'Tally Attendance'!$F$2:$F$6201,"Present")</f>
        <v>21</v>
      </c>
      <c r="H135" s="2" t="n">
        <f aca="false">COUNTIFS('Tally Attendance'!$A$2:$A$6201,A135,'Tally Attendance'!$F$2:$F$6201,"Absent")</f>
        <v>1</v>
      </c>
      <c r="I135" s="2" t="n">
        <f aca="false">COUNTIFS('Tally Attendance'!$A$2:$A$6201,A135,'Tally Attendance'!$F$2:$F$6201,"Leave")</f>
        <v>2</v>
      </c>
      <c r="J135" s="2" t="n">
        <f aca="false">COUNTIFS('Tally Attendance'!$A$2:$A$6201,A135,'Tally Attendance'!$F$2:$F$6201,"Half Day")</f>
        <v>2</v>
      </c>
      <c r="K135" s="2" t="n">
        <f aca="false">MIN(H135,2)</f>
        <v>1</v>
      </c>
      <c r="L135" s="2" t="n">
        <f aca="false">MAX(H135-K135,0)</f>
        <v>0</v>
      </c>
      <c r="M135" s="2" t="n">
        <f aca="false">ROUND(E135/F135,2)</f>
        <v>1057.69</v>
      </c>
      <c r="N135" s="2" t="n">
        <f aca="false">E135</f>
        <v>27500</v>
      </c>
      <c r="O135" s="2" t="n">
        <f aca="false">ROUND(M135*L135,2)</f>
        <v>0</v>
      </c>
      <c r="P135" s="2" t="n">
        <f aca="false">ROUND(M135*COUNTIFS('Leave Records'!$B$2:$B$144,A135,'Leave Records'!$F$2:$F$144,"Unpaid")+M135*0.5*J135,2)</f>
        <v>1057.69</v>
      </c>
      <c r="Q135" s="2" t="n">
        <f aca="false">INDEX('Employee Master'!$M$2:$M$201,MATCH(A135,'Employee Master'!$A$2:$A$201,0))</f>
        <v>3300</v>
      </c>
      <c r="R135" s="2" t="n">
        <v>0</v>
      </c>
      <c r="S135" s="2" t="n">
        <f aca="false">N135-O135-P135-Q135-R135</f>
        <v>23142.31</v>
      </c>
    </row>
    <row r="136" customFormat="false" ht="15" hidden="false" customHeight="false" outlineLevel="0" collapsed="false">
      <c r="A136" s="2" t="s">
        <v>317</v>
      </c>
      <c r="B136" s="2" t="s">
        <v>318</v>
      </c>
      <c r="C136" s="2" t="s">
        <v>649</v>
      </c>
      <c r="D136" s="2" t="n">
        <v>2026</v>
      </c>
      <c r="E136" s="2" t="n">
        <f aca="false">INDEX('Employee Master'!$G$2:$G$201,MATCH(A136,'Employee Master'!$A$2:$A$201,0))</f>
        <v>38500</v>
      </c>
      <c r="F136" s="2" t="n">
        <v>26</v>
      </c>
      <c r="G136" s="2" t="n">
        <f aca="false">COUNTIFS('Tally Attendance'!$A$2:$A$6201,A136,'Tally Attendance'!$F$2:$F$6201,"Present")</f>
        <v>16</v>
      </c>
      <c r="H136" s="2" t="n">
        <f aca="false">COUNTIFS('Tally Attendance'!$A$2:$A$6201,A136,'Tally Attendance'!$F$2:$F$6201,"Absent")</f>
        <v>9</v>
      </c>
      <c r="I136" s="2" t="n">
        <f aca="false">COUNTIFS('Tally Attendance'!$A$2:$A$6201,A136,'Tally Attendance'!$F$2:$F$6201,"Leave")</f>
        <v>1</v>
      </c>
      <c r="J136" s="2" t="n">
        <f aca="false">COUNTIFS('Tally Attendance'!$A$2:$A$6201,A136,'Tally Attendance'!$F$2:$F$6201,"Half Day")</f>
        <v>0</v>
      </c>
      <c r="K136" s="2" t="n">
        <f aca="false">MIN(H136,2)</f>
        <v>2</v>
      </c>
      <c r="L136" s="2" t="n">
        <f aca="false">MAX(H136-K136,0)</f>
        <v>7</v>
      </c>
      <c r="M136" s="2" t="n">
        <f aca="false">ROUND(E136/F136,2)</f>
        <v>1480.77</v>
      </c>
      <c r="N136" s="2" t="n">
        <f aca="false">E136</f>
        <v>38500</v>
      </c>
      <c r="O136" s="2" t="n">
        <f aca="false">ROUND(M136*L136,2)</f>
        <v>10365.39</v>
      </c>
      <c r="P136" s="2" t="n">
        <f aca="false">ROUND(M136*COUNTIFS('Leave Records'!$B$2:$B$144,A136,'Leave Records'!$F$2:$F$144,"Unpaid")+M136*0.5*J136,2)</f>
        <v>0</v>
      </c>
      <c r="Q136" s="2" t="n">
        <f aca="false">INDEX('Employee Master'!$M$2:$M$201,MATCH(A136,'Employee Master'!$A$2:$A$201,0))</f>
        <v>4620</v>
      </c>
      <c r="R136" s="2" t="n">
        <v>0</v>
      </c>
      <c r="S136" s="2" t="n">
        <f aca="false">N136-O136-P136-Q136-R136</f>
        <v>23514.61</v>
      </c>
    </row>
    <row r="137" customFormat="false" ht="15" hidden="false" customHeight="false" outlineLevel="0" collapsed="false">
      <c r="A137" s="2" t="s">
        <v>319</v>
      </c>
      <c r="B137" s="2" t="s">
        <v>320</v>
      </c>
      <c r="C137" s="2" t="s">
        <v>649</v>
      </c>
      <c r="D137" s="2" t="n">
        <v>2026</v>
      </c>
      <c r="E137" s="2" t="n">
        <f aca="false">INDEX('Employee Master'!$G$2:$G$201,MATCH(A137,'Employee Master'!$A$2:$A$201,0))</f>
        <v>80000</v>
      </c>
      <c r="F137" s="2" t="n">
        <v>26</v>
      </c>
      <c r="G137" s="2" t="n">
        <f aca="false">COUNTIFS('Tally Attendance'!$A$2:$A$6201,A137,'Tally Attendance'!$F$2:$F$6201,"Present")</f>
        <v>24</v>
      </c>
      <c r="H137" s="2" t="n">
        <f aca="false">COUNTIFS('Tally Attendance'!$A$2:$A$6201,A137,'Tally Attendance'!$F$2:$F$6201,"Absent")</f>
        <v>0</v>
      </c>
      <c r="I137" s="2" t="n">
        <f aca="false">COUNTIFS('Tally Attendance'!$A$2:$A$6201,A137,'Tally Attendance'!$F$2:$F$6201,"Leave")</f>
        <v>0</v>
      </c>
      <c r="J137" s="2" t="n">
        <f aca="false">COUNTIFS('Tally Attendance'!$A$2:$A$6201,A137,'Tally Attendance'!$F$2:$F$6201,"Half Day")</f>
        <v>2</v>
      </c>
      <c r="K137" s="2" t="n">
        <f aca="false">MIN(H137,2)</f>
        <v>0</v>
      </c>
      <c r="L137" s="2" t="n">
        <f aca="false">MAX(H137-K137,0)</f>
        <v>0</v>
      </c>
      <c r="M137" s="2" t="n">
        <f aca="false">ROUND(E137/F137,2)</f>
        <v>3076.92</v>
      </c>
      <c r="N137" s="2" t="n">
        <f aca="false">E137</f>
        <v>80000</v>
      </c>
      <c r="O137" s="2" t="n">
        <f aca="false">ROUND(M137*L137,2)</f>
        <v>0</v>
      </c>
      <c r="P137" s="2" t="n">
        <f aca="false">ROUND(M137*COUNTIFS('Leave Records'!$B$2:$B$144,A137,'Leave Records'!$F$2:$F$144,"Unpaid")+M137*0.5*J137,2)</f>
        <v>3076.92</v>
      </c>
      <c r="Q137" s="2" t="n">
        <f aca="false">INDEX('Employee Master'!$M$2:$M$201,MATCH(A137,'Employee Master'!$A$2:$A$201,0))</f>
        <v>9600</v>
      </c>
      <c r="R137" s="2" t="n">
        <v>0</v>
      </c>
      <c r="S137" s="2" t="n">
        <f aca="false">N137-O137-P137-Q137-R137</f>
        <v>67323.08</v>
      </c>
    </row>
    <row r="138" customFormat="false" ht="15" hidden="false" customHeight="false" outlineLevel="0" collapsed="false">
      <c r="A138" s="2" t="s">
        <v>321</v>
      </c>
      <c r="B138" s="2" t="s">
        <v>322</v>
      </c>
      <c r="C138" s="2" t="s">
        <v>649</v>
      </c>
      <c r="D138" s="2" t="n">
        <v>2026</v>
      </c>
      <c r="E138" s="2" t="n">
        <f aca="false">INDEX('Employee Master'!$G$2:$G$201,MATCH(A138,'Employee Master'!$A$2:$A$201,0))</f>
        <v>74000</v>
      </c>
      <c r="F138" s="2" t="n">
        <v>26</v>
      </c>
      <c r="G138" s="2" t="n">
        <f aca="false">COUNTIFS('Tally Attendance'!$A$2:$A$6201,A138,'Tally Attendance'!$F$2:$F$6201,"Present")</f>
        <v>17</v>
      </c>
      <c r="H138" s="2" t="n">
        <f aca="false">COUNTIFS('Tally Attendance'!$A$2:$A$6201,A138,'Tally Attendance'!$F$2:$F$6201,"Absent")</f>
        <v>7</v>
      </c>
      <c r="I138" s="2" t="n">
        <f aca="false">COUNTIFS('Tally Attendance'!$A$2:$A$6201,A138,'Tally Attendance'!$F$2:$F$6201,"Leave")</f>
        <v>0</v>
      </c>
      <c r="J138" s="2" t="n">
        <f aca="false">COUNTIFS('Tally Attendance'!$A$2:$A$6201,A138,'Tally Attendance'!$F$2:$F$6201,"Half Day")</f>
        <v>2</v>
      </c>
      <c r="K138" s="2" t="n">
        <f aca="false">MIN(H138,2)</f>
        <v>2</v>
      </c>
      <c r="L138" s="2" t="n">
        <f aca="false">MAX(H138-K138,0)</f>
        <v>5</v>
      </c>
      <c r="M138" s="2" t="n">
        <f aca="false">ROUND(E138/F138,2)</f>
        <v>2846.15</v>
      </c>
      <c r="N138" s="2" t="n">
        <f aca="false">E138</f>
        <v>74000</v>
      </c>
      <c r="O138" s="2" t="n">
        <f aca="false">ROUND(M138*L138,2)</f>
        <v>14230.75</v>
      </c>
      <c r="P138" s="2" t="n">
        <f aca="false">ROUND(M138*COUNTIFS('Leave Records'!$B$2:$B$144,A138,'Leave Records'!$F$2:$F$144,"Unpaid")+M138*0.5*J138,2)</f>
        <v>2846.15</v>
      </c>
      <c r="Q138" s="2" t="n">
        <f aca="false">INDEX('Employee Master'!$M$2:$M$201,MATCH(A138,'Employee Master'!$A$2:$A$201,0))</f>
        <v>8880</v>
      </c>
      <c r="R138" s="2" t="n">
        <v>0</v>
      </c>
      <c r="S138" s="2" t="n">
        <f aca="false">N138-O138-P138-Q138-R138</f>
        <v>48043.1</v>
      </c>
    </row>
    <row r="139" customFormat="false" ht="15" hidden="false" customHeight="false" outlineLevel="0" collapsed="false">
      <c r="A139" s="2" t="s">
        <v>323</v>
      </c>
      <c r="B139" s="2" t="s">
        <v>324</v>
      </c>
      <c r="C139" s="2" t="s">
        <v>649</v>
      </c>
      <c r="D139" s="2" t="n">
        <v>2026</v>
      </c>
      <c r="E139" s="2" t="n">
        <f aca="false">INDEX('Employee Master'!$G$2:$G$201,MATCH(A139,'Employee Master'!$A$2:$A$201,0))</f>
        <v>119000</v>
      </c>
      <c r="F139" s="2" t="n">
        <v>26</v>
      </c>
      <c r="G139" s="2" t="n">
        <f aca="false">COUNTIFS('Tally Attendance'!$A$2:$A$6201,A139,'Tally Attendance'!$F$2:$F$6201,"Present")</f>
        <v>21</v>
      </c>
      <c r="H139" s="2" t="n">
        <f aca="false">COUNTIFS('Tally Attendance'!$A$2:$A$6201,A139,'Tally Attendance'!$F$2:$F$6201,"Absent")</f>
        <v>3</v>
      </c>
      <c r="I139" s="2" t="n">
        <f aca="false">COUNTIFS('Tally Attendance'!$A$2:$A$6201,A139,'Tally Attendance'!$F$2:$F$6201,"Leave")</f>
        <v>1</v>
      </c>
      <c r="J139" s="2" t="n">
        <f aca="false">COUNTIFS('Tally Attendance'!$A$2:$A$6201,A139,'Tally Attendance'!$F$2:$F$6201,"Half Day")</f>
        <v>1</v>
      </c>
      <c r="K139" s="2" t="n">
        <f aca="false">MIN(H139,2)</f>
        <v>2</v>
      </c>
      <c r="L139" s="2" t="n">
        <f aca="false">MAX(H139-K139,0)</f>
        <v>1</v>
      </c>
      <c r="M139" s="2" t="n">
        <f aca="false">ROUND(E139/F139,2)</f>
        <v>4576.92</v>
      </c>
      <c r="N139" s="2" t="n">
        <f aca="false">E139</f>
        <v>119000</v>
      </c>
      <c r="O139" s="2" t="n">
        <f aca="false">ROUND(M139*L139,2)</f>
        <v>4576.92</v>
      </c>
      <c r="P139" s="2" t="n">
        <f aca="false">ROUND(M139*COUNTIFS('Leave Records'!$B$2:$B$144,A139,'Leave Records'!$F$2:$F$144,"Unpaid")+M139*0.5*J139,2)</f>
        <v>2288.46</v>
      </c>
      <c r="Q139" s="2" t="n">
        <f aca="false">INDEX('Employee Master'!$M$2:$M$201,MATCH(A139,'Employee Master'!$A$2:$A$201,0))</f>
        <v>14280</v>
      </c>
      <c r="R139" s="2" t="n">
        <v>0</v>
      </c>
      <c r="S139" s="2" t="n">
        <f aca="false">N139-O139-P139-Q139-R139</f>
        <v>97854.62</v>
      </c>
    </row>
    <row r="140" customFormat="false" ht="15" hidden="false" customHeight="false" outlineLevel="0" collapsed="false">
      <c r="A140" s="2" t="s">
        <v>325</v>
      </c>
      <c r="B140" s="2" t="s">
        <v>326</v>
      </c>
      <c r="C140" s="2" t="s">
        <v>649</v>
      </c>
      <c r="D140" s="2" t="n">
        <v>2026</v>
      </c>
      <c r="E140" s="2" t="n">
        <f aca="false">INDEX('Employee Master'!$G$2:$G$201,MATCH(A140,'Employee Master'!$A$2:$A$201,0))</f>
        <v>30000</v>
      </c>
      <c r="F140" s="2" t="n">
        <v>26</v>
      </c>
      <c r="G140" s="2" t="n">
        <f aca="false">COUNTIFS('Tally Attendance'!$A$2:$A$6201,A140,'Tally Attendance'!$F$2:$F$6201,"Present")</f>
        <v>19</v>
      </c>
      <c r="H140" s="2" t="n">
        <f aca="false">COUNTIFS('Tally Attendance'!$A$2:$A$6201,A140,'Tally Attendance'!$F$2:$F$6201,"Absent")</f>
        <v>5</v>
      </c>
      <c r="I140" s="2" t="n">
        <f aca="false">COUNTIFS('Tally Attendance'!$A$2:$A$6201,A140,'Tally Attendance'!$F$2:$F$6201,"Leave")</f>
        <v>0</v>
      </c>
      <c r="J140" s="2" t="n">
        <f aca="false">COUNTIFS('Tally Attendance'!$A$2:$A$6201,A140,'Tally Attendance'!$F$2:$F$6201,"Half Day")</f>
        <v>2</v>
      </c>
      <c r="K140" s="2" t="n">
        <f aca="false">MIN(H140,2)</f>
        <v>2</v>
      </c>
      <c r="L140" s="2" t="n">
        <f aca="false">MAX(H140-K140,0)</f>
        <v>3</v>
      </c>
      <c r="M140" s="2" t="n">
        <f aca="false">ROUND(E140/F140,2)</f>
        <v>1153.85</v>
      </c>
      <c r="N140" s="2" t="n">
        <f aca="false">E140</f>
        <v>30000</v>
      </c>
      <c r="O140" s="2" t="n">
        <f aca="false">ROUND(M140*L140,2)</f>
        <v>3461.55</v>
      </c>
      <c r="P140" s="2" t="n">
        <f aca="false">ROUND(M140*COUNTIFS('Leave Records'!$B$2:$B$144,A140,'Leave Records'!$F$2:$F$144,"Unpaid")+M140*0.5*J140,2)</f>
        <v>1153.85</v>
      </c>
      <c r="Q140" s="2" t="n">
        <f aca="false">INDEX('Employee Master'!$M$2:$M$201,MATCH(A140,'Employee Master'!$A$2:$A$201,0))</f>
        <v>3600</v>
      </c>
      <c r="R140" s="2" t="n">
        <v>0</v>
      </c>
      <c r="S140" s="2" t="n">
        <f aca="false">N140-O140-P140-Q140-R140</f>
        <v>21784.6</v>
      </c>
    </row>
    <row r="141" customFormat="false" ht="15" hidden="false" customHeight="false" outlineLevel="0" collapsed="false">
      <c r="A141" s="2" t="s">
        <v>327</v>
      </c>
      <c r="B141" s="2" t="s">
        <v>328</v>
      </c>
      <c r="C141" s="2" t="s">
        <v>649</v>
      </c>
      <c r="D141" s="2" t="n">
        <v>2026</v>
      </c>
      <c r="E141" s="2" t="n">
        <f aca="false">INDEX('Employee Master'!$G$2:$G$201,MATCH(A141,'Employee Master'!$A$2:$A$201,0))</f>
        <v>22000</v>
      </c>
      <c r="F141" s="2" t="n">
        <v>26</v>
      </c>
      <c r="G141" s="2" t="n">
        <f aca="false">COUNTIFS('Tally Attendance'!$A$2:$A$6201,A141,'Tally Attendance'!$F$2:$F$6201,"Present")</f>
        <v>24</v>
      </c>
      <c r="H141" s="2" t="n">
        <f aca="false">COUNTIFS('Tally Attendance'!$A$2:$A$6201,A141,'Tally Attendance'!$F$2:$F$6201,"Absent")</f>
        <v>1</v>
      </c>
      <c r="I141" s="2" t="n">
        <f aca="false">COUNTIFS('Tally Attendance'!$A$2:$A$6201,A141,'Tally Attendance'!$F$2:$F$6201,"Leave")</f>
        <v>1</v>
      </c>
      <c r="J141" s="2" t="n">
        <f aca="false">COUNTIFS('Tally Attendance'!$A$2:$A$6201,A141,'Tally Attendance'!$F$2:$F$6201,"Half Day")</f>
        <v>0</v>
      </c>
      <c r="K141" s="2" t="n">
        <f aca="false">MIN(H141,2)</f>
        <v>1</v>
      </c>
      <c r="L141" s="2" t="n">
        <f aca="false">MAX(H141-K141,0)</f>
        <v>0</v>
      </c>
      <c r="M141" s="2" t="n">
        <f aca="false">ROUND(E141/F141,2)</f>
        <v>846.15</v>
      </c>
      <c r="N141" s="2" t="n">
        <f aca="false">E141</f>
        <v>22000</v>
      </c>
      <c r="O141" s="2" t="n">
        <f aca="false">ROUND(M141*L141,2)</f>
        <v>0</v>
      </c>
      <c r="P141" s="2" t="n">
        <f aca="false">ROUND(M141*COUNTIFS('Leave Records'!$B$2:$B$144,A141,'Leave Records'!$F$2:$F$144,"Unpaid")+M141*0.5*J141,2)</f>
        <v>0</v>
      </c>
      <c r="Q141" s="2" t="n">
        <f aca="false">INDEX('Employee Master'!$M$2:$M$201,MATCH(A141,'Employee Master'!$A$2:$A$201,0))</f>
        <v>2640</v>
      </c>
      <c r="R141" s="2" t="n">
        <v>0</v>
      </c>
      <c r="S141" s="2" t="n">
        <f aca="false">N141-O141-P141-Q141-R141</f>
        <v>19360</v>
      </c>
    </row>
    <row r="142" customFormat="false" ht="15" hidden="false" customHeight="false" outlineLevel="0" collapsed="false">
      <c r="A142" s="2" t="s">
        <v>329</v>
      </c>
      <c r="B142" s="2" t="s">
        <v>330</v>
      </c>
      <c r="C142" s="2" t="s">
        <v>649</v>
      </c>
      <c r="D142" s="2" t="n">
        <v>2026</v>
      </c>
      <c r="E142" s="2" t="n">
        <f aca="false">INDEX('Employee Master'!$G$2:$G$201,MATCH(A142,'Employee Master'!$A$2:$A$201,0))</f>
        <v>73000</v>
      </c>
      <c r="F142" s="2" t="n">
        <v>26</v>
      </c>
      <c r="G142" s="2" t="n">
        <f aca="false">COUNTIFS('Tally Attendance'!$A$2:$A$6201,A142,'Tally Attendance'!$F$2:$F$6201,"Present")</f>
        <v>26</v>
      </c>
      <c r="H142" s="2" t="n">
        <f aca="false">COUNTIFS('Tally Attendance'!$A$2:$A$6201,A142,'Tally Attendance'!$F$2:$F$6201,"Absent")</f>
        <v>0</v>
      </c>
      <c r="I142" s="2" t="n">
        <f aca="false">COUNTIFS('Tally Attendance'!$A$2:$A$6201,A142,'Tally Attendance'!$F$2:$F$6201,"Leave")</f>
        <v>0</v>
      </c>
      <c r="J142" s="2" t="n">
        <f aca="false">COUNTIFS('Tally Attendance'!$A$2:$A$6201,A142,'Tally Attendance'!$F$2:$F$6201,"Half Day")</f>
        <v>0</v>
      </c>
      <c r="K142" s="2" t="n">
        <f aca="false">MIN(H142,2)</f>
        <v>0</v>
      </c>
      <c r="L142" s="2" t="n">
        <f aca="false">MAX(H142-K142,0)</f>
        <v>0</v>
      </c>
      <c r="M142" s="2" t="n">
        <f aca="false">ROUND(E142/F142,2)</f>
        <v>2807.69</v>
      </c>
      <c r="N142" s="2" t="n">
        <f aca="false">E142</f>
        <v>73000</v>
      </c>
      <c r="O142" s="2" t="n">
        <f aca="false">ROUND(M142*L142,2)</f>
        <v>0</v>
      </c>
      <c r="P142" s="2" t="n">
        <f aca="false">ROUND(M142*COUNTIFS('Leave Records'!$B$2:$B$144,A142,'Leave Records'!$F$2:$F$144,"Unpaid")+M142*0.5*J142,2)</f>
        <v>0</v>
      </c>
      <c r="Q142" s="2" t="n">
        <f aca="false">INDEX('Employee Master'!$M$2:$M$201,MATCH(A142,'Employee Master'!$A$2:$A$201,0))</f>
        <v>8760</v>
      </c>
      <c r="R142" s="2" t="n">
        <v>0</v>
      </c>
      <c r="S142" s="2" t="n">
        <f aca="false">N142-O142-P142-Q142-R142</f>
        <v>64240</v>
      </c>
    </row>
    <row r="143" customFormat="false" ht="15" hidden="false" customHeight="false" outlineLevel="0" collapsed="false">
      <c r="A143" s="2" t="s">
        <v>331</v>
      </c>
      <c r="B143" s="2" t="s">
        <v>332</v>
      </c>
      <c r="C143" s="2" t="s">
        <v>649</v>
      </c>
      <c r="D143" s="2" t="n">
        <v>2026</v>
      </c>
      <c r="E143" s="2" t="n">
        <f aca="false">INDEX('Employee Master'!$G$2:$G$201,MATCH(A143,'Employee Master'!$A$2:$A$201,0))</f>
        <v>69500</v>
      </c>
      <c r="F143" s="2" t="n">
        <v>26</v>
      </c>
      <c r="G143" s="2" t="n">
        <f aca="false">COUNTIFS('Tally Attendance'!$A$2:$A$6201,A143,'Tally Attendance'!$F$2:$F$6201,"Present")</f>
        <v>17</v>
      </c>
      <c r="H143" s="2" t="n">
        <f aca="false">COUNTIFS('Tally Attendance'!$A$2:$A$6201,A143,'Tally Attendance'!$F$2:$F$6201,"Absent")</f>
        <v>8</v>
      </c>
      <c r="I143" s="2" t="n">
        <f aca="false">COUNTIFS('Tally Attendance'!$A$2:$A$6201,A143,'Tally Attendance'!$F$2:$F$6201,"Leave")</f>
        <v>1</v>
      </c>
      <c r="J143" s="2" t="n">
        <f aca="false">COUNTIFS('Tally Attendance'!$A$2:$A$6201,A143,'Tally Attendance'!$F$2:$F$6201,"Half Day")</f>
        <v>0</v>
      </c>
      <c r="K143" s="2" t="n">
        <f aca="false">MIN(H143,2)</f>
        <v>2</v>
      </c>
      <c r="L143" s="2" t="n">
        <f aca="false">MAX(H143-K143,0)</f>
        <v>6</v>
      </c>
      <c r="M143" s="2" t="n">
        <f aca="false">ROUND(E143/F143,2)</f>
        <v>2673.08</v>
      </c>
      <c r="N143" s="2" t="n">
        <f aca="false">E143</f>
        <v>69500</v>
      </c>
      <c r="O143" s="2" t="n">
        <f aca="false">ROUND(M143*L143,2)</f>
        <v>16038.48</v>
      </c>
      <c r="P143" s="2" t="n">
        <f aca="false">ROUND(M143*COUNTIFS('Leave Records'!$B$2:$B$144,A143,'Leave Records'!$F$2:$F$144,"Unpaid")+M143*0.5*J143,2)</f>
        <v>0</v>
      </c>
      <c r="Q143" s="2" t="n">
        <f aca="false">INDEX('Employee Master'!$M$2:$M$201,MATCH(A143,'Employee Master'!$A$2:$A$201,0))</f>
        <v>8340</v>
      </c>
      <c r="R143" s="2" t="n">
        <v>0</v>
      </c>
      <c r="S143" s="2" t="n">
        <f aca="false">N143-O143-P143-Q143-R143</f>
        <v>45121.52</v>
      </c>
    </row>
    <row r="144" customFormat="false" ht="15" hidden="false" customHeight="false" outlineLevel="0" collapsed="false">
      <c r="A144" s="2" t="s">
        <v>333</v>
      </c>
      <c r="B144" s="2" t="s">
        <v>334</v>
      </c>
      <c r="C144" s="2" t="s">
        <v>649</v>
      </c>
      <c r="D144" s="2" t="n">
        <v>2026</v>
      </c>
      <c r="E144" s="2" t="n">
        <f aca="false">INDEX('Employee Master'!$G$2:$G$201,MATCH(A144,'Employee Master'!$A$2:$A$201,0))</f>
        <v>106000</v>
      </c>
      <c r="F144" s="2" t="n">
        <v>26</v>
      </c>
      <c r="G144" s="2" t="n">
        <f aca="false">COUNTIFS('Tally Attendance'!$A$2:$A$6201,A144,'Tally Attendance'!$F$2:$F$6201,"Present")</f>
        <v>26</v>
      </c>
      <c r="H144" s="2" t="n">
        <f aca="false">COUNTIFS('Tally Attendance'!$A$2:$A$6201,A144,'Tally Attendance'!$F$2:$F$6201,"Absent")</f>
        <v>0</v>
      </c>
      <c r="I144" s="2" t="n">
        <f aca="false">COUNTIFS('Tally Attendance'!$A$2:$A$6201,A144,'Tally Attendance'!$F$2:$F$6201,"Leave")</f>
        <v>0</v>
      </c>
      <c r="J144" s="2" t="n">
        <f aca="false">COUNTIFS('Tally Attendance'!$A$2:$A$6201,A144,'Tally Attendance'!$F$2:$F$6201,"Half Day")</f>
        <v>0</v>
      </c>
      <c r="K144" s="2" t="n">
        <f aca="false">MIN(H144,2)</f>
        <v>0</v>
      </c>
      <c r="L144" s="2" t="n">
        <f aca="false">MAX(H144-K144,0)</f>
        <v>0</v>
      </c>
      <c r="M144" s="2" t="n">
        <f aca="false">ROUND(E144/F144,2)</f>
        <v>4076.92</v>
      </c>
      <c r="N144" s="2" t="n">
        <f aca="false">E144</f>
        <v>106000</v>
      </c>
      <c r="O144" s="2" t="n">
        <f aca="false">ROUND(M144*L144,2)</f>
        <v>0</v>
      </c>
      <c r="P144" s="2" t="n">
        <f aca="false">ROUND(M144*COUNTIFS('Leave Records'!$B$2:$B$144,A144,'Leave Records'!$F$2:$F$144,"Unpaid")+M144*0.5*J144,2)</f>
        <v>0</v>
      </c>
      <c r="Q144" s="2" t="n">
        <f aca="false">INDEX('Employee Master'!$M$2:$M$201,MATCH(A144,'Employee Master'!$A$2:$A$201,0))</f>
        <v>12720</v>
      </c>
      <c r="R144" s="2" t="n">
        <v>0</v>
      </c>
      <c r="S144" s="2" t="n">
        <f aca="false">N144-O144-P144-Q144-R144</f>
        <v>93280</v>
      </c>
    </row>
    <row r="145" customFormat="false" ht="15" hidden="false" customHeight="false" outlineLevel="0" collapsed="false">
      <c r="A145" s="2" t="s">
        <v>335</v>
      </c>
      <c r="B145" s="2" t="s">
        <v>336</v>
      </c>
      <c r="C145" s="2" t="s">
        <v>649</v>
      </c>
      <c r="D145" s="2" t="n">
        <v>2026</v>
      </c>
      <c r="E145" s="2" t="n">
        <f aca="false">INDEX('Employee Master'!$G$2:$G$201,MATCH(A145,'Employee Master'!$A$2:$A$201,0))</f>
        <v>31000</v>
      </c>
      <c r="F145" s="2" t="n">
        <v>26</v>
      </c>
      <c r="G145" s="2" t="n">
        <f aca="false">COUNTIFS('Tally Attendance'!$A$2:$A$6201,A145,'Tally Attendance'!$F$2:$F$6201,"Present")</f>
        <v>24</v>
      </c>
      <c r="H145" s="2" t="n">
        <f aca="false">COUNTIFS('Tally Attendance'!$A$2:$A$6201,A145,'Tally Attendance'!$F$2:$F$6201,"Absent")</f>
        <v>1</v>
      </c>
      <c r="I145" s="2" t="n">
        <f aca="false">COUNTIFS('Tally Attendance'!$A$2:$A$6201,A145,'Tally Attendance'!$F$2:$F$6201,"Leave")</f>
        <v>1</v>
      </c>
      <c r="J145" s="2" t="n">
        <f aca="false">COUNTIFS('Tally Attendance'!$A$2:$A$6201,A145,'Tally Attendance'!$F$2:$F$6201,"Half Day")</f>
        <v>0</v>
      </c>
      <c r="K145" s="2" t="n">
        <f aca="false">MIN(H145,2)</f>
        <v>1</v>
      </c>
      <c r="L145" s="2" t="n">
        <f aca="false">MAX(H145-K145,0)</f>
        <v>0</v>
      </c>
      <c r="M145" s="2" t="n">
        <f aca="false">ROUND(E145/F145,2)</f>
        <v>1192.31</v>
      </c>
      <c r="N145" s="2" t="n">
        <f aca="false">E145</f>
        <v>31000</v>
      </c>
      <c r="O145" s="2" t="n">
        <f aca="false">ROUND(M145*L145,2)</f>
        <v>0</v>
      </c>
      <c r="P145" s="2" t="n">
        <f aca="false">ROUND(M145*COUNTIFS('Leave Records'!$B$2:$B$144,A145,'Leave Records'!$F$2:$F$144,"Unpaid")+M145*0.5*J145,2)</f>
        <v>0</v>
      </c>
      <c r="Q145" s="2" t="n">
        <f aca="false">INDEX('Employee Master'!$M$2:$M$201,MATCH(A145,'Employee Master'!$A$2:$A$201,0))</f>
        <v>3720</v>
      </c>
      <c r="R145" s="2" t="n">
        <v>0</v>
      </c>
      <c r="S145" s="2" t="n">
        <f aca="false">N145-O145-P145-Q145-R145</f>
        <v>27280</v>
      </c>
    </row>
    <row r="146" customFormat="false" ht="15" hidden="false" customHeight="false" outlineLevel="0" collapsed="false">
      <c r="A146" s="2" t="s">
        <v>337</v>
      </c>
      <c r="B146" s="2" t="s">
        <v>338</v>
      </c>
      <c r="C146" s="2" t="s">
        <v>649</v>
      </c>
      <c r="D146" s="2" t="n">
        <v>2026</v>
      </c>
      <c r="E146" s="2" t="n">
        <f aca="false">INDEX('Employee Master'!$G$2:$G$201,MATCH(A146,'Employee Master'!$A$2:$A$201,0))</f>
        <v>42500</v>
      </c>
      <c r="F146" s="2" t="n">
        <v>26</v>
      </c>
      <c r="G146" s="2" t="n">
        <f aca="false">COUNTIFS('Tally Attendance'!$A$2:$A$6201,A146,'Tally Attendance'!$F$2:$F$6201,"Present")</f>
        <v>19</v>
      </c>
      <c r="H146" s="2" t="n">
        <f aca="false">COUNTIFS('Tally Attendance'!$A$2:$A$6201,A146,'Tally Attendance'!$F$2:$F$6201,"Absent")</f>
        <v>3</v>
      </c>
      <c r="I146" s="2" t="n">
        <f aca="false">COUNTIFS('Tally Attendance'!$A$2:$A$6201,A146,'Tally Attendance'!$F$2:$F$6201,"Leave")</f>
        <v>2</v>
      </c>
      <c r="J146" s="2" t="n">
        <f aca="false">COUNTIFS('Tally Attendance'!$A$2:$A$6201,A146,'Tally Attendance'!$F$2:$F$6201,"Half Day")</f>
        <v>2</v>
      </c>
      <c r="K146" s="2" t="n">
        <f aca="false">MIN(H146,2)</f>
        <v>2</v>
      </c>
      <c r="L146" s="2" t="n">
        <f aca="false">MAX(H146-K146,0)</f>
        <v>1</v>
      </c>
      <c r="M146" s="2" t="n">
        <f aca="false">ROUND(E146/F146,2)</f>
        <v>1634.62</v>
      </c>
      <c r="N146" s="2" t="n">
        <f aca="false">E146</f>
        <v>42500</v>
      </c>
      <c r="O146" s="2" t="n">
        <f aca="false">ROUND(M146*L146,2)</f>
        <v>1634.62</v>
      </c>
      <c r="P146" s="2" t="n">
        <f aca="false">ROUND(M146*COUNTIFS('Leave Records'!$B$2:$B$144,A146,'Leave Records'!$F$2:$F$144,"Unpaid")+M146*0.5*J146,2)</f>
        <v>3269.24</v>
      </c>
      <c r="Q146" s="2" t="n">
        <f aca="false">INDEX('Employee Master'!$M$2:$M$201,MATCH(A146,'Employee Master'!$A$2:$A$201,0))</f>
        <v>5100</v>
      </c>
      <c r="R146" s="2" t="n">
        <v>0</v>
      </c>
      <c r="S146" s="2" t="n">
        <f aca="false">N146-O146-P146-Q146-R146</f>
        <v>32496.14</v>
      </c>
    </row>
    <row r="147" customFormat="false" ht="15" hidden="false" customHeight="false" outlineLevel="0" collapsed="false">
      <c r="A147" s="2" t="s">
        <v>339</v>
      </c>
      <c r="B147" s="2" t="s">
        <v>340</v>
      </c>
      <c r="C147" s="2" t="s">
        <v>649</v>
      </c>
      <c r="D147" s="2" t="n">
        <v>2026</v>
      </c>
      <c r="E147" s="2" t="n">
        <f aca="false">INDEX('Employee Master'!$G$2:$G$201,MATCH(A147,'Employee Master'!$A$2:$A$201,0))</f>
        <v>79000</v>
      </c>
      <c r="F147" s="2" t="n">
        <v>26</v>
      </c>
      <c r="G147" s="2" t="n">
        <f aca="false">COUNTIFS('Tally Attendance'!$A$2:$A$6201,A147,'Tally Attendance'!$F$2:$F$6201,"Present")</f>
        <v>22</v>
      </c>
      <c r="H147" s="2" t="n">
        <f aca="false">COUNTIFS('Tally Attendance'!$A$2:$A$6201,A147,'Tally Attendance'!$F$2:$F$6201,"Absent")</f>
        <v>1</v>
      </c>
      <c r="I147" s="2" t="n">
        <f aca="false">COUNTIFS('Tally Attendance'!$A$2:$A$6201,A147,'Tally Attendance'!$F$2:$F$6201,"Leave")</f>
        <v>1</v>
      </c>
      <c r="J147" s="2" t="n">
        <f aca="false">COUNTIFS('Tally Attendance'!$A$2:$A$6201,A147,'Tally Attendance'!$F$2:$F$6201,"Half Day")</f>
        <v>2</v>
      </c>
      <c r="K147" s="2" t="n">
        <f aca="false">MIN(H147,2)</f>
        <v>1</v>
      </c>
      <c r="L147" s="2" t="n">
        <f aca="false">MAX(H147-K147,0)</f>
        <v>0</v>
      </c>
      <c r="M147" s="2" t="n">
        <f aca="false">ROUND(E147/F147,2)</f>
        <v>3038.46</v>
      </c>
      <c r="N147" s="2" t="n">
        <f aca="false">E147</f>
        <v>79000</v>
      </c>
      <c r="O147" s="2" t="n">
        <f aca="false">ROUND(M147*L147,2)</f>
        <v>0</v>
      </c>
      <c r="P147" s="2" t="n">
        <f aca="false">ROUND(M147*COUNTIFS('Leave Records'!$B$2:$B$144,A147,'Leave Records'!$F$2:$F$144,"Unpaid")+M147*0.5*J147,2)</f>
        <v>6076.92</v>
      </c>
      <c r="Q147" s="2" t="n">
        <f aca="false">INDEX('Employee Master'!$M$2:$M$201,MATCH(A147,'Employee Master'!$A$2:$A$201,0))</f>
        <v>9480</v>
      </c>
      <c r="R147" s="2" t="n">
        <v>0</v>
      </c>
      <c r="S147" s="2" t="n">
        <f aca="false">N147-O147-P147-Q147-R147</f>
        <v>63443.08</v>
      </c>
    </row>
    <row r="148" customFormat="false" ht="15" hidden="false" customHeight="false" outlineLevel="0" collapsed="false">
      <c r="A148" s="2" t="s">
        <v>341</v>
      </c>
      <c r="B148" s="2" t="s">
        <v>342</v>
      </c>
      <c r="C148" s="2" t="s">
        <v>649</v>
      </c>
      <c r="D148" s="2" t="n">
        <v>2026</v>
      </c>
      <c r="E148" s="2" t="n">
        <f aca="false">INDEX('Employee Master'!$G$2:$G$201,MATCH(A148,'Employee Master'!$A$2:$A$201,0))</f>
        <v>29500</v>
      </c>
      <c r="F148" s="2" t="n">
        <v>26</v>
      </c>
      <c r="G148" s="2" t="n">
        <f aca="false">COUNTIFS('Tally Attendance'!$A$2:$A$6201,A148,'Tally Attendance'!$F$2:$F$6201,"Present")</f>
        <v>18</v>
      </c>
      <c r="H148" s="2" t="n">
        <f aca="false">COUNTIFS('Tally Attendance'!$A$2:$A$6201,A148,'Tally Attendance'!$F$2:$F$6201,"Absent")</f>
        <v>7</v>
      </c>
      <c r="I148" s="2" t="n">
        <f aca="false">COUNTIFS('Tally Attendance'!$A$2:$A$6201,A148,'Tally Attendance'!$F$2:$F$6201,"Leave")</f>
        <v>1</v>
      </c>
      <c r="J148" s="2" t="n">
        <f aca="false">COUNTIFS('Tally Attendance'!$A$2:$A$6201,A148,'Tally Attendance'!$F$2:$F$6201,"Half Day")</f>
        <v>0</v>
      </c>
      <c r="K148" s="2" t="n">
        <f aca="false">MIN(H148,2)</f>
        <v>2</v>
      </c>
      <c r="L148" s="2" t="n">
        <f aca="false">MAX(H148-K148,0)</f>
        <v>5</v>
      </c>
      <c r="M148" s="2" t="n">
        <f aca="false">ROUND(E148/F148,2)</f>
        <v>1134.62</v>
      </c>
      <c r="N148" s="2" t="n">
        <f aca="false">E148</f>
        <v>29500</v>
      </c>
      <c r="O148" s="2" t="n">
        <f aca="false">ROUND(M148*L148,2)</f>
        <v>5673.1</v>
      </c>
      <c r="P148" s="2" t="n">
        <f aca="false">ROUND(M148*COUNTIFS('Leave Records'!$B$2:$B$144,A148,'Leave Records'!$F$2:$F$144,"Unpaid")+M148*0.5*J148,2)</f>
        <v>0</v>
      </c>
      <c r="Q148" s="2" t="n">
        <f aca="false">INDEX('Employee Master'!$M$2:$M$201,MATCH(A148,'Employee Master'!$A$2:$A$201,0))</f>
        <v>3540</v>
      </c>
      <c r="R148" s="2" t="n">
        <v>0</v>
      </c>
      <c r="S148" s="2" t="n">
        <f aca="false">N148-O148-P148-Q148-R148</f>
        <v>20286.9</v>
      </c>
    </row>
    <row r="149" customFormat="false" ht="15" hidden="false" customHeight="false" outlineLevel="0" collapsed="false">
      <c r="A149" s="2" t="s">
        <v>343</v>
      </c>
      <c r="B149" s="2" t="s">
        <v>344</v>
      </c>
      <c r="C149" s="2" t="s">
        <v>649</v>
      </c>
      <c r="D149" s="2" t="n">
        <v>2026</v>
      </c>
      <c r="E149" s="2" t="n">
        <f aca="false">INDEX('Employee Master'!$G$2:$G$201,MATCH(A149,'Employee Master'!$A$2:$A$201,0))</f>
        <v>36500</v>
      </c>
      <c r="F149" s="2" t="n">
        <v>26</v>
      </c>
      <c r="G149" s="2" t="n">
        <f aca="false">COUNTIFS('Tally Attendance'!$A$2:$A$6201,A149,'Tally Attendance'!$F$2:$F$6201,"Present")</f>
        <v>25</v>
      </c>
      <c r="H149" s="2" t="n">
        <f aca="false">COUNTIFS('Tally Attendance'!$A$2:$A$6201,A149,'Tally Attendance'!$F$2:$F$6201,"Absent")</f>
        <v>0</v>
      </c>
      <c r="I149" s="2" t="n">
        <f aca="false">COUNTIFS('Tally Attendance'!$A$2:$A$6201,A149,'Tally Attendance'!$F$2:$F$6201,"Leave")</f>
        <v>0</v>
      </c>
      <c r="J149" s="2" t="n">
        <f aca="false">COUNTIFS('Tally Attendance'!$A$2:$A$6201,A149,'Tally Attendance'!$F$2:$F$6201,"Half Day")</f>
        <v>1</v>
      </c>
      <c r="K149" s="2" t="n">
        <f aca="false">MIN(H149,2)</f>
        <v>0</v>
      </c>
      <c r="L149" s="2" t="n">
        <f aca="false">MAX(H149-K149,0)</f>
        <v>0</v>
      </c>
      <c r="M149" s="2" t="n">
        <f aca="false">ROUND(E149/F149,2)</f>
        <v>1403.85</v>
      </c>
      <c r="N149" s="2" t="n">
        <f aca="false">E149</f>
        <v>36500</v>
      </c>
      <c r="O149" s="2" t="n">
        <f aca="false">ROUND(M149*L149,2)</f>
        <v>0</v>
      </c>
      <c r="P149" s="2" t="n">
        <f aca="false">ROUND(M149*COUNTIFS('Leave Records'!$B$2:$B$144,A149,'Leave Records'!$F$2:$F$144,"Unpaid")+M149*0.5*J149,2)</f>
        <v>701.93</v>
      </c>
      <c r="Q149" s="2" t="n">
        <f aca="false">INDEX('Employee Master'!$M$2:$M$201,MATCH(A149,'Employee Master'!$A$2:$A$201,0))</f>
        <v>4380</v>
      </c>
      <c r="R149" s="2" t="n">
        <v>0</v>
      </c>
      <c r="S149" s="2" t="n">
        <f aca="false">N149-O149-P149-Q149-R149</f>
        <v>31418.07</v>
      </c>
    </row>
    <row r="150" customFormat="false" ht="15" hidden="false" customHeight="false" outlineLevel="0" collapsed="false">
      <c r="A150" s="2" t="s">
        <v>345</v>
      </c>
      <c r="B150" s="2" t="s">
        <v>346</v>
      </c>
      <c r="C150" s="2" t="s">
        <v>649</v>
      </c>
      <c r="D150" s="2" t="n">
        <v>2026</v>
      </c>
      <c r="E150" s="2" t="n">
        <f aca="false">INDEX('Employee Master'!$G$2:$G$201,MATCH(A150,'Employee Master'!$A$2:$A$201,0))</f>
        <v>26500</v>
      </c>
      <c r="F150" s="2" t="n">
        <v>26</v>
      </c>
      <c r="G150" s="2" t="n">
        <f aca="false">COUNTIFS('Tally Attendance'!$A$2:$A$6201,A150,'Tally Attendance'!$F$2:$F$6201,"Present")</f>
        <v>22</v>
      </c>
      <c r="H150" s="2" t="n">
        <f aca="false">COUNTIFS('Tally Attendance'!$A$2:$A$6201,A150,'Tally Attendance'!$F$2:$F$6201,"Absent")</f>
        <v>3</v>
      </c>
      <c r="I150" s="2" t="n">
        <f aca="false">COUNTIFS('Tally Attendance'!$A$2:$A$6201,A150,'Tally Attendance'!$F$2:$F$6201,"Leave")</f>
        <v>1</v>
      </c>
      <c r="J150" s="2" t="n">
        <f aca="false">COUNTIFS('Tally Attendance'!$A$2:$A$6201,A150,'Tally Attendance'!$F$2:$F$6201,"Half Day")</f>
        <v>0</v>
      </c>
      <c r="K150" s="2" t="n">
        <f aca="false">MIN(H150,2)</f>
        <v>2</v>
      </c>
      <c r="L150" s="2" t="n">
        <f aca="false">MAX(H150-K150,0)</f>
        <v>1</v>
      </c>
      <c r="M150" s="2" t="n">
        <f aca="false">ROUND(E150/F150,2)</f>
        <v>1019.23</v>
      </c>
      <c r="N150" s="2" t="n">
        <f aca="false">E150</f>
        <v>26500</v>
      </c>
      <c r="O150" s="2" t="n">
        <f aca="false">ROUND(M150*L150,2)</f>
        <v>1019.23</v>
      </c>
      <c r="P150" s="2" t="n">
        <f aca="false">ROUND(M150*COUNTIFS('Leave Records'!$B$2:$B$144,A150,'Leave Records'!$F$2:$F$144,"Unpaid")+M150*0.5*J150,2)</f>
        <v>0</v>
      </c>
      <c r="Q150" s="2" t="n">
        <f aca="false">INDEX('Employee Master'!$M$2:$M$201,MATCH(A150,'Employee Master'!$A$2:$A$201,0))</f>
        <v>3180</v>
      </c>
      <c r="R150" s="2" t="n">
        <v>0</v>
      </c>
      <c r="S150" s="2" t="n">
        <f aca="false">N150-O150-P150-Q150-R150</f>
        <v>22300.77</v>
      </c>
    </row>
    <row r="151" customFormat="false" ht="15" hidden="false" customHeight="false" outlineLevel="0" collapsed="false">
      <c r="A151" s="2" t="s">
        <v>347</v>
      </c>
      <c r="B151" s="2" t="s">
        <v>348</v>
      </c>
      <c r="C151" s="2" t="s">
        <v>649</v>
      </c>
      <c r="D151" s="2" t="n">
        <v>2026</v>
      </c>
      <c r="E151" s="2" t="n">
        <f aca="false">INDEX('Employee Master'!$G$2:$G$201,MATCH(A151,'Employee Master'!$A$2:$A$201,0))</f>
        <v>42500</v>
      </c>
      <c r="F151" s="2" t="n">
        <v>26</v>
      </c>
      <c r="G151" s="2" t="n">
        <f aca="false">COUNTIFS('Tally Attendance'!$A$2:$A$6201,A151,'Tally Attendance'!$F$2:$F$6201,"Present")</f>
        <v>25</v>
      </c>
      <c r="H151" s="2" t="n">
        <f aca="false">COUNTIFS('Tally Attendance'!$A$2:$A$6201,A151,'Tally Attendance'!$F$2:$F$6201,"Absent")</f>
        <v>0</v>
      </c>
      <c r="I151" s="2" t="n">
        <f aca="false">COUNTIFS('Tally Attendance'!$A$2:$A$6201,A151,'Tally Attendance'!$F$2:$F$6201,"Leave")</f>
        <v>0</v>
      </c>
      <c r="J151" s="2" t="n">
        <f aca="false">COUNTIFS('Tally Attendance'!$A$2:$A$6201,A151,'Tally Attendance'!$F$2:$F$6201,"Half Day")</f>
        <v>1</v>
      </c>
      <c r="K151" s="2" t="n">
        <f aca="false">MIN(H151,2)</f>
        <v>0</v>
      </c>
      <c r="L151" s="2" t="n">
        <f aca="false">MAX(H151-K151,0)</f>
        <v>0</v>
      </c>
      <c r="M151" s="2" t="n">
        <f aca="false">ROUND(E151/F151,2)</f>
        <v>1634.62</v>
      </c>
      <c r="N151" s="2" t="n">
        <f aca="false">E151</f>
        <v>42500</v>
      </c>
      <c r="O151" s="2" t="n">
        <f aca="false">ROUND(M151*L151,2)</f>
        <v>0</v>
      </c>
      <c r="P151" s="2" t="n">
        <f aca="false">ROUND(M151*COUNTIFS('Leave Records'!$B$2:$B$144,A151,'Leave Records'!$F$2:$F$144,"Unpaid")+M151*0.5*J151,2)</f>
        <v>817.31</v>
      </c>
      <c r="Q151" s="2" t="n">
        <f aca="false">INDEX('Employee Master'!$M$2:$M$201,MATCH(A151,'Employee Master'!$A$2:$A$201,0))</f>
        <v>5100</v>
      </c>
      <c r="R151" s="2" t="n">
        <v>0</v>
      </c>
      <c r="S151" s="2" t="n">
        <f aca="false">N151-O151-P151-Q151-R151</f>
        <v>36582.69</v>
      </c>
    </row>
    <row r="152" customFormat="false" ht="15" hidden="false" customHeight="false" outlineLevel="0" collapsed="false">
      <c r="A152" s="2" t="s">
        <v>349</v>
      </c>
      <c r="B152" s="2" t="s">
        <v>350</v>
      </c>
      <c r="C152" s="2" t="s">
        <v>649</v>
      </c>
      <c r="D152" s="2" t="n">
        <v>2026</v>
      </c>
      <c r="E152" s="2" t="n">
        <f aca="false">INDEX('Employee Master'!$G$2:$G$201,MATCH(A152,'Employee Master'!$A$2:$A$201,0))</f>
        <v>74500</v>
      </c>
      <c r="F152" s="2" t="n">
        <v>26</v>
      </c>
      <c r="G152" s="2" t="n">
        <f aca="false">COUNTIFS('Tally Attendance'!$A$2:$A$6201,A152,'Tally Attendance'!$F$2:$F$6201,"Present")</f>
        <v>18</v>
      </c>
      <c r="H152" s="2" t="n">
        <f aca="false">COUNTIFS('Tally Attendance'!$A$2:$A$6201,A152,'Tally Attendance'!$F$2:$F$6201,"Absent")</f>
        <v>8</v>
      </c>
      <c r="I152" s="2" t="n">
        <f aca="false">COUNTIFS('Tally Attendance'!$A$2:$A$6201,A152,'Tally Attendance'!$F$2:$F$6201,"Leave")</f>
        <v>0</v>
      </c>
      <c r="J152" s="2" t="n">
        <f aca="false">COUNTIFS('Tally Attendance'!$A$2:$A$6201,A152,'Tally Attendance'!$F$2:$F$6201,"Half Day")</f>
        <v>0</v>
      </c>
      <c r="K152" s="2" t="n">
        <f aca="false">MIN(H152,2)</f>
        <v>2</v>
      </c>
      <c r="L152" s="2" t="n">
        <f aca="false">MAX(H152-K152,0)</f>
        <v>6</v>
      </c>
      <c r="M152" s="2" t="n">
        <f aca="false">ROUND(E152/F152,2)</f>
        <v>2865.38</v>
      </c>
      <c r="N152" s="2" t="n">
        <f aca="false">E152</f>
        <v>74500</v>
      </c>
      <c r="O152" s="2" t="n">
        <f aca="false">ROUND(M152*L152,2)</f>
        <v>17192.28</v>
      </c>
      <c r="P152" s="2" t="n">
        <f aca="false">ROUND(M152*COUNTIFS('Leave Records'!$B$2:$B$144,A152,'Leave Records'!$F$2:$F$144,"Unpaid")+M152*0.5*J152,2)</f>
        <v>0</v>
      </c>
      <c r="Q152" s="2" t="n">
        <f aca="false">INDEX('Employee Master'!$M$2:$M$201,MATCH(A152,'Employee Master'!$A$2:$A$201,0))</f>
        <v>8940</v>
      </c>
      <c r="R152" s="2" t="n">
        <v>0</v>
      </c>
      <c r="S152" s="2" t="n">
        <f aca="false">N152-O152-P152-Q152-R152</f>
        <v>48367.72</v>
      </c>
    </row>
    <row r="153" customFormat="false" ht="15" hidden="false" customHeight="false" outlineLevel="0" collapsed="false">
      <c r="A153" s="2" t="s">
        <v>351</v>
      </c>
      <c r="B153" s="2" t="s">
        <v>352</v>
      </c>
      <c r="C153" s="2" t="s">
        <v>649</v>
      </c>
      <c r="D153" s="2" t="n">
        <v>2026</v>
      </c>
      <c r="E153" s="2" t="n">
        <f aca="false">INDEX('Employee Master'!$G$2:$G$201,MATCH(A153,'Employee Master'!$A$2:$A$201,0))</f>
        <v>92000</v>
      </c>
      <c r="F153" s="2" t="n">
        <v>26</v>
      </c>
      <c r="G153" s="2" t="n">
        <f aca="false">COUNTIFS('Tally Attendance'!$A$2:$A$6201,A153,'Tally Attendance'!$F$2:$F$6201,"Present")</f>
        <v>20</v>
      </c>
      <c r="H153" s="2" t="n">
        <f aca="false">COUNTIFS('Tally Attendance'!$A$2:$A$6201,A153,'Tally Attendance'!$F$2:$F$6201,"Absent")</f>
        <v>5</v>
      </c>
      <c r="I153" s="2" t="n">
        <f aca="false">COUNTIFS('Tally Attendance'!$A$2:$A$6201,A153,'Tally Attendance'!$F$2:$F$6201,"Leave")</f>
        <v>0</v>
      </c>
      <c r="J153" s="2" t="n">
        <f aca="false">COUNTIFS('Tally Attendance'!$A$2:$A$6201,A153,'Tally Attendance'!$F$2:$F$6201,"Half Day")</f>
        <v>1</v>
      </c>
      <c r="K153" s="2" t="n">
        <f aca="false">MIN(H153,2)</f>
        <v>2</v>
      </c>
      <c r="L153" s="2" t="n">
        <f aca="false">MAX(H153-K153,0)</f>
        <v>3</v>
      </c>
      <c r="M153" s="2" t="n">
        <f aca="false">ROUND(E153/F153,2)</f>
        <v>3538.46</v>
      </c>
      <c r="N153" s="2" t="n">
        <f aca="false">E153</f>
        <v>92000</v>
      </c>
      <c r="O153" s="2" t="n">
        <f aca="false">ROUND(M153*L153,2)</f>
        <v>10615.38</v>
      </c>
      <c r="P153" s="2" t="n">
        <f aca="false">ROUND(M153*COUNTIFS('Leave Records'!$B$2:$B$144,A153,'Leave Records'!$F$2:$F$144,"Unpaid")+M153*0.5*J153,2)</f>
        <v>1769.23</v>
      </c>
      <c r="Q153" s="2" t="n">
        <f aca="false">INDEX('Employee Master'!$M$2:$M$201,MATCH(A153,'Employee Master'!$A$2:$A$201,0))</f>
        <v>11040</v>
      </c>
      <c r="R153" s="2" t="n">
        <v>0</v>
      </c>
      <c r="S153" s="2" t="n">
        <f aca="false">N153-O153-P153-Q153-R153</f>
        <v>68575.39</v>
      </c>
    </row>
    <row r="154" customFormat="false" ht="15" hidden="false" customHeight="false" outlineLevel="0" collapsed="false">
      <c r="A154" s="2" t="s">
        <v>353</v>
      </c>
      <c r="B154" s="2" t="s">
        <v>354</v>
      </c>
      <c r="C154" s="2" t="s">
        <v>649</v>
      </c>
      <c r="D154" s="2" t="n">
        <v>2026</v>
      </c>
      <c r="E154" s="2" t="n">
        <f aca="false">INDEX('Employee Master'!$G$2:$G$201,MATCH(A154,'Employee Master'!$A$2:$A$201,0))</f>
        <v>79000</v>
      </c>
      <c r="F154" s="2" t="n">
        <v>26</v>
      </c>
      <c r="G154" s="2" t="n">
        <f aca="false">COUNTIFS('Tally Attendance'!$A$2:$A$6201,A154,'Tally Attendance'!$F$2:$F$6201,"Present")</f>
        <v>19</v>
      </c>
      <c r="H154" s="2" t="n">
        <f aca="false">COUNTIFS('Tally Attendance'!$A$2:$A$6201,A154,'Tally Attendance'!$F$2:$F$6201,"Absent")</f>
        <v>4</v>
      </c>
      <c r="I154" s="2" t="n">
        <f aca="false">COUNTIFS('Tally Attendance'!$A$2:$A$6201,A154,'Tally Attendance'!$F$2:$F$6201,"Leave")</f>
        <v>1</v>
      </c>
      <c r="J154" s="2" t="n">
        <f aca="false">COUNTIFS('Tally Attendance'!$A$2:$A$6201,A154,'Tally Attendance'!$F$2:$F$6201,"Half Day")</f>
        <v>2</v>
      </c>
      <c r="K154" s="2" t="n">
        <f aca="false">MIN(H154,2)</f>
        <v>2</v>
      </c>
      <c r="L154" s="2" t="n">
        <f aca="false">MAX(H154-K154,0)</f>
        <v>2</v>
      </c>
      <c r="M154" s="2" t="n">
        <f aca="false">ROUND(E154/F154,2)</f>
        <v>3038.46</v>
      </c>
      <c r="N154" s="2" t="n">
        <f aca="false">E154</f>
        <v>79000</v>
      </c>
      <c r="O154" s="2" t="n">
        <f aca="false">ROUND(M154*L154,2)</f>
        <v>6076.92</v>
      </c>
      <c r="P154" s="2" t="n">
        <f aca="false">ROUND(M154*COUNTIFS('Leave Records'!$B$2:$B$144,A154,'Leave Records'!$F$2:$F$144,"Unpaid")+M154*0.5*J154,2)</f>
        <v>3038.46</v>
      </c>
      <c r="Q154" s="2" t="n">
        <f aca="false">INDEX('Employee Master'!$M$2:$M$201,MATCH(A154,'Employee Master'!$A$2:$A$201,0))</f>
        <v>9480</v>
      </c>
      <c r="R154" s="2" t="n">
        <v>0</v>
      </c>
      <c r="S154" s="2" t="n">
        <f aca="false">N154-O154-P154-Q154-R154</f>
        <v>60404.62</v>
      </c>
    </row>
    <row r="155" customFormat="false" ht="15" hidden="false" customHeight="false" outlineLevel="0" collapsed="false">
      <c r="A155" s="2" t="s">
        <v>355</v>
      </c>
      <c r="B155" s="2" t="s">
        <v>356</v>
      </c>
      <c r="C155" s="2" t="s">
        <v>649</v>
      </c>
      <c r="D155" s="2" t="n">
        <v>2026</v>
      </c>
      <c r="E155" s="2" t="n">
        <f aca="false">INDEX('Employee Master'!$G$2:$G$201,MATCH(A155,'Employee Master'!$A$2:$A$201,0))</f>
        <v>87000</v>
      </c>
      <c r="F155" s="2" t="n">
        <v>26</v>
      </c>
      <c r="G155" s="2" t="n">
        <f aca="false">COUNTIFS('Tally Attendance'!$A$2:$A$6201,A155,'Tally Attendance'!$F$2:$F$6201,"Present")</f>
        <v>20</v>
      </c>
      <c r="H155" s="2" t="n">
        <f aca="false">COUNTIFS('Tally Attendance'!$A$2:$A$6201,A155,'Tally Attendance'!$F$2:$F$6201,"Absent")</f>
        <v>4</v>
      </c>
      <c r="I155" s="2" t="n">
        <f aca="false">COUNTIFS('Tally Attendance'!$A$2:$A$6201,A155,'Tally Attendance'!$F$2:$F$6201,"Leave")</f>
        <v>0</v>
      </c>
      <c r="J155" s="2" t="n">
        <f aca="false">COUNTIFS('Tally Attendance'!$A$2:$A$6201,A155,'Tally Attendance'!$F$2:$F$6201,"Half Day")</f>
        <v>2</v>
      </c>
      <c r="K155" s="2" t="n">
        <f aca="false">MIN(H155,2)</f>
        <v>2</v>
      </c>
      <c r="L155" s="2" t="n">
        <f aca="false">MAX(H155-K155,0)</f>
        <v>2</v>
      </c>
      <c r="M155" s="2" t="n">
        <f aca="false">ROUND(E155/F155,2)</f>
        <v>3346.15</v>
      </c>
      <c r="N155" s="2" t="n">
        <f aca="false">E155</f>
        <v>87000</v>
      </c>
      <c r="O155" s="2" t="n">
        <f aca="false">ROUND(M155*L155,2)</f>
        <v>6692.3</v>
      </c>
      <c r="P155" s="2" t="n">
        <f aca="false">ROUND(M155*COUNTIFS('Leave Records'!$B$2:$B$144,A155,'Leave Records'!$F$2:$F$144,"Unpaid")+M155*0.5*J155,2)</f>
        <v>3346.15</v>
      </c>
      <c r="Q155" s="2" t="n">
        <f aca="false">INDEX('Employee Master'!$M$2:$M$201,MATCH(A155,'Employee Master'!$A$2:$A$201,0))</f>
        <v>10440</v>
      </c>
      <c r="R155" s="2" t="n">
        <v>0</v>
      </c>
      <c r="S155" s="2" t="n">
        <f aca="false">N155-O155-P155-Q155-R155</f>
        <v>66521.55</v>
      </c>
    </row>
    <row r="156" customFormat="false" ht="15" hidden="false" customHeight="false" outlineLevel="0" collapsed="false">
      <c r="A156" s="2" t="s">
        <v>357</v>
      </c>
      <c r="B156" s="2" t="s">
        <v>358</v>
      </c>
      <c r="C156" s="2" t="s">
        <v>649</v>
      </c>
      <c r="D156" s="2" t="n">
        <v>2026</v>
      </c>
      <c r="E156" s="2" t="n">
        <f aca="false">INDEX('Employee Master'!$G$2:$G$201,MATCH(A156,'Employee Master'!$A$2:$A$201,0))</f>
        <v>42500</v>
      </c>
      <c r="F156" s="2" t="n">
        <v>26</v>
      </c>
      <c r="G156" s="2" t="n">
        <f aca="false">COUNTIFS('Tally Attendance'!$A$2:$A$6201,A156,'Tally Attendance'!$F$2:$F$6201,"Present")</f>
        <v>20</v>
      </c>
      <c r="H156" s="2" t="n">
        <f aca="false">COUNTIFS('Tally Attendance'!$A$2:$A$6201,A156,'Tally Attendance'!$F$2:$F$6201,"Absent")</f>
        <v>3</v>
      </c>
      <c r="I156" s="2" t="n">
        <f aca="false">COUNTIFS('Tally Attendance'!$A$2:$A$6201,A156,'Tally Attendance'!$F$2:$F$6201,"Leave")</f>
        <v>1</v>
      </c>
      <c r="J156" s="2" t="n">
        <f aca="false">COUNTIFS('Tally Attendance'!$A$2:$A$6201,A156,'Tally Attendance'!$F$2:$F$6201,"Half Day")</f>
        <v>2</v>
      </c>
      <c r="K156" s="2" t="n">
        <f aca="false">MIN(H156,2)</f>
        <v>2</v>
      </c>
      <c r="L156" s="2" t="n">
        <f aca="false">MAX(H156-K156,0)</f>
        <v>1</v>
      </c>
      <c r="M156" s="2" t="n">
        <f aca="false">ROUND(E156/F156,2)</f>
        <v>1634.62</v>
      </c>
      <c r="N156" s="2" t="n">
        <f aca="false">E156</f>
        <v>42500</v>
      </c>
      <c r="O156" s="2" t="n">
        <f aca="false">ROUND(M156*L156,2)</f>
        <v>1634.62</v>
      </c>
      <c r="P156" s="2" t="n">
        <f aca="false">ROUND(M156*COUNTIFS('Leave Records'!$B$2:$B$144,A156,'Leave Records'!$F$2:$F$144,"Unpaid")+M156*0.5*J156,2)</f>
        <v>1634.62</v>
      </c>
      <c r="Q156" s="2" t="n">
        <f aca="false">INDEX('Employee Master'!$M$2:$M$201,MATCH(A156,'Employee Master'!$A$2:$A$201,0))</f>
        <v>5100</v>
      </c>
      <c r="R156" s="2" t="n">
        <v>0</v>
      </c>
      <c r="S156" s="2" t="n">
        <f aca="false">N156-O156-P156-Q156-R156</f>
        <v>34130.76</v>
      </c>
    </row>
    <row r="157" customFormat="false" ht="15" hidden="false" customHeight="false" outlineLevel="0" collapsed="false">
      <c r="A157" s="2" t="s">
        <v>359</v>
      </c>
      <c r="B157" s="2" t="s">
        <v>360</v>
      </c>
      <c r="C157" s="2" t="s">
        <v>649</v>
      </c>
      <c r="D157" s="2" t="n">
        <v>2026</v>
      </c>
      <c r="E157" s="2" t="n">
        <f aca="false">INDEX('Employee Master'!$G$2:$G$201,MATCH(A157,'Employee Master'!$A$2:$A$201,0))</f>
        <v>39000</v>
      </c>
      <c r="F157" s="2" t="n">
        <v>26</v>
      </c>
      <c r="G157" s="2" t="n">
        <f aca="false">COUNTIFS('Tally Attendance'!$A$2:$A$6201,A157,'Tally Attendance'!$F$2:$F$6201,"Present")</f>
        <v>19</v>
      </c>
      <c r="H157" s="2" t="n">
        <f aca="false">COUNTIFS('Tally Attendance'!$A$2:$A$6201,A157,'Tally Attendance'!$F$2:$F$6201,"Absent")</f>
        <v>5</v>
      </c>
      <c r="I157" s="2" t="n">
        <f aca="false">COUNTIFS('Tally Attendance'!$A$2:$A$6201,A157,'Tally Attendance'!$F$2:$F$6201,"Leave")</f>
        <v>2</v>
      </c>
      <c r="J157" s="2" t="n">
        <f aca="false">COUNTIFS('Tally Attendance'!$A$2:$A$6201,A157,'Tally Attendance'!$F$2:$F$6201,"Half Day")</f>
        <v>0</v>
      </c>
      <c r="K157" s="2" t="n">
        <f aca="false">MIN(H157,2)</f>
        <v>2</v>
      </c>
      <c r="L157" s="2" t="n">
        <f aca="false">MAX(H157-K157,0)</f>
        <v>3</v>
      </c>
      <c r="M157" s="2" t="n">
        <f aca="false">ROUND(E157/F157,2)</f>
        <v>1500</v>
      </c>
      <c r="N157" s="2" t="n">
        <f aca="false">E157</f>
        <v>39000</v>
      </c>
      <c r="O157" s="2" t="n">
        <f aca="false">ROUND(M157*L157,2)</f>
        <v>4500</v>
      </c>
      <c r="P157" s="2" t="n">
        <f aca="false">ROUND(M157*COUNTIFS('Leave Records'!$B$2:$B$144,A157,'Leave Records'!$F$2:$F$144,"Unpaid")+M157*0.5*J157,2)</f>
        <v>1500</v>
      </c>
      <c r="Q157" s="2" t="n">
        <f aca="false">INDEX('Employee Master'!$M$2:$M$201,MATCH(A157,'Employee Master'!$A$2:$A$201,0))</f>
        <v>4680</v>
      </c>
      <c r="R157" s="2" t="n">
        <v>0</v>
      </c>
      <c r="S157" s="2" t="n">
        <f aca="false">N157-O157-P157-Q157-R157</f>
        <v>28320</v>
      </c>
    </row>
    <row r="158" customFormat="false" ht="15" hidden="false" customHeight="false" outlineLevel="0" collapsed="false">
      <c r="A158" s="2" t="s">
        <v>361</v>
      </c>
      <c r="B158" s="2" t="s">
        <v>362</v>
      </c>
      <c r="C158" s="2" t="s">
        <v>649</v>
      </c>
      <c r="D158" s="2" t="n">
        <v>2026</v>
      </c>
      <c r="E158" s="2" t="n">
        <f aca="false">INDEX('Employee Master'!$G$2:$G$201,MATCH(A158,'Employee Master'!$A$2:$A$201,0))</f>
        <v>62500</v>
      </c>
      <c r="F158" s="2" t="n">
        <v>26</v>
      </c>
      <c r="G158" s="2" t="n">
        <f aca="false">COUNTIFS('Tally Attendance'!$A$2:$A$6201,A158,'Tally Attendance'!$F$2:$F$6201,"Present")</f>
        <v>23</v>
      </c>
      <c r="H158" s="2" t="n">
        <f aca="false">COUNTIFS('Tally Attendance'!$A$2:$A$6201,A158,'Tally Attendance'!$F$2:$F$6201,"Absent")</f>
        <v>2</v>
      </c>
      <c r="I158" s="2" t="n">
        <f aca="false">COUNTIFS('Tally Attendance'!$A$2:$A$6201,A158,'Tally Attendance'!$F$2:$F$6201,"Leave")</f>
        <v>1</v>
      </c>
      <c r="J158" s="2" t="n">
        <f aca="false">COUNTIFS('Tally Attendance'!$A$2:$A$6201,A158,'Tally Attendance'!$F$2:$F$6201,"Half Day")</f>
        <v>0</v>
      </c>
      <c r="K158" s="2" t="n">
        <f aca="false">MIN(H158,2)</f>
        <v>2</v>
      </c>
      <c r="L158" s="2" t="n">
        <f aca="false">MAX(H158-K158,0)</f>
        <v>0</v>
      </c>
      <c r="M158" s="2" t="n">
        <f aca="false">ROUND(E158/F158,2)</f>
        <v>2403.85</v>
      </c>
      <c r="N158" s="2" t="n">
        <f aca="false">E158</f>
        <v>62500</v>
      </c>
      <c r="O158" s="2" t="n">
        <f aca="false">ROUND(M158*L158,2)</f>
        <v>0</v>
      </c>
      <c r="P158" s="2" t="n">
        <f aca="false">ROUND(M158*COUNTIFS('Leave Records'!$B$2:$B$144,A158,'Leave Records'!$F$2:$F$144,"Unpaid")+M158*0.5*J158,2)</f>
        <v>2403.85</v>
      </c>
      <c r="Q158" s="2" t="n">
        <f aca="false">INDEX('Employee Master'!$M$2:$M$201,MATCH(A158,'Employee Master'!$A$2:$A$201,0))</f>
        <v>7500</v>
      </c>
      <c r="R158" s="2" t="n">
        <v>0</v>
      </c>
      <c r="S158" s="2" t="n">
        <f aca="false">N158-O158-P158-Q158-R158</f>
        <v>52596.15</v>
      </c>
    </row>
    <row r="159" customFormat="false" ht="15" hidden="false" customHeight="false" outlineLevel="0" collapsed="false">
      <c r="A159" s="2" t="s">
        <v>363</v>
      </c>
      <c r="B159" s="2" t="s">
        <v>364</v>
      </c>
      <c r="C159" s="2" t="s">
        <v>649</v>
      </c>
      <c r="D159" s="2" t="n">
        <v>2026</v>
      </c>
      <c r="E159" s="2" t="n">
        <f aca="false">INDEX('Employee Master'!$G$2:$G$201,MATCH(A159,'Employee Master'!$A$2:$A$201,0))</f>
        <v>95000</v>
      </c>
      <c r="F159" s="2" t="n">
        <v>26</v>
      </c>
      <c r="G159" s="2" t="n">
        <f aca="false">COUNTIFS('Tally Attendance'!$A$2:$A$6201,A159,'Tally Attendance'!$F$2:$F$6201,"Present")</f>
        <v>26</v>
      </c>
      <c r="H159" s="2" t="n">
        <f aca="false">COUNTIFS('Tally Attendance'!$A$2:$A$6201,A159,'Tally Attendance'!$F$2:$F$6201,"Absent")</f>
        <v>0</v>
      </c>
      <c r="I159" s="2" t="n">
        <f aca="false">COUNTIFS('Tally Attendance'!$A$2:$A$6201,A159,'Tally Attendance'!$F$2:$F$6201,"Leave")</f>
        <v>0</v>
      </c>
      <c r="J159" s="2" t="n">
        <f aca="false">COUNTIFS('Tally Attendance'!$A$2:$A$6201,A159,'Tally Attendance'!$F$2:$F$6201,"Half Day")</f>
        <v>0</v>
      </c>
      <c r="K159" s="2" t="n">
        <f aca="false">MIN(H159,2)</f>
        <v>0</v>
      </c>
      <c r="L159" s="2" t="n">
        <f aca="false">MAX(H159-K159,0)</f>
        <v>0</v>
      </c>
      <c r="M159" s="2" t="n">
        <f aca="false">ROUND(E159/F159,2)</f>
        <v>3653.85</v>
      </c>
      <c r="N159" s="2" t="n">
        <f aca="false">E159</f>
        <v>95000</v>
      </c>
      <c r="O159" s="2" t="n">
        <f aca="false">ROUND(M159*L159,2)</f>
        <v>0</v>
      </c>
      <c r="P159" s="2" t="n">
        <f aca="false">ROUND(M159*COUNTIFS('Leave Records'!$B$2:$B$144,A159,'Leave Records'!$F$2:$F$144,"Unpaid")+M159*0.5*J159,2)</f>
        <v>0</v>
      </c>
      <c r="Q159" s="2" t="n">
        <f aca="false">INDEX('Employee Master'!$M$2:$M$201,MATCH(A159,'Employee Master'!$A$2:$A$201,0))</f>
        <v>11400</v>
      </c>
      <c r="R159" s="2" t="n">
        <v>0</v>
      </c>
      <c r="S159" s="2" t="n">
        <f aca="false">N159-O159-P159-Q159-R159</f>
        <v>83600</v>
      </c>
    </row>
    <row r="160" customFormat="false" ht="15" hidden="false" customHeight="false" outlineLevel="0" collapsed="false">
      <c r="A160" s="2" t="s">
        <v>365</v>
      </c>
      <c r="B160" s="2" t="s">
        <v>366</v>
      </c>
      <c r="C160" s="2" t="s">
        <v>649</v>
      </c>
      <c r="D160" s="2" t="n">
        <v>2026</v>
      </c>
      <c r="E160" s="2" t="n">
        <f aca="false">INDEX('Employee Master'!$G$2:$G$201,MATCH(A160,'Employee Master'!$A$2:$A$201,0))</f>
        <v>35000</v>
      </c>
      <c r="F160" s="2" t="n">
        <v>26</v>
      </c>
      <c r="G160" s="2" t="n">
        <f aca="false">COUNTIFS('Tally Attendance'!$A$2:$A$6201,A160,'Tally Attendance'!$F$2:$F$6201,"Present")</f>
        <v>21</v>
      </c>
      <c r="H160" s="2" t="n">
        <f aca="false">COUNTIFS('Tally Attendance'!$A$2:$A$6201,A160,'Tally Attendance'!$F$2:$F$6201,"Absent")</f>
        <v>3</v>
      </c>
      <c r="I160" s="2" t="n">
        <f aca="false">COUNTIFS('Tally Attendance'!$A$2:$A$6201,A160,'Tally Attendance'!$F$2:$F$6201,"Leave")</f>
        <v>2</v>
      </c>
      <c r="J160" s="2" t="n">
        <f aca="false">COUNTIFS('Tally Attendance'!$A$2:$A$6201,A160,'Tally Attendance'!$F$2:$F$6201,"Half Day")</f>
        <v>0</v>
      </c>
      <c r="K160" s="2" t="n">
        <f aca="false">MIN(H160,2)</f>
        <v>2</v>
      </c>
      <c r="L160" s="2" t="n">
        <f aca="false">MAX(H160-K160,0)</f>
        <v>1</v>
      </c>
      <c r="M160" s="2" t="n">
        <f aca="false">ROUND(E160/F160,2)</f>
        <v>1346.15</v>
      </c>
      <c r="N160" s="2" t="n">
        <f aca="false">E160</f>
        <v>35000</v>
      </c>
      <c r="O160" s="2" t="n">
        <f aca="false">ROUND(M160*L160,2)</f>
        <v>1346.15</v>
      </c>
      <c r="P160" s="2" t="n">
        <f aca="false">ROUND(M160*COUNTIFS('Leave Records'!$B$2:$B$144,A160,'Leave Records'!$F$2:$F$144,"Unpaid")+M160*0.5*J160,2)</f>
        <v>1346.15</v>
      </c>
      <c r="Q160" s="2" t="n">
        <f aca="false">INDEX('Employee Master'!$M$2:$M$201,MATCH(A160,'Employee Master'!$A$2:$A$201,0))</f>
        <v>4200</v>
      </c>
      <c r="R160" s="2" t="n">
        <v>0</v>
      </c>
      <c r="S160" s="2" t="n">
        <f aca="false">N160-O160-P160-Q160-R160</f>
        <v>28107.7</v>
      </c>
    </row>
    <row r="161" customFormat="false" ht="15" hidden="false" customHeight="false" outlineLevel="0" collapsed="false">
      <c r="A161" s="2" t="s">
        <v>367</v>
      </c>
      <c r="B161" s="2" t="s">
        <v>368</v>
      </c>
      <c r="C161" s="2" t="s">
        <v>649</v>
      </c>
      <c r="D161" s="2" t="n">
        <v>2026</v>
      </c>
      <c r="E161" s="2" t="n">
        <f aca="false">INDEX('Employee Master'!$G$2:$G$201,MATCH(A161,'Employee Master'!$A$2:$A$201,0))</f>
        <v>73500</v>
      </c>
      <c r="F161" s="2" t="n">
        <v>26</v>
      </c>
      <c r="G161" s="2" t="n">
        <f aca="false">COUNTIFS('Tally Attendance'!$A$2:$A$6201,A161,'Tally Attendance'!$F$2:$F$6201,"Present")</f>
        <v>24</v>
      </c>
      <c r="H161" s="2" t="n">
        <f aca="false">COUNTIFS('Tally Attendance'!$A$2:$A$6201,A161,'Tally Attendance'!$F$2:$F$6201,"Absent")</f>
        <v>0</v>
      </c>
      <c r="I161" s="2" t="n">
        <f aca="false">COUNTIFS('Tally Attendance'!$A$2:$A$6201,A161,'Tally Attendance'!$F$2:$F$6201,"Leave")</f>
        <v>0</v>
      </c>
      <c r="J161" s="2" t="n">
        <f aca="false">COUNTIFS('Tally Attendance'!$A$2:$A$6201,A161,'Tally Attendance'!$F$2:$F$6201,"Half Day")</f>
        <v>2</v>
      </c>
      <c r="K161" s="2" t="n">
        <f aca="false">MIN(H161,2)</f>
        <v>0</v>
      </c>
      <c r="L161" s="2" t="n">
        <f aca="false">MAX(H161-K161,0)</f>
        <v>0</v>
      </c>
      <c r="M161" s="2" t="n">
        <f aca="false">ROUND(E161/F161,2)</f>
        <v>2826.92</v>
      </c>
      <c r="N161" s="2" t="n">
        <f aca="false">E161</f>
        <v>73500</v>
      </c>
      <c r="O161" s="2" t="n">
        <f aca="false">ROUND(M161*L161,2)</f>
        <v>0</v>
      </c>
      <c r="P161" s="2" t="n">
        <f aca="false">ROUND(M161*COUNTIFS('Leave Records'!$B$2:$B$144,A161,'Leave Records'!$F$2:$F$144,"Unpaid")+M161*0.5*J161,2)</f>
        <v>2826.92</v>
      </c>
      <c r="Q161" s="2" t="n">
        <f aca="false">INDEX('Employee Master'!$M$2:$M$201,MATCH(A161,'Employee Master'!$A$2:$A$201,0))</f>
        <v>8820</v>
      </c>
      <c r="R161" s="2" t="n">
        <v>0</v>
      </c>
      <c r="S161" s="2" t="n">
        <f aca="false">N161-O161-P161-Q161-R161</f>
        <v>61853.08</v>
      </c>
    </row>
    <row r="162" customFormat="false" ht="15" hidden="false" customHeight="false" outlineLevel="0" collapsed="false">
      <c r="A162" s="2" t="s">
        <v>369</v>
      </c>
      <c r="B162" s="2" t="s">
        <v>370</v>
      </c>
      <c r="C162" s="2" t="s">
        <v>649</v>
      </c>
      <c r="D162" s="2" t="n">
        <v>2026</v>
      </c>
      <c r="E162" s="2" t="n">
        <f aca="false">INDEX('Employee Master'!$G$2:$G$201,MATCH(A162,'Employee Master'!$A$2:$A$201,0))</f>
        <v>89500</v>
      </c>
      <c r="F162" s="2" t="n">
        <v>26</v>
      </c>
      <c r="G162" s="2" t="n">
        <f aca="false">COUNTIFS('Tally Attendance'!$A$2:$A$6201,A162,'Tally Attendance'!$F$2:$F$6201,"Present")</f>
        <v>21</v>
      </c>
      <c r="H162" s="2" t="n">
        <f aca="false">COUNTIFS('Tally Attendance'!$A$2:$A$6201,A162,'Tally Attendance'!$F$2:$F$6201,"Absent")</f>
        <v>3</v>
      </c>
      <c r="I162" s="2" t="n">
        <f aca="false">COUNTIFS('Tally Attendance'!$A$2:$A$6201,A162,'Tally Attendance'!$F$2:$F$6201,"Leave")</f>
        <v>2</v>
      </c>
      <c r="J162" s="2" t="n">
        <f aca="false">COUNTIFS('Tally Attendance'!$A$2:$A$6201,A162,'Tally Attendance'!$F$2:$F$6201,"Half Day")</f>
        <v>0</v>
      </c>
      <c r="K162" s="2" t="n">
        <f aca="false">MIN(H162,2)</f>
        <v>2</v>
      </c>
      <c r="L162" s="2" t="n">
        <f aca="false">MAX(H162-K162,0)</f>
        <v>1</v>
      </c>
      <c r="M162" s="2" t="n">
        <f aca="false">ROUND(E162/F162,2)</f>
        <v>3442.31</v>
      </c>
      <c r="N162" s="2" t="n">
        <f aca="false">E162</f>
        <v>89500</v>
      </c>
      <c r="O162" s="2" t="n">
        <f aca="false">ROUND(M162*L162,2)</f>
        <v>3442.31</v>
      </c>
      <c r="P162" s="2" t="n">
        <f aca="false">ROUND(M162*COUNTIFS('Leave Records'!$B$2:$B$144,A162,'Leave Records'!$F$2:$F$144,"Unpaid")+M162*0.5*J162,2)</f>
        <v>0</v>
      </c>
      <c r="Q162" s="2" t="n">
        <f aca="false">INDEX('Employee Master'!$M$2:$M$201,MATCH(A162,'Employee Master'!$A$2:$A$201,0))</f>
        <v>10740</v>
      </c>
      <c r="R162" s="2" t="n">
        <v>0</v>
      </c>
      <c r="S162" s="2" t="n">
        <f aca="false">N162-O162-P162-Q162-R162</f>
        <v>75317.69</v>
      </c>
    </row>
    <row r="163" customFormat="false" ht="15" hidden="false" customHeight="false" outlineLevel="0" collapsed="false">
      <c r="A163" s="2" t="s">
        <v>371</v>
      </c>
      <c r="B163" s="2" t="s">
        <v>372</v>
      </c>
      <c r="C163" s="2" t="s">
        <v>649</v>
      </c>
      <c r="D163" s="2" t="n">
        <v>2026</v>
      </c>
      <c r="E163" s="2" t="n">
        <f aca="false">INDEX('Employee Master'!$G$2:$G$201,MATCH(A163,'Employee Master'!$A$2:$A$201,0))</f>
        <v>84500</v>
      </c>
      <c r="F163" s="2" t="n">
        <v>26</v>
      </c>
      <c r="G163" s="2" t="n">
        <f aca="false">COUNTIFS('Tally Attendance'!$A$2:$A$6201,A163,'Tally Attendance'!$F$2:$F$6201,"Present")</f>
        <v>26</v>
      </c>
      <c r="H163" s="2" t="n">
        <f aca="false">COUNTIFS('Tally Attendance'!$A$2:$A$6201,A163,'Tally Attendance'!$F$2:$F$6201,"Absent")</f>
        <v>0</v>
      </c>
      <c r="I163" s="2" t="n">
        <f aca="false">COUNTIFS('Tally Attendance'!$A$2:$A$6201,A163,'Tally Attendance'!$F$2:$F$6201,"Leave")</f>
        <v>0</v>
      </c>
      <c r="J163" s="2" t="n">
        <f aca="false">COUNTIFS('Tally Attendance'!$A$2:$A$6201,A163,'Tally Attendance'!$F$2:$F$6201,"Half Day")</f>
        <v>0</v>
      </c>
      <c r="K163" s="2" t="n">
        <f aca="false">MIN(H163,2)</f>
        <v>0</v>
      </c>
      <c r="L163" s="2" t="n">
        <f aca="false">MAX(H163-K163,0)</f>
        <v>0</v>
      </c>
      <c r="M163" s="2" t="n">
        <f aca="false">ROUND(E163/F163,2)</f>
        <v>3250</v>
      </c>
      <c r="N163" s="2" t="n">
        <f aca="false">E163</f>
        <v>84500</v>
      </c>
      <c r="O163" s="2" t="n">
        <f aca="false">ROUND(M163*L163,2)</f>
        <v>0</v>
      </c>
      <c r="P163" s="2" t="n">
        <f aca="false">ROUND(M163*COUNTIFS('Leave Records'!$B$2:$B$144,A163,'Leave Records'!$F$2:$F$144,"Unpaid")+M163*0.5*J163,2)</f>
        <v>0</v>
      </c>
      <c r="Q163" s="2" t="n">
        <f aca="false">INDEX('Employee Master'!$M$2:$M$201,MATCH(A163,'Employee Master'!$A$2:$A$201,0))</f>
        <v>10140</v>
      </c>
      <c r="R163" s="2" t="n">
        <v>0</v>
      </c>
      <c r="S163" s="2" t="n">
        <f aca="false">N163-O163-P163-Q163-R163</f>
        <v>74360</v>
      </c>
    </row>
    <row r="164" customFormat="false" ht="15" hidden="false" customHeight="false" outlineLevel="0" collapsed="false">
      <c r="A164" s="2" t="s">
        <v>373</v>
      </c>
      <c r="B164" s="2" t="s">
        <v>374</v>
      </c>
      <c r="C164" s="2" t="s">
        <v>649</v>
      </c>
      <c r="D164" s="2" t="n">
        <v>2026</v>
      </c>
      <c r="E164" s="2" t="n">
        <f aca="false">INDEX('Employee Master'!$G$2:$G$201,MATCH(A164,'Employee Master'!$A$2:$A$201,0))</f>
        <v>32000</v>
      </c>
      <c r="F164" s="2" t="n">
        <v>26</v>
      </c>
      <c r="G164" s="2" t="n">
        <f aca="false">COUNTIFS('Tally Attendance'!$A$2:$A$6201,A164,'Tally Attendance'!$F$2:$F$6201,"Present")</f>
        <v>17</v>
      </c>
      <c r="H164" s="2" t="n">
        <f aca="false">COUNTIFS('Tally Attendance'!$A$2:$A$6201,A164,'Tally Attendance'!$F$2:$F$6201,"Absent")</f>
        <v>8</v>
      </c>
      <c r="I164" s="2" t="n">
        <f aca="false">COUNTIFS('Tally Attendance'!$A$2:$A$6201,A164,'Tally Attendance'!$F$2:$F$6201,"Leave")</f>
        <v>1</v>
      </c>
      <c r="J164" s="2" t="n">
        <f aca="false">COUNTIFS('Tally Attendance'!$A$2:$A$6201,A164,'Tally Attendance'!$F$2:$F$6201,"Half Day")</f>
        <v>0</v>
      </c>
      <c r="K164" s="2" t="n">
        <f aca="false">MIN(H164,2)</f>
        <v>2</v>
      </c>
      <c r="L164" s="2" t="n">
        <f aca="false">MAX(H164-K164,0)</f>
        <v>6</v>
      </c>
      <c r="M164" s="2" t="n">
        <f aca="false">ROUND(E164/F164,2)</f>
        <v>1230.77</v>
      </c>
      <c r="N164" s="2" t="n">
        <f aca="false">E164</f>
        <v>32000</v>
      </c>
      <c r="O164" s="2" t="n">
        <f aca="false">ROUND(M164*L164,2)</f>
        <v>7384.62</v>
      </c>
      <c r="P164" s="2" t="n">
        <f aca="false">ROUND(M164*COUNTIFS('Leave Records'!$B$2:$B$144,A164,'Leave Records'!$F$2:$F$144,"Unpaid")+M164*0.5*J164,2)</f>
        <v>1230.77</v>
      </c>
      <c r="Q164" s="2" t="n">
        <f aca="false">INDEX('Employee Master'!$M$2:$M$201,MATCH(A164,'Employee Master'!$A$2:$A$201,0))</f>
        <v>3840</v>
      </c>
      <c r="R164" s="2" t="n">
        <v>0</v>
      </c>
      <c r="S164" s="2" t="n">
        <f aca="false">N164-O164-P164-Q164-R164</f>
        <v>19544.61</v>
      </c>
    </row>
    <row r="165" customFormat="false" ht="15" hidden="false" customHeight="false" outlineLevel="0" collapsed="false">
      <c r="A165" s="2" t="s">
        <v>375</v>
      </c>
      <c r="B165" s="2" t="s">
        <v>376</v>
      </c>
      <c r="C165" s="2" t="s">
        <v>649</v>
      </c>
      <c r="D165" s="2" t="n">
        <v>2026</v>
      </c>
      <c r="E165" s="2" t="n">
        <f aca="false">INDEX('Employee Master'!$G$2:$G$201,MATCH(A165,'Employee Master'!$A$2:$A$201,0))</f>
        <v>37000</v>
      </c>
      <c r="F165" s="2" t="n">
        <v>26</v>
      </c>
      <c r="G165" s="2" t="n">
        <f aca="false">COUNTIFS('Tally Attendance'!$A$2:$A$6201,A165,'Tally Attendance'!$F$2:$F$6201,"Present")</f>
        <v>26</v>
      </c>
      <c r="H165" s="2" t="n">
        <f aca="false">COUNTIFS('Tally Attendance'!$A$2:$A$6201,A165,'Tally Attendance'!$F$2:$F$6201,"Absent")</f>
        <v>0</v>
      </c>
      <c r="I165" s="2" t="n">
        <f aca="false">COUNTIFS('Tally Attendance'!$A$2:$A$6201,A165,'Tally Attendance'!$F$2:$F$6201,"Leave")</f>
        <v>0</v>
      </c>
      <c r="J165" s="2" t="n">
        <f aca="false">COUNTIFS('Tally Attendance'!$A$2:$A$6201,A165,'Tally Attendance'!$F$2:$F$6201,"Half Day")</f>
        <v>0</v>
      </c>
      <c r="K165" s="2" t="n">
        <f aca="false">MIN(H165,2)</f>
        <v>0</v>
      </c>
      <c r="L165" s="2" t="n">
        <f aca="false">MAX(H165-K165,0)</f>
        <v>0</v>
      </c>
      <c r="M165" s="2" t="n">
        <f aca="false">ROUND(E165/F165,2)</f>
        <v>1423.08</v>
      </c>
      <c r="N165" s="2" t="n">
        <f aca="false">E165</f>
        <v>37000</v>
      </c>
      <c r="O165" s="2" t="n">
        <f aca="false">ROUND(M165*L165,2)</f>
        <v>0</v>
      </c>
      <c r="P165" s="2" t="n">
        <f aca="false">ROUND(M165*COUNTIFS('Leave Records'!$B$2:$B$144,A165,'Leave Records'!$F$2:$F$144,"Unpaid")+M165*0.5*J165,2)</f>
        <v>0</v>
      </c>
      <c r="Q165" s="2" t="n">
        <f aca="false">INDEX('Employee Master'!$M$2:$M$201,MATCH(A165,'Employee Master'!$A$2:$A$201,0))</f>
        <v>4440</v>
      </c>
      <c r="R165" s="2" t="n">
        <v>0</v>
      </c>
      <c r="S165" s="2" t="n">
        <f aca="false">N165-O165-P165-Q165-R165</f>
        <v>32560</v>
      </c>
    </row>
    <row r="166" customFormat="false" ht="15" hidden="false" customHeight="false" outlineLevel="0" collapsed="false">
      <c r="A166" s="2" t="s">
        <v>377</v>
      </c>
      <c r="B166" s="2" t="s">
        <v>378</v>
      </c>
      <c r="C166" s="2" t="s">
        <v>649</v>
      </c>
      <c r="D166" s="2" t="n">
        <v>2026</v>
      </c>
      <c r="E166" s="2" t="n">
        <f aca="false">INDEX('Employee Master'!$G$2:$G$201,MATCH(A166,'Employee Master'!$A$2:$A$201,0))</f>
        <v>50000</v>
      </c>
      <c r="F166" s="2" t="n">
        <v>26</v>
      </c>
      <c r="G166" s="2" t="n">
        <f aca="false">COUNTIFS('Tally Attendance'!$A$2:$A$6201,A166,'Tally Attendance'!$F$2:$F$6201,"Present")</f>
        <v>23</v>
      </c>
      <c r="H166" s="2" t="n">
        <f aca="false">COUNTIFS('Tally Attendance'!$A$2:$A$6201,A166,'Tally Attendance'!$F$2:$F$6201,"Absent")</f>
        <v>2</v>
      </c>
      <c r="I166" s="2" t="n">
        <f aca="false">COUNTIFS('Tally Attendance'!$A$2:$A$6201,A166,'Tally Attendance'!$F$2:$F$6201,"Leave")</f>
        <v>1</v>
      </c>
      <c r="J166" s="2" t="n">
        <f aca="false">COUNTIFS('Tally Attendance'!$A$2:$A$6201,A166,'Tally Attendance'!$F$2:$F$6201,"Half Day")</f>
        <v>0</v>
      </c>
      <c r="K166" s="2" t="n">
        <f aca="false">MIN(H166,2)</f>
        <v>2</v>
      </c>
      <c r="L166" s="2" t="n">
        <f aca="false">MAX(H166-K166,0)</f>
        <v>0</v>
      </c>
      <c r="M166" s="2" t="n">
        <f aca="false">ROUND(E166/F166,2)</f>
        <v>1923.08</v>
      </c>
      <c r="N166" s="2" t="n">
        <f aca="false">E166</f>
        <v>50000</v>
      </c>
      <c r="O166" s="2" t="n">
        <f aca="false">ROUND(M166*L166,2)</f>
        <v>0</v>
      </c>
      <c r="P166" s="2" t="n">
        <f aca="false">ROUND(M166*COUNTIFS('Leave Records'!$B$2:$B$144,A166,'Leave Records'!$F$2:$F$144,"Unpaid")+M166*0.5*J166,2)</f>
        <v>0</v>
      </c>
      <c r="Q166" s="2" t="n">
        <f aca="false">INDEX('Employee Master'!$M$2:$M$201,MATCH(A166,'Employee Master'!$A$2:$A$201,0))</f>
        <v>6000</v>
      </c>
      <c r="R166" s="2" t="n">
        <v>0</v>
      </c>
      <c r="S166" s="2" t="n">
        <f aca="false">N166-O166-P166-Q166-R166</f>
        <v>44000</v>
      </c>
    </row>
    <row r="167" customFormat="false" ht="15" hidden="false" customHeight="false" outlineLevel="0" collapsed="false">
      <c r="A167" s="2" t="s">
        <v>379</v>
      </c>
      <c r="B167" s="2" t="s">
        <v>380</v>
      </c>
      <c r="C167" s="2" t="s">
        <v>649</v>
      </c>
      <c r="D167" s="2" t="n">
        <v>2026</v>
      </c>
      <c r="E167" s="2" t="n">
        <f aca="false">INDEX('Employee Master'!$G$2:$G$201,MATCH(A167,'Employee Master'!$A$2:$A$201,0))</f>
        <v>19500</v>
      </c>
      <c r="F167" s="2" t="n">
        <v>26</v>
      </c>
      <c r="G167" s="2" t="n">
        <f aca="false">COUNTIFS('Tally Attendance'!$A$2:$A$6201,A167,'Tally Attendance'!$F$2:$F$6201,"Present")</f>
        <v>19</v>
      </c>
      <c r="H167" s="2" t="n">
        <f aca="false">COUNTIFS('Tally Attendance'!$A$2:$A$6201,A167,'Tally Attendance'!$F$2:$F$6201,"Absent")</f>
        <v>5</v>
      </c>
      <c r="I167" s="2" t="n">
        <f aca="false">COUNTIFS('Tally Attendance'!$A$2:$A$6201,A167,'Tally Attendance'!$F$2:$F$6201,"Leave")</f>
        <v>1</v>
      </c>
      <c r="J167" s="2" t="n">
        <f aca="false">COUNTIFS('Tally Attendance'!$A$2:$A$6201,A167,'Tally Attendance'!$F$2:$F$6201,"Half Day")</f>
        <v>1</v>
      </c>
      <c r="K167" s="2" t="n">
        <f aca="false">MIN(H167,2)</f>
        <v>2</v>
      </c>
      <c r="L167" s="2" t="n">
        <f aca="false">MAX(H167-K167,0)</f>
        <v>3</v>
      </c>
      <c r="M167" s="2" t="n">
        <f aca="false">ROUND(E167/F167,2)</f>
        <v>750</v>
      </c>
      <c r="N167" s="2" t="n">
        <f aca="false">E167</f>
        <v>19500</v>
      </c>
      <c r="O167" s="2" t="n">
        <f aca="false">ROUND(M167*L167,2)</f>
        <v>2250</v>
      </c>
      <c r="P167" s="2" t="n">
        <f aca="false">ROUND(M167*COUNTIFS('Leave Records'!$B$2:$B$144,A167,'Leave Records'!$F$2:$F$144,"Unpaid")+M167*0.5*J167,2)</f>
        <v>375</v>
      </c>
      <c r="Q167" s="2" t="n">
        <f aca="false">INDEX('Employee Master'!$M$2:$M$201,MATCH(A167,'Employee Master'!$A$2:$A$201,0))</f>
        <v>2340</v>
      </c>
      <c r="R167" s="2" t="n">
        <v>0</v>
      </c>
      <c r="S167" s="2" t="n">
        <f aca="false">N167-O167-P167-Q167-R167</f>
        <v>14535</v>
      </c>
    </row>
    <row r="168" customFormat="false" ht="15" hidden="false" customHeight="false" outlineLevel="0" collapsed="false">
      <c r="A168" s="2" t="s">
        <v>381</v>
      </c>
      <c r="B168" s="2" t="s">
        <v>382</v>
      </c>
      <c r="C168" s="2" t="s">
        <v>649</v>
      </c>
      <c r="D168" s="2" t="n">
        <v>2026</v>
      </c>
      <c r="E168" s="2" t="n">
        <f aca="false">INDEX('Employee Master'!$G$2:$G$201,MATCH(A168,'Employee Master'!$A$2:$A$201,0))</f>
        <v>22000</v>
      </c>
      <c r="F168" s="2" t="n">
        <v>26</v>
      </c>
      <c r="G168" s="2" t="n">
        <f aca="false">COUNTIFS('Tally Attendance'!$A$2:$A$6201,A168,'Tally Attendance'!$F$2:$F$6201,"Present")</f>
        <v>19</v>
      </c>
      <c r="H168" s="2" t="n">
        <f aca="false">COUNTIFS('Tally Attendance'!$A$2:$A$6201,A168,'Tally Attendance'!$F$2:$F$6201,"Absent")</f>
        <v>4</v>
      </c>
      <c r="I168" s="2" t="n">
        <f aca="false">COUNTIFS('Tally Attendance'!$A$2:$A$6201,A168,'Tally Attendance'!$F$2:$F$6201,"Leave")</f>
        <v>1</v>
      </c>
      <c r="J168" s="2" t="n">
        <f aca="false">COUNTIFS('Tally Attendance'!$A$2:$A$6201,A168,'Tally Attendance'!$F$2:$F$6201,"Half Day")</f>
        <v>2</v>
      </c>
      <c r="K168" s="2" t="n">
        <f aca="false">MIN(H168,2)</f>
        <v>2</v>
      </c>
      <c r="L168" s="2" t="n">
        <f aca="false">MAX(H168-K168,0)</f>
        <v>2</v>
      </c>
      <c r="M168" s="2" t="n">
        <f aca="false">ROUND(E168/F168,2)</f>
        <v>846.15</v>
      </c>
      <c r="N168" s="2" t="n">
        <f aca="false">E168</f>
        <v>22000</v>
      </c>
      <c r="O168" s="2" t="n">
        <f aca="false">ROUND(M168*L168,2)</f>
        <v>1692.3</v>
      </c>
      <c r="P168" s="2" t="n">
        <f aca="false">ROUND(M168*COUNTIFS('Leave Records'!$B$2:$B$144,A168,'Leave Records'!$F$2:$F$144,"Unpaid")+M168*0.5*J168,2)</f>
        <v>846.15</v>
      </c>
      <c r="Q168" s="2" t="n">
        <f aca="false">INDEX('Employee Master'!$M$2:$M$201,MATCH(A168,'Employee Master'!$A$2:$A$201,0))</f>
        <v>2640</v>
      </c>
      <c r="R168" s="2" t="n">
        <v>0</v>
      </c>
      <c r="S168" s="2" t="n">
        <f aca="false">N168-O168-P168-Q168-R168</f>
        <v>16821.55</v>
      </c>
    </row>
    <row r="169" customFormat="false" ht="15" hidden="false" customHeight="false" outlineLevel="0" collapsed="false">
      <c r="A169" s="2" t="s">
        <v>383</v>
      </c>
      <c r="B169" s="2" t="s">
        <v>384</v>
      </c>
      <c r="C169" s="2" t="s">
        <v>649</v>
      </c>
      <c r="D169" s="2" t="n">
        <v>2026</v>
      </c>
      <c r="E169" s="2" t="n">
        <f aca="false">INDEX('Employee Master'!$G$2:$G$201,MATCH(A169,'Employee Master'!$A$2:$A$201,0))</f>
        <v>30000</v>
      </c>
      <c r="F169" s="2" t="n">
        <v>26</v>
      </c>
      <c r="G169" s="2" t="n">
        <f aca="false">COUNTIFS('Tally Attendance'!$A$2:$A$6201,A169,'Tally Attendance'!$F$2:$F$6201,"Present")</f>
        <v>22</v>
      </c>
      <c r="H169" s="2" t="n">
        <f aca="false">COUNTIFS('Tally Attendance'!$A$2:$A$6201,A169,'Tally Attendance'!$F$2:$F$6201,"Absent")</f>
        <v>2</v>
      </c>
      <c r="I169" s="2" t="n">
        <f aca="false">COUNTIFS('Tally Attendance'!$A$2:$A$6201,A169,'Tally Attendance'!$F$2:$F$6201,"Leave")</f>
        <v>2</v>
      </c>
      <c r="J169" s="2" t="n">
        <f aca="false">COUNTIFS('Tally Attendance'!$A$2:$A$6201,A169,'Tally Attendance'!$F$2:$F$6201,"Half Day")</f>
        <v>0</v>
      </c>
      <c r="K169" s="2" t="n">
        <f aca="false">MIN(H169,2)</f>
        <v>2</v>
      </c>
      <c r="L169" s="2" t="n">
        <f aca="false">MAX(H169-K169,0)</f>
        <v>0</v>
      </c>
      <c r="M169" s="2" t="n">
        <f aca="false">ROUND(E169/F169,2)</f>
        <v>1153.85</v>
      </c>
      <c r="N169" s="2" t="n">
        <f aca="false">E169</f>
        <v>30000</v>
      </c>
      <c r="O169" s="2" t="n">
        <f aca="false">ROUND(M169*L169,2)</f>
        <v>0</v>
      </c>
      <c r="P169" s="2" t="n">
        <f aca="false">ROUND(M169*COUNTIFS('Leave Records'!$B$2:$B$144,A169,'Leave Records'!$F$2:$F$144,"Unpaid")+M169*0.5*J169,2)</f>
        <v>0</v>
      </c>
      <c r="Q169" s="2" t="n">
        <f aca="false">INDEX('Employee Master'!$M$2:$M$201,MATCH(A169,'Employee Master'!$A$2:$A$201,0))</f>
        <v>3600</v>
      </c>
      <c r="R169" s="2" t="n">
        <v>0</v>
      </c>
      <c r="S169" s="2" t="n">
        <f aca="false">N169-O169-P169-Q169-R169</f>
        <v>26400</v>
      </c>
    </row>
    <row r="170" customFormat="false" ht="15" hidden="false" customHeight="false" outlineLevel="0" collapsed="false">
      <c r="A170" s="2" t="s">
        <v>385</v>
      </c>
      <c r="B170" s="2" t="s">
        <v>386</v>
      </c>
      <c r="C170" s="2" t="s">
        <v>649</v>
      </c>
      <c r="D170" s="2" t="n">
        <v>2026</v>
      </c>
      <c r="E170" s="2" t="n">
        <f aca="false">INDEX('Employee Master'!$G$2:$G$201,MATCH(A170,'Employee Master'!$A$2:$A$201,0))</f>
        <v>24500</v>
      </c>
      <c r="F170" s="2" t="n">
        <v>26</v>
      </c>
      <c r="G170" s="2" t="n">
        <f aca="false">COUNTIFS('Tally Attendance'!$A$2:$A$6201,A170,'Tally Attendance'!$F$2:$F$6201,"Present")</f>
        <v>21</v>
      </c>
      <c r="H170" s="2" t="n">
        <f aca="false">COUNTIFS('Tally Attendance'!$A$2:$A$6201,A170,'Tally Attendance'!$F$2:$F$6201,"Absent")</f>
        <v>3</v>
      </c>
      <c r="I170" s="2" t="n">
        <f aca="false">COUNTIFS('Tally Attendance'!$A$2:$A$6201,A170,'Tally Attendance'!$F$2:$F$6201,"Leave")</f>
        <v>0</v>
      </c>
      <c r="J170" s="2" t="n">
        <f aca="false">COUNTIFS('Tally Attendance'!$A$2:$A$6201,A170,'Tally Attendance'!$F$2:$F$6201,"Half Day")</f>
        <v>2</v>
      </c>
      <c r="K170" s="2" t="n">
        <f aca="false">MIN(H170,2)</f>
        <v>2</v>
      </c>
      <c r="L170" s="2" t="n">
        <f aca="false">MAX(H170-K170,0)</f>
        <v>1</v>
      </c>
      <c r="M170" s="2" t="n">
        <f aca="false">ROUND(E170/F170,2)</f>
        <v>942.31</v>
      </c>
      <c r="N170" s="2" t="n">
        <f aca="false">E170</f>
        <v>24500</v>
      </c>
      <c r="O170" s="2" t="n">
        <f aca="false">ROUND(M170*L170,2)</f>
        <v>942.31</v>
      </c>
      <c r="P170" s="2" t="n">
        <f aca="false">ROUND(M170*COUNTIFS('Leave Records'!$B$2:$B$144,A170,'Leave Records'!$F$2:$F$144,"Unpaid")+M170*0.5*J170,2)</f>
        <v>942.31</v>
      </c>
      <c r="Q170" s="2" t="n">
        <f aca="false">INDEX('Employee Master'!$M$2:$M$201,MATCH(A170,'Employee Master'!$A$2:$A$201,0))</f>
        <v>2940</v>
      </c>
      <c r="R170" s="2" t="n">
        <v>0</v>
      </c>
      <c r="S170" s="2" t="n">
        <f aca="false">N170-O170-P170-Q170-R170</f>
        <v>19675.38</v>
      </c>
    </row>
    <row r="171" customFormat="false" ht="15" hidden="false" customHeight="false" outlineLevel="0" collapsed="false">
      <c r="A171" s="2" t="s">
        <v>387</v>
      </c>
      <c r="B171" s="2" t="s">
        <v>388</v>
      </c>
      <c r="C171" s="2" t="s">
        <v>649</v>
      </c>
      <c r="D171" s="2" t="n">
        <v>2026</v>
      </c>
      <c r="E171" s="2" t="n">
        <f aca="false">INDEX('Employee Master'!$G$2:$G$201,MATCH(A171,'Employee Master'!$A$2:$A$201,0))</f>
        <v>29000</v>
      </c>
      <c r="F171" s="2" t="n">
        <v>26</v>
      </c>
      <c r="G171" s="2" t="n">
        <f aca="false">COUNTIFS('Tally Attendance'!$A$2:$A$6201,A171,'Tally Attendance'!$F$2:$F$6201,"Present")</f>
        <v>23</v>
      </c>
      <c r="H171" s="2" t="n">
        <f aca="false">COUNTIFS('Tally Attendance'!$A$2:$A$6201,A171,'Tally Attendance'!$F$2:$F$6201,"Absent")</f>
        <v>1</v>
      </c>
      <c r="I171" s="2" t="n">
        <f aca="false">COUNTIFS('Tally Attendance'!$A$2:$A$6201,A171,'Tally Attendance'!$F$2:$F$6201,"Leave")</f>
        <v>2</v>
      </c>
      <c r="J171" s="2" t="n">
        <f aca="false">COUNTIFS('Tally Attendance'!$A$2:$A$6201,A171,'Tally Attendance'!$F$2:$F$6201,"Half Day")</f>
        <v>0</v>
      </c>
      <c r="K171" s="2" t="n">
        <f aca="false">MIN(H171,2)</f>
        <v>1</v>
      </c>
      <c r="L171" s="2" t="n">
        <f aca="false">MAX(H171-K171,0)</f>
        <v>0</v>
      </c>
      <c r="M171" s="2" t="n">
        <f aca="false">ROUND(E171/F171,2)</f>
        <v>1115.38</v>
      </c>
      <c r="N171" s="2" t="n">
        <f aca="false">E171</f>
        <v>29000</v>
      </c>
      <c r="O171" s="2" t="n">
        <f aca="false">ROUND(M171*L171,2)</f>
        <v>0</v>
      </c>
      <c r="P171" s="2" t="n">
        <f aca="false">ROUND(M171*COUNTIFS('Leave Records'!$B$2:$B$144,A171,'Leave Records'!$F$2:$F$144,"Unpaid")+M171*0.5*J171,2)</f>
        <v>0</v>
      </c>
      <c r="Q171" s="2" t="n">
        <f aca="false">INDEX('Employee Master'!$M$2:$M$201,MATCH(A171,'Employee Master'!$A$2:$A$201,0))</f>
        <v>3480</v>
      </c>
      <c r="R171" s="2" t="n">
        <v>0</v>
      </c>
      <c r="S171" s="2" t="n">
        <f aca="false">N171-O171-P171-Q171-R171</f>
        <v>25520</v>
      </c>
    </row>
    <row r="172" customFormat="false" ht="15" hidden="false" customHeight="false" outlineLevel="0" collapsed="false">
      <c r="A172" s="2" t="s">
        <v>389</v>
      </c>
      <c r="B172" s="2" t="s">
        <v>390</v>
      </c>
      <c r="C172" s="2" t="s">
        <v>649</v>
      </c>
      <c r="D172" s="2" t="n">
        <v>2026</v>
      </c>
      <c r="E172" s="2" t="n">
        <f aca="false">INDEX('Employee Master'!$G$2:$G$201,MATCH(A172,'Employee Master'!$A$2:$A$201,0))</f>
        <v>68500</v>
      </c>
      <c r="F172" s="2" t="n">
        <v>26</v>
      </c>
      <c r="G172" s="2" t="n">
        <f aca="false">COUNTIFS('Tally Attendance'!$A$2:$A$6201,A172,'Tally Attendance'!$F$2:$F$6201,"Present")</f>
        <v>25</v>
      </c>
      <c r="H172" s="2" t="n">
        <f aca="false">COUNTIFS('Tally Attendance'!$A$2:$A$6201,A172,'Tally Attendance'!$F$2:$F$6201,"Absent")</f>
        <v>0</v>
      </c>
      <c r="I172" s="2" t="n">
        <f aca="false">COUNTIFS('Tally Attendance'!$A$2:$A$6201,A172,'Tally Attendance'!$F$2:$F$6201,"Leave")</f>
        <v>0</v>
      </c>
      <c r="J172" s="2" t="n">
        <f aca="false">COUNTIFS('Tally Attendance'!$A$2:$A$6201,A172,'Tally Attendance'!$F$2:$F$6201,"Half Day")</f>
        <v>1</v>
      </c>
      <c r="K172" s="2" t="n">
        <f aca="false">MIN(H172,2)</f>
        <v>0</v>
      </c>
      <c r="L172" s="2" t="n">
        <f aca="false">MAX(H172-K172,0)</f>
        <v>0</v>
      </c>
      <c r="M172" s="2" t="n">
        <f aca="false">ROUND(E172/F172,2)</f>
        <v>2634.62</v>
      </c>
      <c r="N172" s="2" t="n">
        <f aca="false">E172</f>
        <v>68500</v>
      </c>
      <c r="O172" s="2" t="n">
        <f aca="false">ROUND(M172*L172,2)</f>
        <v>0</v>
      </c>
      <c r="P172" s="2" t="n">
        <f aca="false">ROUND(M172*COUNTIFS('Leave Records'!$B$2:$B$144,A172,'Leave Records'!$F$2:$F$144,"Unpaid")+M172*0.5*J172,2)</f>
        <v>1317.31</v>
      </c>
      <c r="Q172" s="2" t="n">
        <f aca="false">INDEX('Employee Master'!$M$2:$M$201,MATCH(A172,'Employee Master'!$A$2:$A$201,0))</f>
        <v>8220</v>
      </c>
      <c r="R172" s="2" t="n">
        <v>0</v>
      </c>
      <c r="S172" s="2" t="n">
        <f aca="false">N172-O172-P172-Q172-R172</f>
        <v>58962.69</v>
      </c>
    </row>
    <row r="173" customFormat="false" ht="15" hidden="false" customHeight="false" outlineLevel="0" collapsed="false">
      <c r="A173" s="2" t="s">
        <v>391</v>
      </c>
      <c r="B173" s="2" t="s">
        <v>392</v>
      </c>
      <c r="C173" s="2" t="s">
        <v>649</v>
      </c>
      <c r="D173" s="2" t="n">
        <v>2026</v>
      </c>
      <c r="E173" s="2" t="n">
        <f aca="false">INDEX('Employee Master'!$G$2:$G$201,MATCH(A173,'Employee Master'!$A$2:$A$201,0))</f>
        <v>125000</v>
      </c>
      <c r="F173" s="2" t="n">
        <v>26</v>
      </c>
      <c r="G173" s="2" t="n">
        <f aca="false">COUNTIFS('Tally Attendance'!$A$2:$A$6201,A173,'Tally Attendance'!$F$2:$F$6201,"Present")</f>
        <v>24</v>
      </c>
      <c r="H173" s="2" t="n">
        <f aca="false">COUNTIFS('Tally Attendance'!$A$2:$A$6201,A173,'Tally Attendance'!$F$2:$F$6201,"Absent")</f>
        <v>1</v>
      </c>
      <c r="I173" s="2" t="n">
        <f aca="false">COUNTIFS('Tally Attendance'!$A$2:$A$6201,A173,'Tally Attendance'!$F$2:$F$6201,"Leave")</f>
        <v>1</v>
      </c>
      <c r="J173" s="2" t="n">
        <f aca="false">COUNTIFS('Tally Attendance'!$A$2:$A$6201,A173,'Tally Attendance'!$F$2:$F$6201,"Half Day")</f>
        <v>0</v>
      </c>
      <c r="K173" s="2" t="n">
        <f aca="false">MIN(H173,2)</f>
        <v>1</v>
      </c>
      <c r="L173" s="2" t="n">
        <f aca="false">MAX(H173-K173,0)</f>
        <v>0</v>
      </c>
      <c r="M173" s="2" t="n">
        <f aca="false">ROUND(E173/F173,2)</f>
        <v>4807.69</v>
      </c>
      <c r="N173" s="2" t="n">
        <f aca="false">E173</f>
        <v>125000</v>
      </c>
      <c r="O173" s="2" t="n">
        <f aca="false">ROUND(M173*L173,2)</f>
        <v>0</v>
      </c>
      <c r="P173" s="2" t="n">
        <f aca="false">ROUND(M173*COUNTIFS('Leave Records'!$B$2:$B$144,A173,'Leave Records'!$F$2:$F$144,"Unpaid")+M173*0.5*J173,2)</f>
        <v>0</v>
      </c>
      <c r="Q173" s="2" t="n">
        <f aca="false">INDEX('Employee Master'!$M$2:$M$201,MATCH(A173,'Employee Master'!$A$2:$A$201,0))</f>
        <v>15000</v>
      </c>
      <c r="R173" s="2" t="n">
        <v>0</v>
      </c>
      <c r="S173" s="2" t="n">
        <f aca="false">N173-O173-P173-Q173-R173</f>
        <v>110000</v>
      </c>
    </row>
    <row r="174" customFormat="false" ht="15" hidden="false" customHeight="false" outlineLevel="0" collapsed="false">
      <c r="A174" s="2" t="s">
        <v>393</v>
      </c>
      <c r="B174" s="2" t="s">
        <v>394</v>
      </c>
      <c r="C174" s="2" t="s">
        <v>649</v>
      </c>
      <c r="D174" s="2" t="n">
        <v>2026</v>
      </c>
      <c r="E174" s="2" t="n">
        <f aca="false">INDEX('Employee Master'!$G$2:$G$201,MATCH(A174,'Employee Master'!$A$2:$A$201,0))</f>
        <v>106000</v>
      </c>
      <c r="F174" s="2" t="n">
        <v>26</v>
      </c>
      <c r="G174" s="2" t="n">
        <f aca="false">COUNTIFS('Tally Attendance'!$A$2:$A$6201,A174,'Tally Attendance'!$F$2:$F$6201,"Present")</f>
        <v>14</v>
      </c>
      <c r="H174" s="2" t="n">
        <f aca="false">COUNTIFS('Tally Attendance'!$A$2:$A$6201,A174,'Tally Attendance'!$F$2:$F$6201,"Absent")</f>
        <v>9</v>
      </c>
      <c r="I174" s="2" t="n">
        <f aca="false">COUNTIFS('Tally Attendance'!$A$2:$A$6201,A174,'Tally Attendance'!$F$2:$F$6201,"Leave")</f>
        <v>2</v>
      </c>
      <c r="J174" s="2" t="n">
        <f aca="false">COUNTIFS('Tally Attendance'!$A$2:$A$6201,A174,'Tally Attendance'!$F$2:$F$6201,"Half Day")</f>
        <v>1</v>
      </c>
      <c r="K174" s="2" t="n">
        <f aca="false">MIN(H174,2)</f>
        <v>2</v>
      </c>
      <c r="L174" s="2" t="n">
        <f aca="false">MAX(H174-K174,0)</f>
        <v>7</v>
      </c>
      <c r="M174" s="2" t="n">
        <f aca="false">ROUND(E174/F174,2)</f>
        <v>4076.92</v>
      </c>
      <c r="N174" s="2" t="n">
        <f aca="false">E174</f>
        <v>106000</v>
      </c>
      <c r="O174" s="2" t="n">
        <f aca="false">ROUND(M174*L174,2)</f>
        <v>28538.44</v>
      </c>
      <c r="P174" s="2" t="n">
        <f aca="false">ROUND(M174*COUNTIFS('Leave Records'!$B$2:$B$144,A174,'Leave Records'!$F$2:$F$144,"Unpaid")+M174*0.5*J174,2)</f>
        <v>2038.46</v>
      </c>
      <c r="Q174" s="2" t="n">
        <f aca="false">INDEX('Employee Master'!$M$2:$M$201,MATCH(A174,'Employee Master'!$A$2:$A$201,0))</f>
        <v>12720</v>
      </c>
      <c r="R174" s="2" t="n">
        <v>0</v>
      </c>
      <c r="S174" s="2" t="n">
        <f aca="false">N174-O174-P174-Q174-R174</f>
        <v>62703.1</v>
      </c>
    </row>
    <row r="175" customFormat="false" ht="15" hidden="false" customHeight="false" outlineLevel="0" collapsed="false">
      <c r="A175" s="2" t="s">
        <v>395</v>
      </c>
      <c r="B175" s="2" t="s">
        <v>396</v>
      </c>
      <c r="C175" s="2" t="s">
        <v>649</v>
      </c>
      <c r="D175" s="2" t="n">
        <v>2026</v>
      </c>
      <c r="E175" s="2" t="n">
        <f aca="false">INDEX('Employee Master'!$G$2:$G$201,MATCH(A175,'Employee Master'!$A$2:$A$201,0))</f>
        <v>32500</v>
      </c>
      <c r="F175" s="2" t="n">
        <v>26</v>
      </c>
      <c r="G175" s="2" t="n">
        <f aca="false">COUNTIFS('Tally Attendance'!$A$2:$A$6201,A175,'Tally Attendance'!$F$2:$F$6201,"Present")</f>
        <v>21</v>
      </c>
      <c r="H175" s="2" t="n">
        <f aca="false">COUNTIFS('Tally Attendance'!$A$2:$A$6201,A175,'Tally Attendance'!$F$2:$F$6201,"Absent")</f>
        <v>4</v>
      </c>
      <c r="I175" s="2" t="n">
        <f aca="false">COUNTIFS('Tally Attendance'!$A$2:$A$6201,A175,'Tally Attendance'!$F$2:$F$6201,"Leave")</f>
        <v>1</v>
      </c>
      <c r="J175" s="2" t="n">
        <f aca="false">COUNTIFS('Tally Attendance'!$A$2:$A$6201,A175,'Tally Attendance'!$F$2:$F$6201,"Half Day")</f>
        <v>0</v>
      </c>
      <c r="K175" s="2" t="n">
        <f aca="false">MIN(H175,2)</f>
        <v>2</v>
      </c>
      <c r="L175" s="2" t="n">
        <f aca="false">MAX(H175-K175,0)</f>
        <v>2</v>
      </c>
      <c r="M175" s="2" t="n">
        <f aca="false">ROUND(E175/F175,2)</f>
        <v>1250</v>
      </c>
      <c r="N175" s="2" t="n">
        <f aca="false">E175</f>
        <v>32500</v>
      </c>
      <c r="O175" s="2" t="n">
        <f aca="false">ROUND(M175*L175,2)</f>
        <v>2500</v>
      </c>
      <c r="P175" s="2" t="n">
        <f aca="false">ROUND(M175*COUNTIFS('Leave Records'!$B$2:$B$144,A175,'Leave Records'!$F$2:$F$144,"Unpaid")+M175*0.5*J175,2)</f>
        <v>0</v>
      </c>
      <c r="Q175" s="2" t="n">
        <f aca="false">INDEX('Employee Master'!$M$2:$M$201,MATCH(A175,'Employee Master'!$A$2:$A$201,0))</f>
        <v>3900</v>
      </c>
      <c r="R175" s="2" t="n">
        <v>0</v>
      </c>
      <c r="S175" s="2" t="n">
        <f aca="false">N175-O175-P175-Q175-R175</f>
        <v>26100</v>
      </c>
    </row>
    <row r="176" customFormat="false" ht="15" hidden="false" customHeight="false" outlineLevel="0" collapsed="false">
      <c r="A176" s="2" t="s">
        <v>397</v>
      </c>
      <c r="B176" s="2" t="s">
        <v>398</v>
      </c>
      <c r="C176" s="2" t="s">
        <v>649</v>
      </c>
      <c r="D176" s="2" t="n">
        <v>2026</v>
      </c>
      <c r="E176" s="2" t="n">
        <f aca="false">INDEX('Employee Master'!$G$2:$G$201,MATCH(A176,'Employee Master'!$A$2:$A$201,0))</f>
        <v>75000</v>
      </c>
      <c r="F176" s="2" t="n">
        <v>26</v>
      </c>
      <c r="G176" s="2" t="n">
        <f aca="false">COUNTIFS('Tally Attendance'!$A$2:$A$6201,A176,'Tally Attendance'!$F$2:$F$6201,"Present")</f>
        <v>17</v>
      </c>
      <c r="H176" s="2" t="n">
        <f aca="false">COUNTIFS('Tally Attendance'!$A$2:$A$6201,A176,'Tally Attendance'!$F$2:$F$6201,"Absent")</f>
        <v>8</v>
      </c>
      <c r="I176" s="2" t="n">
        <f aca="false">COUNTIFS('Tally Attendance'!$A$2:$A$6201,A176,'Tally Attendance'!$F$2:$F$6201,"Leave")</f>
        <v>1</v>
      </c>
      <c r="J176" s="2" t="n">
        <f aca="false">COUNTIFS('Tally Attendance'!$A$2:$A$6201,A176,'Tally Attendance'!$F$2:$F$6201,"Half Day")</f>
        <v>0</v>
      </c>
      <c r="K176" s="2" t="n">
        <f aca="false">MIN(H176,2)</f>
        <v>2</v>
      </c>
      <c r="L176" s="2" t="n">
        <f aca="false">MAX(H176-K176,0)</f>
        <v>6</v>
      </c>
      <c r="M176" s="2" t="n">
        <f aca="false">ROUND(E176/F176,2)</f>
        <v>2884.62</v>
      </c>
      <c r="N176" s="2" t="n">
        <f aca="false">E176</f>
        <v>75000</v>
      </c>
      <c r="O176" s="2" t="n">
        <f aca="false">ROUND(M176*L176,2)</f>
        <v>17307.72</v>
      </c>
      <c r="P176" s="2" t="n">
        <f aca="false">ROUND(M176*COUNTIFS('Leave Records'!$B$2:$B$144,A176,'Leave Records'!$F$2:$F$144,"Unpaid")+M176*0.5*J176,2)</f>
        <v>2884.62</v>
      </c>
      <c r="Q176" s="2" t="n">
        <f aca="false">INDEX('Employee Master'!$M$2:$M$201,MATCH(A176,'Employee Master'!$A$2:$A$201,0))</f>
        <v>9000</v>
      </c>
      <c r="R176" s="2" t="n">
        <v>0</v>
      </c>
      <c r="S176" s="2" t="n">
        <f aca="false">N176-O176-P176-Q176-R176</f>
        <v>45807.66</v>
      </c>
    </row>
    <row r="177" customFormat="false" ht="15" hidden="false" customHeight="false" outlineLevel="0" collapsed="false">
      <c r="A177" s="2" t="s">
        <v>399</v>
      </c>
      <c r="B177" s="2" t="s">
        <v>400</v>
      </c>
      <c r="C177" s="2" t="s">
        <v>649</v>
      </c>
      <c r="D177" s="2" t="n">
        <v>2026</v>
      </c>
      <c r="E177" s="2" t="n">
        <f aca="false">INDEX('Employee Master'!$G$2:$G$201,MATCH(A177,'Employee Master'!$A$2:$A$201,0))</f>
        <v>76500</v>
      </c>
      <c r="F177" s="2" t="n">
        <v>26</v>
      </c>
      <c r="G177" s="2" t="n">
        <f aca="false">COUNTIFS('Tally Attendance'!$A$2:$A$6201,A177,'Tally Attendance'!$F$2:$F$6201,"Present")</f>
        <v>25</v>
      </c>
      <c r="H177" s="2" t="n">
        <f aca="false">COUNTIFS('Tally Attendance'!$A$2:$A$6201,A177,'Tally Attendance'!$F$2:$F$6201,"Absent")</f>
        <v>0</v>
      </c>
      <c r="I177" s="2" t="n">
        <f aca="false">COUNTIFS('Tally Attendance'!$A$2:$A$6201,A177,'Tally Attendance'!$F$2:$F$6201,"Leave")</f>
        <v>0</v>
      </c>
      <c r="J177" s="2" t="n">
        <f aca="false">COUNTIFS('Tally Attendance'!$A$2:$A$6201,A177,'Tally Attendance'!$F$2:$F$6201,"Half Day")</f>
        <v>1</v>
      </c>
      <c r="K177" s="2" t="n">
        <f aca="false">MIN(H177,2)</f>
        <v>0</v>
      </c>
      <c r="L177" s="2" t="n">
        <f aca="false">MAX(H177-K177,0)</f>
        <v>0</v>
      </c>
      <c r="M177" s="2" t="n">
        <f aca="false">ROUND(E177/F177,2)</f>
        <v>2942.31</v>
      </c>
      <c r="N177" s="2" t="n">
        <f aca="false">E177</f>
        <v>76500</v>
      </c>
      <c r="O177" s="2" t="n">
        <f aca="false">ROUND(M177*L177,2)</f>
        <v>0</v>
      </c>
      <c r="P177" s="2" t="n">
        <f aca="false">ROUND(M177*COUNTIFS('Leave Records'!$B$2:$B$144,A177,'Leave Records'!$F$2:$F$144,"Unpaid")+M177*0.5*J177,2)</f>
        <v>1471.16</v>
      </c>
      <c r="Q177" s="2" t="n">
        <f aca="false">INDEX('Employee Master'!$M$2:$M$201,MATCH(A177,'Employee Master'!$A$2:$A$201,0))</f>
        <v>9180</v>
      </c>
      <c r="R177" s="2" t="n">
        <v>0</v>
      </c>
      <c r="S177" s="2" t="n">
        <f aca="false">N177-O177-P177-Q177-R177</f>
        <v>65848.84</v>
      </c>
    </row>
    <row r="178" customFormat="false" ht="15" hidden="false" customHeight="false" outlineLevel="0" collapsed="false">
      <c r="A178" s="2" t="s">
        <v>401</v>
      </c>
      <c r="B178" s="2" t="s">
        <v>402</v>
      </c>
      <c r="C178" s="2" t="s">
        <v>649</v>
      </c>
      <c r="D178" s="2" t="n">
        <v>2026</v>
      </c>
      <c r="E178" s="2" t="n">
        <f aca="false">INDEX('Employee Master'!$G$2:$G$201,MATCH(A178,'Employee Master'!$A$2:$A$201,0))</f>
        <v>60000</v>
      </c>
      <c r="F178" s="2" t="n">
        <v>26</v>
      </c>
      <c r="G178" s="2" t="n">
        <f aca="false">COUNTIFS('Tally Attendance'!$A$2:$A$6201,A178,'Tally Attendance'!$F$2:$F$6201,"Present")</f>
        <v>23</v>
      </c>
      <c r="H178" s="2" t="n">
        <f aca="false">COUNTIFS('Tally Attendance'!$A$2:$A$6201,A178,'Tally Attendance'!$F$2:$F$6201,"Absent")</f>
        <v>1</v>
      </c>
      <c r="I178" s="2" t="n">
        <f aca="false">COUNTIFS('Tally Attendance'!$A$2:$A$6201,A178,'Tally Attendance'!$F$2:$F$6201,"Leave")</f>
        <v>1</v>
      </c>
      <c r="J178" s="2" t="n">
        <f aca="false">COUNTIFS('Tally Attendance'!$A$2:$A$6201,A178,'Tally Attendance'!$F$2:$F$6201,"Half Day")</f>
        <v>1</v>
      </c>
      <c r="K178" s="2" t="n">
        <f aca="false">MIN(H178,2)</f>
        <v>1</v>
      </c>
      <c r="L178" s="2" t="n">
        <f aca="false">MAX(H178-K178,0)</f>
        <v>0</v>
      </c>
      <c r="M178" s="2" t="n">
        <f aca="false">ROUND(E178/F178,2)</f>
        <v>2307.69</v>
      </c>
      <c r="N178" s="2" t="n">
        <f aca="false">E178</f>
        <v>60000</v>
      </c>
      <c r="O178" s="2" t="n">
        <f aca="false">ROUND(M178*L178,2)</f>
        <v>0</v>
      </c>
      <c r="P178" s="2" t="n">
        <f aca="false">ROUND(M178*COUNTIFS('Leave Records'!$B$2:$B$144,A178,'Leave Records'!$F$2:$F$144,"Unpaid")+M178*0.5*J178,2)</f>
        <v>1153.85</v>
      </c>
      <c r="Q178" s="2" t="n">
        <f aca="false">INDEX('Employee Master'!$M$2:$M$201,MATCH(A178,'Employee Master'!$A$2:$A$201,0))</f>
        <v>7200</v>
      </c>
      <c r="R178" s="2" t="n">
        <v>0</v>
      </c>
      <c r="S178" s="2" t="n">
        <f aca="false">N178-O178-P178-Q178-R178</f>
        <v>51646.15</v>
      </c>
    </row>
    <row r="179" customFormat="false" ht="15" hidden="false" customHeight="false" outlineLevel="0" collapsed="false">
      <c r="A179" s="2" t="s">
        <v>403</v>
      </c>
      <c r="B179" s="2" t="s">
        <v>404</v>
      </c>
      <c r="C179" s="2" t="s">
        <v>649</v>
      </c>
      <c r="D179" s="2" t="n">
        <v>2026</v>
      </c>
      <c r="E179" s="2" t="n">
        <f aca="false">INDEX('Employee Master'!$G$2:$G$201,MATCH(A179,'Employee Master'!$A$2:$A$201,0))</f>
        <v>28000</v>
      </c>
      <c r="F179" s="2" t="n">
        <v>26</v>
      </c>
      <c r="G179" s="2" t="n">
        <f aca="false">COUNTIFS('Tally Attendance'!$A$2:$A$6201,A179,'Tally Attendance'!$F$2:$F$6201,"Present")</f>
        <v>23</v>
      </c>
      <c r="H179" s="2" t="n">
        <f aca="false">COUNTIFS('Tally Attendance'!$A$2:$A$6201,A179,'Tally Attendance'!$F$2:$F$6201,"Absent")</f>
        <v>2</v>
      </c>
      <c r="I179" s="2" t="n">
        <f aca="false">COUNTIFS('Tally Attendance'!$A$2:$A$6201,A179,'Tally Attendance'!$F$2:$F$6201,"Leave")</f>
        <v>1</v>
      </c>
      <c r="J179" s="2" t="n">
        <f aca="false">COUNTIFS('Tally Attendance'!$A$2:$A$6201,A179,'Tally Attendance'!$F$2:$F$6201,"Half Day")</f>
        <v>0</v>
      </c>
      <c r="K179" s="2" t="n">
        <f aca="false">MIN(H179,2)</f>
        <v>2</v>
      </c>
      <c r="L179" s="2" t="n">
        <f aca="false">MAX(H179-K179,0)</f>
        <v>0</v>
      </c>
      <c r="M179" s="2" t="n">
        <f aca="false">ROUND(E179/F179,2)</f>
        <v>1076.92</v>
      </c>
      <c r="N179" s="2" t="n">
        <f aca="false">E179</f>
        <v>28000</v>
      </c>
      <c r="O179" s="2" t="n">
        <f aca="false">ROUND(M179*L179,2)</f>
        <v>0</v>
      </c>
      <c r="P179" s="2" t="n">
        <f aca="false">ROUND(M179*COUNTIFS('Leave Records'!$B$2:$B$144,A179,'Leave Records'!$F$2:$F$144,"Unpaid")+M179*0.5*J179,2)</f>
        <v>0</v>
      </c>
      <c r="Q179" s="2" t="n">
        <f aca="false">INDEX('Employee Master'!$M$2:$M$201,MATCH(A179,'Employee Master'!$A$2:$A$201,0))</f>
        <v>3360</v>
      </c>
      <c r="R179" s="2" t="n">
        <v>0</v>
      </c>
      <c r="S179" s="2" t="n">
        <f aca="false">N179-O179-P179-Q179-R179</f>
        <v>24640</v>
      </c>
    </row>
    <row r="180" customFormat="false" ht="15" hidden="false" customHeight="false" outlineLevel="0" collapsed="false">
      <c r="A180" s="2" t="s">
        <v>405</v>
      </c>
      <c r="B180" s="2" t="s">
        <v>406</v>
      </c>
      <c r="C180" s="2" t="s">
        <v>649</v>
      </c>
      <c r="D180" s="2" t="n">
        <v>2026</v>
      </c>
      <c r="E180" s="2" t="n">
        <f aca="false">INDEX('Employee Master'!$G$2:$G$201,MATCH(A180,'Employee Master'!$A$2:$A$201,0))</f>
        <v>32500</v>
      </c>
      <c r="F180" s="2" t="n">
        <v>26</v>
      </c>
      <c r="G180" s="2" t="n">
        <f aca="false">COUNTIFS('Tally Attendance'!$A$2:$A$6201,A180,'Tally Attendance'!$F$2:$F$6201,"Present")</f>
        <v>23</v>
      </c>
      <c r="H180" s="2" t="n">
        <f aca="false">COUNTIFS('Tally Attendance'!$A$2:$A$6201,A180,'Tally Attendance'!$F$2:$F$6201,"Absent")</f>
        <v>2</v>
      </c>
      <c r="I180" s="2" t="n">
        <f aca="false">COUNTIFS('Tally Attendance'!$A$2:$A$6201,A180,'Tally Attendance'!$F$2:$F$6201,"Leave")</f>
        <v>1</v>
      </c>
      <c r="J180" s="2" t="n">
        <f aca="false">COUNTIFS('Tally Attendance'!$A$2:$A$6201,A180,'Tally Attendance'!$F$2:$F$6201,"Half Day")</f>
        <v>0</v>
      </c>
      <c r="K180" s="2" t="n">
        <f aca="false">MIN(H180,2)</f>
        <v>2</v>
      </c>
      <c r="L180" s="2" t="n">
        <f aca="false">MAX(H180-K180,0)</f>
        <v>0</v>
      </c>
      <c r="M180" s="2" t="n">
        <f aca="false">ROUND(E180/F180,2)</f>
        <v>1250</v>
      </c>
      <c r="N180" s="2" t="n">
        <f aca="false">E180</f>
        <v>32500</v>
      </c>
      <c r="O180" s="2" t="n">
        <f aca="false">ROUND(M180*L180,2)</f>
        <v>0</v>
      </c>
      <c r="P180" s="2" t="n">
        <f aca="false">ROUND(M180*COUNTIFS('Leave Records'!$B$2:$B$144,A180,'Leave Records'!$F$2:$F$144,"Unpaid")+M180*0.5*J180,2)</f>
        <v>0</v>
      </c>
      <c r="Q180" s="2" t="n">
        <f aca="false">INDEX('Employee Master'!$M$2:$M$201,MATCH(A180,'Employee Master'!$A$2:$A$201,0))</f>
        <v>3900</v>
      </c>
      <c r="R180" s="2" t="n">
        <v>0</v>
      </c>
      <c r="S180" s="2" t="n">
        <f aca="false">N180-O180-P180-Q180-R180</f>
        <v>28600</v>
      </c>
    </row>
    <row r="181" customFormat="false" ht="15" hidden="false" customHeight="false" outlineLevel="0" collapsed="false">
      <c r="A181" s="2" t="s">
        <v>407</v>
      </c>
      <c r="B181" s="2" t="s">
        <v>408</v>
      </c>
      <c r="C181" s="2" t="s">
        <v>649</v>
      </c>
      <c r="D181" s="2" t="n">
        <v>2026</v>
      </c>
      <c r="E181" s="2" t="n">
        <f aca="false">INDEX('Employee Master'!$G$2:$G$201,MATCH(A181,'Employee Master'!$A$2:$A$201,0))</f>
        <v>41500</v>
      </c>
      <c r="F181" s="2" t="n">
        <v>26</v>
      </c>
      <c r="G181" s="2" t="n">
        <f aca="false">COUNTIFS('Tally Attendance'!$A$2:$A$6201,A181,'Tally Attendance'!$F$2:$F$6201,"Present")</f>
        <v>26</v>
      </c>
      <c r="H181" s="2" t="n">
        <f aca="false">COUNTIFS('Tally Attendance'!$A$2:$A$6201,A181,'Tally Attendance'!$F$2:$F$6201,"Absent")</f>
        <v>0</v>
      </c>
      <c r="I181" s="2" t="n">
        <f aca="false">COUNTIFS('Tally Attendance'!$A$2:$A$6201,A181,'Tally Attendance'!$F$2:$F$6201,"Leave")</f>
        <v>0</v>
      </c>
      <c r="J181" s="2" t="n">
        <f aca="false">COUNTIFS('Tally Attendance'!$A$2:$A$6201,A181,'Tally Attendance'!$F$2:$F$6201,"Half Day")</f>
        <v>0</v>
      </c>
      <c r="K181" s="2" t="n">
        <f aca="false">MIN(H181,2)</f>
        <v>0</v>
      </c>
      <c r="L181" s="2" t="n">
        <f aca="false">MAX(H181-K181,0)</f>
        <v>0</v>
      </c>
      <c r="M181" s="2" t="n">
        <f aca="false">ROUND(E181/F181,2)</f>
        <v>1596.15</v>
      </c>
      <c r="N181" s="2" t="n">
        <f aca="false">E181</f>
        <v>41500</v>
      </c>
      <c r="O181" s="2" t="n">
        <f aca="false">ROUND(M181*L181,2)</f>
        <v>0</v>
      </c>
      <c r="P181" s="2" t="n">
        <f aca="false">ROUND(M181*COUNTIFS('Leave Records'!$B$2:$B$144,A181,'Leave Records'!$F$2:$F$144,"Unpaid")+M181*0.5*J181,2)</f>
        <v>0</v>
      </c>
      <c r="Q181" s="2" t="n">
        <f aca="false">INDEX('Employee Master'!$M$2:$M$201,MATCH(A181,'Employee Master'!$A$2:$A$201,0))</f>
        <v>4980</v>
      </c>
      <c r="R181" s="2" t="n">
        <v>0</v>
      </c>
      <c r="S181" s="2" t="n">
        <f aca="false">N181-O181-P181-Q181-R181</f>
        <v>36520</v>
      </c>
    </row>
    <row r="182" customFormat="false" ht="15" hidden="false" customHeight="false" outlineLevel="0" collapsed="false">
      <c r="A182" s="2" t="s">
        <v>409</v>
      </c>
      <c r="B182" s="2" t="s">
        <v>410</v>
      </c>
      <c r="C182" s="2" t="s">
        <v>649</v>
      </c>
      <c r="D182" s="2" t="n">
        <v>2026</v>
      </c>
      <c r="E182" s="2" t="n">
        <f aca="false">INDEX('Employee Master'!$G$2:$G$201,MATCH(A182,'Employee Master'!$A$2:$A$201,0))</f>
        <v>58000</v>
      </c>
      <c r="F182" s="2" t="n">
        <v>26</v>
      </c>
      <c r="G182" s="2" t="n">
        <f aca="false">COUNTIFS('Tally Attendance'!$A$2:$A$6201,A182,'Tally Attendance'!$F$2:$F$6201,"Present")</f>
        <v>23</v>
      </c>
      <c r="H182" s="2" t="n">
        <f aca="false">COUNTIFS('Tally Attendance'!$A$2:$A$6201,A182,'Tally Attendance'!$F$2:$F$6201,"Absent")</f>
        <v>2</v>
      </c>
      <c r="I182" s="2" t="n">
        <f aca="false">COUNTIFS('Tally Attendance'!$A$2:$A$6201,A182,'Tally Attendance'!$F$2:$F$6201,"Leave")</f>
        <v>0</v>
      </c>
      <c r="J182" s="2" t="n">
        <f aca="false">COUNTIFS('Tally Attendance'!$A$2:$A$6201,A182,'Tally Attendance'!$F$2:$F$6201,"Half Day")</f>
        <v>1</v>
      </c>
      <c r="K182" s="2" t="n">
        <f aca="false">MIN(H182,2)</f>
        <v>2</v>
      </c>
      <c r="L182" s="2" t="n">
        <f aca="false">MAX(H182-K182,0)</f>
        <v>0</v>
      </c>
      <c r="M182" s="2" t="n">
        <f aca="false">ROUND(E182/F182,2)</f>
        <v>2230.77</v>
      </c>
      <c r="N182" s="2" t="n">
        <f aca="false">E182</f>
        <v>58000</v>
      </c>
      <c r="O182" s="2" t="n">
        <f aca="false">ROUND(M182*L182,2)</f>
        <v>0</v>
      </c>
      <c r="P182" s="2" t="n">
        <f aca="false">ROUND(M182*COUNTIFS('Leave Records'!$B$2:$B$144,A182,'Leave Records'!$F$2:$F$144,"Unpaid")+M182*0.5*J182,2)</f>
        <v>1115.39</v>
      </c>
      <c r="Q182" s="2" t="n">
        <f aca="false">INDEX('Employee Master'!$M$2:$M$201,MATCH(A182,'Employee Master'!$A$2:$A$201,0))</f>
        <v>6960</v>
      </c>
      <c r="R182" s="2" t="n">
        <v>0</v>
      </c>
      <c r="S182" s="2" t="n">
        <f aca="false">N182-O182-P182-Q182-R182</f>
        <v>49924.61</v>
      </c>
    </row>
    <row r="183" customFormat="false" ht="15" hidden="false" customHeight="false" outlineLevel="0" collapsed="false">
      <c r="A183" s="2" t="s">
        <v>411</v>
      </c>
      <c r="B183" s="2" t="s">
        <v>412</v>
      </c>
      <c r="C183" s="2" t="s">
        <v>649</v>
      </c>
      <c r="D183" s="2" t="n">
        <v>2026</v>
      </c>
      <c r="E183" s="2" t="n">
        <f aca="false">INDEX('Employee Master'!$G$2:$G$201,MATCH(A183,'Employee Master'!$A$2:$A$201,0))</f>
        <v>58000</v>
      </c>
      <c r="F183" s="2" t="n">
        <v>26</v>
      </c>
      <c r="G183" s="2" t="n">
        <f aca="false">COUNTIFS('Tally Attendance'!$A$2:$A$6201,A183,'Tally Attendance'!$F$2:$F$6201,"Present")</f>
        <v>24</v>
      </c>
      <c r="H183" s="2" t="n">
        <f aca="false">COUNTIFS('Tally Attendance'!$A$2:$A$6201,A183,'Tally Attendance'!$F$2:$F$6201,"Absent")</f>
        <v>2</v>
      </c>
      <c r="I183" s="2" t="n">
        <f aca="false">COUNTIFS('Tally Attendance'!$A$2:$A$6201,A183,'Tally Attendance'!$F$2:$F$6201,"Leave")</f>
        <v>0</v>
      </c>
      <c r="J183" s="2" t="n">
        <f aca="false">COUNTIFS('Tally Attendance'!$A$2:$A$6201,A183,'Tally Attendance'!$F$2:$F$6201,"Half Day")</f>
        <v>0</v>
      </c>
      <c r="K183" s="2" t="n">
        <f aca="false">MIN(H183,2)</f>
        <v>2</v>
      </c>
      <c r="L183" s="2" t="n">
        <f aca="false">MAX(H183-K183,0)</f>
        <v>0</v>
      </c>
      <c r="M183" s="2" t="n">
        <f aca="false">ROUND(E183/F183,2)</f>
        <v>2230.77</v>
      </c>
      <c r="N183" s="2" t="n">
        <f aca="false">E183</f>
        <v>58000</v>
      </c>
      <c r="O183" s="2" t="n">
        <f aca="false">ROUND(M183*L183,2)</f>
        <v>0</v>
      </c>
      <c r="P183" s="2" t="n">
        <f aca="false">ROUND(M183*COUNTIFS('Leave Records'!$B$2:$B$144,A183,'Leave Records'!$F$2:$F$144,"Unpaid")+M183*0.5*J183,2)</f>
        <v>0</v>
      </c>
      <c r="Q183" s="2" t="n">
        <f aca="false">INDEX('Employee Master'!$M$2:$M$201,MATCH(A183,'Employee Master'!$A$2:$A$201,0))</f>
        <v>6960</v>
      </c>
      <c r="R183" s="2" t="n">
        <v>0</v>
      </c>
      <c r="S183" s="2" t="n">
        <f aca="false">N183-O183-P183-Q183-R183</f>
        <v>51040</v>
      </c>
    </row>
    <row r="184" customFormat="false" ht="15" hidden="false" customHeight="false" outlineLevel="0" collapsed="false">
      <c r="A184" s="2" t="s">
        <v>413</v>
      </c>
      <c r="B184" s="2" t="s">
        <v>414</v>
      </c>
      <c r="C184" s="2" t="s">
        <v>649</v>
      </c>
      <c r="D184" s="2" t="n">
        <v>2026</v>
      </c>
      <c r="E184" s="2" t="n">
        <f aca="false">INDEX('Employee Master'!$G$2:$G$201,MATCH(A184,'Employee Master'!$A$2:$A$201,0))</f>
        <v>98500</v>
      </c>
      <c r="F184" s="2" t="n">
        <v>26</v>
      </c>
      <c r="G184" s="2" t="n">
        <f aca="false">COUNTIFS('Tally Attendance'!$A$2:$A$6201,A184,'Tally Attendance'!$F$2:$F$6201,"Present")</f>
        <v>23</v>
      </c>
      <c r="H184" s="2" t="n">
        <f aca="false">COUNTIFS('Tally Attendance'!$A$2:$A$6201,A184,'Tally Attendance'!$F$2:$F$6201,"Absent")</f>
        <v>1</v>
      </c>
      <c r="I184" s="2" t="n">
        <f aca="false">COUNTIFS('Tally Attendance'!$A$2:$A$6201,A184,'Tally Attendance'!$F$2:$F$6201,"Leave")</f>
        <v>2</v>
      </c>
      <c r="J184" s="2" t="n">
        <f aca="false">COUNTIFS('Tally Attendance'!$A$2:$A$6201,A184,'Tally Attendance'!$F$2:$F$6201,"Half Day")</f>
        <v>0</v>
      </c>
      <c r="K184" s="2" t="n">
        <f aca="false">MIN(H184,2)</f>
        <v>1</v>
      </c>
      <c r="L184" s="2" t="n">
        <f aca="false">MAX(H184-K184,0)</f>
        <v>0</v>
      </c>
      <c r="M184" s="2" t="n">
        <f aca="false">ROUND(E184/F184,2)</f>
        <v>3788.46</v>
      </c>
      <c r="N184" s="2" t="n">
        <f aca="false">E184</f>
        <v>98500</v>
      </c>
      <c r="O184" s="2" t="n">
        <f aca="false">ROUND(M184*L184,2)</f>
        <v>0</v>
      </c>
      <c r="P184" s="2" t="n">
        <f aca="false">ROUND(M184*COUNTIFS('Leave Records'!$B$2:$B$144,A184,'Leave Records'!$F$2:$F$144,"Unpaid")+M184*0.5*J184,2)</f>
        <v>0</v>
      </c>
      <c r="Q184" s="2" t="n">
        <f aca="false">INDEX('Employee Master'!$M$2:$M$201,MATCH(A184,'Employee Master'!$A$2:$A$201,0))</f>
        <v>11820</v>
      </c>
      <c r="R184" s="2" t="n">
        <v>0</v>
      </c>
      <c r="S184" s="2" t="n">
        <f aca="false">N184-O184-P184-Q184-R184</f>
        <v>86680</v>
      </c>
    </row>
    <row r="185" customFormat="false" ht="15" hidden="false" customHeight="false" outlineLevel="0" collapsed="false">
      <c r="A185" s="2" t="s">
        <v>415</v>
      </c>
      <c r="B185" s="2" t="s">
        <v>416</v>
      </c>
      <c r="C185" s="2" t="s">
        <v>649</v>
      </c>
      <c r="D185" s="2" t="n">
        <v>2026</v>
      </c>
      <c r="E185" s="2" t="n">
        <f aca="false">INDEX('Employee Master'!$G$2:$G$201,MATCH(A185,'Employee Master'!$A$2:$A$201,0))</f>
        <v>49500</v>
      </c>
      <c r="F185" s="2" t="n">
        <v>26</v>
      </c>
      <c r="G185" s="2" t="n">
        <f aca="false">COUNTIFS('Tally Attendance'!$A$2:$A$6201,A185,'Tally Attendance'!$F$2:$F$6201,"Present")</f>
        <v>24</v>
      </c>
      <c r="H185" s="2" t="n">
        <f aca="false">COUNTIFS('Tally Attendance'!$A$2:$A$6201,A185,'Tally Attendance'!$F$2:$F$6201,"Absent")</f>
        <v>0</v>
      </c>
      <c r="I185" s="2" t="n">
        <f aca="false">COUNTIFS('Tally Attendance'!$A$2:$A$6201,A185,'Tally Attendance'!$F$2:$F$6201,"Leave")</f>
        <v>0</v>
      </c>
      <c r="J185" s="2" t="n">
        <f aca="false">COUNTIFS('Tally Attendance'!$A$2:$A$6201,A185,'Tally Attendance'!$F$2:$F$6201,"Half Day")</f>
        <v>2</v>
      </c>
      <c r="K185" s="2" t="n">
        <f aca="false">MIN(H185,2)</f>
        <v>0</v>
      </c>
      <c r="L185" s="2" t="n">
        <f aca="false">MAX(H185-K185,0)</f>
        <v>0</v>
      </c>
      <c r="M185" s="2" t="n">
        <f aca="false">ROUND(E185/F185,2)</f>
        <v>1903.85</v>
      </c>
      <c r="N185" s="2" t="n">
        <f aca="false">E185</f>
        <v>49500</v>
      </c>
      <c r="O185" s="2" t="n">
        <f aca="false">ROUND(M185*L185,2)</f>
        <v>0</v>
      </c>
      <c r="P185" s="2" t="n">
        <f aca="false">ROUND(M185*COUNTIFS('Leave Records'!$B$2:$B$144,A185,'Leave Records'!$F$2:$F$144,"Unpaid")+M185*0.5*J185,2)</f>
        <v>1903.85</v>
      </c>
      <c r="Q185" s="2" t="n">
        <f aca="false">INDEX('Employee Master'!$M$2:$M$201,MATCH(A185,'Employee Master'!$A$2:$A$201,0))</f>
        <v>5940</v>
      </c>
      <c r="R185" s="2" t="n">
        <v>0</v>
      </c>
      <c r="S185" s="2" t="n">
        <f aca="false">N185-O185-P185-Q185-R185</f>
        <v>41656.15</v>
      </c>
    </row>
    <row r="186" customFormat="false" ht="15" hidden="false" customHeight="false" outlineLevel="0" collapsed="false">
      <c r="A186" s="2" t="s">
        <v>417</v>
      </c>
      <c r="B186" s="2" t="s">
        <v>418</v>
      </c>
      <c r="C186" s="2" t="s">
        <v>649</v>
      </c>
      <c r="D186" s="2" t="n">
        <v>2026</v>
      </c>
      <c r="E186" s="2" t="n">
        <f aca="false">INDEX('Employee Master'!$G$2:$G$201,MATCH(A186,'Employee Master'!$A$2:$A$201,0))</f>
        <v>46500</v>
      </c>
      <c r="F186" s="2" t="n">
        <v>26</v>
      </c>
      <c r="G186" s="2" t="n">
        <f aca="false">COUNTIFS('Tally Attendance'!$A$2:$A$6201,A186,'Tally Attendance'!$F$2:$F$6201,"Present")</f>
        <v>26</v>
      </c>
      <c r="H186" s="2" t="n">
        <f aca="false">COUNTIFS('Tally Attendance'!$A$2:$A$6201,A186,'Tally Attendance'!$F$2:$F$6201,"Absent")</f>
        <v>0</v>
      </c>
      <c r="I186" s="2" t="n">
        <f aca="false">COUNTIFS('Tally Attendance'!$A$2:$A$6201,A186,'Tally Attendance'!$F$2:$F$6201,"Leave")</f>
        <v>0</v>
      </c>
      <c r="J186" s="2" t="n">
        <f aca="false">COUNTIFS('Tally Attendance'!$A$2:$A$6201,A186,'Tally Attendance'!$F$2:$F$6201,"Half Day")</f>
        <v>0</v>
      </c>
      <c r="K186" s="2" t="n">
        <f aca="false">MIN(H186,2)</f>
        <v>0</v>
      </c>
      <c r="L186" s="2" t="n">
        <f aca="false">MAX(H186-K186,0)</f>
        <v>0</v>
      </c>
      <c r="M186" s="2" t="n">
        <f aca="false">ROUND(E186/F186,2)</f>
        <v>1788.46</v>
      </c>
      <c r="N186" s="2" t="n">
        <f aca="false">E186</f>
        <v>46500</v>
      </c>
      <c r="O186" s="2" t="n">
        <f aca="false">ROUND(M186*L186,2)</f>
        <v>0</v>
      </c>
      <c r="P186" s="2" t="n">
        <f aca="false">ROUND(M186*COUNTIFS('Leave Records'!$B$2:$B$144,A186,'Leave Records'!$F$2:$F$144,"Unpaid")+M186*0.5*J186,2)</f>
        <v>0</v>
      </c>
      <c r="Q186" s="2" t="n">
        <f aca="false">INDEX('Employee Master'!$M$2:$M$201,MATCH(A186,'Employee Master'!$A$2:$A$201,0))</f>
        <v>5580</v>
      </c>
      <c r="R186" s="2" t="n">
        <v>0</v>
      </c>
      <c r="S186" s="2" t="n">
        <f aca="false">N186-O186-P186-Q186-R186</f>
        <v>40920</v>
      </c>
    </row>
    <row r="187" customFormat="false" ht="15" hidden="false" customHeight="false" outlineLevel="0" collapsed="false">
      <c r="A187" s="2" t="s">
        <v>419</v>
      </c>
      <c r="B187" s="2" t="s">
        <v>420</v>
      </c>
      <c r="C187" s="2" t="s">
        <v>649</v>
      </c>
      <c r="D187" s="2" t="n">
        <v>2026</v>
      </c>
      <c r="E187" s="2" t="n">
        <f aca="false">INDEX('Employee Master'!$G$2:$G$201,MATCH(A187,'Employee Master'!$A$2:$A$201,0))</f>
        <v>37000</v>
      </c>
      <c r="F187" s="2" t="n">
        <v>26</v>
      </c>
      <c r="G187" s="2" t="n">
        <f aca="false">COUNTIFS('Tally Attendance'!$A$2:$A$6201,A187,'Tally Attendance'!$F$2:$F$6201,"Present")</f>
        <v>19</v>
      </c>
      <c r="H187" s="2" t="n">
        <f aca="false">COUNTIFS('Tally Attendance'!$A$2:$A$6201,A187,'Tally Attendance'!$F$2:$F$6201,"Absent")</f>
        <v>5</v>
      </c>
      <c r="I187" s="2" t="n">
        <f aca="false">COUNTIFS('Tally Attendance'!$A$2:$A$6201,A187,'Tally Attendance'!$F$2:$F$6201,"Leave")</f>
        <v>1</v>
      </c>
      <c r="J187" s="2" t="n">
        <f aca="false">COUNTIFS('Tally Attendance'!$A$2:$A$6201,A187,'Tally Attendance'!$F$2:$F$6201,"Half Day")</f>
        <v>1</v>
      </c>
      <c r="K187" s="2" t="n">
        <f aca="false">MIN(H187,2)</f>
        <v>2</v>
      </c>
      <c r="L187" s="2" t="n">
        <f aca="false">MAX(H187-K187,0)</f>
        <v>3</v>
      </c>
      <c r="M187" s="2" t="n">
        <f aca="false">ROUND(E187/F187,2)</f>
        <v>1423.08</v>
      </c>
      <c r="N187" s="2" t="n">
        <f aca="false">E187</f>
        <v>37000</v>
      </c>
      <c r="O187" s="2" t="n">
        <f aca="false">ROUND(M187*L187,2)</f>
        <v>4269.24</v>
      </c>
      <c r="P187" s="2" t="n">
        <f aca="false">ROUND(M187*COUNTIFS('Leave Records'!$B$2:$B$144,A187,'Leave Records'!$F$2:$F$144,"Unpaid")+M187*0.5*J187,2)</f>
        <v>2134.62</v>
      </c>
      <c r="Q187" s="2" t="n">
        <f aca="false">INDEX('Employee Master'!$M$2:$M$201,MATCH(A187,'Employee Master'!$A$2:$A$201,0))</f>
        <v>4440</v>
      </c>
      <c r="R187" s="2" t="n">
        <v>0</v>
      </c>
      <c r="S187" s="2" t="n">
        <f aca="false">N187-O187-P187-Q187-R187</f>
        <v>26156.14</v>
      </c>
    </row>
    <row r="188" customFormat="false" ht="15" hidden="false" customHeight="false" outlineLevel="0" collapsed="false">
      <c r="A188" s="2" t="s">
        <v>421</v>
      </c>
      <c r="B188" s="2" t="s">
        <v>422</v>
      </c>
      <c r="C188" s="2" t="s">
        <v>649</v>
      </c>
      <c r="D188" s="2" t="n">
        <v>2026</v>
      </c>
      <c r="E188" s="2" t="n">
        <f aca="false">INDEX('Employee Master'!$G$2:$G$201,MATCH(A188,'Employee Master'!$A$2:$A$201,0))</f>
        <v>78000</v>
      </c>
      <c r="F188" s="2" t="n">
        <v>26</v>
      </c>
      <c r="G188" s="2" t="n">
        <f aca="false">COUNTIFS('Tally Attendance'!$A$2:$A$6201,A188,'Tally Attendance'!$F$2:$F$6201,"Present")</f>
        <v>20</v>
      </c>
      <c r="H188" s="2" t="n">
        <f aca="false">COUNTIFS('Tally Attendance'!$A$2:$A$6201,A188,'Tally Attendance'!$F$2:$F$6201,"Absent")</f>
        <v>5</v>
      </c>
      <c r="I188" s="2" t="n">
        <f aca="false">COUNTIFS('Tally Attendance'!$A$2:$A$6201,A188,'Tally Attendance'!$F$2:$F$6201,"Leave")</f>
        <v>1</v>
      </c>
      <c r="J188" s="2" t="n">
        <f aca="false">COUNTIFS('Tally Attendance'!$A$2:$A$6201,A188,'Tally Attendance'!$F$2:$F$6201,"Half Day")</f>
        <v>0</v>
      </c>
      <c r="K188" s="2" t="n">
        <f aca="false">MIN(H188,2)</f>
        <v>2</v>
      </c>
      <c r="L188" s="2" t="n">
        <f aca="false">MAX(H188-K188,0)</f>
        <v>3</v>
      </c>
      <c r="M188" s="2" t="n">
        <f aca="false">ROUND(E188/F188,2)</f>
        <v>3000</v>
      </c>
      <c r="N188" s="2" t="n">
        <f aca="false">E188</f>
        <v>78000</v>
      </c>
      <c r="O188" s="2" t="n">
        <f aca="false">ROUND(M188*L188,2)</f>
        <v>9000</v>
      </c>
      <c r="P188" s="2" t="n">
        <f aca="false">ROUND(M188*COUNTIFS('Leave Records'!$B$2:$B$144,A188,'Leave Records'!$F$2:$F$144,"Unpaid")+M188*0.5*J188,2)</f>
        <v>0</v>
      </c>
      <c r="Q188" s="2" t="n">
        <f aca="false">INDEX('Employee Master'!$M$2:$M$201,MATCH(A188,'Employee Master'!$A$2:$A$201,0))</f>
        <v>9360</v>
      </c>
      <c r="R188" s="2" t="n">
        <v>0</v>
      </c>
      <c r="S188" s="2" t="n">
        <f aca="false">N188-O188-P188-Q188-R188</f>
        <v>59640</v>
      </c>
    </row>
    <row r="189" customFormat="false" ht="15" hidden="false" customHeight="false" outlineLevel="0" collapsed="false">
      <c r="A189" s="2" t="s">
        <v>423</v>
      </c>
      <c r="B189" s="2" t="s">
        <v>424</v>
      </c>
      <c r="C189" s="2" t="s">
        <v>649</v>
      </c>
      <c r="D189" s="2" t="n">
        <v>2026</v>
      </c>
      <c r="E189" s="2" t="n">
        <f aca="false">INDEX('Employee Master'!$G$2:$G$201,MATCH(A189,'Employee Master'!$A$2:$A$201,0))</f>
        <v>28500</v>
      </c>
      <c r="F189" s="2" t="n">
        <v>26</v>
      </c>
      <c r="G189" s="2" t="n">
        <f aca="false">COUNTIFS('Tally Attendance'!$A$2:$A$6201,A189,'Tally Attendance'!$F$2:$F$6201,"Present")</f>
        <v>23</v>
      </c>
      <c r="H189" s="2" t="n">
        <f aca="false">COUNTIFS('Tally Attendance'!$A$2:$A$6201,A189,'Tally Attendance'!$F$2:$F$6201,"Absent")</f>
        <v>2</v>
      </c>
      <c r="I189" s="2" t="n">
        <f aca="false">COUNTIFS('Tally Attendance'!$A$2:$A$6201,A189,'Tally Attendance'!$F$2:$F$6201,"Leave")</f>
        <v>1</v>
      </c>
      <c r="J189" s="2" t="n">
        <f aca="false">COUNTIFS('Tally Attendance'!$A$2:$A$6201,A189,'Tally Attendance'!$F$2:$F$6201,"Half Day")</f>
        <v>0</v>
      </c>
      <c r="K189" s="2" t="n">
        <f aca="false">MIN(H189,2)</f>
        <v>2</v>
      </c>
      <c r="L189" s="2" t="n">
        <f aca="false">MAX(H189-K189,0)</f>
        <v>0</v>
      </c>
      <c r="M189" s="2" t="n">
        <f aca="false">ROUND(E189/F189,2)</f>
        <v>1096.15</v>
      </c>
      <c r="N189" s="2" t="n">
        <f aca="false">E189</f>
        <v>28500</v>
      </c>
      <c r="O189" s="2" t="n">
        <f aca="false">ROUND(M189*L189,2)</f>
        <v>0</v>
      </c>
      <c r="P189" s="2" t="n">
        <f aca="false">ROUND(M189*COUNTIFS('Leave Records'!$B$2:$B$144,A189,'Leave Records'!$F$2:$F$144,"Unpaid")+M189*0.5*J189,2)</f>
        <v>1096.15</v>
      </c>
      <c r="Q189" s="2" t="n">
        <f aca="false">INDEX('Employee Master'!$M$2:$M$201,MATCH(A189,'Employee Master'!$A$2:$A$201,0))</f>
        <v>3420</v>
      </c>
      <c r="R189" s="2" t="n">
        <v>0</v>
      </c>
      <c r="S189" s="2" t="n">
        <f aca="false">N189-O189-P189-Q189-R189</f>
        <v>23983.85</v>
      </c>
    </row>
    <row r="190" customFormat="false" ht="15" hidden="false" customHeight="false" outlineLevel="0" collapsed="false">
      <c r="A190" s="2" t="s">
        <v>425</v>
      </c>
      <c r="B190" s="2" t="s">
        <v>426</v>
      </c>
      <c r="C190" s="2" t="s">
        <v>649</v>
      </c>
      <c r="D190" s="2" t="n">
        <v>2026</v>
      </c>
      <c r="E190" s="2" t="n">
        <f aca="false">INDEX('Employee Master'!$G$2:$G$201,MATCH(A190,'Employee Master'!$A$2:$A$201,0))</f>
        <v>23000</v>
      </c>
      <c r="F190" s="2" t="n">
        <v>26</v>
      </c>
      <c r="G190" s="2" t="n">
        <f aca="false">COUNTIFS('Tally Attendance'!$A$2:$A$6201,A190,'Tally Attendance'!$F$2:$F$6201,"Present")</f>
        <v>24</v>
      </c>
      <c r="H190" s="2" t="n">
        <f aca="false">COUNTIFS('Tally Attendance'!$A$2:$A$6201,A190,'Tally Attendance'!$F$2:$F$6201,"Absent")</f>
        <v>0</v>
      </c>
      <c r="I190" s="2" t="n">
        <f aca="false">COUNTIFS('Tally Attendance'!$A$2:$A$6201,A190,'Tally Attendance'!$F$2:$F$6201,"Leave")</f>
        <v>0</v>
      </c>
      <c r="J190" s="2" t="n">
        <f aca="false">COUNTIFS('Tally Attendance'!$A$2:$A$6201,A190,'Tally Attendance'!$F$2:$F$6201,"Half Day")</f>
        <v>2</v>
      </c>
      <c r="K190" s="2" t="n">
        <f aca="false">MIN(H190,2)</f>
        <v>0</v>
      </c>
      <c r="L190" s="2" t="n">
        <f aca="false">MAX(H190-K190,0)</f>
        <v>0</v>
      </c>
      <c r="M190" s="2" t="n">
        <f aca="false">ROUND(E190/F190,2)</f>
        <v>884.62</v>
      </c>
      <c r="N190" s="2" t="n">
        <f aca="false">E190</f>
        <v>23000</v>
      </c>
      <c r="O190" s="2" t="n">
        <f aca="false">ROUND(M190*L190,2)</f>
        <v>0</v>
      </c>
      <c r="P190" s="2" t="n">
        <f aca="false">ROUND(M190*COUNTIFS('Leave Records'!$B$2:$B$144,A190,'Leave Records'!$F$2:$F$144,"Unpaid")+M190*0.5*J190,2)</f>
        <v>884.62</v>
      </c>
      <c r="Q190" s="2" t="n">
        <f aca="false">INDEX('Employee Master'!$M$2:$M$201,MATCH(A190,'Employee Master'!$A$2:$A$201,0))</f>
        <v>2760</v>
      </c>
      <c r="R190" s="2" t="n">
        <v>0</v>
      </c>
      <c r="S190" s="2" t="n">
        <f aca="false">N190-O190-P190-Q190-R190</f>
        <v>19355.38</v>
      </c>
    </row>
    <row r="191" customFormat="false" ht="15" hidden="false" customHeight="false" outlineLevel="0" collapsed="false">
      <c r="A191" s="2" t="s">
        <v>427</v>
      </c>
      <c r="B191" s="2" t="s">
        <v>428</v>
      </c>
      <c r="C191" s="2" t="s">
        <v>649</v>
      </c>
      <c r="D191" s="2" t="n">
        <v>2026</v>
      </c>
      <c r="E191" s="2" t="n">
        <f aca="false">INDEX('Employee Master'!$G$2:$G$201,MATCH(A191,'Employee Master'!$A$2:$A$201,0))</f>
        <v>71500</v>
      </c>
      <c r="F191" s="2" t="n">
        <v>26</v>
      </c>
      <c r="G191" s="2" t="n">
        <f aca="false">COUNTIFS('Tally Attendance'!$A$2:$A$6201,A191,'Tally Attendance'!$F$2:$F$6201,"Present")</f>
        <v>25</v>
      </c>
      <c r="H191" s="2" t="n">
        <f aca="false">COUNTIFS('Tally Attendance'!$A$2:$A$6201,A191,'Tally Attendance'!$F$2:$F$6201,"Absent")</f>
        <v>1</v>
      </c>
      <c r="I191" s="2" t="n">
        <f aca="false">COUNTIFS('Tally Attendance'!$A$2:$A$6201,A191,'Tally Attendance'!$F$2:$F$6201,"Leave")</f>
        <v>0</v>
      </c>
      <c r="J191" s="2" t="n">
        <f aca="false">COUNTIFS('Tally Attendance'!$A$2:$A$6201,A191,'Tally Attendance'!$F$2:$F$6201,"Half Day")</f>
        <v>0</v>
      </c>
      <c r="K191" s="2" t="n">
        <f aca="false">MIN(H191,2)</f>
        <v>1</v>
      </c>
      <c r="L191" s="2" t="n">
        <f aca="false">MAX(H191-K191,0)</f>
        <v>0</v>
      </c>
      <c r="M191" s="2" t="n">
        <f aca="false">ROUND(E191/F191,2)</f>
        <v>2750</v>
      </c>
      <c r="N191" s="2" t="n">
        <f aca="false">E191</f>
        <v>71500</v>
      </c>
      <c r="O191" s="2" t="n">
        <f aca="false">ROUND(M191*L191,2)</f>
        <v>0</v>
      </c>
      <c r="P191" s="2" t="n">
        <f aca="false">ROUND(M191*COUNTIFS('Leave Records'!$B$2:$B$144,A191,'Leave Records'!$F$2:$F$144,"Unpaid")+M191*0.5*J191,2)</f>
        <v>0</v>
      </c>
      <c r="Q191" s="2" t="n">
        <f aca="false">INDEX('Employee Master'!$M$2:$M$201,MATCH(A191,'Employee Master'!$A$2:$A$201,0))</f>
        <v>8580</v>
      </c>
      <c r="R191" s="2" t="n">
        <v>0</v>
      </c>
      <c r="S191" s="2" t="n">
        <f aca="false">N191-O191-P191-Q191-R191</f>
        <v>62920</v>
      </c>
    </row>
    <row r="192" customFormat="false" ht="15" hidden="false" customHeight="false" outlineLevel="0" collapsed="false">
      <c r="A192" s="2" t="s">
        <v>429</v>
      </c>
      <c r="B192" s="2" t="s">
        <v>430</v>
      </c>
      <c r="C192" s="2" t="s">
        <v>649</v>
      </c>
      <c r="D192" s="2" t="n">
        <v>2026</v>
      </c>
      <c r="E192" s="2" t="n">
        <f aca="false">INDEX('Employee Master'!$G$2:$G$201,MATCH(A192,'Employee Master'!$A$2:$A$201,0))</f>
        <v>83000</v>
      </c>
      <c r="F192" s="2" t="n">
        <v>26</v>
      </c>
      <c r="G192" s="2" t="n">
        <f aca="false">COUNTIFS('Tally Attendance'!$A$2:$A$6201,A192,'Tally Attendance'!$F$2:$F$6201,"Present")</f>
        <v>16</v>
      </c>
      <c r="H192" s="2" t="n">
        <f aca="false">COUNTIFS('Tally Attendance'!$A$2:$A$6201,A192,'Tally Attendance'!$F$2:$F$6201,"Absent")</f>
        <v>7</v>
      </c>
      <c r="I192" s="2" t="n">
        <f aca="false">COUNTIFS('Tally Attendance'!$A$2:$A$6201,A192,'Tally Attendance'!$F$2:$F$6201,"Leave")</f>
        <v>1</v>
      </c>
      <c r="J192" s="2" t="n">
        <f aca="false">COUNTIFS('Tally Attendance'!$A$2:$A$6201,A192,'Tally Attendance'!$F$2:$F$6201,"Half Day")</f>
        <v>2</v>
      </c>
      <c r="K192" s="2" t="n">
        <f aca="false">MIN(H192,2)</f>
        <v>2</v>
      </c>
      <c r="L192" s="2" t="n">
        <f aca="false">MAX(H192-K192,0)</f>
        <v>5</v>
      </c>
      <c r="M192" s="2" t="n">
        <f aca="false">ROUND(E192/F192,2)</f>
        <v>3192.31</v>
      </c>
      <c r="N192" s="2" t="n">
        <f aca="false">E192</f>
        <v>83000</v>
      </c>
      <c r="O192" s="2" t="n">
        <f aca="false">ROUND(M192*L192,2)</f>
        <v>15961.55</v>
      </c>
      <c r="P192" s="2" t="n">
        <f aca="false">ROUND(M192*COUNTIFS('Leave Records'!$B$2:$B$144,A192,'Leave Records'!$F$2:$F$144,"Unpaid")+M192*0.5*J192,2)</f>
        <v>3192.31</v>
      </c>
      <c r="Q192" s="2" t="n">
        <f aca="false">INDEX('Employee Master'!$M$2:$M$201,MATCH(A192,'Employee Master'!$A$2:$A$201,0))</f>
        <v>9960</v>
      </c>
      <c r="R192" s="2" t="n">
        <v>0</v>
      </c>
      <c r="S192" s="2" t="n">
        <f aca="false">N192-O192-P192-Q192-R192</f>
        <v>53886.14</v>
      </c>
    </row>
    <row r="193" customFormat="false" ht="15" hidden="false" customHeight="false" outlineLevel="0" collapsed="false">
      <c r="A193" s="2" t="s">
        <v>431</v>
      </c>
      <c r="B193" s="2" t="s">
        <v>432</v>
      </c>
      <c r="C193" s="2" t="s">
        <v>649</v>
      </c>
      <c r="D193" s="2" t="n">
        <v>2026</v>
      </c>
      <c r="E193" s="2" t="n">
        <f aca="false">INDEX('Employee Master'!$G$2:$G$201,MATCH(A193,'Employee Master'!$A$2:$A$201,0))</f>
        <v>70000</v>
      </c>
      <c r="F193" s="2" t="n">
        <v>26</v>
      </c>
      <c r="G193" s="2" t="n">
        <f aca="false">COUNTIFS('Tally Attendance'!$A$2:$A$6201,A193,'Tally Attendance'!$F$2:$F$6201,"Present")</f>
        <v>21</v>
      </c>
      <c r="H193" s="2" t="n">
        <f aca="false">COUNTIFS('Tally Attendance'!$A$2:$A$6201,A193,'Tally Attendance'!$F$2:$F$6201,"Absent")</f>
        <v>3</v>
      </c>
      <c r="I193" s="2" t="n">
        <f aca="false">COUNTIFS('Tally Attendance'!$A$2:$A$6201,A193,'Tally Attendance'!$F$2:$F$6201,"Leave")</f>
        <v>0</v>
      </c>
      <c r="J193" s="2" t="n">
        <f aca="false">COUNTIFS('Tally Attendance'!$A$2:$A$6201,A193,'Tally Attendance'!$F$2:$F$6201,"Half Day")</f>
        <v>2</v>
      </c>
      <c r="K193" s="2" t="n">
        <f aca="false">MIN(H193,2)</f>
        <v>2</v>
      </c>
      <c r="L193" s="2" t="n">
        <f aca="false">MAX(H193-K193,0)</f>
        <v>1</v>
      </c>
      <c r="M193" s="2" t="n">
        <f aca="false">ROUND(E193/F193,2)</f>
        <v>2692.31</v>
      </c>
      <c r="N193" s="2" t="n">
        <f aca="false">E193</f>
        <v>70000</v>
      </c>
      <c r="O193" s="2" t="n">
        <f aca="false">ROUND(M193*L193,2)</f>
        <v>2692.31</v>
      </c>
      <c r="P193" s="2" t="n">
        <f aca="false">ROUND(M193*COUNTIFS('Leave Records'!$B$2:$B$144,A193,'Leave Records'!$F$2:$F$144,"Unpaid")+M193*0.5*J193,2)</f>
        <v>2692.31</v>
      </c>
      <c r="Q193" s="2" t="n">
        <f aca="false">INDEX('Employee Master'!$M$2:$M$201,MATCH(A193,'Employee Master'!$A$2:$A$201,0))</f>
        <v>8400</v>
      </c>
      <c r="R193" s="2" t="n">
        <v>0</v>
      </c>
      <c r="S193" s="2" t="n">
        <f aca="false">N193-O193-P193-Q193-R193</f>
        <v>56215.38</v>
      </c>
    </row>
    <row r="194" customFormat="false" ht="15" hidden="false" customHeight="false" outlineLevel="0" collapsed="false">
      <c r="A194" s="2" t="s">
        <v>433</v>
      </c>
      <c r="B194" s="2" t="s">
        <v>434</v>
      </c>
      <c r="C194" s="2" t="s">
        <v>649</v>
      </c>
      <c r="D194" s="2" t="n">
        <v>2026</v>
      </c>
      <c r="E194" s="2" t="n">
        <f aca="false">INDEX('Employee Master'!$G$2:$G$201,MATCH(A194,'Employee Master'!$A$2:$A$201,0))</f>
        <v>29000</v>
      </c>
      <c r="F194" s="2" t="n">
        <v>26</v>
      </c>
      <c r="G194" s="2" t="n">
        <f aca="false">COUNTIFS('Tally Attendance'!$A$2:$A$6201,A194,'Tally Attendance'!$F$2:$F$6201,"Present")</f>
        <v>22</v>
      </c>
      <c r="H194" s="2" t="n">
        <f aca="false">COUNTIFS('Tally Attendance'!$A$2:$A$6201,A194,'Tally Attendance'!$F$2:$F$6201,"Absent")</f>
        <v>3</v>
      </c>
      <c r="I194" s="2" t="n">
        <f aca="false">COUNTIFS('Tally Attendance'!$A$2:$A$6201,A194,'Tally Attendance'!$F$2:$F$6201,"Leave")</f>
        <v>0</v>
      </c>
      <c r="J194" s="2" t="n">
        <f aca="false">COUNTIFS('Tally Attendance'!$A$2:$A$6201,A194,'Tally Attendance'!$F$2:$F$6201,"Half Day")</f>
        <v>1</v>
      </c>
      <c r="K194" s="2" t="n">
        <f aca="false">MIN(H194,2)</f>
        <v>2</v>
      </c>
      <c r="L194" s="2" t="n">
        <f aca="false">MAX(H194-K194,0)</f>
        <v>1</v>
      </c>
      <c r="M194" s="2" t="n">
        <f aca="false">ROUND(E194/F194,2)</f>
        <v>1115.38</v>
      </c>
      <c r="N194" s="2" t="n">
        <f aca="false">E194</f>
        <v>29000</v>
      </c>
      <c r="O194" s="2" t="n">
        <f aca="false">ROUND(M194*L194,2)</f>
        <v>1115.38</v>
      </c>
      <c r="P194" s="2" t="n">
        <f aca="false">ROUND(M194*COUNTIFS('Leave Records'!$B$2:$B$144,A194,'Leave Records'!$F$2:$F$144,"Unpaid")+M194*0.5*J194,2)</f>
        <v>557.69</v>
      </c>
      <c r="Q194" s="2" t="n">
        <f aca="false">INDEX('Employee Master'!$M$2:$M$201,MATCH(A194,'Employee Master'!$A$2:$A$201,0))</f>
        <v>3480</v>
      </c>
      <c r="R194" s="2" t="n">
        <v>0</v>
      </c>
      <c r="S194" s="2" t="n">
        <f aca="false">N194-O194-P194-Q194-R194</f>
        <v>23846.93</v>
      </c>
    </row>
    <row r="195" customFormat="false" ht="15" hidden="false" customHeight="false" outlineLevel="0" collapsed="false">
      <c r="A195" s="2" t="s">
        <v>435</v>
      </c>
      <c r="B195" s="2" t="s">
        <v>436</v>
      </c>
      <c r="C195" s="2" t="s">
        <v>649</v>
      </c>
      <c r="D195" s="2" t="n">
        <v>2026</v>
      </c>
      <c r="E195" s="2" t="n">
        <f aca="false">INDEX('Employee Master'!$G$2:$G$201,MATCH(A195,'Employee Master'!$A$2:$A$201,0))</f>
        <v>45500</v>
      </c>
      <c r="F195" s="2" t="n">
        <v>26</v>
      </c>
      <c r="G195" s="2" t="n">
        <f aca="false">COUNTIFS('Tally Attendance'!$A$2:$A$6201,A195,'Tally Attendance'!$F$2:$F$6201,"Present")</f>
        <v>18</v>
      </c>
      <c r="H195" s="2" t="n">
        <f aca="false">COUNTIFS('Tally Attendance'!$A$2:$A$6201,A195,'Tally Attendance'!$F$2:$F$6201,"Absent")</f>
        <v>5</v>
      </c>
      <c r="I195" s="2" t="n">
        <f aca="false">COUNTIFS('Tally Attendance'!$A$2:$A$6201,A195,'Tally Attendance'!$F$2:$F$6201,"Leave")</f>
        <v>1</v>
      </c>
      <c r="J195" s="2" t="n">
        <f aca="false">COUNTIFS('Tally Attendance'!$A$2:$A$6201,A195,'Tally Attendance'!$F$2:$F$6201,"Half Day")</f>
        <v>2</v>
      </c>
      <c r="K195" s="2" t="n">
        <f aca="false">MIN(H195,2)</f>
        <v>2</v>
      </c>
      <c r="L195" s="2" t="n">
        <f aca="false">MAX(H195-K195,0)</f>
        <v>3</v>
      </c>
      <c r="M195" s="2" t="n">
        <f aca="false">ROUND(E195/F195,2)</f>
        <v>1750</v>
      </c>
      <c r="N195" s="2" t="n">
        <f aca="false">E195</f>
        <v>45500</v>
      </c>
      <c r="O195" s="2" t="n">
        <f aca="false">ROUND(M195*L195,2)</f>
        <v>5250</v>
      </c>
      <c r="P195" s="2" t="n">
        <f aca="false">ROUND(M195*COUNTIFS('Leave Records'!$B$2:$B$144,A195,'Leave Records'!$F$2:$F$144,"Unpaid")+M195*0.5*J195,2)</f>
        <v>1750</v>
      </c>
      <c r="Q195" s="2" t="n">
        <f aca="false">INDEX('Employee Master'!$M$2:$M$201,MATCH(A195,'Employee Master'!$A$2:$A$201,0))</f>
        <v>5460</v>
      </c>
      <c r="R195" s="2" t="n">
        <v>0</v>
      </c>
      <c r="S195" s="2" t="n">
        <f aca="false">N195-O195-P195-Q195-R195</f>
        <v>33040</v>
      </c>
    </row>
    <row r="196" customFormat="false" ht="15" hidden="false" customHeight="false" outlineLevel="0" collapsed="false">
      <c r="A196" s="2" t="s">
        <v>437</v>
      </c>
      <c r="B196" s="2" t="s">
        <v>438</v>
      </c>
      <c r="C196" s="2" t="s">
        <v>649</v>
      </c>
      <c r="D196" s="2" t="n">
        <v>2026</v>
      </c>
      <c r="E196" s="2" t="n">
        <f aca="false">INDEX('Employee Master'!$G$2:$G$201,MATCH(A196,'Employee Master'!$A$2:$A$201,0))</f>
        <v>49500</v>
      </c>
      <c r="F196" s="2" t="n">
        <v>26</v>
      </c>
      <c r="G196" s="2" t="n">
        <f aca="false">COUNTIFS('Tally Attendance'!$A$2:$A$6201,A196,'Tally Attendance'!$F$2:$F$6201,"Present")</f>
        <v>16</v>
      </c>
      <c r="H196" s="2" t="n">
        <f aca="false">COUNTIFS('Tally Attendance'!$A$2:$A$6201,A196,'Tally Attendance'!$F$2:$F$6201,"Absent")</f>
        <v>9</v>
      </c>
      <c r="I196" s="2" t="n">
        <f aca="false">COUNTIFS('Tally Attendance'!$A$2:$A$6201,A196,'Tally Attendance'!$F$2:$F$6201,"Leave")</f>
        <v>1</v>
      </c>
      <c r="J196" s="2" t="n">
        <f aca="false">COUNTIFS('Tally Attendance'!$A$2:$A$6201,A196,'Tally Attendance'!$F$2:$F$6201,"Half Day")</f>
        <v>0</v>
      </c>
      <c r="K196" s="2" t="n">
        <f aca="false">MIN(H196,2)</f>
        <v>2</v>
      </c>
      <c r="L196" s="2" t="n">
        <f aca="false">MAX(H196-K196,0)</f>
        <v>7</v>
      </c>
      <c r="M196" s="2" t="n">
        <f aca="false">ROUND(E196/F196,2)</f>
        <v>1903.85</v>
      </c>
      <c r="N196" s="2" t="n">
        <f aca="false">E196</f>
        <v>49500</v>
      </c>
      <c r="O196" s="2" t="n">
        <f aca="false">ROUND(M196*L196,2)</f>
        <v>13326.95</v>
      </c>
      <c r="P196" s="2" t="n">
        <f aca="false">ROUND(M196*COUNTIFS('Leave Records'!$B$2:$B$144,A196,'Leave Records'!$F$2:$F$144,"Unpaid")+M196*0.5*J196,2)</f>
        <v>0</v>
      </c>
      <c r="Q196" s="2" t="n">
        <f aca="false">INDEX('Employee Master'!$M$2:$M$201,MATCH(A196,'Employee Master'!$A$2:$A$201,0))</f>
        <v>5940</v>
      </c>
      <c r="R196" s="2" t="n">
        <v>0</v>
      </c>
      <c r="S196" s="2" t="n">
        <f aca="false">N196-O196-P196-Q196-R196</f>
        <v>30233.05</v>
      </c>
    </row>
    <row r="197" customFormat="false" ht="15" hidden="false" customHeight="false" outlineLevel="0" collapsed="false">
      <c r="A197" s="2" t="s">
        <v>439</v>
      </c>
      <c r="B197" s="2" t="s">
        <v>440</v>
      </c>
      <c r="C197" s="2" t="s">
        <v>649</v>
      </c>
      <c r="D197" s="2" t="n">
        <v>2026</v>
      </c>
      <c r="E197" s="2" t="n">
        <f aca="false">INDEX('Employee Master'!$G$2:$G$201,MATCH(A197,'Employee Master'!$A$2:$A$201,0))</f>
        <v>35500</v>
      </c>
      <c r="F197" s="2" t="n">
        <v>26</v>
      </c>
      <c r="G197" s="2" t="n">
        <f aca="false">COUNTIFS('Tally Attendance'!$A$2:$A$6201,A197,'Tally Attendance'!$F$2:$F$6201,"Present")</f>
        <v>18</v>
      </c>
      <c r="H197" s="2" t="n">
        <f aca="false">COUNTIFS('Tally Attendance'!$A$2:$A$6201,A197,'Tally Attendance'!$F$2:$F$6201,"Absent")</f>
        <v>7</v>
      </c>
      <c r="I197" s="2" t="n">
        <f aca="false">COUNTIFS('Tally Attendance'!$A$2:$A$6201,A197,'Tally Attendance'!$F$2:$F$6201,"Leave")</f>
        <v>0</v>
      </c>
      <c r="J197" s="2" t="n">
        <f aca="false">COUNTIFS('Tally Attendance'!$A$2:$A$6201,A197,'Tally Attendance'!$F$2:$F$6201,"Half Day")</f>
        <v>1</v>
      </c>
      <c r="K197" s="2" t="n">
        <f aca="false">MIN(H197,2)</f>
        <v>2</v>
      </c>
      <c r="L197" s="2" t="n">
        <f aca="false">MAX(H197-K197,0)</f>
        <v>5</v>
      </c>
      <c r="M197" s="2" t="n">
        <f aca="false">ROUND(E197/F197,2)</f>
        <v>1365.38</v>
      </c>
      <c r="N197" s="2" t="n">
        <f aca="false">E197</f>
        <v>35500</v>
      </c>
      <c r="O197" s="2" t="n">
        <f aca="false">ROUND(M197*L197,2)</f>
        <v>6826.9</v>
      </c>
      <c r="P197" s="2" t="n">
        <f aca="false">ROUND(M197*COUNTIFS('Leave Records'!$B$2:$B$144,A197,'Leave Records'!$F$2:$F$144,"Unpaid")+M197*0.5*J197,2)</f>
        <v>682.69</v>
      </c>
      <c r="Q197" s="2" t="n">
        <f aca="false">INDEX('Employee Master'!$M$2:$M$201,MATCH(A197,'Employee Master'!$A$2:$A$201,0))</f>
        <v>4260</v>
      </c>
      <c r="R197" s="2" t="n">
        <v>0</v>
      </c>
      <c r="S197" s="2" t="n">
        <f aca="false">N197-O197-P197-Q197-R197</f>
        <v>23730.41</v>
      </c>
    </row>
    <row r="198" customFormat="false" ht="15" hidden="false" customHeight="false" outlineLevel="0" collapsed="false">
      <c r="A198" s="2" t="s">
        <v>441</v>
      </c>
      <c r="B198" s="2" t="s">
        <v>442</v>
      </c>
      <c r="C198" s="2" t="s">
        <v>649</v>
      </c>
      <c r="D198" s="2" t="n">
        <v>2026</v>
      </c>
      <c r="E198" s="2" t="n">
        <f aca="false">INDEX('Employee Master'!$G$2:$G$201,MATCH(A198,'Employee Master'!$A$2:$A$201,0))</f>
        <v>32000</v>
      </c>
      <c r="F198" s="2" t="n">
        <v>26</v>
      </c>
      <c r="G198" s="2" t="n">
        <f aca="false">COUNTIFS('Tally Attendance'!$A$2:$A$6201,A198,'Tally Attendance'!$F$2:$F$6201,"Present")</f>
        <v>23</v>
      </c>
      <c r="H198" s="2" t="n">
        <f aca="false">COUNTIFS('Tally Attendance'!$A$2:$A$6201,A198,'Tally Attendance'!$F$2:$F$6201,"Absent")</f>
        <v>2</v>
      </c>
      <c r="I198" s="2" t="n">
        <f aca="false">COUNTIFS('Tally Attendance'!$A$2:$A$6201,A198,'Tally Attendance'!$F$2:$F$6201,"Leave")</f>
        <v>0</v>
      </c>
      <c r="J198" s="2" t="n">
        <f aca="false">COUNTIFS('Tally Attendance'!$A$2:$A$6201,A198,'Tally Attendance'!$F$2:$F$6201,"Half Day")</f>
        <v>1</v>
      </c>
      <c r="K198" s="2" t="n">
        <f aca="false">MIN(H198,2)</f>
        <v>2</v>
      </c>
      <c r="L198" s="2" t="n">
        <f aca="false">MAX(H198-K198,0)</f>
        <v>0</v>
      </c>
      <c r="M198" s="2" t="n">
        <f aca="false">ROUND(E198/F198,2)</f>
        <v>1230.77</v>
      </c>
      <c r="N198" s="2" t="n">
        <f aca="false">E198</f>
        <v>32000</v>
      </c>
      <c r="O198" s="2" t="n">
        <f aca="false">ROUND(M198*L198,2)</f>
        <v>0</v>
      </c>
      <c r="P198" s="2" t="n">
        <f aca="false">ROUND(M198*COUNTIFS('Leave Records'!$B$2:$B$144,A198,'Leave Records'!$F$2:$F$144,"Unpaid")+M198*0.5*J198,2)</f>
        <v>615.39</v>
      </c>
      <c r="Q198" s="2" t="n">
        <f aca="false">INDEX('Employee Master'!$M$2:$M$201,MATCH(A198,'Employee Master'!$A$2:$A$201,0))</f>
        <v>3840</v>
      </c>
      <c r="R198" s="2" t="n">
        <v>0</v>
      </c>
      <c r="S198" s="2" t="n">
        <f aca="false">N198-O198-P198-Q198-R198</f>
        <v>27544.61</v>
      </c>
    </row>
    <row r="199" customFormat="false" ht="15" hidden="false" customHeight="false" outlineLevel="0" collapsed="false">
      <c r="A199" s="2" t="s">
        <v>443</v>
      </c>
      <c r="B199" s="2" t="s">
        <v>444</v>
      </c>
      <c r="C199" s="2" t="s">
        <v>649</v>
      </c>
      <c r="D199" s="2" t="n">
        <v>2026</v>
      </c>
      <c r="E199" s="2" t="n">
        <f aca="false">INDEX('Employee Master'!$G$2:$G$201,MATCH(A199,'Employee Master'!$A$2:$A$201,0))</f>
        <v>20500</v>
      </c>
      <c r="F199" s="2" t="n">
        <v>26</v>
      </c>
      <c r="G199" s="2" t="n">
        <f aca="false">COUNTIFS('Tally Attendance'!$A$2:$A$6201,A199,'Tally Attendance'!$F$2:$F$6201,"Present")</f>
        <v>26</v>
      </c>
      <c r="H199" s="2" t="n">
        <f aca="false">COUNTIFS('Tally Attendance'!$A$2:$A$6201,A199,'Tally Attendance'!$F$2:$F$6201,"Absent")</f>
        <v>0</v>
      </c>
      <c r="I199" s="2" t="n">
        <f aca="false">COUNTIFS('Tally Attendance'!$A$2:$A$6201,A199,'Tally Attendance'!$F$2:$F$6201,"Leave")</f>
        <v>0</v>
      </c>
      <c r="J199" s="2" t="n">
        <f aca="false">COUNTIFS('Tally Attendance'!$A$2:$A$6201,A199,'Tally Attendance'!$F$2:$F$6201,"Half Day")</f>
        <v>0</v>
      </c>
      <c r="K199" s="2" t="n">
        <f aca="false">MIN(H199,2)</f>
        <v>0</v>
      </c>
      <c r="L199" s="2" t="n">
        <f aca="false">MAX(H199-K199,0)</f>
        <v>0</v>
      </c>
      <c r="M199" s="2" t="n">
        <f aca="false">ROUND(E199/F199,2)</f>
        <v>788.46</v>
      </c>
      <c r="N199" s="2" t="n">
        <f aca="false">E199</f>
        <v>20500</v>
      </c>
      <c r="O199" s="2" t="n">
        <f aca="false">ROUND(M199*L199,2)</f>
        <v>0</v>
      </c>
      <c r="P199" s="2" t="n">
        <f aca="false">ROUND(M199*COUNTIFS('Leave Records'!$B$2:$B$144,A199,'Leave Records'!$F$2:$F$144,"Unpaid")+M199*0.5*J199,2)</f>
        <v>0</v>
      </c>
      <c r="Q199" s="2" t="n">
        <f aca="false">INDEX('Employee Master'!$M$2:$M$201,MATCH(A199,'Employee Master'!$A$2:$A$201,0))</f>
        <v>2460</v>
      </c>
      <c r="R199" s="2" t="n">
        <v>0</v>
      </c>
      <c r="S199" s="2" t="n">
        <f aca="false">N199-O199-P199-Q199-R199</f>
        <v>18040</v>
      </c>
    </row>
    <row r="200" customFormat="false" ht="15" hidden="false" customHeight="false" outlineLevel="0" collapsed="false">
      <c r="A200" s="2" t="s">
        <v>445</v>
      </c>
      <c r="B200" s="2" t="s">
        <v>446</v>
      </c>
      <c r="C200" s="2" t="s">
        <v>649</v>
      </c>
      <c r="D200" s="2" t="n">
        <v>2026</v>
      </c>
      <c r="E200" s="2" t="n">
        <f aca="false">INDEX('Employee Master'!$G$2:$G$201,MATCH(A200,'Employee Master'!$A$2:$A$201,0))</f>
        <v>27000</v>
      </c>
      <c r="F200" s="2" t="n">
        <v>26</v>
      </c>
      <c r="G200" s="2" t="n">
        <f aca="false">COUNTIFS('Tally Attendance'!$A$2:$A$6201,A200,'Tally Attendance'!$F$2:$F$6201,"Present")</f>
        <v>20</v>
      </c>
      <c r="H200" s="2" t="n">
        <f aca="false">COUNTIFS('Tally Attendance'!$A$2:$A$6201,A200,'Tally Attendance'!$F$2:$F$6201,"Absent")</f>
        <v>4</v>
      </c>
      <c r="I200" s="2" t="n">
        <f aca="false">COUNTIFS('Tally Attendance'!$A$2:$A$6201,A200,'Tally Attendance'!$F$2:$F$6201,"Leave")</f>
        <v>1</v>
      </c>
      <c r="J200" s="2" t="n">
        <f aca="false">COUNTIFS('Tally Attendance'!$A$2:$A$6201,A200,'Tally Attendance'!$F$2:$F$6201,"Half Day")</f>
        <v>1</v>
      </c>
      <c r="K200" s="2" t="n">
        <f aca="false">MIN(H200,2)</f>
        <v>2</v>
      </c>
      <c r="L200" s="2" t="n">
        <f aca="false">MAX(H200-K200,0)</f>
        <v>2</v>
      </c>
      <c r="M200" s="2" t="n">
        <f aca="false">ROUND(E200/F200,2)</f>
        <v>1038.46</v>
      </c>
      <c r="N200" s="2" t="n">
        <f aca="false">E200</f>
        <v>27000</v>
      </c>
      <c r="O200" s="2" t="n">
        <f aca="false">ROUND(M200*L200,2)</f>
        <v>2076.92</v>
      </c>
      <c r="P200" s="2" t="n">
        <f aca="false">ROUND(M200*COUNTIFS('Leave Records'!$B$2:$B$144,A200,'Leave Records'!$F$2:$F$144,"Unpaid")+M200*0.5*J200,2)</f>
        <v>519.23</v>
      </c>
      <c r="Q200" s="2" t="n">
        <f aca="false">INDEX('Employee Master'!$M$2:$M$201,MATCH(A200,'Employee Master'!$A$2:$A$201,0))</f>
        <v>3240</v>
      </c>
      <c r="R200" s="2" t="n">
        <v>0</v>
      </c>
      <c r="S200" s="2" t="n">
        <f aca="false">N200-O200-P200-Q200-R200</f>
        <v>21163.85</v>
      </c>
    </row>
    <row r="201" customFormat="false" ht="15" hidden="false" customHeight="false" outlineLevel="0" collapsed="false">
      <c r="A201" s="2" t="s">
        <v>447</v>
      </c>
      <c r="B201" s="2" t="s">
        <v>448</v>
      </c>
      <c r="C201" s="2" t="s">
        <v>649</v>
      </c>
      <c r="D201" s="2" t="n">
        <v>2026</v>
      </c>
      <c r="E201" s="2" t="n">
        <f aca="false">INDEX('Employee Master'!$G$2:$G$201,MATCH(A201,'Employee Master'!$A$2:$A$201,0))</f>
        <v>62000</v>
      </c>
      <c r="F201" s="2" t="n">
        <v>26</v>
      </c>
      <c r="G201" s="2" t="n">
        <f aca="false">COUNTIFS('Tally Attendance'!$A$2:$A$6201,A201,'Tally Attendance'!$F$2:$F$6201,"Present")</f>
        <v>21</v>
      </c>
      <c r="H201" s="2" t="n">
        <f aca="false">COUNTIFS('Tally Attendance'!$A$2:$A$6201,A201,'Tally Attendance'!$F$2:$F$6201,"Absent")</f>
        <v>2</v>
      </c>
      <c r="I201" s="2" t="n">
        <f aca="false">COUNTIFS('Tally Attendance'!$A$2:$A$6201,A201,'Tally Attendance'!$F$2:$F$6201,"Leave")</f>
        <v>1</v>
      </c>
      <c r="J201" s="2" t="n">
        <f aca="false">COUNTIFS('Tally Attendance'!$A$2:$A$6201,A201,'Tally Attendance'!$F$2:$F$6201,"Half Day")</f>
        <v>2</v>
      </c>
      <c r="K201" s="2" t="n">
        <f aca="false">MIN(H201,2)</f>
        <v>2</v>
      </c>
      <c r="L201" s="2" t="n">
        <f aca="false">MAX(H201-K201,0)</f>
        <v>0</v>
      </c>
      <c r="M201" s="2" t="n">
        <f aca="false">ROUND(E201/F201,2)</f>
        <v>2384.62</v>
      </c>
      <c r="N201" s="2" t="n">
        <f aca="false">E201</f>
        <v>62000</v>
      </c>
      <c r="O201" s="2" t="n">
        <f aca="false">ROUND(M201*L201,2)</f>
        <v>0</v>
      </c>
      <c r="P201" s="2" t="n">
        <f aca="false">ROUND(M201*COUNTIFS('Leave Records'!$B$2:$B$144,A201,'Leave Records'!$F$2:$F$144,"Unpaid")+M201*0.5*J201,2)</f>
        <v>4769.24</v>
      </c>
      <c r="Q201" s="2" t="n">
        <f aca="false">INDEX('Employee Master'!$M$2:$M$201,MATCH(A201,'Employee Master'!$A$2:$A$201,0))</f>
        <v>7440</v>
      </c>
      <c r="R201" s="2" t="n">
        <v>0</v>
      </c>
      <c r="S201" s="2" t="n">
        <f aca="false">N201-O201-P201-Q201-R201</f>
        <v>49790.76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635</v>
      </c>
      <c r="D1" s="1" t="s">
        <v>636</v>
      </c>
      <c r="E1" s="1" t="s">
        <v>10</v>
      </c>
      <c r="F1" s="1" t="s">
        <v>11</v>
      </c>
      <c r="G1" s="1" t="s">
        <v>650</v>
      </c>
      <c r="H1" s="1" t="s">
        <v>12</v>
      </c>
      <c r="I1" s="1" t="s">
        <v>13</v>
      </c>
      <c r="J1" s="1" t="s">
        <v>651</v>
      </c>
      <c r="K1" s="1" t="s">
        <v>652</v>
      </c>
    </row>
    <row r="2" customFormat="false" ht="15" hidden="false" customHeight="false" outlineLevel="0" collapsed="false">
      <c r="A2" s="2" t="s">
        <v>15</v>
      </c>
      <c r="B2" s="2" t="s">
        <v>16</v>
      </c>
      <c r="C2" s="2" t="s">
        <v>649</v>
      </c>
      <c r="D2" s="2" t="n">
        <v>2026</v>
      </c>
      <c r="E2" s="2" t="str">
        <f aca="false">INDEX('Employee Master'!$K$2:$K$201,MATCH(A2,'Employee Master'!$A$2:$A$201,0))</f>
        <v>Yes</v>
      </c>
      <c r="F2" s="4" t="n">
        <f aca="false">INDEX('Employee Master'!$L$2:$L$201,MATCH(A2,'Employee Master'!$A$2:$A$201,0))</f>
        <v>0.12</v>
      </c>
      <c r="G2" s="2" t="n">
        <f aca="false">INDEX('Employee Master'!$G$2:$G$201,MATCH(A2,'Employee Master'!$A$2:$A$201,0))</f>
        <v>48000</v>
      </c>
      <c r="H2" s="2" t="n">
        <f aca="false">IF(E2="Yes",ROUND(G2*F2,0),0)</f>
        <v>5760</v>
      </c>
      <c r="I2" s="2" t="n">
        <f aca="false">IF(E2="Yes",ROUND(G2*F2,0),0)</f>
        <v>5760</v>
      </c>
      <c r="J2" s="2" t="n">
        <f aca="false">H2+I2</f>
        <v>11520</v>
      </c>
      <c r="K2" s="2" t="str">
        <f aca="false">IF(E2="Yes","Generated","Not Applicable")</f>
        <v>Generated</v>
      </c>
    </row>
    <row r="3" customFormat="false" ht="15" hidden="false" customHeight="false" outlineLevel="0" collapsed="false">
      <c r="A3" s="2" t="s">
        <v>22</v>
      </c>
      <c r="B3" s="2" t="s">
        <v>23</v>
      </c>
      <c r="C3" s="2" t="s">
        <v>649</v>
      </c>
      <c r="D3" s="2" t="n">
        <v>2026</v>
      </c>
      <c r="E3" s="2" t="str">
        <f aca="false">INDEX('Employee Master'!$K$2:$K$201,MATCH(A3,'Employee Master'!$A$2:$A$201,0))</f>
        <v>Yes</v>
      </c>
      <c r="F3" s="4" t="n">
        <f aca="false">INDEX('Employee Master'!$L$2:$L$201,MATCH(A3,'Employee Master'!$A$2:$A$201,0))</f>
        <v>0.12</v>
      </c>
      <c r="G3" s="2" t="n">
        <f aca="false">INDEX('Employee Master'!$G$2:$G$201,MATCH(A3,'Employee Master'!$A$2:$A$201,0))</f>
        <v>104500</v>
      </c>
      <c r="H3" s="2" t="n">
        <f aca="false">IF(E3="Yes",ROUND(G3*F3,0),0)</f>
        <v>12540</v>
      </c>
      <c r="I3" s="2" t="n">
        <f aca="false">IF(E3="Yes",ROUND(G3*F3,0),0)</f>
        <v>12540</v>
      </c>
      <c r="J3" s="2" t="n">
        <f aca="false">H3+I3</f>
        <v>25080</v>
      </c>
      <c r="K3" s="2" t="str">
        <f aca="false">IF(E3="Yes","Generated","Not Applicable")</f>
        <v>Generated</v>
      </c>
    </row>
    <row r="4" customFormat="false" ht="15" hidden="false" customHeight="false" outlineLevel="0" collapsed="false">
      <c r="A4" s="2" t="s">
        <v>26</v>
      </c>
      <c r="B4" s="2" t="s">
        <v>27</v>
      </c>
      <c r="C4" s="2" t="s">
        <v>649</v>
      </c>
      <c r="D4" s="2" t="n">
        <v>2026</v>
      </c>
      <c r="E4" s="2" t="str">
        <f aca="false">INDEX('Employee Master'!$K$2:$K$201,MATCH(A4,'Employee Master'!$A$2:$A$201,0))</f>
        <v>Yes</v>
      </c>
      <c r="F4" s="4" t="n">
        <f aca="false">INDEX('Employee Master'!$L$2:$L$201,MATCH(A4,'Employee Master'!$A$2:$A$201,0))</f>
        <v>0.12</v>
      </c>
      <c r="G4" s="2" t="n">
        <f aca="false">INDEX('Employee Master'!$G$2:$G$201,MATCH(A4,'Employee Master'!$A$2:$A$201,0))</f>
        <v>23000</v>
      </c>
      <c r="H4" s="2" t="n">
        <f aca="false">IF(E4="Yes",ROUND(G4*F4,0),0)</f>
        <v>2760</v>
      </c>
      <c r="I4" s="2" t="n">
        <f aca="false">IF(E4="Yes",ROUND(G4*F4,0),0)</f>
        <v>2760</v>
      </c>
      <c r="J4" s="2" t="n">
        <f aca="false">H4+I4</f>
        <v>5520</v>
      </c>
      <c r="K4" s="2" t="str">
        <f aca="false">IF(E4="Yes","Generated","Not Applicable")</f>
        <v>Generated</v>
      </c>
    </row>
    <row r="5" customFormat="false" ht="15" hidden="false" customHeight="false" outlineLevel="0" collapsed="false">
      <c r="A5" s="2" t="s">
        <v>30</v>
      </c>
      <c r="B5" s="2" t="s">
        <v>31</v>
      </c>
      <c r="C5" s="2" t="s">
        <v>649</v>
      </c>
      <c r="D5" s="2" t="n">
        <v>2026</v>
      </c>
      <c r="E5" s="2" t="str">
        <f aca="false">INDEX('Employee Master'!$K$2:$K$201,MATCH(A5,'Employee Master'!$A$2:$A$201,0))</f>
        <v>Yes</v>
      </c>
      <c r="F5" s="4" t="n">
        <f aca="false">INDEX('Employee Master'!$L$2:$L$201,MATCH(A5,'Employee Master'!$A$2:$A$201,0))</f>
        <v>0.12</v>
      </c>
      <c r="G5" s="2" t="n">
        <f aca="false">INDEX('Employee Master'!$G$2:$G$201,MATCH(A5,'Employee Master'!$A$2:$A$201,0))</f>
        <v>33000</v>
      </c>
      <c r="H5" s="2" t="n">
        <f aca="false">IF(E5="Yes",ROUND(G5*F5,0),0)</f>
        <v>3960</v>
      </c>
      <c r="I5" s="2" t="n">
        <f aca="false">IF(E5="Yes",ROUND(G5*F5,0),0)</f>
        <v>3960</v>
      </c>
      <c r="J5" s="2" t="n">
        <f aca="false">H5+I5</f>
        <v>7920</v>
      </c>
      <c r="K5" s="2" t="str">
        <f aca="false">IF(E5="Yes","Generated","Not Applicable")</f>
        <v>Generated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649</v>
      </c>
      <c r="D6" s="2" t="n">
        <v>2026</v>
      </c>
      <c r="E6" s="2" t="str">
        <f aca="false">INDEX('Employee Master'!$K$2:$K$201,MATCH(A6,'Employee Master'!$A$2:$A$201,0))</f>
        <v>Yes</v>
      </c>
      <c r="F6" s="4" t="n">
        <f aca="false">INDEX('Employee Master'!$L$2:$L$201,MATCH(A6,'Employee Master'!$A$2:$A$201,0))</f>
        <v>0.12</v>
      </c>
      <c r="G6" s="2" t="n">
        <f aca="false">INDEX('Employee Master'!$G$2:$G$201,MATCH(A6,'Employee Master'!$A$2:$A$201,0))</f>
        <v>81000</v>
      </c>
      <c r="H6" s="2" t="n">
        <f aca="false">IF(E6="Yes",ROUND(G6*F6,0),0)</f>
        <v>9720</v>
      </c>
      <c r="I6" s="2" t="n">
        <f aca="false">IF(E6="Yes",ROUND(G6*F6,0),0)</f>
        <v>9720</v>
      </c>
      <c r="J6" s="2" t="n">
        <f aca="false">H6+I6</f>
        <v>19440</v>
      </c>
      <c r="K6" s="2" t="str">
        <f aca="false">IF(E6="Yes","Generated","Not Applicable")</f>
        <v>Generated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649</v>
      </c>
      <c r="D7" s="2" t="n">
        <v>2026</v>
      </c>
      <c r="E7" s="2" t="str">
        <f aca="false">INDEX('Employee Master'!$K$2:$K$201,MATCH(A7,'Employee Master'!$A$2:$A$201,0))</f>
        <v>Yes</v>
      </c>
      <c r="F7" s="4" t="n">
        <f aca="false">INDEX('Employee Master'!$L$2:$L$201,MATCH(A7,'Employee Master'!$A$2:$A$201,0))</f>
        <v>0.12</v>
      </c>
      <c r="G7" s="2" t="n">
        <f aca="false">INDEX('Employee Master'!$G$2:$G$201,MATCH(A7,'Employee Master'!$A$2:$A$201,0))</f>
        <v>23000</v>
      </c>
      <c r="H7" s="2" t="n">
        <f aca="false">IF(E7="Yes",ROUND(G7*F7,0),0)</f>
        <v>2760</v>
      </c>
      <c r="I7" s="2" t="n">
        <f aca="false">IF(E7="Yes",ROUND(G7*F7,0),0)</f>
        <v>2760</v>
      </c>
      <c r="J7" s="2" t="n">
        <f aca="false">H7+I7</f>
        <v>5520</v>
      </c>
      <c r="K7" s="2" t="str">
        <f aca="false">IF(E7="Yes","Generated","Not Applicable")</f>
        <v>Generated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649</v>
      </c>
      <c r="D8" s="2" t="n">
        <v>2026</v>
      </c>
      <c r="E8" s="2" t="str">
        <f aca="false">INDEX('Employee Master'!$K$2:$K$201,MATCH(A8,'Employee Master'!$A$2:$A$201,0))</f>
        <v>Yes</v>
      </c>
      <c r="F8" s="4" t="n">
        <f aca="false">INDEX('Employee Master'!$L$2:$L$201,MATCH(A8,'Employee Master'!$A$2:$A$201,0))</f>
        <v>0.12</v>
      </c>
      <c r="G8" s="2" t="n">
        <f aca="false">INDEX('Employee Master'!$G$2:$G$201,MATCH(A8,'Employee Master'!$A$2:$A$201,0))</f>
        <v>34000</v>
      </c>
      <c r="H8" s="2" t="n">
        <f aca="false">IF(E8="Yes",ROUND(G8*F8,0),0)</f>
        <v>4080</v>
      </c>
      <c r="I8" s="2" t="n">
        <f aca="false">IF(E8="Yes",ROUND(G8*F8,0),0)</f>
        <v>4080</v>
      </c>
      <c r="J8" s="2" t="n">
        <f aca="false">H8+I8</f>
        <v>8160</v>
      </c>
      <c r="K8" s="2" t="str">
        <f aca="false">IF(E8="Yes","Generated","Not Applicable")</f>
        <v>Generated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649</v>
      </c>
      <c r="D9" s="2" t="n">
        <v>2026</v>
      </c>
      <c r="E9" s="2" t="str">
        <f aca="false">INDEX('Employee Master'!$K$2:$K$201,MATCH(A9,'Employee Master'!$A$2:$A$201,0))</f>
        <v>Yes</v>
      </c>
      <c r="F9" s="4" t="n">
        <f aca="false">INDEX('Employee Master'!$L$2:$L$201,MATCH(A9,'Employee Master'!$A$2:$A$201,0))</f>
        <v>0.12</v>
      </c>
      <c r="G9" s="2" t="n">
        <f aca="false">INDEX('Employee Master'!$G$2:$G$201,MATCH(A9,'Employee Master'!$A$2:$A$201,0))</f>
        <v>30500</v>
      </c>
      <c r="H9" s="2" t="n">
        <f aca="false">IF(E9="Yes",ROUND(G9*F9,0),0)</f>
        <v>3660</v>
      </c>
      <c r="I9" s="2" t="n">
        <f aca="false">IF(E9="Yes",ROUND(G9*F9,0),0)</f>
        <v>3660</v>
      </c>
      <c r="J9" s="2" t="n">
        <f aca="false">H9+I9</f>
        <v>7320</v>
      </c>
      <c r="K9" s="2" t="str">
        <f aca="false">IF(E9="Yes","Generated","Not Applicable")</f>
        <v>Generated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649</v>
      </c>
      <c r="D10" s="2" t="n">
        <v>2026</v>
      </c>
      <c r="E10" s="2" t="str">
        <f aca="false">INDEX('Employee Master'!$K$2:$K$201,MATCH(A10,'Employee Master'!$A$2:$A$201,0))</f>
        <v>Yes</v>
      </c>
      <c r="F10" s="4" t="n">
        <f aca="false">INDEX('Employee Master'!$L$2:$L$201,MATCH(A10,'Employee Master'!$A$2:$A$201,0))</f>
        <v>0.12</v>
      </c>
      <c r="G10" s="2" t="n">
        <f aca="false">INDEX('Employee Master'!$G$2:$G$201,MATCH(A10,'Employee Master'!$A$2:$A$201,0))</f>
        <v>33500</v>
      </c>
      <c r="H10" s="2" t="n">
        <f aca="false">IF(E10="Yes",ROUND(G10*F10,0),0)</f>
        <v>4020</v>
      </c>
      <c r="I10" s="2" t="n">
        <f aca="false">IF(E10="Yes",ROUND(G10*F10,0),0)</f>
        <v>4020</v>
      </c>
      <c r="J10" s="2" t="n">
        <f aca="false">H10+I10</f>
        <v>8040</v>
      </c>
      <c r="K10" s="2" t="str">
        <f aca="false">IF(E10="Yes","Generated","Not Applicable")</f>
        <v>Generated</v>
      </c>
    </row>
    <row r="11" customFormat="false" ht="15" hidden="false" customHeight="false" outlineLevel="0" collapsed="false">
      <c r="A11" s="2" t="s">
        <v>55</v>
      </c>
      <c r="B11" s="2" t="s">
        <v>56</v>
      </c>
      <c r="C11" s="2" t="s">
        <v>649</v>
      </c>
      <c r="D11" s="2" t="n">
        <v>2026</v>
      </c>
      <c r="E11" s="2" t="str">
        <f aca="false">INDEX('Employee Master'!$K$2:$K$201,MATCH(A11,'Employee Master'!$A$2:$A$201,0))</f>
        <v>Yes</v>
      </c>
      <c r="F11" s="4" t="n">
        <f aca="false">INDEX('Employee Master'!$L$2:$L$201,MATCH(A11,'Employee Master'!$A$2:$A$201,0))</f>
        <v>0.12</v>
      </c>
      <c r="G11" s="2" t="n">
        <f aca="false">INDEX('Employee Master'!$G$2:$G$201,MATCH(A11,'Employee Master'!$A$2:$A$201,0))</f>
        <v>20500</v>
      </c>
      <c r="H11" s="2" t="n">
        <f aca="false">IF(E11="Yes",ROUND(G11*F11,0),0)</f>
        <v>2460</v>
      </c>
      <c r="I11" s="2" t="n">
        <f aca="false">IF(E11="Yes",ROUND(G11*F11,0),0)</f>
        <v>2460</v>
      </c>
      <c r="J11" s="2" t="n">
        <f aca="false">H11+I11</f>
        <v>4920</v>
      </c>
      <c r="K11" s="2" t="str">
        <f aca="false">IF(E11="Yes","Generated","Not Applicable")</f>
        <v>Generated</v>
      </c>
    </row>
    <row r="12" customFormat="false" ht="15" hidden="false" customHeight="false" outlineLevel="0" collapsed="false">
      <c r="A12" s="2" t="s">
        <v>59</v>
      </c>
      <c r="B12" s="2" t="s">
        <v>60</v>
      </c>
      <c r="C12" s="2" t="s">
        <v>649</v>
      </c>
      <c r="D12" s="2" t="n">
        <v>2026</v>
      </c>
      <c r="E12" s="2" t="str">
        <f aca="false">INDEX('Employee Master'!$K$2:$K$201,MATCH(A12,'Employee Master'!$A$2:$A$201,0))</f>
        <v>Yes</v>
      </c>
      <c r="F12" s="4" t="n">
        <f aca="false">INDEX('Employee Master'!$L$2:$L$201,MATCH(A12,'Employee Master'!$A$2:$A$201,0))</f>
        <v>0.12</v>
      </c>
      <c r="G12" s="2" t="n">
        <f aca="false">INDEX('Employee Master'!$G$2:$G$201,MATCH(A12,'Employee Master'!$A$2:$A$201,0))</f>
        <v>124000</v>
      </c>
      <c r="H12" s="2" t="n">
        <f aca="false">IF(E12="Yes",ROUND(G12*F12,0),0)</f>
        <v>14880</v>
      </c>
      <c r="I12" s="2" t="n">
        <f aca="false">IF(E12="Yes",ROUND(G12*F12,0),0)</f>
        <v>14880</v>
      </c>
      <c r="J12" s="2" t="n">
        <f aca="false">H12+I12</f>
        <v>29760</v>
      </c>
      <c r="K12" s="2" t="str">
        <f aca="false">IF(E12="Yes","Generated","Not Applicable")</f>
        <v>Generated</v>
      </c>
    </row>
    <row r="13" customFormat="false" ht="15" hidden="false" customHeight="false" outlineLevel="0" collapsed="false">
      <c r="A13" s="2" t="s">
        <v>61</v>
      </c>
      <c r="B13" s="2" t="s">
        <v>62</v>
      </c>
      <c r="C13" s="2" t="s">
        <v>649</v>
      </c>
      <c r="D13" s="2" t="n">
        <v>2026</v>
      </c>
      <c r="E13" s="2" t="str">
        <f aca="false">INDEX('Employee Master'!$K$2:$K$201,MATCH(A13,'Employee Master'!$A$2:$A$201,0))</f>
        <v>Yes</v>
      </c>
      <c r="F13" s="4" t="n">
        <f aca="false">INDEX('Employee Master'!$L$2:$L$201,MATCH(A13,'Employee Master'!$A$2:$A$201,0))</f>
        <v>0.12</v>
      </c>
      <c r="G13" s="2" t="n">
        <f aca="false">INDEX('Employee Master'!$G$2:$G$201,MATCH(A13,'Employee Master'!$A$2:$A$201,0))</f>
        <v>101000</v>
      </c>
      <c r="H13" s="2" t="n">
        <f aca="false">IF(E13="Yes",ROUND(G13*F13,0),0)</f>
        <v>12120</v>
      </c>
      <c r="I13" s="2" t="n">
        <f aca="false">IF(E13="Yes",ROUND(G13*F13,0),0)</f>
        <v>12120</v>
      </c>
      <c r="J13" s="2" t="n">
        <f aca="false">H13+I13</f>
        <v>24240</v>
      </c>
      <c r="K13" s="2" t="str">
        <f aca="false">IF(E13="Yes","Generated","Not Applicable")</f>
        <v>Generated</v>
      </c>
    </row>
    <row r="14" customFormat="false" ht="15" hidden="false" customHeight="false" outlineLevel="0" collapsed="false">
      <c r="A14" s="2" t="s">
        <v>64</v>
      </c>
      <c r="B14" s="2" t="s">
        <v>65</v>
      </c>
      <c r="C14" s="2" t="s">
        <v>649</v>
      </c>
      <c r="D14" s="2" t="n">
        <v>2026</v>
      </c>
      <c r="E14" s="2" t="str">
        <f aca="false">INDEX('Employee Master'!$K$2:$K$201,MATCH(A14,'Employee Master'!$A$2:$A$201,0))</f>
        <v>Yes</v>
      </c>
      <c r="F14" s="4" t="n">
        <f aca="false">INDEX('Employee Master'!$L$2:$L$201,MATCH(A14,'Employee Master'!$A$2:$A$201,0))</f>
        <v>0.12</v>
      </c>
      <c r="G14" s="2" t="n">
        <f aca="false">INDEX('Employee Master'!$G$2:$G$201,MATCH(A14,'Employee Master'!$A$2:$A$201,0))</f>
        <v>69500</v>
      </c>
      <c r="H14" s="2" t="n">
        <f aca="false">IF(E14="Yes",ROUND(G14*F14,0),0)</f>
        <v>8340</v>
      </c>
      <c r="I14" s="2" t="n">
        <f aca="false">IF(E14="Yes",ROUND(G14*F14,0),0)</f>
        <v>8340</v>
      </c>
      <c r="J14" s="2" t="n">
        <f aca="false">H14+I14</f>
        <v>16680</v>
      </c>
      <c r="K14" s="2" t="str">
        <f aca="false">IF(E14="Yes","Generated","Not Applicable")</f>
        <v>Generated</v>
      </c>
    </row>
    <row r="15" customFormat="false" ht="15" hidden="false" customHeight="false" outlineLevel="0" collapsed="false">
      <c r="A15" s="2" t="s">
        <v>67</v>
      </c>
      <c r="B15" s="2" t="s">
        <v>68</v>
      </c>
      <c r="C15" s="2" t="s">
        <v>649</v>
      </c>
      <c r="D15" s="2" t="n">
        <v>2026</v>
      </c>
      <c r="E15" s="2" t="str">
        <f aca="false">INDEX('Employee Master'!$K$2:$K$201,MATCH(A15,'Employee Master'!$A$2:$A$201,0))</f>
        <v>Yes</v>
      </c>
      <c r="F15" s="4" t="n">
        <f aca="false">INDEX('Employee Master'!$L$2:$L$201,MATCH(A15,'Employee Master'!$A$2:$A$201,0))</f>
        <v>0.12</v>
      </c>
      <c r="G15" s="2" t="n">
        <f aca="false">INDEX('Employee Master'!$G$2:$G$201,MATCH(A15,'Employee Master'!$A$2:$A$201,0))</f>
        <v>60000</v>
      </c>
      <c r="H15" s="2" t="n">
        <f aca="false">IF(E15="Yes",ROUND(G15*F15,0),0)</f>
        <v>7200</v>
      </c>
      <c r="I15" s="2" t="n">
        <f aca="false">IF(E15="Yes",ROUND(G15*F15,0),0)</f>
        <v>7200</v>
      </c>
      <c r="J15" s="2" t="n">
        <f aca="false">H15+I15</f>
        <v>14400</v>
      </c>
      <c r="K15" s="2" t="str">
        <f aca="false">IF(E15="Yes","Generated","Not Applicable")</f>
        <v>Generated</v>
      </c>
    </row>
    <row r="16" customFormat="false" ht="15" hidden="false" customHeight="false" outlineLevel="0" collapsed="false">
      <c r="A16" s="2" t="s">
        <v>69</v>
      </c>
      <c r="B16" s="2" t="s">
        <v>70</v>
      </c>
      <c r="C16" s="2" t="s">
        <v>649</v>
      </c>
      <c r="D16" s="2" t="n">
        <v>2026</v>
      </c>
      <c r="E16" s="2" t="str">
        <f aca="false">INDEX('Employee Master'!$K$2:$K$201,MATCH(A16,'Employee Master'!$A$2:$A$201,0))</f>
        <v>Yes</v>
      </c>
      <c r="F16" s="4" t="n">
        <f aca="false">INDEX('Employee Master'!$L$2:$L$201,MATCH(A16,'Employee Master'!$A$2:$A$201,0))</f>
        <v>0.12</v>
      </c>
      <c r="G16" s="2" t="n">
        <f aca="false">INDEX('Employee Master'!$G$2:$G$201,MATCH(A16,'Employee Master'!$A$2:$A$201,0))</f>
        <v>63500</v>
      </c>
      <c r="H16" s="2" t="n">
        <f aca="false">IF(E16="Yes",ROUND(G16*F16,0),0)</f>
        <v>7620</v>
      </c>
      <c r="I16" s="2" t="n">
        <f aca="false">IF(E16="Yes",ROUND(G16*F16,0),0)</f>
        <v>7620</v>
      </c>
      <c r="J16" s="2" t="n">
        <f aca="false">H16+I16</f>
        <v>15240</v>
      </c>
      <c r="K16" s="2" t="str">
        <f aca="false">IF(E16="Yes","Generated","Not Applicable")</f>
        <v>Generated</v>
      </c>
    </row>
    <row r="17" customFormat="false" ht="15" hidden="false" customHeight="false" outlineLevel="0" collapsed="false">
      <c r="A17" s="2" t="s">
        <v>71</v>
      </c>
      <c r="B17" s="2" t="s">
        <v>72</v>
      </c>
      <c r="C17" s="2" t="s">
        <v>649</v>
      </c>
      <c r="D17" s="2" t="n">
        <v>2026</v>
      </c>
      <c r="E17" s="2" t="str">
        <f aca="false">INDEX('Employee Master'!$K$2:$K$201,MATCH(A17,'Employee Master'!$A$2:$A$201,0))</f>
        <v>Yes</v>
      </c>
      <c r="F17" s="4" t="n">
        <f aca="false">INDEX('Employee Master'!$L$2:$L$201,MATCH(A17,'Employee Master'!$A$2:$A$201,0))</f>
        <v>0.12</v>
      </c>
      <c r="G17" s="2" t="n">
        <f aca="false">INDEX('Employee Master'!$G$2:$G$201,MATCH(A17,'Employee Master'!$A$2:$A$201,0))</f>
        <v>94500</v>
      </c>
      <c r="H17" s="2" t="n">
        <f aca="false">IF(E17="Yes",ROUND(G17*F17,0),0)</f>
        <v>11340</v>
      </c>
      <c r="I17" s="2" t="n">
        <f aca="false">IF(E17="Yes",ROUND(G17*F17,0),0)</f>
        <v>11340</v>
      </c>
      <c r="J17" s="2" t="n">
        <f aca="false">H17+I17</f>
        <v>22680</v>
      </c>
      <c r="K17" s="2" t="str">
        <f aca="false">IF(E17="Yes","Generated","Not Applicable")</f>
        <v>Generated</v>
      </c>
    </row>
    <row r="18" customFormat="false" ht="15" hidden="false" customHeight="false" outlineLevel="0" collapsed="false">
      <c r="A18" s="2" t="s">
        <v>74</v>
      </c>
      <c r="B18" s="2" t="s">
        <v>75</v>
      </c>
      <c r="C18" s="2" t="s">
        <v>649</v>
      </c>
      <c r="D18" s="2" t="n">
        <v>2026</v>
      </c>
      <c r="E18" s="2" t="str">
        <f aca="false">INDEX('Employee Master'!$K$2:$K$201,MATCH(A18,'Employee Master'!$A$2:$A$201,0))</f>
        <v>Yes</v>
      </c>
      <c r="F18" s="4" t="n">
        <f aca="false">INDEX('Employee Master'!$L$2:$L$201,MATCH(A18,'Employee Master'!$A$2:$A$201,0))</f>
        <v>0.12</v>
      </c>
      <c r="G18" s="2" t="n">
        <f aca="false">INDEX('Employee Master'!$G$2:$G$201,MATCH(A18,'Employee Master'!$A$2:$A$201,0))</f>
        <v>66500</v>
      </c>
      <c r="H18" s="2" t="n">
        <f aca="false">IF(E18="Yes",ROUND(G18*F18,0),0)</f>
        <v>7980</v>
      </c>
      <c r="I18" s="2" t="n">
        <f aca="false">IF(E18="Yes",ROUND(G18*F18,0),0)</f>
        <v>7980</v>
      </c>
      <c r="J18" s="2" t="n">
        <f aca="false">H18+I18</f>
        <v>15960</v>
      </c>
      <c r="K18" s="2" t="str">
        <f aca="false">IF(E18="Yes","Generated","Not Applicable")</f>
        <v>Generated</v>
      </c>
    </row>
    <row r="19" customFormat="false" ht="15" hidden="false" customHeight="false" outlineLevel="0" collapsed="false">
      <c r="A19" s="2" t="s">
        <v>77</v>
      </c>
      <c r="B19" s="2" t="s">
        <v>78</v>
      </c>
      <c r="C19" s="2" t="s">
        <v>649</v>
      </c>
      <c r="D19" s="2" t="n">
        <v>2026</v>
      </c>
      <c r="E19" s="2" t="str">
        <f aca="false">INDEX('Employee Master'!$K$2:$K$201,MATCH(A19,'Employee Master'!$A$2:$A$201,0))</f>
        <v>Yes</v>
      </c>
      <c r="F19" s="4" t="n">
        <f aca="false">INDEX('Employee Master'!$L$2:$L$201,MATCH(A19,'Employee Master'!$A$2:$A$201,0))</f>
        <v>0.12</v>
      </c>
      <c r="G19" s="2" t="n">
        <f aca="false">INDEX('Employee Master'!$G$2:$G$201,MATCH(A19,'Employee Master'!$A$2:$A$201,0))</f>
        <v>38500</v>
      </c>
      <c r="H19" s="2" t="n">
        <f aca="false">IF(E19="Yes",ROUND(G19*F19,0),0)</f>
        <v>4620</v>
      </c>
      <c r="I19" s="2" t="n">
        <f aca="false">IF(E19="Yes",ROUND(G19*F19,0),0)</f>
        <v>4620</v>
      </c>
      <c r="J19" s="2" t="n">
        <f aca="false">H19+I19</f>
        <v>9240</v>
      </c>
      <c r="K19" s="2" t="str">
        <f aca="false">IF(E19="Yes","Generated","Not Applicable")</f>
        <v>Generated</v>
      </c>
    </row>
    <row r="20" customFormat="false" ht="15" hidden="false" customHeight="false" outlineLevel="0" collapsed="false">
      <c r="A20" s="2" t="s">
        <v>79</v>
      </c>
      <c r="B20" s="2" t="s">
        <v>80</v>
      </c>
      <c r="C20" s="2" t="s">
        <v>649</v>
      </c>
      <c r="D20" s="2" t="n">
        <v>2026</v>
      </c>
      <c r="E20" s="2" t="str">
        <f aca="false">INDEX('Employee Master'!$K$2:$K$201,MATCH(A20,'Employee Master'!$A$2:$A$201,0))</f>
        <v>Yes</v>
      </c>
      <c r="F20" s="4" t="n">
        <f aca="false">INDEX('Employee Master'!$L$2:$L$201,MATCH(A20,'Employee Master'!$A$2:$A$201,0))</f>
        <v>0.12</v>
      </c>
      <c r="G20" s="2" t="n">
        <f aca="false">INDEX('Employee Master'!$G$2:$G$201,MATCH(A20,'Employee Master'!$A$2:$A$201,0))</f>
        <v>37000</v>
      </c>
      <c r="H20" s="2" t="n">
        <f aca="false">IF(E20="Yes",ROUND(G20*F20,0),0)</f>
        <v>4440</v>
      </c>
      <c r="I20" s="2" t="n">
        <f aca="false">IF(E20="Yes",ROUND(G20*F20,0),0)</f>
        <v>4440</v>
      </c>
      <c r="J20" s="2" t="n">
        <f aca="false">H20+I20</f>
        <v>8880</v>
      </c>
      <c r="K20" s="2" t="str">
        <f aca="false">IF(E20="Yes","Generated","Not Applicable")</f>
        <v>Generated</v>
      </c>
    </row>
    <row r="21" customFormat="false" ht="15" hidden="false" customHeight="false" outlineLevel="0" collapsed="false">
      <c r="A21" s="2" t="s">
        <v>81</v>
      </c>
      <c r="B21" s="2" t="s">
        <v>82</v>
      </c>
      <c r="C21" s="2" t="s">
        <v>649</v>
      </c>
      <c r="D21" s="2" t="n">
        <v>2026</v>
      </c>
      <c r="E21" s="2" t="str">
        <f aca="false">INDEX('Employee Master'!$K$2:$K$201,MATCH(A21,'Employee Master'!$A$2:$A$201,0))</f>
        <v>Yes</v>
      </c>
      <c r="F21" s="4" t="n">
        <f aca="false">INDEX('Employee Master'!$L$2:$L$201,MATCH(A21,'Employee Master'!$A$2:$A$201,0))</f>
        <v>0.12</v>
      </c>
      <c r="G21" s="2" t="n">
        <f aca="false">INDEX('Employee Master'!$G$2:$G$201,MATCH(A21,'Employee Master'!$A$2:$A$201,0))</f>
        <v>38000</v>
      </c>
      <c r="H21" s="2" t="n">
        <f aca="false">IF(E21="Yes",ROUND(G21*F21,0),0)</f>
        <v>4560</v>
      </c>
      <c r="I21" s="2" t="n">
        <f aca="false">IF(E21="Yes",ROUND(G21*F21,0),0)</f>
        <v>4560</v>
      </c>
      <c r="J21" s="2" t="n">
        <f aca="false">H21+I21</f>
        <v>9120</v>
      </c>
      <c r="K21" s="2" t="str">
        <f aca="false">IF(E21="Yes","Generated","Not Applicable")</f>
        <v>Generated</v>
      </c>
    </row>
    <row r="22" customFormat="false" ht="15" hidden="false" customHeight="false" outlineLevel="0" collapsed="false">
      <c r="A22" s="2" t="s">
        <v>84</v>
      </c>
      <c r="B22" s="2" t="s">
        <v>85</v>
      </c>
      <c r="C22" s="2" t="s">
        <v>649</v>
      </c>
      <c r="D22" s="2" t="n">
        <v>2026</v>
      </c>
      <c r="E22" s="2" t="str">
        <f aca="false">INDEX('Employee Master'!$K$2:$K$201,MATCH(A22,'Employee Master'!$A$2:$A$201,0))</f>
        <v>Yes</v>
      </c>
      <c r="F22" s="4" t="n">
        <f aca="false">INDEX('Employee Master'!$L$2:$L$201,MATCH(A22,'Employee Master'!$A$2:$A$201,0))</f>
        <v>0.12</v>
      </c>
      <c r="G22" s="2" t="n">
        <f aca="false">INDEX('Employee Master'!$G$2:$G$201,MATCH(A22,'Employee Master'!$A$2:$A$201,0))</f>
        <v>54000</v>
      </c>
      <c r="H22" s="2" t="n">
        <f aca="false">IF(E22="Yes",ROUND(G22*F22,0),0)</f>
        <v>6480</v>
      </c>
      <c r="I22" s="2" t="n">
        <f aca="false">IF(E22="Yes",ROUND(G22*F22,0),0)</f>
        <v>6480</v>
      </c>
      <c r="J22" s="2" t="n">
        <f aca="false">H22+I22</f>
        <v>12960</v>
      </c>
      <c r="K22" s="2" t="str">
        <f aca="false">IF(E22="Yes","Generated","Not Applicable")</f>
        <v>Generated</v>
      </c>
    </row>
    <row r="23" customFormat="false" ht="15" hidden="false" customHeight="false" outlineLevel="0" collapsed="false">
      <c r="A23" s="2" t="s">
        <v>86</v>
      </c>
      <c r="B23" s="2" t="s">
        <v>87</v>
      </c>
      <c r="C23" s="2" t="s">
        <v>649</v>
      </c>
      <c r="D23" s="2" t="n">
        <v>2026</v>
      </c>
      <c r="E23" s="2" t="str">
        <f aca="false">INDEX('Employee Master'!$K$2:$K$201,MATCH(A23,'Employee Master'!$A$2:$A$201,0))</f>
        <v>Yes</v>
      </c>
      <c r="F23" s="4" t="n">
        <f aca="false">INDEX('Employee Master'!$L$2:$L$201,MATCH(A23,'Employee Master'!$A$2:$A$201,0))</f>
        <v>0.12</v>
      </c>
      <c r="G23" s="2" t="n">
        <f aca="false">INDEX('Employee Master'!$G$2:$G$201,MATCH(A23,'Employee Master'!$A$2:$A$201,0))</f>
        <v>121000</v>
      </c>
      <c r="H23" s="2" t="n">
        <f aca="false">IF(E23="Yes",ROUND(G23*F23,0),0)</f>
        <v>14520</v>
      </c>
      <c r="I23" s="2" t="n">
        <f aca="false">IF(E23="Yes",ROUND(G23*F23,0),0)</f>
        <v>14520</v>
      </c>
      <c r="J23" s="2" t="n">
        <f aca="false">H23+I23</f>
        <v>29040</v>
      </c>
      <c r="K23" s="2" t="str">
        <f aca="false">IF(E23="Yes","Generated","Not Applicable")</f>
        <v>Generated</v>
      </c>
    </row>
    <row r="24" customFormat="false" ht="15" hidden="false" customHeight="false" outlineLevel="0" collapsed="false">
      <c r="A24" s="2" t="s">
        <v>88</v>
      </c>
      <c r="B24" s="2" t="s">
        <v>89</v>
      </c>
      <c r="C24" s="2" t="s">
        <v>649</v>
      </c>
      <c r="D24" s="2" t="n">
        <v>2026</v>
      </c>
      <c r="E24" s="2" t="str">
        <f aca="false">INDEX('Employee Master'!$K$2:$K$201,MATCH(A24,'Employee Master'!$A$2:$A$201,0))</f>
        <v>Yes</v>
      </c>
      <c r="F24" s="4" t="n">
        <f aca="false">INDEX('Employee Master'!$L$2:$L$201,MATCH(A24,'Employee Master'!$A$2:$A$201,0))</f>
        <v>0.12</v>
      </c>
      <c r="G24" s="2" t="n">
        <f aca="false">INDEX('Employee Master'!$G$2:$G$201,MATCH(A24,'Employee Master'!$A$2:$A$201,0))</f>
        <v>88000</v>
      </c>
      <c r="H24" s="2" t="n">
        <f aca="false">IF(E24="Yes",ROUND(G24*F24,0),0)</f>
        <v>10560</v>
      </c>
      <c r="I24" s="2" t="n">
        <f aca="false">IF(E24="Yes",ROUND(G24*F24,0),0)</f>
        <v>10560</v>
      </c>
      <c r="J24" s="2" t="n">
        <f aca="false">H24+I24</f>
        <v>21120</v>
      </c>
      <c r="K24" s="2" t="str">
        <f aca="false">IF(E24="Yes","Generated","Not Applicable")</f>
        <v>Generated</v>
      </c>
    </row>
    <row r="25" customFormat="false" ht="15" hidden="false" customHeight="false" outlineLevel="0" collapsed="false">
      <c r="A25" s="2" t="s">
        <v>90</v>
      </c>
      <c r="B25" s="2" t="s">
        <v>91</v>
      </c>
      <c r="C25" s="2" t="s">
        <v>649</v>
      </c>
      <c r="D25" s="2" t="n">
        <v>2026</v>
      </c>
      <c r="E25" s="2" t="str">
        <f aca="false">INDEX('Employee Master'!$K$2:$K$201,MATCH(A25,'Employee Master'!$A$2:$A$201,0))</f>
        <v>Yes</v>
      </c>
      <c r="F25" s="4" t="n">
        <f aca="false">INDEX('Employee Master'!$L$2:$L$201,MATCH(A25,'Employee Master'!$A$2:$A$201,0))</f>
        <v>0.12</v>
      </c>
      <c r="G25" s="2" t="n">
        <f aca="false">INDEX('Employee Master'!$G$2:$G$201,MATCH(A25,'Employee Master'!$A$2:$A$201,0))</f>
        <v>34500</v>
      </c>
      <c r="H25" s="2" t="n">
        <f aca="false">IF(E25="Yes",ROUND(G25*F25,0),0)</f>
        <v>4140</v>
      </c>
      <c r="I25" s="2" t="n">
        <f aca="false">IF(E25="Yes",ROUND(G25*F25,0),0)</f>
        <v>4140</v>
      </c>
      <c r="J25" s="2" t="n">
        <f aca="false">H25+I25</f>
        <v>8280</v>
      </c>
      <c r="K25" s="2" t="str">
        <f aca="false">IF(E25="Yes","Generated","Not Applicable")</f>
        <v>Generated</v>
      </c>
    </row>
    <row r="26" customFormat="false" ht="15" hidden="false" customHeight="false" outlineLevel="0" collapsed="false">
      <c r="A26" s="2" t="s">
        <v>93</v>
      </c>
      <c r="B26" s="2" t="s">
        <v>94</v>
      </c>
      <c r="C26" s="2" t="s">
        <v>649</v>
      </c>
      <c r="D26" s="2" t="n">
        <v>2026</v>
      </c>
      <c r="E26" s="2" t="str">
        <f aca="false">INDEX('Employee Master'!$K$2:$K$201,MATCH(A26,'Employee Master'!$A$2:$A$201,0))</f>
        <v>Yes</v>
      </c>
      <c r="F26" s="4" t="n">
        <f aca="false">INDEX('Employee Master'!$L$2:$L$201,MATCH(A26,'Employee Master'!$A$2:$A$201,0))</f>
        <v>0.12</v>
      </c>
      <c r="G26" s="2" t="n">
        <f aca="false">INDEX('Employee Master'!$G$2:$G$201,MATCH(A26,'Employee Master'!$A$2:$A$201,0))</f>
        <v>89500</v>
      </c>
      <c r="H26" s="2" t="n">
        <f aca="false">IF(E26="Yes",ROUND(G26*F26,0),0)</f>
        <v>10740</v>
      </c>
      <c r="I26" s="2" t="n">
        <f aca="false">IF(E26="Yes",ROUND(G26*F26,0),0)</f>
        <v>10740</v>
      </c>
      <c r="J26" s="2" t="n">
        <f aca="false">H26+I26</f>
        <v>21480</v>
      </c>
      <c r="K26" s="2" t="str">
        <f aca="false">IF(E26="Yes","Generated","Not Applicable")</f>
        <v>Generated</v>
      </c>
    </row>
    <row r="27" customFormat="false" ht="15" hidden="false" customHeight="false" outlineLevel="0" collapsed="false">
      <c r="A27" s="2" t="s">
        <v>95</v>
      </c>
      <c r="B27" s="2" t="s">
        <v>96</v>
      </c>
      <c r="C27" s="2" t="s">
        <v>649</v>
      </c>
      <c r="D27" s="2" t="n">
        <v>2026</v>
      </c>
      <c r="E27" s="2" t="str">
        <f aca="false">INDEX('Employee Master'!$K$2:$K$201,MATCH(A27,'Employee Master'!$A$2:$A$201,0))</f>
        <v>Yes</v>
      </c>
      <c r="F27" s="4" t="n">
        <f aca="false">INDEX('Employee Master'!$L$2:$L$201,MATCH(A27,'Employee Master'!$A$2:$A$201,0))</f>
        <v>0.12</v>
      </c>
      <c r="G27" s="2" t="n">
        <f aca="false">INDEX('Employee Master'!$G$2:$G$201,MATCH(A27,'Employee Master'!$A$2:$A$201,0))</f>
        <v>76500</v>
      </c>
      <c r="H27" s="2" t="n">
        <f aca="false">IF(E27="Yes",ROUND(G27*F27,0),0)</f>
        <v>9180</v>
      </c>
      <c r="I27" s="2" t="n">
        <f aca="false">IF(E27="Yes",ROUND(G27*F27,0),0)</f>
        <v>9180</v>
      </c>
      <c r="J27" s="2" t="n">
        <f aca="false">H27+I27</f>
        <v>18360</v>
      </c>
      <c r="K27" s="2" t="str">
        <f aca="false">IF(E27="Yes","Generated","Not Applicable")</f>
        <v>Generated</v>
      </c>
    </row>
    <row r="28" customFormat="false" ht="15" hidden="false" customHeight="false" outlineLevel="0" collapsed="false">
      <c r="A28" s="2" t="s">
        <v>97</v>
      </c>
      <c r="B28" s="2" t="s">
        <v>98</v>
      </c>
      <c r="C28" s="2" t="s">
        <v>649</v>
      </c>
      <c r="D28" s="2" t="n">
        <v>2026</v>
      </c>
      <c r="E28" s="2" t="str">
        <f aca="false">INDEX('Employee Master'!$K$2:$K$201,MATCH(A28,'Employee Master'!$A$2:$A$201,0))</f>
        <v>Yes</v>
      </c>
      <c r="F28" s="4" t="n">
        <f aca="false">INDEX('Employee Master'!$L$2:$L$201,MATCH(A28,'Employee Master'!$A$2:$A$201,0))</f>
        <v>0.12</v>
      </c>
      <c r="G28" s="2" t="n">
        <f aca="false">INDEX('Employee Master'!$G$2:$G$201,MATCH(A28,'Employee Master'!$A$2:$A$201,0))</f>
        <v>34000</v>
      </c>
      <c r="H28" s="2" t="n">
        <f aca="false">IF(E28="Yes",ROUND(G28*F28,0),0)</f>
        <v>4080</v>
      </c>
      <c r="I28" s="2" t="n">
        <f aca="false">IF(E28="Yes",ROUND(G28*F28,0),0)</f>
        <v>4080</v>
      </c>
      <c r="J28" s="2" t="n">
        <f aca="false">H28+I28</f>
        <v>8160</v>
      </c>
      <c r="K28" s="2" t="str">
        <f aca="false">IF(E28="Yes","Generated","Not Applicable")</f>
        <v>Generated</v>
      </c>
    </row>
    <row r="29" customFormat="false" ht="15" hidden="false" customHeight="false" outlineLevel="0" collapsed="false">
      <c r="A29" s="2" t="s">
        <v>99</v>
      </c>
      <c r="B29" s="2" t="s">
        <v>100</v>
      </c>
      <c r="C29" s="2" t="s">
        <v>649</v>
      </c>
      <c r="D29" s="2" t="n">
        <v>2026</v>
      </c>
      <c r="E29" s="2" t="str">
        <f aca="false">INDEX('Employee Master'!$K$2:$K$201,MATCH(A29,'Employee Master'!$A$2:$A$201,0))</f>
        <v>Yes</v>
      </c>
      <c r="F29" s="4" t="n">
        <f aca="false">INDEX('Employee Master'!$L$2:$L$201,MATCH(A29,'Employee Master'!$A$2:$A$201,0))</f>
        <v>0.12</v>
      </c>
      <c r="G29" s="2" t="n">
        <f aca="false">INDEX('Employee Master'!$G$2:$G$201,MATCH(A29,'Employee Master'!$A$2:$A$201,0))</f>
        <v>138000</v>
      </c>
      <c r="H29" s="2" t="n">
        <f aca="false">IF(E29="Yes",ROUND(G29*F29,0),0)</f>
        <v>16560</v>
      </c>
      <c r="I29" s="2" t="n">
        <f aca="false">IF(E29="Yes",ROUND(G29*F29,0),0)</f>
        <v>16560</v>
      </c>
      <c r="J29" s="2" t="n">
        <f aca="false">H29+I29</f>
        <v>33120</v>
      </c>
      <c r="K29" s="2" t="str">
        <f aca="false">IF(E29="Yes","Generated","Not Applicable")</f>
        <v>Generated</v>
      </c>
    </row>
    <row r="30" customFormat="false" ht="15" hidden="false" customHeight="false" outlineLevel="0" collapsed="false">
      <c r="A30" s="2" t="s">
        <v>101</v>
      </c>
      <c r="B30" s="2" t="s">
        <v>102</v>
      </c>
      <c r="C30" s="2" t="s">
        <v>649</v>
      </c>
      <c r="D30" s="2" t="n">
        <v>2026</v>
      </c>
      <c r="E30" s="2" t="str">
        <f aca="false">INDEX('Employee Master'!$K$2:$K$201,MATCH(A30,'Employee Master'!$A$2:$A$201,0))</f>
        <v>Yes</v>
      </c>
      <c r="F30" s="4" t="n">
        <f aca="false">INDEX('Employee Master'!$L$2:$L$201,MATCH(A30,'Employee Master'!$A$2:$A$201,0))</f>
        <v>0.12</v>
      </c>
      <c r="G30" s="2" t="n">
        <f aca="false">INDEX('Employee Master'!$G$2:$G$201,MATCH(A30,'Employee Master'!$A$2:$A$201,0))</f>
        <v>21000</v>
      </c>
      <c r="H30" s="2" t="n">
        <f aca="false">IF(E30="Yes",ROUND(G30*F30,0),0)</f>
        <v>2520</v>
      </c>
      <c r="I30" s="2" t="n">
        <f aca="false">IF(E30="Yes",ROUND(G30*F30,0),0)</f>
        <v>2520</v>
      </c>
      <c r="J30" s="2" t="n">
        <f aca="false">H30+I30</f>
        <v>5040</v>
      </c>
      <c r="K30" s="2" t="str">
        <f aca="false">IF(E30="Yes","Generated","Not Applicable")</f>
        <v>Generated</v>
      </c>
    </row>
    <row r="31" customFormat="false" ht="15" hidden="false" customHeight="false" outlineLevel="0" collapsed="false">
      <c r="A31" s="2" t="s">
        <v>104</v>
      </c>
      <c r="B31" s="2" t="s">
        <v>105</v>
      </c>
      <c r="C31" s="2" t="s">
        <v>649</v>
      </c>
      <c r="D31" s="2" t="n">
        <v>2026</v>
      </c>
      <c r="E31" s="2" t="str">
        <f aca="false">INDEX('Employee Master'!$K$2:$K$201,MATCH(A31,'Employee Master'!$A$2:$A$201,0))</f>
        <v>Yes</v>
      </c>
      <c r="F31" s="4" t="n">
        <f aca="false">INDEX('Employee Master'!$L$2:$L$201,MATCH(A31,'Employee Master'!$A$2:$A$201,0))</f>
        <v>0.12</v>
      </c>
      <c r="G31" s="2" t="n">
        <f aca="false">INDEX('Employee Master'!$G$2:$G$201,MATCH(A31,'Employee Master'!$A$2:$A$201,0))</f>
        <v>41000</v>
      </c>
      <c r="H31" s="2" t="n">
        <f aca="false">IF(E31="Yes",ROUND(G31*F31,0),0)</f>
        <v>4920</v>
      </c>
      <c r="I31" s="2" t="n">
        <f aca="false">IF(E31="Yes",ROUND(G31*F31,0),0)</f>
        <v>4920</v>
      </c>
      <c r="J31" s="2" t="n">
        <f aca="false">H31+I31</f>
        <v>9840</v>
      </c>
      <c r="K31" s="2" t="str">
        <f aca="false">IF(E31="Yes","Generated","Not Applicable")</f>
        <v>Generated</v>
      </c>
    </row>
    <row r="32" customFormat="false" ht="15" hidden="false" customHeight="false" outlineLevel="0" collapsed="false">
      <c r="A32" s="2" t="s">
        <v>106</v>
      </c>
      <c r="B32" s="2" t="s">
        <v>107</v>
      </c>
      <c r="C32" s="2" t="s">
        <v>649</v>
      </c>
      <c r="D32" s="2" t="n">
        <v>2026</v>
      </c>
      <c r="E32" s="2" t="str">
        <f aca="false">INDEX('Employee Master'!$K$2:$K$201,MATCH(A32,'Employee Master'!$A$2:$A$201,0))</f>
        <v>Yes</v>
      </c>
      <c r="F32" s="4" t="n">
        <f aca="false">INDEX('Employee Master'!$L$2:$L$201,MATCH(A32,'Employee Master'!$A$2:$A$201,0))</f>
        <v>0.12</v>
      </c>
      <c r="G32" s="2" t="n">
        <f aca="false">INDEX('Employee Master'!$G$2:$G$201,MATCH(A32,'Employee Master'!$A$2:$A$201,0))</f>
        <v>39500</v>
      </c>
      <c r="H32" s="2" t="n">
        <f aca="false">IF(E32="Yes",ROUND(G32*F32,0),0)</f>
        <v>4740</v>
      </c>
      <c r="I32" s="2" t="n">
        <f aca="false">IF(E32="Yes",ROUND(G32*F32,0),0)</f>
        <v>4740</v>
      </c>
      <c r="J32" s="2" t="n">
        <f aca="false">H32+I32</f>
        <v>9480</v>
      </c>
      <c r="K32" s="2" t="str">
        <f aca="false">IF(E32="Yes","Generated","Not Applicable")</f>
        <v>Generated</v>
      </c>
    </row>
    <row r="33" customFormat="false" ht="15" hidden="false" customHeight="false" outlineLevel="0" collapsed="false">
      <c r="A33" s="2" t="s">
        <v>108</v>
      </c>
      <c r="B33" s="2" t="s">
        <v>109</v>
      </c>
      <c r="C33" s="2" t="s">
        <v>649</v>
      </c>
      <c r="D33" s="2" t="n">
        <v>2026</v>
      </c>
      <c r="E33" s="2" t="str">
        <f aca="false">INDEX('Employee Master'!$K$2:$K$201,MATCH(A33,'Employee Master'!$A$2:$A$201,0))</f>
        <v>Yes</v>
      </c>
      <c r="F33" s="4" t="n">
        <f aca="false">INDEX('Employee Master'!$L$2:$L$201,MATCH(A33,'Employee Master'!$A$2:$A$201,0))</f>
        <v>0.12</v>
      </c>
      <c r="G33" s="2" t="n">
        <f aca="false">INDEX('Employee Master'!$G$2:$G$201,MATCH(A33,'Employee Master'!$A$2:$A$201,0))</f>
        <v>60000</v>
      </c>
      <c r="H33" s="2" t="n">
        <f aca="false">IF(E33="Yes",ROUND(G33*F33,0),0)</f>
        <v>7200</v>
      </c>
      <c r="I33" s="2" t="n">
        <f aca="false">IF(E33="Yes",ROUND(G33*F33,0),0)</f>
        <v>7200</v>
      </c>
      <c r="J33" s="2" t="n">
        <f aca="false">H33+I33</f>
        <v>14400</v>
      </c>
      <c r="K33" s="2" t="str">
        <f aca="false">IF(E33="Yes","Generated","Not Applicable")</f>
        <v>Generated</v>
      </c>
    </row>
    <row r="34" customFormat="false" ht="15" hidden="false" customHeight="false" outlineLevel="0" collapsed="false">
      <c r="A34" s="2" t="s">
        <v>110</v>
      </c>
      <c r="B34" s="2" t="s">
        <v>111</v>
      </c>
      <c r="C34" s="2" t="s">
        <v>649</v>
      </c>
      <c r="D34" s="2" t="n">
        <v>2026</v>
      </c>
      <c r="E34" s="2" t="str">
        <f aca="false">INDEX('Employee Master'!$K$2:$K$201,MATCH(A34,'Employee Master'!$A$2:$A$201,0))</f>
        <v>Yes</v>
      </c>
      <c r="F34" s="4" t="n">
        <f aca="false">INDEX('Employee Master'!$L$2:$L$201,MATCH(A34,'Employee Master'!$A$2:$A$201,0))</f>
        <v>0.12</v>
      </c>
      <c r="G34" s="2" t="n">
        <f aca="false">INDEX('Employee Master'!$G$2:$G$201,MATCH(A34,'Employee Master'!$A$2:$A$201,0))</f>
        <v>87500</v>
      </c>
      <c r="H34" s="2" t="n">
        <f aca="false">IF(E34="Yes",ROUND(G34*F34,0),0)</f>
        <v>10500</v>
      </c>
      <c r="I34" s="2" t="n">
        <f aca="false">IF(E34="Yes",ROUND(G34*F34,0),0)</f>
        <v>10500</v>
      </c>
      <c r="J34" s="2" t="n">
        <f aca="false">H34+I34</f>
        <v>21000</v>
      </c>
      <c r="K34" s="2" t="str">
        <f aca="false">IF(E34="Yes","Generated","Not Applicable")</f>
        <v>Generated</v>
      </c>
    </row>
    <row r="35" customFormat="false" ht="15" hidden="false" customHeight="false" outlineLevel="0" collapsed="false">
      <c r="A35" s="2" t="s">
        <v>112</v>
      </c>
      <c r="B35" s="2" t="s">
        <v>113</v>
      </c>
      <c r="C35" s="2" t="s">
        <v>649</v>
      </c>
      <c r="D35" s="2" t="n">
        <v>2026</v>
      </c>
      <c r="E35" s="2" t="str">
        <f aca="false">INDEX('Employee Master'!$K$2:$K$201,MATCH(A35,'Employee Master'!$A$2:$A$201,0))</f>
        <v>Yes</v>
      </c>
      <c r="F35" s="4" t="n">
        <f aca="false">INDEX('Employee Master'!$L$2:$L$201,MATCH(A35,'Employee Master'!$A$2:$A$201,0))</f>
        <v>0.12</v>
      </c>
      <c r="G35" s="2" t="n">
        <f aca="false">INDEX('Employee Master'!$G$2:$G$201,MATCH(A35,'Employee Master'!$A$2:$A$201,0))</f>
        <v>46500</v>
      </c>
      <c r="H35" s="2" t="n">
        <f aca="false">IF(E35="Yes",ROUND(G35*F35,0),0)</f>
        <v>5580</v>
      </c>
      <c r="I35" s="2" t="n">
        <f aca="false">IF(E35="Yes",ROUND(G35*F35,0),0)</f>
        <v>5580</v>
      </c>
      <c r="J35" s="2" t="n">
        <f aca="false">H35+I35</f>
        <v>11160</v>
      </c>
      <c r="K35" s="2" t="str">
        <f aca="false">IF(E35="Yes","Generated","Not Applicable")</f>
        <v>Generated</v>
      </c>
    </row>
    <row r="36" customFormat="false" ht="15" hidden="false" customHeight="false" outlineLevel="0" collapsed="false">
      <c r="A36" s="2" t="s">
        <v>114</v>
      </c>
      <c r="B36" s="2" t="s">
        <v>115</v>
      </c>
      <c r="C36" s="2" t="s">
        <v>649</v>
      </c>
      <c r="D36" s="2" t="n">
        <v>2026</v>
      </c>
      <c r="E36" s="2" t="str">
        <f aca="false">INDEX('Employee Master'!$K$2:$K$201,MATCH(A36,'Employee Master'!$A$2:$A$201,0))</f>
        <v>Yes</v>
      </c>
      <c r="F36" s="4" t="n">
        <f aca="false">INDEX('Employee Master'!$L$2:$L$201,MATCH(A36,'Employee Master'!$A$2:$A$201,0))</f>
        <v>0.12</v>
      </c>
      <c r="G36" s="2" t="n">
        <f aca="false">INDEX('Employee Master'!$G$2:$G$201,MATCH(A36,'Employee Master'!$A$2:$A$201,0))</f>
        <v>48500</v>
      </c>
      <c r="H36" s="2" t="n">
        <f aca="false">IF(E36="Yes",ROUND(G36*F36,0),0)</f>
        <v>5820</v>
      </c>
      <c r="I36" s="2" t="n">
        <f aca="false">IF(E36="Yes",ROUND(G36*F36,0),0)</f>
        <v>5820</v>
      </c>
      <c r="J36" s="2" t="n">
        <f aca="false">H36+I36</f>
        <v>11640</v>
      </c>
      <c r="K36" s="2" t="str">
        <f aca="false">IF(E36="Yes","Generated","Not Applicable")</f>
        <v>Generated</v>
      </c>
    </row>
    <row r="37" customFormat="false" ht="15" hidden="false" customHeight="false" outlineLevel="0" collapsed="false">
      <c r="A37" s="2" t="s">
        <v>116</v>
      </c>
      <c r="B37" s="2" t="s">
        <v>117</v>
      </c>
      <c r="C37" s="2" t="s">
        <v>649</v>
      </c>
      <c r="D37" s="2" t="n">
        <v>2026</v>
      </c>
      <c r="E37" s="2" t="str">
        <f aca="false">INDEX('Employee Master'!$K$2:$K$201,MATCH(A37,'Employee Master'!$A$2:$A$201,0))</f>
        <v>Yes</v>
      </c>
      <c r="F37" s="4" t="n">
        <f aca="false">INDEX('Employee Master'!$L$2:$L$201,MATCH(A37,'Employee Master'!$A$2:$A$201,0))</f>
        <v>0.12</v>
      </c>
      <c r="G37" s="2" t="n">
        <f aca="false">INDEX('Employee Master'!$G$2:$G$201,MATCH(A37,'Employee Master'!$A$2:$A$201,0))</f>
        <v>58500</v>
      </c>
      <c r="H37" s="2" t="n">
        <f aca="false">IF(E37="Yes",ROUND(G37*F37,0),0)</f>
        <v>7020</v>
      </c>
      <c r="I37" s="2" t="n">
        <f aca="false">IF(E37="Yes",ROUND(G37*F37,0),0)</f>
        <v>7020</v>
      </c>
      <c r="J37" s="2" t="n">
        <f aca="false">H37+I37</f>
        <v>14040</v>
      </c>
      <c r="K37" s="2" t="str">
        <f aca="false">IF(E37="Yes","Generated","Not Applicable")</f>
        <v>Generated</v>
      </c>
    </row>
    <row r="38" customFormat="false" ht="15" hidden="false" customHeight="false" outlineLevel="0" collapsed="false">
      <c r="A38" s="2" t="s">
        <v>118</v>
      </c>
      <c r="B38" s="2" t="s">
        <v>119</v>
      </c>
      <c r="C38" s="2" t="s">
        <v>649</v>
      </c>
      <c r="D38" s="2" t="n">
        <v>2026</v>
      </c>
      <c r="E38" s="2" t="str">
        <f aca="false">INDEX('Employee Master'!$K$2:$K$201,MATCH(A38,'Employee Master'!$A$2:$A$201,0))</f>
        <v>Yes</v>
      </c>
      <c r="F38" s="4" t="n">
        <f aca="false">INDEX('Employee Master'!$L$2:$L$201,MATCH(A38,'Employee Master'!$A$2:$A$201,0))</f>
        <v>0.12</v>
      </c>
      <c r="G38" s="2" t="n">
        <f aca="false">INDEX('Employee Master'!$G$2:$G$201,MATCH(A38,'Employee Master'!$A$2:$A$201,0))</f>
        <v>104500</v>
      </c>
      <c r="H38" s="2" t="n">
        <f aca="false">IF(E38="Yes",ROUND(G38*F38,0),0)</f>
        <v>12540</v>
      </c>
      <c r="I38" s="2" t="n">
        <f aca="false">IF(E38="Yes",ROUND(G38*F38,0),0)</f>
        <v>12540</v>
      </c>
      <c r="J38" s="2" t="n">
        <f aca="false">H38+I38</f>
        <v>25080</v>
      </c>
      <c r="K38" s="2" t="str">
        <f aca="false">IF(E38="Yes","Generated","Not Applicable")</f>
        <v>Generated</v>
      </c>
    </row>
    <row r="39" customFormat="false" ht="15" hidden="false" customHeight="false" outlineLevel="0" collapsed="false">
      <c r="A39" s="2" t="s">
        <v>120</v>
      </c>
      <c r="B39" s="2" t="s">
        <v>121</v>
      </c>
      <c r="C39" s="2" t="s">
        <v>649</v>
      </c>
      <c r="D39" s="2" t="n">
        <v>2026</v>
      </c>
      <c r="E39" s="2" t="str">
        <f aca="false">INDEX('Employee Master'!$K$2:$K$201,MATCH(A39,'Employee Master'!$A$2:$A$201,0))</f>
        <v>Yes</v>
      </c>
      <c r="F39" s="4" t="n">
        <f aca="false">INDEX('Employee Master'!$L$2:$L$201,MATCH(A39,'Employee Master'!$A$2:$A$201,0))</f>
        <v>0.12</v>
      </c>
      <c r="G39" s="2" t="n">
        <f aca="false">INDEX('Employee Master'!$G$2:$G$201,MATCH(A39,'Employee Master'!$A$2:$A$201,0))</f>
        <v>138500</v>
      </c>
      <c r="H39" s="2" t="n">
        <f aca="false">IF(E39="Yes",ROUND(G39*F39,0),0)</f>
        <v>16620</v>
      </c>
      <c r="I39" s="2" t="n">
        <f aca="false">IF(E39="Yes",ROUND(G39*F39,0),0)</f>
        <v>16620</v>
      </c>
      <c r="J39" s="2" t="n">
        <f aca="false">H39+I39</f>
        <v>33240</v>
      </c>
      <c r="K39" s="2" t="str">
        <f aca="false">IF(E39="Yes","Generated","Not Applicable")</f>
        <v>Generated</v>
      </c>
    </row>
    <row r="40" customFormat="false" ht="15" hidden="false" customHeight="false" outlineLevel="0" collapsed="false">
      <c r="A40" s="2" t="s">
        <v>122</v>
      </c>
      <c r="B40" s="2" t="s">
        <v>123</v>
      </c>
      <c r="C40" s="2" t="s">
        <v>649</v>
      </c>
      <c r="D40" s="2" t="n">
        <v>2026</v>
      </c>
      <c r="E40" s="2" t="str">
        <f aca="false">INDEX('Employee Master'!$K$2:$K$201,MATCH(A40,'Employee Master'!$A$2:$A$201,0))</f>
        <v>Yes</v>
      </c>
      <c r="F40" s="4" t="n">
        <f aca="false">INDEX('Employee Master'!$L$2:$L$201,MATCH(A40,'Employee Master'!$A$2:$A$201,0))</f>
        <v>0.12</v>
      </c>
      <c r="G40" s="2" t="n">
        <f aca="false">INDEX('Employee Master'!$G$2:$G$201,MATCH(A40,'Employee Master'!$A$2:$A$201,0))</f>
        <v>28000</v>
      </c>
      <c r="H40" s="2" t="n">
        <f aca="false">IF(E40="Yes",ROUND(G40*F40,0),0)</f>
        <v>3360</v>
      </c>
      <c r="I40" s="2" t="n">
        <f aca="false">IF(E40="Yes",ROUND(G40*F40,0),0)</f>
        <v>3360</v>
      </c>
      <c r="J40" s="2" t="n">
        <f aca="false">H40+I40</f>
        <v>6720</v>
      </c>
      <c r="K40" s="2" t="str">
        <f aca="false">IF(E40="Yes","Generated","Not Applicable")</f>
        <v>Generated</v>
      </c>
    </row>
    <row r="41" customFormat="false" ht="15" hidden="false" customHeight="false" outlineLevel="0" collapsed="false">
      <c r="A41" s="2" t="s">
        <v>124</v>
      </c>
      <c r="B41" s="2" t="s">
        <v>125</v>
      </c>
      <c r="C41" s="2" t="s">
        <v>649</v>
      </c>
      <c r="D41" s="2" t="n">
        <v>2026</v>
      </c>
      <c r="E41" s="2" t="str">
        <f aca="false">INDEX('Employee Master'!$K$2:$K$201,MATCH(A41,'Employee Master'!$A$2:$A$201,0))</f>
        <v>Yes</v>
      </c>
      <c r="F41" s="4" t="n">
        <f aca="false">INDEX('Employee Master'!$L$2:$L$201,MATCH(A41,'Employee Master'!$A$2:$A$201,0))</f>
        <v>0.12</v>
      </c>
      <c r="G41" s="2" t="n">
        <f aca="false">INDEX('Employee Master'!$G$2:$G$201,MATCH(A41,'Employee Master'!$A$2:$A$201,0))</f>
        <v>76000</v>
      </c>
      <c r="H41" s="2" t="n">
        <f aca="false">IF(E41="Yes",ROUND(G41*F41,0),0)</f>
        <v>9120</v>
      </c>
      <c r="I41" s="2" t="n">
        <f aca="false">IF(E41="Yes",ROUND(G41*F41,0),0)</f>
        <v>9120</v>
      </c>
      <c r="J41" s="2" t="n">
        <f aca="false">H41+I41</f>
        <v>18240</v>
      </c>
      <c r="K41" s="2" t="str">
        <f aca="false">IF(E41="Yes","Generated","Not Applicable")</f>
        <v>Generated</v>
      </c>
    </row>
    <row r="42" customFormat="false" ht="15" hidden="false" customHeight="false" outlineLevel="0" collapsed="false">
      <c r="A42" s="2" t="s">
        <v>126</v>
      </c>
      <c r="B42" s="2" t="s">
        <v>127</v>
      </c>
      <c r="C42" s="2" t="s">
        <v>649</v>
      </c>
      <c r="D42" s="2" t="n">
        <v>2026</v>
      </c>
      <c r="E42" s="2" t="str">
        <f aca="false">INDEX('Employee Master'!$K$2:$K$201,MATCH(A42,'Employee Master'!$A$2:$A$201,0))</f>
        <v>Yes</v>
      </c>
      <c r="F42" s="4" t="n">
        <f aca="false">INDEX('Employee Master'!$L$2:$L$201,MATCH(A42,'Employee Master'!$A$2:$A$201,0))</f>
        <v>0.12</v>
      </c>
      <c r="G42" s="2" t="n">
        <f aca="false">INDEX('Employee Master'!$G$2:$G$201,MATCH(A42,'Employee Master'!$A$2:$A$201,0))</f>
        <v>100500</v>
      </c>
      <c r="H42" s="2" t="n">
        <f aca="false">IF(E42="Yes",ROUND(G42*F42,0),0)</f>
        <v>12060</v>
      </c>
      <c r="I42" s="2" t="n">
        <f aca="false">IF(E42="Yes",ROUND(G42*F42,0),0)</f>
        <v>12060</v>
      </c>
      <c r="J42" s="2" t="n">
        <f aca="false">H42+I42</f>
        <v>24120</v>
      </c>
      <c r="K42" s="2" t="str">
        <f aca="false">IF(E42="Yes","Generated","Not Applicable")</f>
        <v>Generated</v>
      </c>
    </row>
    <row r="43" customFormat="false" ht="15" hidden="false" customHeight="false" outlineLevel="0" collapsed="false">
      <c r="A43" s="2" t="s">
        <v>128</v>
      </c>
      <c r="B43" s="2" t="s">
        <v>129</v>
      </c>
      <c r="C43" s="2" t="s">
        <v>649</v>
      </c>
      <c r="D43" s="2" t="n">
        <v>2026</v>
      </c>
      <c r="E43" s="2" t="str">
        <f aca="false">INDEX('Employee Master'!$K$2:$K$201,MATCH(A43,'Employee Master'!$A$2:$A$201,0))</f>
        <v>Yes</v>
      </c>
      <c r="F43" s="4" t="n">
        <f aca="false">INDEX('Employee Master'!$L$2:$L$201,MATCH(A43,'Employee Master'!$A$2:$A$201,0))</f>
        <v>0.12</v>
      </c>
      <c r="G43" s="2" t="n">
        <f aca="false">INDEX('Employee Master'!$G$2:$G$201,MATCH(A43,'Employee Master'!$A$2:$A$201,0))</f>
        <v>39000</v>
      </c>
      <c r="H43" s="2" t="n">
        <f aca="false">IF(E43="Yes",ROUND(G43*F43,0),0)</f>
        <v>4680</v>
      </c>
      <c r="I43" s="2" t="n">
        <f aca="false">IF(E43="Yes",ROUND(G43*F43,0),0)</f>
        <v>4680</v>
      </c>
      <c r="J43" s="2" t="n">
        <f aca="false">H43+I43</f>
        <v>9360</v>
      </c>
      <c r="K43" s="2" t="str">
        <f aca="false">IF(E43="Yes","Generated","Not Applicable")</f>
        <v>Generated</v>
      </c>
    </row>
    <row r="44" customFormat="false" ht="15" hidden="false" customHeight="false" outlineLevel="0" collapsed="false">
      <c r="A44" s="2" t="s">
        <v>130</v>
      </c>
      <c r="B44" s="2" t="s">
        <v>131</v>
      </c>
      <c r="C44" s="2" t="s">
        <v>649</v>
      </c>
      <c r="D44" s="2" t="n">
        <v>2026</v>
      </c>
      <c r="E44" s="2" t="str">
        <f aca="false">INDEX('Employee Master'!$K$2:$K$201,MATCH(A44,'Employee Master'!$A$2:$A$201,0))</f>
        <v>Yes</v>
      </c>
      <c r="F44" s="4" t="n">
        <f aca="false">INDEX('Employee Master'!$L$2:$L$201,MATCH(A44,'Employee Master'!$A$2:$A$201,0))</f>
        <v>0.12</v>
      </c>
      <c r="G44" s="2" t="n">
        <f aca="false">INDEX('Employee Master'!$G$2:$G$201,MATCH(A44,'Employee Master'!$A$2:$A$201,0))</f>
        <v>22000</v>
      </c>
      <c r="H44" s="2" t="n">
        <f aca="false">IF(E44="Yes",ROUND(G44*F44,0),0)</f>
        <v>2640</v>
      </c>
      <c r="I44" s="2" t="n">
        <f aca="false">IF(E44="Yes",ROUND(G44*F44,0),0)</f>
        <v>2640</v>
      </c>
      <c r="J44" s="2" t="n">
        <f aca="false">H44+I44</f>
        <v>5280</v>
      </c>
      <c r="K44" s="2" t="str">
        <f aca="false">IF(E44="Yes","Generated","Not Applicable")</f>
        <v>Generated</v>
      </c>
    </row>
    <row r="45" customFormat="false" ht="15" hidden="false" customHeight="false" outlineLevel="0" collapsed="false">
      <c r="A45" s="2" t="s">
        <v>132</v>
      </c>
      <c r="B45" s="2" t="s">
        <v>133</v>
      </c>
      <c r="C45" s="2" t="s">
        <v>649</v>
      </c>
      <c r="D45" s="2" t="n">
        <v>2026</v>
      </c>
      <c r="E45" s="2" t="str">
        <f aca="false">INDEX('Employee Master'!$K$2:$K$201,MATCH(A45,'Employee Master'!$A$2:$A$201,0))</f>
        <v>Yes</v>
      </c>
      <c r="F45" s="4" t="n">
        <f aca="false">INDEX('Employee Master'!$L$2:$L$201,MATCH(A45,'Employee Master'!$A$2:$A$201,0))</f>
        <v>0.12</v>
      </c>
      <c r="G45" s="2" t="n">
        <f aca="false">INDEX('Employee Master'!$G$2:$G$201,MATCH(A45,'Employee Master'!$A$2:$A$201,0))</f>
        <v>49000</v>
      </c>
      <c r="H45" s="2" t="n">
        <f aca="false">IF(E45="Yes",ROUND(G45*F45,0),0)</f>
        <v>5880</v>
      </c>
      <c r="I45" s="2" t="n">
        <f aca="false">IF(E45="Yes",ROUND(G45*F45,0),0)</f>
        <v>5880</v>
      </c>
      <c r="J45" s="2" t="n">
        <f aca="false">H45+I45</f>
        <v>11760</v>
      </c>
      <c r="K45" s="2" t="str">
        <f aca="false">IF(E45="Yes","Generated","Not Applicable")</f>
        <v>Generated</v>
      </c>
    </row>
    <row r="46" customFormat="false" ht="15" hidden="false" customHeight="false" outlineLevel="0" collapsed="false">
      <c r="A46" s="2" t="s">
        <v>134</v>
      </c>
      <c r="B46" s="2" t="s">
        <v>135</v>
      </c>
      <c r="C46" s="2" t="s">
        <v>649</v>
      </c>
      <c r="D46" s="2" t="n">
        <v>2026</v>
      </c>
      <c r="E46" s="2" t="str">
        <f aca="false">INDEX('Employee Master'!$K$2:$K$201,MATCH(A46,'Employee Master'!$A$2:$A$201,0))</f>
        <v>Yes</v>
      </c>
      <c r="F46" s="4" t="n">
        <f aca="false">INDEX('Employee Master'!$L$2:$L$201,MATCH(A46,'Employee Master'!$A$2:$A$201,0))</f>
        <v>0.12</v>
      </c>
      <c r="G46" s="2" t="n">
        <f aca="false">INDEX('Employee Master'!$G$2:$G$201,MATCH(A46,'Employee Master'!$A$2:$A$201,0))</f>
        <v>47000</v>
      </c>
      <c r="H46" s="2" t="n">
        <f aca="false">IF(E46="Yes",ROUND(G46*F46,0),0)</f>
        <v>5640</v>
      </c>
      <c r="I46" s="2" t="n">
        <f aca="false">IF(E46="Yes",ROUND(G46*F46,0),0)</f>
        <v>5640</v>
      </c>
      <c r="J46" s="2" t="n">
        <f aca="false">H46+I46</f>
        <v>11280</v>
      </c>
      <c r="K46" s="2" t="str">
        <f aca="false">IF(E46="Yes","Generated","Not Applicable")</f>
        <v>Generated</v>
      </c>
    </row>
    <row r="47" customFormat="false" ht="15" hidden="false" customHeight="false" outlineLevel="0" collapsed="false">
      <c r="A47" s="2" t="s">
        <v>136</v>
      </c>
      <c r="B47" s="2" t="s">
        <v>137</v>
      </c>
      <c r="C47" s="2" t="s">
        <v>649</v>
      </c>
      <c r="D47" s="2" t="n">
        <v>2026</v>
      </c>
      <c r="E47" s="2" t="str">
        <f aca="false">INDEX('Employee Master'!$K$2:$K$201,MATCH(A47,'Employee Master'!$A$2:$A$201,0))</f>
        <v>Yes</v>
      </c>
      <c r="F47" s="4" t="n">
        <f aca="false">INDEX('Employee Master'!$L$2:$L$201,MATCH(A47,'Employee Master'!$A$2:$A$201,0))</f>
        <v>0.12</v>
      </c>
      <c r="G47" s="2" t="n">
        <f aca="false">INDEX('Employee Master'!$G$2:$G$201,MATCH(A47,'Employee Master'!$A$2:$A$201,0))</f>
        <v>69500</v>
      </c>
      <c r="H47" s="2" t="n">
        <f aca="false">IF(E47="Yes",ROUND(G47*F47,0),0)</f>
        <v>8340</v>
      </c>
      <c r="I47" s="2" t="n">
        <f aca="false">IF(E47="Yes",ROUND(G47*F47,0),0)</f>
        <v>8340</v>
      </c>
      <c r="J47" s="2" t="n">
        <f aca="false">H47+I47</f>
        <v>16680</v>
      </c>
      <c r="K47" s="2" t="str">
        <f aca="false">IF(E47="Yes","Generated","Not Applicable")</f>
        <v>Generated</v>
      </c>
    </row>
    <row r="48" customFormat="false" ht="15" hidden="false" customHeight="false" outlineLevel="0" collapsed="false">
      <c r="A48" s="2" t="s">
        <v>138</v>
      </c>
      <c r="B48" s="2" t="s">
        <v>139</v>
      </c>
      <c r="C48" s="2" t="s">
        <v>649</v>
      </c>
      <c r="D48" s="2" t="n">
        <v>2026</v>
      </c>
      <c r="E48" s="2" t="str">
        <f aca="false">INDEX('Employee Master'!$K$2:$K$201,MATCH(A48,'Employee Master'!$A$2:$A$201,0))</f>
        <v>Yes</v>
      </c>
      <c r="F48" s="4" t="n">
        <f aca="false">INDEX('Employee Master'!$L$2:$L$201,MATCH(A48,'Employee Master'!$A$2:$A$201,0))</f>
        <v>0.12</v>
      </c>
      <c r="G48" s="2" t="n">
        <f aca="false">INDEX('Employee Master'!$G$2:$G$201,MATCH(A48,'Employee Master'!$A$2:$A$201,0))</f>
        <v>90500</v>
      </c>
      <c r="H48" s="2" t="n">
        <f aca="false">IF(E48="Yes",ROUND(G48*F48,0),0)</f>
        <v>10860</v>
      </c>
      <c r="I48" s="2" t="n">
        <f aca="false">IF(E48="Yes",ROUND(G48*F48,0),0)</f>
        <v>10860</v>
      </c>
      <c r="J48" s="2" t="n">
        <f aca="false">H48+I48</f>
        <v>21720</v>
      </c>
      <c r="K48" s="2" t="str">
        <f aca="false">IF(E48="Yes","Generated","Not Applicable")</f>
        <v>Generated</v>
      </c>
    </row>
    <row r="49" customFormat="false" ht="15" hidden="false" customHeight="false" outlineLevel="0" collapsed="false">
      <c r="A49" s="2" t="s">
        <v>140</v>
      </c>
      <c r="B49" s="2" t="s">
        <v>141</v>
      </c>
      <c r="C49" s="2" t="s">
        <v>649</v>
      </c>
      <c r="D49" s="2" t="n">
        <v>2026</v>
      </c>
      <c r="E49" s="2" t="str">
        <f aca="false">INDEX('Employee Master'!$K$2:$K$201,MATCH(A49,'Employee Master'!$A$2:$A$201,0))</f>
        <v>Yes</v>
      </c>
      <c r="F49" s="4" t="n">
        <f aca="false">INDEX('Employee Master'!$L$2:$L$201,MATCH(A49,'Employee Master'!$A$2:$A$201,0))</f>
        <v>0.12</v>
      </c>
      <c r="G49" s="2" t="n">
        <f aca="false">INDEX('Employee Master'!$G$2:$G$201,MATCH(A49,'Employee Master'!$A$2:$A$201,0))</f>
        <v>35000</v>
      </c>
      <c r="H49" s="2" t="n">
        <f aca="false">IF(E49="Yes",ROUND(G49*F49,0),0)</f>
        <v>4200</v>
      </c>
      <c r="I49" s="2" t="n">
        <f aca="false">IF(E49="Yes",ROUND(G49*F49,0),0)</f>
        <v>4200</v>
      </c>
      <c r="J49" s="2" t="n">
        <f aca="false">H49+I49</f>
        <v>8400</v>
      </c>
      <c r="K49" s="2" t="str">
        <f aca="false">IF(E49="Yes","Generated","Not Applicable")</f>
        <v>Generated</v>
      </c>
    </row>
    <row r="50" customFormat="false" ht="15" hidden="false" customHeight="false" outlineLevel="0" collapsed="false">
      <c r="A50" s="2" t="s">
        <v>142</v>
      </c>
      <c r="B50" s="2" t="s">
        <v>143</v>
      </c>
      <c r="C50" s="2" t="s">
        <v>649</v>
      </c>
      <c r="D50" s="2" t="n">
        <v>2026</v>
      </c>
      <c r="E50" s="2" t="str">
        <f aca="false">INDEX('Employee Master'!$K$2:$K$201,MATCH(A50,'Employee Master'!$A$2:$A$201,0))</f>
        <v>Yes</v>
      </c>
      <c r="F50" s="4" t="n">
        <f aca="false">INDEX('Employee Master'!$L$2:$L$201,MATCH(A50,'Employee Master'!$A$2:$A$201,0))</f>
        <v>0.12</v>
      </c>
      <c r="G50" s="2" t="n">
        <f aca="false">INDEX('Employee Master'!$G$2:$G$201,MATCH(A50,'Employee Master'!$A$2:$A$201,0))</f>
        <v>31000</v>
      </c>
      <c r="H50" s="2" t="n">
        <f aca="false">IF(E50="Yes",ROUND(G50*F50,0),0)</f>
        <v>3720</v>
      </c>
      <c r="I50" s="2" t="n">
        <f aca="false">IF(E50="Yes",ROUND(G50*F50,0),0)</f>
        <v>3720</v>
      </c>
      <c r="J50" s="2" t="n">
        <f aca="false">H50+I50</f>
        <v>7440</v>
      </c>
      <c r="K50" s="2" t="str">
        <f aca="false">IF(E50="Yes","Generated","Not Applicable")</f>
        <v>Generated</v>
      </c>
    </row>
    <row r="51" customFormat="false" ht="15" hidden="false" customHeight="false" outlineLevel="0" collapsed="false">
      <c r="A51" s="2" t="s">
        <v>144</v>
      </c>
      <c r="B51" s="2" t="s">
        <v>145</v>
      </c>
      <c r="C51" s="2" t="s">
        <v>649</v>
      </c>
      <c r="D51" s="2" t="n">
        <v>2026</v>
      </c>
      <c r="E51" s="2" t="str">
        <f aca="false">INDEX('Employee Master'!$K$2:$K$201,MATCH(A51,'Employee Master'!$A$2:$A$201,0))</f>
        <v>Yes</v>
      </c>
      <c r="F51" s="4" t="n">
        <f aca="false">INDEX('Employee Master'!$L$2:$L$201,MATCH(A51,'Employee Master'!$A$2:$A$201,0))</f>
        <v>0.12</v>
      </c>
      <c r="G51" s="2" t="n">
        <f aca="false">INDEX('Employee Master'!$G$2:$G$201,MATCH(A51,'Employee Master'!$A$2:$A$201,0))</f>
        <v>32000</v>
      </c>
      <c r="H51" s="2" t="n">
        <f aca="false">IF(E51="Yes",ROUND(G51*F51,0),0)</f>
        <v>3840</v>
      </c>
      <c r="I51" s="2" t="n">
        <f aca="false">IF(E51="Yes",ROUND(G51*F51,0),0)</f>
        <v>3840</v>
      </c>
      <c r="J51" s="2" t="n">
        <f aca="false">H51+I51</f>
        <v>7680</v>
      </c>
      <c r="K51" s="2" t="str">
        <f aca="false">IF(E51="Yes","Generated","Not Applicable")</f>
        <v>Generated</v>
      </c>
    </row>
    <row r="52" customFormat="false" ht="15" hidden="false" customHeight="false" outlineLevel="0" collapsed="false">
      <c r="A52" s="2" t="s">
        <v>146</v>
      </c>
      <c r="B52" s="2" t="s">
        <v>147</v>
      </c>
      <c r="C52" s="2" t="s">
        <v>649</v>
      </c>
      <c r="D52" s="2" t="n">
        <v>2026</v>
      </c>
      <c r="E52" s="2" t="str">
        <f aca="false">INDEX('Employee Master'!$K$2:$K$201,MATCH(A52,'Employee Master'!$A$2:$A$201,0))</f>
        <v>Yes</v>
      </c>
      <c r="F52" s="4" t="n">
        <f aca="false">INDEX('Employee Master'!$L$2:$L$201,MATCH(A52,'Employee Master'!$A$2:$A$201,0))</f>
        <v>0.12</v>
      </c>
      <c r="G52" s="2" t="n">
        <f aca="false">INDEX('Employee Master'!$G$2:$G$201,MATCH(A52,'Employee Master'!$A$2:$A$201,0))</f>
        <v>61000</v>
      </c>
      <c r="H52" s="2" t="n">
        <f aca="false">IF(E52="Yes",ROUND(G52*F52,0),0)</f>
        <v>7320</v>
      </c>
      <c r="I52" s="2" t="n">
        <f aca="false">IF(E52="Yes",ROUND(G52*F52,0),0)</f>
        <v>7320</v>
      </c>
      <c r="J52" s="2" t="n">
        <f aca="false">H52+I52</f>
        <v>14640</v>
      </c>
      <c r="K52" s="2" t="str">
        <f aca="false">IF(E52="Yes","Generated","Not Applicable")</f>
        <v>Generated</v>
      </c>
    </row>
    <row r="53" customFormat="false" ht="15" hidden="false" customHeight="false" outlineLevel="0" collapsed="false">
      <c r="A53" s="2" t="s">
        <v>149</v>
      </c>
      <c r="B53" s="2" t="s">
        <v>150</v>
      </c>
      <c r="C53" s="2" t="s">
        <v>649</v>
      </c>
      <c r="D53" s="2" t="n">
        <v>2026</v>
      </c>
      <c r="E53" s="2" t="str">
        <f aca="false">INDEX('Employee Master'!$K$2:$K$201,MATCH(A53,'Employee Master'!$A$2:$A$201,0))</f>
        <v>Yes</v>
      </c>
      <c r="F53" s="4" t="n">
        <f aca="false">INDEX('Employee Master'!$L$2:$L$201,MATCH(A53,'Employee Master'!$A$2:$A$201,0))</f>
        <v>0.12</v>
      </c>
      <c r="G53" s="2" t="n">
        <f aca="false">INDEX('Employee Master'!$G$2:$G$201,MATCH(A53,'Employee Master'!$A$2:$A$201,0))</f>
        <v>41000</v>
      </c>
      <c r="H53" s="2" t="n">
        <f aca="false">IF(E53="Yes",ROUND(G53*F53,0),0)</f>
        <v>4920</v>
      </c>
      <c r="I53" s="2" t="n">
        <f aca="false">IF(E53="Yes",ROUND(G53*F53,0),0)</f>
        <v>4920</v>
      </c>
      <c r="J53" s="2" t="n">
        <f aca="false">H53+I53</f>
        <v>9840</v>
      </c>
      <c r="K53" s="2" t="str">
        <f aca="false">IF(E53="Yes","Generated","Not Applicable")</f>
        <v>Generated</v>
      </c>
    </row>
    <row r="54" customFormat="false" ht="15" hidden="false" customHeight="false" outlineLevel="0" collapsed="false">
      <c r="A54" s="2" t="s">
        <v>152</v>
      </c>
      <c r="B54" s="2" t="s">
        <v>153</v>
      </c>
      <c r="C54" s="2" t="s">
        <v>649</v>
      </c>
      <c r="D54" s="2" t="n">
        <v>2026</v>
      </c>
      <c r="E54" s="2" t="str">
        <f aca="false">INDEX('Employee Master'!$K$2:$K$201,MATCH(A54,'Employee Master'!$A$2:$A$201,0))</f>
        <v>Yes</v>
      </c>
      <c r="F54" s="4" t="n">
        <f aca="false">INDEX('Employee Master'!$L$2:$L$201,MATCH(A54,'Employee Master'!$A$2:$A$201,0))</f>
        <v>0.12</v>
      </c>
      <c r="G54" s="2" t="n">
        <f aca="false">INDEX('Employee Master'!$G$2:$G$201,MATCH(A54,'Employee Master'!$A$2:$A$201,0))</f>
        <v>69000</v>
      </c>
      <c r="H54" s="2" t="n">
        <f aca="false">IF(E54="Yes",ROUND(G54*F54,0),0)</f>
        <v>8280</v>
      </c>
      <c r="I54" s="2" t="n">
        <f aca="false">IF(E54="Yes",ROUND(G54*F54,0),0)</f>
        <v>8280</v>
      </c>
      <c r="J54" s="2" t="n">
        <f aca="false">H54+I54</f>
        <v>16560</v>
      </c>
      <c r="K54" s="2" t="str">
        <f aca="false">IF(E54="Yes","Generated","Not Applicable")</f>
        <v>Generated</v>
      </c>
    </row>
    <row r="55" customFormat="false" ht="15" hidden="false" customHeight="false" outlineLevel="0" collapsed="false">
      <c r="A55" s="2" t="s">
        <v>154</v>
      </c>
      <c r="B55" s="2" t="s">
        <v>155</v>
      </c>
      <c r="C55" s="2" t="s">
        <v>649</v>
      </c>
      <c r="D55" s="2" t="n">
        <v>2026</v>
      </c>
      <c r="E55" s="2" t="str">
        <f aca="false">INDEX('Employee Master'!$K$2:$K$201,MATCH(A55,'Employee Master'!$A$2:$A$201,0))</f>
        <v>Yes</v>
      </c>
      <c r="F55" s="4" t="n">
        <f aca="false">INDEX('Employee Master'!$L$2:$L$201,MATCH(A55,'Employee Master'!$A$2:$A$201,0))</f>
        <v>0.12</v>
      </c>
      <c r="G55" s="2" t="n">
        <f aca="false">INDEX('Employee Master'!$G$2:$G$201,MATCH(A55,'Employee Master'!$A$2:$A$201,0))</f>
        <v>63000</v>
      </c>
      <c r="H55" s="2" t="n">
        <f aca="false">IF(E55="Yes",ROUND(G55*F55,0),0)</f>
        <v>7560</v>
      </c>
      <c r="I55" s="2" t="n">
        <f aca="false">IF(E55="Yes",ROUND(G55*F55,0),0)</f>
        <v>7560</v>
      </c>
      <c r="J55" s="2" t="n">
        <f aca="false">H55+I55</f>
        <v>15120</v>
      </c>
      <c r="K55" s="2" t="str">
        <f aca="false">IF(E55="Yes","Generated","Not Applicable")</f>
        <v>Generated</v>
      </c>
    </row>
    <row r="56" customFormat="false" ht="15" hidden="false" customHeight="false" outlineLevel="0" collapsed="false">
      <c r="A56" s="2" t="s">
        <v>156</v>
      </c>
      <c r="B56" s="2" t="s">
        <v>157</v>
      </c>
      <c r="C56" s="2" t="s">
        <v>649</v>
      </c>
      <c r="D56" s="2" t="n">
        <v>2026</v>
      </c>
      <c r="E56" s="2" t="str">
        <f aca="false">INDEX('Employee Master'!$K$2:$K$201,MATCH(A56,'Employee Master'!$A$2:$A$201,0))</f>
        <v>Yes</v>
      </c>
      <c r="F56" s="4" t="n">
        <f aca="false">INDEX('Employee Master'!$L$2:$L$201,MATCH(A56,'Employee Master'!$A$2:$A$201,0))</f>
        <v>0.12</v>
      </c>
      <c r="G56" s="2" t="n">
        <f aca="false">INDEX('Employee Master'!$G$2:$G$201,MATCH(A56,'Employee Master'!$A$2:$A$201,0))</f>
        <v>37500</v>
      </c>
      <c r="H56" s="2" t="n">
        <f aca="false">IF(E56="Yes",ROUND(G56*F56,0),0)</f>
        <v>4500</v>
      </c>
      <c r="I56" s="2" t="n">
        <f aca="false">IF(E56="Yes",ROUND(G56*F56,0),0)</f>
        <v>4500</v>
      </c>
      <c r="J56" s="2" t="n">
        <f aca="false">H56+I56</f>
        <v>9000</v>
      </c>
      <c r="K56" s="2" t="str">
        <f aca="false">IF(E56="Yes","Generated","Not Applicable")</f>
        <v>Generated</v>
      </c>
    </row>
    <row r="57" customFormat="false" ht="15" hidden="false" customHeight="false" outlineLevel="0" collapsed="false">
      <c r="A57" s="2" t="s">
        <v>158</v>
      </c>
      <c r="B57" s="2" t="s">
        <v>159</v>
      </c>
      <c r="C57" s="2" t="s">
        <v>649</v>
      </c>
      <c r="D57" s="2" t="n">
        <v>2026</v>
      </c>
      <c r="E57" s="2" t="str">
        <f aca="false">INDEX('Employee Master'!$K$2:$K$201,MATCH(A57,'Employee Master'!$A$2:$A$201,0))</f>
        <v>Yes</v>
      </c>
      <c r="F57" s="4" t="n">
        <f aca="false">INDEX('Employee Master'!$L$2:$L$201,MATCH(A57,'Employee Master'!$A$2:$A$201,0))</f>
        <v>0.12</v>
      </c>
      <c r="G57" s="2" t="n">
        <f aca="false">INDEX('Employee Master'!$G$2:$G$201,MATCH(A57,'Employee Master'!$A$2:$A$201,0))</f>
        <v>64500</v>
      </c>
      <c r="H57" s="2" t="n">
        <f aca="false">IF(E57="Yes",ROUND(G57*F57,0),0)</f>
        <v>7740</v>
      </c>
      <c r="I57" s="2" t="n">
        <f aca="false">IF(E57="Yes",ROUND(G57*F57,0),0)</f>
        <v>7740</v>
      </c>
      <c r="J57" s="2" t="n">
        <f aca="false">H57+I57</f>
        <v>15480</v>
      </c>
      <c r="K57" s="2" t="str">
        <f aca="false">IF(E57="Yes","Generated","Not Applicable")</f>
        <v>Generated</v>
      </c>
    </row>
    <row r="58" customFormat="false" ht="15" hidden="false" customHeight="false" outlineLevel="0" collapsed="false">
      <c r="A58" s="2" t="s">
        <v>160</v>
      </c>
      <c r="B58" s="2" t="s">
        <v>161</v>
      </c>
      <c r="C58" s="2" t="s">
        <v>649</v>
      </c>
      <c r="D58" s="2" t="n">
        <v>2026</v>
      </c>
      <c r="E58" s="2" t="str">
        <f aca="false">INDEX('Employee Master'!$K$2:$K$201,MATCH(A58,'Employee Master'!$A$2:$A$201,0))</f>
        <v>Yes</v>
      </c>
      <c r="F58" s="4" t="n">
        <f aca="false">INDEX('Employee Master'!$L$2:$L$201,MATCH(A58,'Employee Master'!$A$2:$A$201,0))</f>
        <v>0.12</v>
      </c>
      <c r="G58" s="2" t="n">
        <f aca="false">INDEX('Employee Master'!$G$2:$G$201,MATCH(A58,'Employee Master'!$A$2:$A$201,0))</f>
        <v>44500</v>
      </c>
      <c r="H58" s="2" t="n">
        <f aca="false">IF(E58="Yes",ROUND(G58*F58,0),0)</f>
        <v>5340</v>
      </c>
      <c r="I58" s="2" t="n">
        <f aca="false">IF(E58="Yes",ROUND(G58*F58,0),0)</f>
        <v>5340</v>
      </c>
      <c r="J58" s="2" t="n">
        <f aca="false">H58+I58</f>
        <v>10680</v>
      </c>
      <c r="K58" s="2" t="str">
        <f aca="false">IF(E58="Yes","Generated","Not Applicable")</f>
        <v>Generated</v>
      </c>
    </row>
    <row r="59" customFormat="false" ht="15" hidden="false" customHeight="false" outlineLevel="0" collapsed="false">
      <c r="A59" s="2" t="s">
        <v>162</v>
      </c>
      <c r="B59" s="2" t="s">
        <v>163</v>
      </c>
      <c r="C59" s="2" t="s">
        <v>649</v>
      </c>
      <c r="D59" s="2" t="n">
        <v>2026</v>
      </c>
      <c r="E59" s="2" t="str">
        <f aca="false">INDEX('Employee Master'!$K$2:$K$201,MATCH(A59,'Employee Master'!$A$2:$A$201,0))</f>
        <v>Yes</v>
      </c>
      <c r="F59" s="4" t="n">
        <f aca="false">INDEX('Employee Master'!$L$2:$L$201,MATCH(A59,'Employee Master'!$A$2:$A$201,0))</f>
        <v>0.12</v>
      </c>
      <c r="G59" s="2" t="n">
        <f aca="false">INDEX('Employee Master'!$G$2:$G$201,MATCH(A59,'Employee Master'!$A$2:$A$201,0))</f>
        <v>39500</v>
      </c>
      <c r="H59" s="2" t="n">
        <f aca="false">IF(E59="Yes",ROUND(G59*F59,0),0)</f>
        <v>4740</v>
      </c>
      <c r="I59" s="2" t="n">
        <f aca="false">IF(E59="Yes",ROUND(G59*F59,0),0)</f>
        <v>4740</v>
      </c>
      <c r="J59" s="2" t="n">
        <f aca="false">H59+I59</f>
        <v>9480</v>
      </c>
      <c r="K59" s="2" t="str">
        <f aca="false">IF(E59="Yes","Generated","Not Applicable")</f>
        <v>Generated</v>
      </c>
    </row>
    <row r="60" customFormat="false" ht="15" hidden="false" customHeight="false" outlineLevel="0" collapsed="false">
      <c r="A60" s="2" t="s">
        <v>164</v>
      </c>
      <c r="B60" s="2" t="s">
        <v>165</v>
      </c>
      <c r="C60" s="2" t="s">
        <v>649</v>
      </c>
      <c r="D60" s="2" t="n">
        <v>2026</v>
      </c>
      <c r="E60" s="2" t="str">
        <f aca="false">INDEX('Employee Master'!$K$2:$K$201,MATCH(A60,'Employee Master'!$A$2:$A$201,0))</f>
        <v>Yes</v>
      </c>
      <c r="F60" s="4" t="n">
        <f aca="false">INDEX('Employee Master'!$L$2:$L$201,MATCH(A60,'Employee Master'!$A$2:$A$201,0))</f>
        <v>0.12</v>
      </c>
      <c r="G60" s="2" t="n">
        <f aca="false">INDEX('Employee Master'!$G$2:$G$201,MATCH(A60,'Employee Master'!$A$2:$A$201,0))</f>
        <v>25000</v>
      </c>
      <c r="H60" s="2" t="n">
        <f aca="false">IF(E60="Yes",ROUND(G60*F60,0),0)</f>
        <v>3000</v>
      </c>
      <c r="I60" s="2" t="n">
        <f aca="false">IF(E60="Yes",ROUND(G60*F60,0),0)</f>
        <v>3000</v>
      </c>
      <c r="J60" s="2" t="n">
        <f aca="false">H60+I60</f>
        <v>6000</v>
      </c>
      <c r="K60" s="2" t="str">
        <f aca="false">IF(E60="Yes","Generated","Not Applicable")</f>
        <v>Generated</v>
      </c>
    </row>
    <row r="61" customFormat="false" ht="15" hidden="false" customHeight="false" outlineLevel="0" collapsed="false">
      <c r="A61" s="2" t="s">
        <v>166</v>
      </c>
      <c r="B61" s="2" t="s">
        <v>167</v>
      </c>
      <c r="C61" s="2" t="s">
        <v>649</v>
      </c>
      <c r="D61" s="2" t="n">
        <v>2026</v>
      </c>
      <c r="E61" s="2" t="str">
        <f aca="false">INDEX('Employee Master'!$K$2:$K$201,MATCH(A61,'Employee Master'!$A$2:$A$201,0))</f>
        <v>Yes</v>
      </c>
      <c r="F61" s="4" t="n">
        <f aca="false">INDEX('Employee Master'!$L$2:$L$201,MATCH(A61,'Employee Master'!$A$2:$A$201,0))</f>
        <v>0.12</v>
      </c>
      <c r="G61" s="2" t="n">
        <f aca="false">INDEX('Employee Master'!$G$2:$G$201,MATCH(A61,'Employee Master'!$A$2:$A$201,0))</f>
        <v>28000</v>
      </c>
      <c r="H61" s="2" t="n">
        <f aca="false">IF(E61="Yes",ROUND(G61*F61,0),0)</f>
        <v>3360</v>
      </c>
      <c r="I61" s="2" t="n">
        <f aca="false">IF(E61="Yes",ROUND(G61*F61,0),0)</f>
        <v>3360</v>
      </c>
      <c r="J61" s="2" t="n">
        <f aca="false">H61+I61</f>
        <v>6720</v>
      </c>
      <c r="K61" s="2" t="str">
        <f aca="false">IF(E61="Yes","Generated","Not Applicable")</f>
        <v>Generated</v>
      </c>
    </row>
    <row r="62" customFormat="false" ht="15" hidden="false" customHeight="false" outlineLevel="0" collapsed="false">
      <c r="A62" s="2" t="s">
        <v>168</v>
      </c>
      <c r="B62" s="2" t="s">
        <v>169</v>
      </c>
      <c r="C62" s="2" t="s">
        <v>649</v>
      </c>
      <c r="D62" s="2" t="n">
        <v>2026</v>
      </c>
      <c r="E62" s="2" t="str">
        <f aca="false">INDEX('Employee Master'!$K$2:$K$201,MATCH(A62,'Employee Master'!$A$2:$A$201,0))</f>
        <v>Yes</v>
      </c>
      <c r="F62" s="4" t="n">
        <f aca="false">INDEX('Employee Master'!$L$2:$L$201,MATCH(A62,'Employee Master'!$A$2:$A$201,0))</f>
        <v>0.12</v>
      </c>
      <c r="G62" s="2" t="n">
        <f aca="false">INDEX('Employee Master'!$G$2:$G$201,MATCH(A62,'Employee Master'!$A$2:$A$201,0))</f>
        <v>50500</v>
      </c>
      <c r="H62" s="2" t="n">
        <f aca="false">IF(E62="Yes",ROUND(G62*F62,0),0)</f>
        <v>6060</v>
      </c>
      <c r="I62" s="2" t="n">
        <f aca="false">IF(E62="Yes",ROUND(G62*F62,0),0)</f>
        <v>6060</v>
      </c>
      <c r="J62" s="2" t="n">
        <f aca="false">H62+I62</f>
        <v>12120</v>
      </c>
      <c r="K62" s="2" t="str">
        <f aca="false">IF(E62="Yes","Generated","Not Applicable")</f>
        <v>Generated</v>
      </c>
    </row>
    <row r="63" customFormat="false" ht="15" hidden="false" customHeight="false" outlineLevel="0" collapsed="false">
      <c r="A63" s="2" t="s">
        <v>170</v>
      </c>
      <c r="B63" s="2" t="s">
        <v>171</v>
      </c>
      <c r="C63" s="2" t="s">
        <v>649</v>
      </c>
      <c r="D63" s="2" t="n">
        <v>2026</v>
      </c>
      <c r="E63" s="2" t="str">
        <f aca="false">INDEX('Employee Master'!$K$2:$K$201,MATCH(A63,'Employee Master'!$A$2:$A$201,0))</f>
        <v>Yes</v>
      </c>
      <c r="F63" s="4" t="n">
        <f aca="false">INDEX('Employee Master'!$L$2:$L$201,MATCH(A63,'Employee Master'!$A$2:$A$201,0))</f>
        <v>0.12</v>
      </c>
      <c r="G63" s="2" t="n">
        <f aca="false">INDEX('Employee Master'!$G$2:$G$201,MATCH(A63,'Employee Master'!$A$2:$A$201,0))</f>
        <v>58000</v>
      </c>
      <c r="H63" s="2" t="n">
        <f aca="false">IF(E63="Yes",ROUND(G63*F63,0),0)</f>
        <v>6960</v>
      </c>
      <c r="I63" s="2" t="n">
        <f aca="false">IF(E63="Yes",ROUND(G63*F63,0),0)</f>
        <v>6960</v>
      </c>
      <c r="J63" s="2" t="n">
        <f aca="false">H63+I63</f>
        <v>13920</v>
      </c>
      <c r="K63" s="2" t="str">
        <f aca="false">IF(E63="Yes","Generated","Not Applicable")</f>
        <v>Generated</v>
      </c>
    </row>
    <row r="64" customFormat="false" ht="15" hidden="false" customHeight="false" outlineLevel="0" collapsed="false">
      <c r="A64" s="2" t="s">
        <v>172</v>
      </c>
      <c r="B64" s="2" t="s">
        <v>173</v>
      </c>
      <c r="C64" s="2" t="s">
        <v>649</v>
      </c>
      <c r="D64" s="2" t="n">
        <v>2026</v>
      </c>
      <c r="E64" s="2" t="str">
        <f aca="false">INDEX('Employee Master'!$K$2:$K$201,MATCH(A64,'Employee Master'!$A$2:$A$201,0))</f>
        <v>Yes</v>
      </c>
      <c r="F64" s="4" t="n">
        <f aca="false">INDEX('Employee Master'!$L$2:$L$201,MATCH(A64,'Employee Master'!$A$2:$A$201,0))</f>
        <v>0.12</v>
      </c>
      <c r="G64" s="2" t="n">
        <f aca="false">INDEX('Employee Master'!$G$2:$G$201,MATCH(A64,'Employee Master'!$A$2:$A$201,0))</f>
        <v>23500</v>
      </c>
      <c r="H64" s="2" t="n">
        <f aca="false">IF(E64="Yes",ROUND(G64*F64,0),0)</f>
        <v>2820</v>
      </c>
      <c r="I64" s="2" t="n">
        <f aca="false">IF(E64="Yes",ROUND(G64*F64,0),0)</f>
        <v>2820</v>
      </c>
      <c r="J64" s="2" t="n">
        <f aca="false">H64+I64</f>
        <v>5640</v>
      </c>
      <c r="K64" s="2" t="str">
        <f aca="false">IF(E64="Yes","Generated","Not Applicable")</f>
        <v>Generated</v>
      </c>
    </row>
    <row r="65" customFormat="false" ht="15" hidden="false" customHeight="false" outlineLevel="0" collapsed="false">
      <c r="A65" s="2" t="s">
        <v>174</v>
      </c>
      <c r="B65" s="2" t="s">
        <v>175</v>
      </c>
      <c r="C65" s="2" t="s">
        <v>649</v>
      </c>
      <c r="D65" s="2" t="n">
        <v>2026</v>
      </c>
      <c r="E65" s="2" t="str">
        <f aca="false">INDEX('Employee Master'!$K$2:$K$201,MATCH(A65,'Employee Master'!$A$2:$A$201,0))</f>
        <v>Yes</v>
      </c>
      <c r="F65" s="4" t="n">
        <f aca="false">INDEX('Employee Master'!$L$2:$L$201,MATCH(A65,'Employee Master'!$A$2:$A$201,0))</f>
        <v>0.12</v>
      </c>
      <c r="G65" s="2" t="n">
        <f aca="false">INDEX('Employee Master'!$G$2:$G$201,MATCH(A65,'Employee Master'!$A$2:$A$201,0))</f>
        <v>51500</v>
      </c>
      <c r="H65" s="2" t="n">
        <f aca="false">IF(E65="Yes",ROUND(G65*F65,0),0)</f>
        <v>6180</v>
      </c>
      <c r="I65" s="2" t="n">
        <f aca="false">IF(E65="Yes",ROUND(G65*F65,0),0)</f>
        <v>6180</v>
      </c>
      <c r="J65" s="2" t="n">
        <f aca="false">H65+I65</f>
        <v>12360</v>
      </c>
      <c r="K65" s="2" t="str">
        <f aca="false">IF(E65="Yes","Generated","Not Applicable")</f>
        <v>Generated</v>
      </c>
    </row>
    <row r="66" customFormat="false" ht="15" hidden="false" customHeight="false" outlineLevel="0" collapsed="false">
      <c r="A66" s="2" t="s">
        <v>176</v>
      </c>
      <c r="B66" s="2" t="s">
        <v>177</v>
      </c>
      <c r="C66" s="2" t="s">
        <v>649</v>
      </c>
      <c r="D66" s="2" t="n">
        <v>2026</v>
      </c>
      <c r="E66" s="2" t="str">
        <f aca="false">INDEX('Employee Master'!$K$2:$K$201,MATCH(A66,'Employee Master'!$A$2:$A$201,0))</f>
        <v>Yes</v>
      </c>
      <c r="F66" s="4" t="n">
        <f aca="false">INDEX('Employee Master'!$L$2:$L$201,MATCH(A66,'Employee Master'!$A$2:$A$201,0))</f>
        <v>0.12</v>
      </c>
      <c r="G66" s="2" t="n">
        <f aca="false">INDEX('Employee Master'!$G$2:$G$201,MATCH(A66,'Employee Master'!$A$2:$A$201,0))</f>
        <v>33500</v>
      </c>
      <c r="H66" s="2" t="n">
        <f aca="false">IF(E66="Yes",ROUND(G66*F66,0),0)</f>
        <v>4020</v>
      </c>
      <c r="I66" s="2" t="n">
        <f aca="false">IF(E66="Yes",ROUND(G66*F66,0),0)</f>
        <v>4020</v>
      </c>
      <c r="J66" s="2" t="n">
        <f aca="false">H66+I66</f>
        <v>8040</v>
      </c>
      <c r="K66" s="2" t="str">
        <f aca="false">IF(E66="Yes","Generated","Not Applicable")</f>
        <v>Generated</v>
      </c>
    </row>
    <row r="67" customFormat="false" ht="15" hidden="false" customHeight="false" outlineLevel="0" collapsed="false">
      <c r="A67" s="2" t="s">
        <v>178</v>
      </c>
      <c r="B67" s="2" t="s">
        <v>179</v>
      </c>
      <c r="C67" s="2" t="s">
        <v>649</v>
      </c>
      <c r="D67" s="2" t="n">
        <v>2026</v>
      </c>
      <c r="E67" s="2" t="str">
        <f aca="false">INDEX('Employee Master'!$K$2:$K$201,MATCH(A67,'Employee Master'!$A$2:$A$201,0))</f>
        <v>Yes</v>
      </c>
      <c r="F67" s="4" t="n">
        <f aca="false">INDEX('Employee Master'!$L$2:$L$201,MATCH(A67,'Employee Master'!$A$2:$A$201,0))</f>
        <v>0.12</v>
      </c>
      <c r="G67" s="2" t="n">
        <f aca="false">INDEX('Employee Master'!$G$2:$G$201,MATCH(A67,'Employee Master'!$A$2:$A$201,0))</f>
        <v>51000</v>
      </c>
      <c r="H67" s="2" t="n">
        <f aca="false">IF(E67="Yes",ROUND(G67*F67,0),0)</f>
        <v>6120</v>
      </c>
      <c r="I67" s="2" t="n">
        <f aca="false">IF(E67="Yes",ROUND(G67*F67,0),0)</f>
        <v>6120</v>
      </c>
      <c r="J67" s="2" t="n">
        <f aca="false">H67+I67</f>
        <v>12240</v>
      </c>
      <c r="K67" s="2" t="str">
        <f aca="false">IF(E67="Yes","Generated","Not Applicable")</f>
        <v>Generated</v>
      </c>
    </row>
    <row r="68" customFormat="false" ht="15" hidden="false" customHeight="false" outlineLevel="0" collapsed="false">
      <c r="A68" s="2" t="s">
        <v>180</v>
      </c>
      <c r="B68" s="2" t="s">
        <v>181</v>
      </c>
      <c r="C68" s="2" t="s">
        <v>649</v>
      </c>
      <c r="D68" s="2" t="n">
        <v>2026</v>
      </c>
      <c r="E68" s="2" t="str">
        <f aca="false">INDEX('Employee Master'!$K$2:$K$201,MATCH(A68,'Employee Master'!$A$2:$A$201,0))</f>
        <v>Yes</v>
      </c>
      <c r="F68" s="4" t="n">
        <f aca="false">INDEX('Employee Master'!$L$2:$L$201,MATCH(A68,'Employee Master'!$A$2:$A$201,0))</f>
        <v>0.12</v>
      </c>
      <c r="G68" s="2" t="n">
        <f aca="false">INDEX('Employee Master'!$G$2:$G$201,MATCH(A68,'Employee Master'!$A$2:$A$201,0))</f>
        <v>96500</v>
      </c>
      <c r="H68" s="2" t="n">
        <f aca="false">IF(E68="Yes",ROUND(G68*F68,0),0)</f>
        <v>11580</v>
      </c>
      <c r="I68" s="2" t="n">
        <f aca="false">IF(E68="Yes",ROUND(G68*F68,0),0)</f>
        <v>11580</v>
      </c>
      <c r="J68" s="2" t="n">
        <f aca="false">H68+I68</f>
        <v>23160</v>
      </c>
      <c r="K68" s="2" t="str">
        <f aca="false">IF(E68="Yes","Generated","Not Applicable")</f>
        <v>Generated</v>
      </c>
    </row>
    <row r="69" customFormat="false" ht="15" hidden="false" customHeight="false" outlineLevel="0" collapsed="false">
      <c r="A69" s="2" t="s">
        <v>182</v>
      </c>
      <c r="B69" s="2" t="s">
        <v>183</v>
      </c>
      <c r="C69" s="2" t="s">
        <v>649</v>
      </c>
      <c r="D69" s="2" t="n">
        <v>2026</v>
      </c>
      <c r="E69" s="2" t="str">
        <f aca="false">INDEX('Employee Master'!$K$2:$K$201,MATCH(A69,'Employee Master'!$A$2:$A$201,0))</f>
        <v>Yes</v>
      </c>
      <c r="F69" s="4" t="n">
        <f aca="false">INDEX('Employee Master'!$L$2:$L$201,MATCH(A69,'Employee Master'!$A$2:$A$201,0))</f>
        <v>0.12</v>
      </c>
      <c r="G69" s="2" t="n">
        <f aca="false">INDEX('Employee Master'!$G$2:$G$201,MATCH(A69,'Employee Master'!$A$2:$A$201,0))</f>
        <v>143500</v>
      </c>
      <c r="H69" s="2" t="n">
        <f aca="false">IF(E69="Yes",ROUND(G69*F69,0),0)</f>
        <v>17220</v>
      </c>
      <c r="I69" s="2" t="n">
        <f aca="false">IF(E69="Yes",ROUND(G69*F69,0),0)</f>
        <v>17220</v>
      </c>
      <c r="J69" s="2" t="n">
        <f aca="false">H69+I69</f>
        <v>34440</v>
      </c>
      <c r="K69" s="2" t="str">
        <f aca="false">IF(E69="Yes","Generated","Not Applicable")</f>
        <v>Generated</v>
      </c>
    </row>
    <row r="70" customFormat="false" ht="15" hidden="false" customHeight="false" outlineLevel="0" collapsed="false">
      <c r="A70" s="2" t="s">
        <v>184</v>
      </c>
      <c r="B70" s="2" t="s">
        <v>185</v>
      </c>
      <c r="C70" s="2" t="s">
        <v>649</v>
      </c>
      <c r="D70" s="2" t="n">
        <v>2026</v>
      </c>
      <c r="E70" s="2" t="str">
        <f aca="false">INDEX('Employee Master'!$K$2:$K$201,MATCH(A70,'Employee Master'!$A$2:$A$201,0))</f>
        <v>Yes</v>
      </c>
      <c r="F70" s="4" t="n">
        <f aca="false">INDEX('Employee Master'!$L$2:$L$201,MATCH(A70,'Employee Master'!$A$2:$A$201,0))</f>
        <v>0.12</v>
      </c>
      <c r="G70" s="2" t="n">
        <f aca="false">INDEX('Employee Master'!$G$2:$G$201,MATCH(A70,'Employee Master'!$A$2:$A$201,0))</f>
        <v>30500</v>
      </c>
      <c r="H70" s="2" t="n">
        <f aca="false">IF(E70="Yes",ROUND(G70*F70,0),0)</f>
        <v>3660</v>
      </c>
      <c r="I70" s="2" t="n">
        <f aca="false">IF(E70="Yes",ROUND(G70*F70,0),0)</f>
        <v>3660</v>
      </c>
      <c r="J70" s="2" t="n">
        <f aca="false">H70+I70</f>
        <v>7320</v>
      </c>
      <c r="K70" s="2" t="str">
        <f aca="false">IF(E70="Yes","Generated","Not Applicable")</f>
        <v>Generated</v>
      </c>
    </row>
    <row r="71" customFormat="false" ht="15" hidden="false" customHeight="false" outlineLevel="0" collapsed="false">
      <c r="A71" s="2" t="s">
        <v>186</v>
      </c>
      <c r="B71" s="2" t="s">
        <v>187</v>
      </c>
      <c r="C71" s="2" t="s">
        <v>649</v>
      </c>
      <c r="D71" s="2" t="n">
        <v>2026</v>
      </c>
      <c r="E71" s="2" t="str">
        <f aca="false">INDEX('Employee Master'!$K$2:$K$201,MATCH(A71,'Employee Master'!$A$2:$A$201,0))</f>
        <v>Yes</v>
      </c>
      <c r="F71" s="4" t="n">
        <f aca="false">INDEX('Employee Master'!$L$2:$L$201,MATCH(A71,'Employee Master'!$A$2:$A$201,0))</f>
        <v>0.12</v>
      </c>
      <c r="G71" s="2" t="n">
        <f aca="false">INDEX('Employee Master'!$G$2:$G$201,MATCH(A71,'Employee Master'!$A$2:$A$201,0))</f>
        <v>51000</v>
      </c>
      <c r="H71" s="2" t="n">
        <f aca="false">IF(E71="Yes",ROUND(G71*F71,0),0)</f>
        <v>6120</v>
      </c>
      <c r="I71" s="2" t="n">
        <f aca="false">IF(E71="Yes",ROUND(G71*F71,0),0)</f>
        <v>6120</v>
      </c>
      <c r="J71" s="2" t="n">
        <f aca="false">H71+I71</f>
        <v>12240</v>
      </c>
      <c r="K71" s="2" t="str">
        <f aca="false">IF(E71="Yes","Generated","Not Applicable")</f>
        <v>Generated</v>
      </c>
    </row>
    <row r="72" customFormat="false" ht="15" hidden="false" customHeight="false" outlineLevel="0" collapsed="false">
      <c r="A72" s="2" t="s">
        <v>188</v>
      </c>
      <c r="B72" s="2" t="s">
        <v>189</v>
      </c>
      <c r="C72" s="2" t="s">
        <v>649</v>
      </c>
      <c r="D72" s="2" t="n">
        <v>2026</v>
      </c>
      <c r="E72" s="2" t="str">
        <f aca="false">INDEX('Employee Master'!$K$2:$K$201,MATCH(A72,'Employee Master'!$A$2:$A$201,0))</f>
        <v>Yes</v>
      </c>
      <c r="F72" s="4" t="n">
        <f aca="false">INDEX('Employee Master'!$L$2:$L$201,MATCH(A72,'Employee Master'!$A$2:$A$201,0))</f>
        <v>0.12</v>
      </c>
      <c r="G72" s="2" t="n">
        <f aca="false">INDEX('Employee Master'!$G$2:$G$201,MATCH(A72,'Employee Master'!$A$2:$A$201,0))</f>
        <v>50000</v>
      </c>
      <c r="H72" s="2" t="n">
        <f aca="false">IF(E72="Yes",ROUND(G72*F72,0),0)</f>
        <v>6000</v>
      </c>
      <c r="I72" s="2" t="n">
        <f aca="false">IF(E72="Yes",ROUND(G72*F72,0),0)</f>
        <v>6000</v>
      </c>
      <c r="J72" s="2" t="n">
        <f aca="false">H72+I72</f>
        <v>12000</v>
      </c>
      <c r="K72" s="2" t="str">
        <f aca="false">IF(E72="Yes","Generated","Not Applicable")</f>
        <v>Generated</v>
      </c>
    </row>
    <row r="73" customFormat="false" ht="15" hidden="false" customHeight="false" outlineLevel="0" collapsed="false">
      <c r="A73" s="2" t="s">
        <v>191</v>
      </c>
      <c r="B73" s="2" t="s">
        <v>192</v>
      </c>
      <c r="C73" s="2" t="s">
        <v>649</v>
      </c>
      <c r="D73" s="2" t="n">
        <v>2026</v>
      </c>
      <c r="E73" s="2" t="str">
        <f aca="false">INDEX('Employee Master'!$K$2:$K$201,MATCH(A73,'Employee Master'!$A$2:$A$201,0))</f>
        <v>Yes</v>
      </c>
      <c r="F73" s="4" t="n">
        <f aca="false">INDEX('Employee Master'!$L$2:$L$201,MATCH(A73,'Employee Master'!$A$2:$A$201,0))</f>
        <v>0.12</v>
      </c>
      <c r="G73" s="2" t="n">
        <f aca="false">INDEX('Employee Master'!$G$2:$G$201,MATCH(A73,'Employee Master'!$A$2:$A$201,0))</f>
        <v>46000</v>
      </c>
      <c r="H73" s="2" t="n">
        <f aca="false">IF(E73="Yes",ROUND(G73*F73,0),0)</f>
        <v>5520</v>
      </c>
      <c r="I73" s="2" t="n">
        <f aca="false">IF(E73="Yes",ROUND(G73*F73,0),0)</f>
        <v>5520</v>
      </c>
      <c r="J73" s="2" t="n">
        <f aca="false">H73+I73</f>
        <v>11040</v>
      </c>
      <c r="K73" s="2" t="str">
        <f aca="false">IF(E73="Yes","Generated","Not Applicable")</f>
        <v>Generated</v>
      </c>
    </row>
    <row r="74" customFormat="false" ht="15" hidden="false" customHeight="false" outlineLevel="0" collapsed="false">
      <c r="A74" s="2" t="s">
        <v>193</v>
      </c>
      <c r="B74" s="2" t="s">
        <v>194</v>
      </c>
      <c r="C74" s="2" t="s">
        <v>649</v>
      </c>
      <c r="D74" s="2" t="n">
        <v>2026</v>
      </c>
      <c r="E74" s="2" t="str">
        <f aca="false">INDEX('Employee Master'!$K$2:$K$201,MATCH(A74,'Employee Master'!$A$2:$A$201,0))</f>
        <v>Yes</v>
      </c>
      <c r="F74" s="4" t="n">
        <f aca="false">INDEX('Employee Master'!$L$2:$L$201,MATCH(A74,'Employee Master'!$A$2:$A$201,0))</f>
        <v>0.12</v>
      </c>
      <c r="G74" s="2" t="n">
        <f aca="false">INDEX('Employee Master'!$G$2:$G$201,MATCH(A74,'Employee Master'!$A$2:$A$201,0))</f>
        <v>91500</v>
      </c>
      <c r="H74" s="2" t="n">
        <f aca="false">IF(E74="Yes",ROUND(G74*F74,0),0)</f>
        <v>10980</v>
      </c>
      <c r="I74" s="2" t="n">
        <f aca="false">IF(E74="Yes",ROUND(G74*F74,0),0)</f>
        <v>10980</v>
      </c>
      <c r="J74" s="2" t="n">
        <f aca="false">H74+I74</f>
        <v>21960</v>
      </c>
      <c r="K74" s="2" t="str">
        <f aca="false">IF(E74="Yes","Generated","Not Applicable")</f>
        <v>Generated</v>
      </c>
    </row>
    <row r="75" customFormat="false" ht="15" hidden="false" customHeight="false" outlineLevel="0" collapsed="false">
      <c r="A75" s="2" t="s">
        <v>195</v>
      </c>
      <c r="B75" s="2" t="s">
        <v>196</v>
      </c>
      <c r="C75" s="2" t="s">
        <v>649</v>
      </c>
      <c r="D75" s="2" t="n">
        <v>2026</v>
      </c>
      <c r="E75" s="2" t="str">
        <f aca="false">INDEX('Employee Master'!$K$2:$K$201,MATCH(A75,'Employee Master'!$A$2:$A$201,0))</f>
        <v>Yes</v>
      </c>
      <c r="F75" s="4" t="n">
        <f aca="false">INDEX('Employee Master'!$L$2:$L$201,MATCH(A75,'Employee Master'!$A$2:$A$201,0))</f>
        <v>0.12</v>
      </c>
      <c r="G75" s="2" t="n">
        <f aca="false">INDEX('Employee Master'!$G$2:$G$201,MATCH(A75,'Employee Master'!$A$2:$A$201,0))</f>
        <v>45500</v>
      </c>
      <c r="H75" s="2" t="n">
        <f aca="false">IF(E75="Yes",ROUND(G75*F75,0),0)</f>
        <v>5460</v>
      </c>
      <c r="I75" s="2" t="n">
        <f aca="false">IF(E75="Yes",ROUND(G75*F75,0),0)</f>
        <v>5460</v>
      </c>
      <c r="J75" s="2" t="n">
        <f aca="false">H75+I75</f>
        <v>10920</v>
      </c>
      <c r="K75" s="2" t="str">
        <f aca="false">IF(E75="Yes","Generated","Not Applicable")</f>
        <v>Generated</v>
      </c>
    </row>
    <row r="76" customFormat="false" ht="15" hidden="false" customHeight="false" outlineLevel="0" collapsed="false">
      <c r="A76" s="2" t="s">
        <v>197</v>
      </c>
      <c r="B76" s="2" t="s">
        <v>198</v>
      </c>
      <c r="C76" s="2" t="s">
        <v>649</v>
      </c>
      <c r="D76" s="2" t="n">
        <v>2026</v>
      </c>
      <c r="E76" s="2" t="str">
        <f aca="false">INDEX('Employee Master'!$K$2:$K$201,MATCH(A76,'Employee Master'!$A$2:$A$201,0))</f>
        <v>Yes</v>
      </c>
      <c r="F76" s="4" t="n">
        <f aca="false">INDEX('Employee Master'!$L$2:$L$201,MATCH(A76,'Employee Master'!$A$2:$A$201,0))</f>
        <v>0.12</v>
      </c>
      <c r="G76" s="2" t="n">
        <f aca="false">INDEX('Employee Master'!$G$2:$G$201,MATCH(A76,'Employee Master'!$A$2:$A$201,0))</f>
        <v>87500</v>
      </c>
      <c r="H76" s="2" t="n">
        <f aca="false">IF(E76="Yes",ROUND(G76*F76,0),0)</f>
        <v>10500</v>
      </c>
      <c r="I76" s="2" t="n">
        <f aca="false">IF(E76="Yes",ROUND(G76*F76,0),0)</f>
        <v>10500</v>
      </c>
      <c r="J76" s="2" t="n">
        <f aca="false">H76+I76</f>
        <v>21000</v>
      </c>
      <c r="K76" s="2" t="str">
        <f aca="false">IF(E76="Yes","Generated","Not Applicable")</f>
        <v>Generated</v>
      </c>
    </row>
    <row r="77" customFormat="false" ht="15" hidden="false" customHeight="false" outlineLevel="0" collapsed="false">
      <c r="A77" s="2" t="s">
        <v>199</v>
      </c>
      <c r="B77" s="2" t="s">
        <v>200</v>
      </c>
      <c r="C77" s="2" t="s">
        <v>649</v>
      </c>
      <c r="D77" s="2" t="n">
        <v>2026</v>
      </c>
      <c r="E77" s="2" t="str">
        <f aca="false">INDEX('Employee Master'!$K$2:$K$201,MATCH(A77,'Employee Master'!$A$2:$A$201,0))</f>
        <v>Yes</v>
      </c>
      <c r="F77" s="4" t="n">
        <f aca="false">INDEX('Employee Master'!$L$2:$L$201,MATCH(A77,'Employee Master'!$A$2:$A$201,0))</f>
        <v>0.12</v>
      </c>
      <c r="G77" s="2" t="n">
        <f aca="false">INDEX('Employee Master'!$G$2:$G$201,MATCH(A77,'Employee Master'!$A$2:$A$201,0))</f>
        <v>27500</v>
      </c>
      <c r="H77" s="2" t="n">
        <f aca="false">IF(E77="Yes",ROUND(G77*F77,0),0)</f>
        <v>3300</v>
      </c>
      <c r="I77" s="2" t="n">
        <f aca="false">IF(E77="Yes",ROUND(G77*F77,0),0)</f>
        <v>3300</v>
      </c>
      <c r="J77" s="2" t="n">
        <f aca="false">H77+I77</f>
        <v>6600</v>
      </c>
      <c r="K77" s="2" t="str">
        <f aca="false">IF(E77="Yes","Generated","Not Applicable")</f>
        <v>Generated</v>
      </c>
    </row>
    <row r="78" customFormat="false" ht="15" hidden="false" customHeight="false" outlineLevel="0" collapsed="false">
      <c r="A78" s="2" t="s">
        <v>201</v>
      </c>
      <c r="B78" s="2" t="s">
        <v>202</v>
      </c>
      <c r="C78" s="2" t="s">
        <v>649</v>
      </c>
      <c r="D78" s="2" t="n">
        <v>2026</v>
      </c>
      <c r="E78" s="2" t="str">
        <f aca="false">INDEX('Employee Master'!$K$2:$K$201,MATCH(A78,'Employee Master'!$A$2:$A$201,0))</f>
        <v>Yes</v>
      </c>
      <c r="F78" s="4" t="n">
        <f aca="false">INDEX('Employee Master'!$L$2:$L$201,MATCH(A78,'Employee Master'!$A$2:$A$201,0))</f>
        <v>0.12</v>
      </c>
      <c r="G78" s="2" t="n">
        <f aca="false">INDEX('Employee Master'!$G$2:$G$201,MATCH(A78,'Employee Master'!$A$2:$A$201,0))</f>
        <v>86000</v>
      </c>
      <c r="H78" s="2" t="n">
        <f aca="false">IF(E78="Yes",ROUND(G78*F78,0),0)</f>
        <v>10320</v>
      </c>
      <c r="I78" s="2" t="n">
        <f aca="false">IF(E78="Yes",ROUND(G78*F78,0),0)</f>
        <v>10320</v>
      </c>
      <c r="J78" s="2" t="n">
        <f aca="false">H78+I78</f>
        <v>20640</v>
      </c>
      <c r="K78" s="2" t="str">
        <f aca="false">IF(E78="Yes","Generated","Not Applicable")</f>
        <v>Generated</v>
      </c>
    </row>
    <row r="79" customFormat="false" ht="15" hidden="false" customHeight="false" outlineLevel="0" collapsed="false">
      <c r="A79" s="2" t="s">
        <v>203</v>
      </c>
      <c r="B79" s="2" t="s">
        <v>204</v>
      </c>
      <c r="C79" s="2" t="s">
        <v>649</v>
      </c>
      <c r="D79" s="2" t="n">
        <v>2026</v>
      </c>
      <c r="E79" s="2" t="str">
        <f aca="false">INDEX('Employee Master'!$K$2:$K$201,MATCH(A79,'Employee Master'!$A$2:$A$201,0))</f>
        <v>Yes</v>
      </c>
      <c r="F79" s="4" t="n">
        <f aca="false">INDEX('Employee Master'!$L$2:$L$201,MATCH(A79,'Employee Master'!$A$2:$A$201,0))</f>
        <v>0.12</v>
      </c>
      <c r="G79" s="2" t="n">
        <f aca="false">INDEX('Employee Master'!$G$2:$G$201,MATCH(A79,'Employee Master'!$A$2:$A$201,0))</f>
        <v>126000</v>
      </c>
      <c r="H79" s="2" t="n">
        <f aca="false">IF(E79="Yes",ROUND(G79*F79,0),0)</f>
        <v>15120</v>
      </c>
      <c r="I79" s="2" t="n">
        <f aca="false">IF(E79="Yes",ROUND(G79*F79,0),0)</f>
        <v>15120</v>
      </c>
      <c r="J79" s="2" t="n">
        <f aca="false">H79+I79</f>
        <v>30240</v>
      </c>
      <c r="K79" s="2" t="str">
        <f aca="false">IF(E79="Yes","Generated","Not Applicable")</f>
        <v>Generated</v>
      </c>
    </row>
    <row r="80" customFormat="false" ht="15" hidden="false" customHeight="false" outlineLevel="0" collapsed="false">
      <c r="A80" s="2" t="s">
        <v>205</v>
      </c>
      <c r="B80" s="2" t="s">
        <v>206</v>
      </c>
      <c r="C80" s="2" t="s">
        <v>649</v>
      </c>
      <c r="D80" s="2" t="n">
        <v>2026</v>
      </c>
      <c r="E80" s="2" t="str">
        <f aca="false">INDEX('Employee Master'!$K$2:$K$201,MATCH(A80,'Employee Master'!$A$2:$A$201,0))</f>
        <v>Yes</v>
      </c>
      <c r="F80" s="4" t="n">
        <f aca="false">INDEX('Employee Master'!$L$2:$L$201,MATCH(A80,'Employee Master'!$A$2:$A$201,0))</f>
        <v>0.12</v>
      </c>
      <c r="G80" s="2" t="n">
        <f aca="false">INDEX('Employee Master'!$G$2:$G$201,MATCH(A80,'Employee Master'!$A$2:$A$201,0))</f>
        <v>22000</v>
      </c>
      <c r="H80" s="2" t="n">
        <f aca="false">IF(E80="Yes",ROUND(G80*F80,0),0)</f>
        <v>2640</v>
      </c>
      <c r="I80" s="2" t="n">
        <f aca="false">IF(E80="Yes",ROUND(G80*F80,0),0)</f>
        <v>2640</v>
      </c>
      <c r="J80" s="2" t="n">
        <f aca="false">H80+I80</f>
        <v>5280</v>
      </c>
      <c r="K80" s="2" t="str">
        <f aca="false">IF(E80="Yes","Generated","Not Applicable")</f>
        <v>Generated</v>
      </c>
    </row>
    <row r="81" customFormat="false" ht="15" hidden="false" customHeight="false" outlineLevel="0" collapsed="false">
      <c r="A81" s="2" t="s">
        <v>207</v>
      </c>
      <c r="B81" s="2" t="s">
        <v>208</v>
      </c>
      <c r="C81" s="2" t="s">
        <v>649</v>
      </c>
      <c r="D81" s="2" t="n">
        <v>2026</v>
      </c>
      <c r="E81" s="2" t="str">
        <f aca="false">INDEX('Employee Master'!$K$2:$K$201,MATCH(A81,'Employee Master'!$A$2:$A$201,0))</f>
        <v>Yes</v>
      </c>
      <c r="F81" s="4" t="n">
        <f aca="false">INDEX('Employee Master'!$L$2:$L$201,MATCH(A81,'Employee Master'!$A$2:$A$201,0))</f>
        <v>0.12</v>
      </c>
      <c r="G81" s="2" t="n">
        <f aca="false">INDEX('Employee Master'!$G$2:$G$201,MATCH(A81,'Employee Master'!$A$2:$A$201,0))</f>
        <v>21000</v>
      </c>
      <c r="H81" s="2" t="n">
        <f aca="false">IF(E81="Yes",ROUND(G81*F81,0),0)</f>
        <v>2520</v>
      </c>
      <c r="I81" s="2" t="n">
        <f aca="false">IF(E81="Yes",ROUND(G81*F81,0),0)</f>
        <v>2520</v>
      </c>
      <c r="J81" s="2" t="n">
        <f aca="false">H81+I81</f>
        <v>5040</v>
      </c>
      <c r="K81" s="2" t="str">
        <f aca="false">IF(E81="Yes","Generated","Not Applicable")</f>
        <v>Generated</v>
      </c>
    </row>
    <row r="82" customFormat="false" ht="15" hidden="false" customHeight="false" outlineLevel="0" collapsed="false">
      <c r="A82" s="2" t="s">
        <v>209</v>
      </c>
      <c r="B82" s="2" t="s">
        <v>210</v>
      </c>
      <c r="C82" s="2" t="s">
        <v>649</v>
      </c>
      <c r="D82" s="2" t="n">
        <v>2026</v>
      </c>
      <c r="E82" s="2" t="str">
        <f aca="false">INDEX('Employee Master'!$K$2:$K$201,MATCH(A82,'Employee Master'!$A$2:$A$201,0))</f>
        <v>Yes</v>
      </c>
      <c r="F82" s="4" t="n">
        <f aca="false">INDEX('Employee Master'!$L$2:$L$201,MATCH(A82,'Employee Master'!$A$2:$A$201,0))</f>
        <v>0.12</v>
      </c>
      <c r="G82" s="2" t="n">
        <f aca="false">INDEX('Employee Master'!$G$2:$G$201,MATCH(A82,'Employee Master'!$A$2:$A$201,0))</f>
        <v>83000</v>
      </c>
      <c r="H82" s="2" t="n">
        <f aca="false">IF(E82="Yes",ROUND(G82*F82,0),0)</f>
        <v>9960</v>
      </c>
      <c r="I82" s="2" t="n">
        <f aca="false">IF(E82="Yes",ROUND(G82*F82,0),0)</f>
        <v>9960</v>
      </c>
      <c r="J82" s="2" t="n">
        <f aca="false">H82+I82</f>
        <v>19920</v>
      </c>
      <c r="K82" s="2" t="str">
        <f aca="false">IF(E82="Yes","Generated","Not Applicable")</f>
        <v>Generated</v>
      </c>
    </row>
    <row r="83" customFormat="false" ht="15" hidden="false" customHeight="false" outlineLevel="0" collapsed="false">
      <c r="A83" s="2" t="s">
        <v>211</v>
      </c>
      <c r="B83" s="2" t="s">
        <v>212</v>
      </c>
      <c r="C83" s="2" t="s">
        <v>649</v>
      </c>
      <c r="D83" s="2" t="n">
        <v>2026</v>
      </c>
      <c r="E83" s="2" t="str">
        <f aca="false">INDEX('Employee Master'!$K$2:$K$201,MATCH(A83,'Employee Master'!$A$2:$A$201,0))</f>
        <v>Yes</v>
      </c>
      <c r="F83" s="4" t="n">
        <f aca="false">INDEX('Employee Master'!$L$2:$L$201,MATCH(A83,'Employee Master'!$A$2:$A$201,0))</f>
        <v>0.12</v>
      </c>
      <c r="G83" s="2" t="n">
        <f aca="false">INDEX('Employee Master'!$G$2:$G$201,MATCH(A83,'Employee Master'!$A$2:$A$201,0))</f>
        <v>82000</v>
      </c>
      <c r="H83" s="2" t="n">
        <f aca="false">IF(E83="Yes",ROUND(G83*F83,0),0)</f>
        <v>9840</v>
      </c>
      <c r="I83" s="2" t="n">
        <f aca="false">IF(E83="Yes",ROUND(G83*F83,0),0)</f>
        <v>9840</v>
      </c>
      <c r="J83" s="2" t="n">
        <f aca="false">H83+I83</f>
        <v>19680</v>
      </c>
      <c r="K83" s="2" t="str">
        <f aca="false">IF(E83="Yes","Generated","Not Applicable")</f>
        <v>Generated</v>
      </c>
    </row>
    <row r="84" customFormat="false" ht="15" hidden="false" customHeight="false" outlineLevel="0" collapsed="false">
      <c r="A84" s="2" t="s">
        <v>213</v>
      </c>
      <c r="B84" s="2" t="s">
        <v>214</v>
      </c>
      <c r="C84" s="2" t="s">
        <v>649</v>
      </c>
      <c r="D84" s="2" t="n">
        <v>2026</v>
      </c>
      <c r="E84" s="2" t="str">
        <f aca="false">INDEX('Employee Master'!$K$2:$K$201,MATCH(A84,'Employee Master'!$A$2:$A$201,0))</f>
        <v>Yes</v>
      </c>
      <c r="F84" s="4" t="n">
        <f aca="false">INDEX('Employee Master'!$L$2:$L$201,MATCH(A84,'Employee Master'!$A$2:$A$201,0))</f>
        <v>0.12</v>
      </c>
      <c r="G84" s="2" t="n">
        <f aca="false">INDEX('Employee Master'!$G$2:$G$201,MATCH(A84,'Employee Master'!$A$2:$A$201,0))</f>
        <v>38000</v>
      </c>
      <c r="H84" s="2" t="n">
        <f aca="false">IF(E84="Yes",ROUND(G84*F84,0),0)</f>
        <v>4560</v>
      </c>
      <c r="I84" s="2" t="n">
        <f aca="false">IF(E84="Yes",ROUND(G84*F84,0),0)</f>
        <v>4560</v>
      </c>
      <c r="J84" s="2" t="n">
        <f aca="false">H84+I84</f>
        <v>9120</v>
      </c>
      <c r="K84" s="2" t="str">
        <f aca="false">IF(E84="Yes","Generated","Not Applicable")</f>
        <v>Generated</v>
      </c>
    </row>
    <row r="85" customFormat="false" ht="15" hidden="false" customHeight="false" outlineLevel="0" collapsed="false">
      <c r="A85" s="2" t="s">
        <v>215</v>
      </c>
      <c r="B85" s="2" t="s">
        <v>216</v>
      </c>
      <c r="C85" s="2" t="s">
        <v>649</v>
      </c>
      <c r="D85" s="2" t="n">
        <v>2026</v>
      </c>
      <c r="E85" s="2" t="str">
        <f aca="false">INDEX('Employee Master'!$K$2:$K$201,MATCH(A85,'Employee Master'!$A$2:$A$201,0))</f>
        <v>Yes</v>
      </c>
      <c r="F85" s="4" t="n">
        <f aca="false">INDEX('Employee Master'!$L$2:$L$201,MATCH(A85,'Employee Master'!$A$2:$A$201,0))</f>
        <v>0.12</v>
      </c>
      <c r="G85" s="2" t="n">
        <f aca="false">INDEX('Employee Master'!$G$2:$G$201,MATCH(A85,'Employee Master'!$A$2:$A$201,0))</f>
        <v>51500</v>
      </c>
      <c r="H85" s="2" t="n">
        <f aca="false">IF(E85="Yes",ROUND(G85*F85,0),0)</f>
        <v>6180</v>
      </c>
      <c r="I85" s="2" t="n">
        <f aca="false">IF(E85="Yes",ROUND(G85*F85,0),0)</f>
        <v>6180</v>
      </c>
      <c r="J85" s="2" t="n">
        <f aca="false">H85+I85</f>
        <v>12360</v>
      </c>
      <c r="K85" s="2" t="str">
        <f aca="false">IF(E85="Yes","Generated","Not Applicable")</f>
        <v>Generated</v>
      </c>
    </row>
    <row r="86" customFormat="false" ht="15" hidden="false" customHeight="false" outlineLevel="0" collapsed="false">
      <c r="A86" s="2" t="s">
        <v>217</v>
      </c>
      <c r="B86" s="2" t="s">
        <v>218</v>
      </c>
      <c r="C86" s="2" t="s">
        <v>649</v>
      </c>
      <c r="D86" s="2" t="n">
        <v>2026</v>
      </c>
      <c r="E86" s="2" t="str">
        <f aca="false">INDEX('Employee Master'!$K$2:$K$201,MATCH(A86,'Employee Master'!$A$2:$A$201,0))</f>
        <v>Yes</v>
      </c>
      <c r="F86" s="4" t="n">
        <f aca="false">INDEX('Employee Master'!$L$2:$L$201,MATCH(A86,'Employee Master'!$A$2:$A$201,0))</f>
        <v>0.12</v>
      </c>
      <c r="G86" s="2" t="n">
        <f aca="false">INDEX('Employee Master'!$G$2:$G$201,MATCH(A86,'Employee Master'!$A$2:$A$201,0))</f>
        <v>67500</v>
      </c>
      <c r="H86" s="2" t="n">
        <f aca="false">IF(E86="Yes",ROUND(G86*F86,0),0)</f>
        <v>8100</v>
      </c>
      <c r="I86" s="2" t="n">
        <f aca="false">IF(E86="Yes",ROUND(G86*F86,0),0)</f>
        <v>8100</v>
      </c>
      <c r="J86" s="2" t="n">
        <f aca="false">H86+I86</f>
        <v>16200</v>
      </c>
      <c r="K86" s="2" t="str">
        <f aca="false">IF(E86="Yes","Generated","Not Applicable")</f>
        <v>Generated</v>
      </c>
    </row>
    <row r="87" customFormat="false" ht="15" hidden="false" customHeight="false" outlineLevel="0" collapsed="false">
      <c r="A87" s="2" t="s">
        <v>219</v>
      </c>
      <c r="B87" s="2" t="s">
        <v>220</v>
      </c>
      <c r="C87" s="2" t="s">
        <v>649</v>
      </c>
      <c r="D87" s="2" t="n">
        <v>2026</v>
      </c>
      <c r="E87" s="2" t="str">
        <f aca="false">INDEX('Employee Master'!$K$2:$K$201,MATCH(A87,'Employee Master'!$A$2:$A$201,0))</f>
        <v>Yes</v>
      </c>
      <c r="F87" s="4" t="n">
        <f aca="false">INDEX('Employee Master'!$L$2:$L$201,MATCH(A87,'Employee Master'!$A$2:$A$201,0))</f>
        <v>0.12</v>
      </c>
      <c r="G87" s="2" t="n">
        <f aca="false">INDEX('Employee Master'!$G$2:$G$201,MATCH(A87,'Employee Master'!$A$2:$A$201,0))</f>
        <v>57500</v>
      </c>
      <c r="H87" s="2" t="n">
        <f aca="false">IF(E87="Yes",ROUND(G87*F87,0),0)</f>
        <v>6900</v>
      </c>
      <c r="I87" s="2" t="n">
        <f aca="false">IF(E87="Yes",ROUND(G87*F87,0),0)</f>
        <v>6900</v>
      </c>
      <c r="J87" s="2" t="n">
        <f aca="false">H87+I87</f>
        <v>13800</v>
      </c>
      <c r="K87" s="2" t="str">
        <f aca="false">IF(E87="Yes","Generated","Not Applicable")</f>
        <v>Generated</v>
      </c>
    </row>
    <row r="88" customFormat="false" ht="15" hidden="false" customHeight="false" outlineLevel="0" collapsed="false">
      <c r="A88" s="2" t="s">
        <v>221</v>
      </c>
      <c r="B88" s="2" t="s">
        <v>222</v>
      </c>
      <c r="C88" s="2" t="s">
        <v>649</v>
      </c>
      <c r="D88" s="2" t="n">
        <v>2026</v>
      </c>
      <c r="E88" s="2" t="str">
        <f aca="false">INDEX('Employee Master'!$K$2:$K$201,MATCH(A88,'Employee Master'!$A$2:$A$201,0))</f>
        <v>Yes</v>
      </c>
      <c r="F88" s="4" t="n">
        <f aca="false">INDEX('Employee Master'!$L$2:$L$201,MATCH(A88,'Employee Master'!$A$2:$A$201,0))</f>
        <v>0.12</v>
      </c>
      <c r="G88" s="2" t="n">
        <f aca="false">INDEX('Employee Master'!$G$2:$G$201,MATCH(A88,'Employee Master'!$A$2:$A$201,0))</f>
        <v>25000</v>
      </c>
      <c r="H88" s="2" t="n">
        <f aca="false">IF(E88="Yes",ROUND(G88*F88,0),0)</f>
        <v>3000</v>
      </c>
      <c r="I88" s="2" t="n">
        <f aca="false">IF(E88="Yes",ROUND(G88*F88,0),0)</f>
        <v>3000</v>
      </c>
      <c r="J88" s="2" t="n">
        <f aca="false">H88+I88</f>
        <v>6000</v>
      </c>
      <c r="K88" s="2" t="str">
        <f aca="false">IF(E88="Yes","Generated","Not Applicable")</f>
        <v>Generated</v>
      </c>
    </row>
    <row r="89" customFormat="false" ht="15" hidden="false" customHeight="false" outlineLevel="0" collapsed="false">
      <c r="A89" s="2" t="s">
        <v>223</v>
      </c>
      <c r="B89" s="2" t="s">
        <v>224</v>
      </c>
      <c r="C89" s="2" t="s">
        <v>649</v>
      </c>
      <c r="D89" s="2" t="n">
        <v>2026</v>
      </c>
      <c r="E89" s="2" t="str">
        <f aca="false">INDEX('Employee Master'!$K$2:$K$201,MATCH(A89,'Employee Master'!$A$2:$A$201,0))</f>
        <v>Yes</v>
      </c>
      <c r="F89" s="4" t="n">
        <f aca="false">INDEX('Employee Master'!$L$2:$L$201,MATCH(A89,'Employee Master'!$A$2:$A$201,0))</f>
        <v>0.12</v>
      </c>
      <c r="G89" s="2" t="n">
        <f aca="false">INDEX('Employee Master'!$G$2:$G$201,MATCH(A89,'Employee Master'!$A$2:$A$201,0))</f>
        <v>27000</v>
      </c>
      <c r="H89" s="2" t="n">
        <f aca="false">IF(E89="Yes",ROUND(G89*F89,0),0)</f>
        <v>3240</v>
      </c>
      <c r="I89" s="2" t="n">
        <f aca="false">IF(E89="Yes",ROUND(G89*F89,0),0)</f>
        <v>3240</v>
      </c>
      <c r="J89" s="2" t="n">
        <f aca="false">H89+I89</f>
        <v>6480</v>
      </c>
      <c r="K89" s="2" t="str">
        <f aca="false">IF(E89="Yes","Generated","Not Applicable")</f>
        <v>Generated</v>
      </c>
    </row>
    <row r="90" customFormat="false" ht="15" hidden="false" customHeight="false" outlineLevel="0" collapsed="false">
      <c r="A90" s="2" t="s">
        <v>225</v>
      </c>
      <c r="B90" s="2" t="s">
        <v>226</v>
      </c>
      <c r="C90" s="2" t="s">
        <v>649</v>
      </c>
      <c r="D90" s="2" t="n">
        <v>2026</v>
      </c>
      <c r="E90" s="2" t="str">
        <f aca="false">INDEX('Employee Master'!$K$2:$K$201,MATCH(A90,'Employee Master'!$A$2:$A$201,0))</f>
        <v>Yes</v>
      </c>
      <c r="F90" s="4" t="n">
        <f aca="false">INDEX('Employee Master'!$L$2:$L$201,MATCH(A90,'Employee Master'!$A$2:$A$201,0))</f>
        <v>0.12</v>
      </c>
      <c r="G90" s="2" t="n">
        <f aca="false">INDEX('Employee Master'!$G$2:$G$201,MATCH(A90,'Employee Master'!$A$2:$A$201,0))</f>
        <v>30500</v>
      </c>
      <c r="H90" s="2" t="n">
        <f aca="false">IF(E90="Yes",ROUND(G90*F90,0),0)</f>
        <v>3660</v>
      </c>
      <c r="I90" s="2" t="n">
        <f aca="false">IF(E90="Yes",ROUND(G90*F90,0),0)</f>
        <v>3660</v>
      </c>
      <c r="J90" s="2" t="n">
        <f aca="false">H90+I90</f>
        <v>7320</v>
      </c>
      <c r="K90" s="2" t="str">
        <f aca="false">IF(E90="Yes","Generated","Not Applicable")</f>
        <v>Generated</v>
      </c>
    </row>
    <row r="91" customFormat="false" ht="15" hidden="false" customHeight="false" outlineLevel="0" collapsed="false">
      <c r="A91" s="2" t="s">
        <v>227</v>
      </c>
      <c r="B91" s="2" t="s">
        <v>228</v>
      </c>
      <c r="C91" s="2" t="s">
        <v>649</v>
      </c>
      <c r="D91" s="2" t="n">
        <v>2026</v>
      </c>
      <c r="E91" s="2" t="str">
        <f aca="false">INDEX('Employee Master'!$K$2:$K$201,MATCH(A91,'Employee Master'!$A$2:$A$201,0))</f>
        <v>Yes</v>
      </c>
      <c r="F91" s="4" t="n">
        <f aca="false">INDEX('Employee Master'!$L$2:$L$201,MATCH(A91,'Employee Master'!$A$2:$A$201,0))</f>
        <v>0.12</v>
      </c>
      <c r="G91" s="2" t="n">
        <f aca="false">INDEX('Employee Master'!$G$2:$G$201,MATCH(A91,'Employee Master'!$A$2:$A$201,0))</f>
        <v>55000</v>
      </c>
      <c r="H91" s="2" t="n">
        <f aca="false">IF(E91="Yes",ROUND(G91*F91,0),0)</f>
        <v>6600</v>
      </c>
      <c r="I91" s="2" t="n">
        <f aca="false">IF(E91="Yes",ROUND(G91*F91,0),0)</f>
        <v>6600</v>
      </c>
      <c r="J91" s="2" t="n">
        <f aca="false">H91+I91</f>
        <v>13200</v>
      </c>
      <c r="K91" s="2" t="str">
        <f aca="false">IF(E91="Yes","Generated","Not Applicable")</f>
        <v>Generated</v>
      </c>
    </row>
    <row r="92" customFormat="false" ht="15" hidden="false" customHeight="false" outlineLevel="0" collapsed="false">
      <c r="A92" s="2" t="s">
        <v>229</v>
      </c>
      <c r="B92" s="2" t="s">
        <v>230</v>
      </c>
      <c r="C92" s="2" t="s">
        <v>649</v>
      </c>
      <c r="D92" s="2" t="n">
        <v>2026</v>
      </c>
      <c r="E92" s="2" t="str">
        <f aca="false">INDEX('Employee Master'!$K$2:$K$201,MATCH(A92,'Employee Master'!$A$2:$A$201,0))</f>
        <v>Yes</v>
      </c>
      <c r="F92" s="4" t="n">
        <f aca="false">INDEX('Employee Master'!$L$2:$L$201,MATCH(A92,'Employee Master'!$A$2:$A$201,0))</f>
        <v>0.12</v>
      </c>
      <c r="G92" s="2" t="n">
        <f aca="false">INDEX('Employee Master'!$G$2:$G$201,MATCH(A92,'Employee Master'!$A$2:$A$201,0))</f>
        <v>85000</v>
      </c>
      <c r="H92" s="2" t="n">
        <f aca="false">IF(E92="Yes",ROUND(G92*F92,0),0)</f>
        <v>10200</v>
      </c>
      <c r="I92" s="2" t="n">
        <f aca="false">IF(E92="Yes",ROUND(G92*F92,0),0)</f>
        <v>10200</v>
      </c>
      <c r="J92" s="2" t="n">
        <f aca="false">H92+I92</f>
        <v>20400</v>
      </c>
      <c r="K92" s="2" t="str">
        <f aca="false">IF(E92="Yes","Generated","Not Applicable")</f>
        <v>Generated</v>
      </c>
    </row>
    <row r="93" customFormat="false" ht="15" hidden="false" customHeight="false" outlineLevel="0" collapsed="false">
      <c r="A93" s="2" t="s">
        <v>231</v>
      </c>
      <c r="B93" s="2" t="s">
        <v>232</v>
      </c>
      <c r="C93" s="2" t="s">
        <v>649</v>
      </c>
      <c r="D93" s="2" t="n">
        <v>2026</v>
      </c>
      <c r="E93" s="2" t="str">
        <f aca="false">INDEX('Employee Master'!$K$2:$K$201,MATCH(A93,'Employee Master'!$A$2:$A$201,0))</f>
        <v>Yes</v>
      </c>
      <c r="F93" s="4" t="n">
        <f aca="false">INDEX('Employee Master'!$L$2:$L$201,MATCH(A93,'Employee Master'!$A$2:$A$201,0))</f>
        <v>0.12</v>
      </c>
      <c r="G93" s="2" t="n">
        <f aca="false">INDEX('Employee Master'!$G$2:$G$201,MATCH(A93,'Employee Master'!$A$2:$A$201,0))</f>
        <v>40500</v>
      </c>
      <c r="H93" s="2" t="n">
        <f aca="false">IF(E93="Yes",ROUND(G93*F93,0),0)</f>
        <v>4860</v>
      </c>
      <c r="I93" s="2" t="n">
        <f aca="false">IF(E93="Yes",ROUND(G93*F93,0),0)</f>
        <v>4860</v>
      </c>
      <c r="J93" s="2" t="n">
        <f aca="false">H93+I93</f>
        <v>9720</v>
      </c>
      <c r="K93" s="2" t="str">
        <f aca="false">IF(E93="Yes","Generated","Not Applicable")</f>
        <v>Generated</v>
      </c>
    </row>
    <row r="94" customFormat="false" ht="15" hidden="false" customHeight="false" outlineLevel="0" collapsed="false">
      <c r="A94" s="2" t="s">
        <v>233</v>
      </c>
      <c r="B94" s="2" t="s">
        <v>234</v>
      </c>
      <c r="C94" s="2" t="s">
        <v>649</v>
      </c>
      <c r="D94" s="2" t="n">
        <v>2026</v>
      </c>
      <c r="E94" s="2" t="str">
        <f aca="false">INDEX('Employee Master'!$K$2:$K$201,MATCH(A94,'Employee Master'!$A$2:$A$201,0))</f>
        <v>Yes</v>
      </c>
      <c r="F94" s="4" t="n">
        <f aca="false">INDEX('Employee Master'!$L$2:$L$201,MATCH(A94,'Employee Master'!$A$2:$A$201,0))</f>
        <v>0.12</v>
      </c>
      <c r="G94" s="2" t="n">
        <f aca="false">INDEX('Employee Master'!$G$2:$G$201,MATCH(A94,'Employee Master'!$A$2:$A$201,0))</f>
        <v>33500</v>
      </c>
      <c r="H94" s="2" t="n">
        <f aca="false">IF(E94="Yes",ROUND(G94*F94,0),0)</f>
        <v>4020</v>
      </c>
      <c r="I94" s="2" t="n">
        <f aca="false">IF(E94="Yes",ROUND(G94*F94,0),0)</f>
        <v>4020</v>
      </c>
      <c r="J94" s="2" t="n">
        <f aca="false">H94+I94</f>
        <v>8040</v>
      </c>
      <c r="K94" s="2" t="str">
        <f aca="false">IF(E94="Yes","Generated","Not Applicable")</f>
        <v>Generated</v>
      </c>
    </row>
    <row r="95" customFormat="false" ht="15" hidden="false" customHeight="false" outlineLevel="0" collapsed="false">
      <c r="A95" s="2" t="s">
        <v>235</v>
      </c>
      <c r="B95" s="2" t="s">
        <v>236</v>
      </c>
      <c r="C95" s="2" t="s">
        <v>649</v>
      </c>
      <c r="D95" s="2" t="n">
        <v>2026</v>
      </c>
      <c r="E95" s="2" t="str">
        <f aca="false">INDEX('Employee Master'!$K$2:$K$201,MATCH(A95,'Employee Master'!$A$2:$A$201,0))</f>
        <v>Yes</v>
      </c>
      <c r="F95" s="4" t="n">
        <f aca="false">INDEX('Employee Master'!$L$2:$L$201,MATCH(A95,'Employee Master'!$A$2:$A$201,0))</f>
        <v>0.12</v>
      </c>
      <c r="G95" s="2" t="n">
        <f aca="false">INDEX('Employee Master'!$G$2:$G$201,MATCH(A95,'Employee Master'!$A$2:$A$201,0))</f>
        <v>29500</v>
      </c>
      <c r="H95" s="2" t="n">
        <f aca="false">IF(E95="Yes",ROUND(G95*F95,0),0)</f>
        <v>3540</v>
      </c>
      <c r="I95" s="2" t="n">
        <f aca="false">IF(E95="Yes",ROUND(G95*F95,0),0)</f>
        <v>3540</v>
      </c>
      <c r="J95" s="2" t="n">
        <f aca="false">H95+I95</f>
        <v>7080</v>
      </c>
      <c r="K95" s="2" t="str">
        <f aca="false">IF(E95="Yes","Generated","Not Applicable")</f>
        <v>Generated</v>
      </c>
    </row>
    <row r="96" customFormat="false" ht="15" hidden="false" customHeight="false" outlineLevel="0" collapsed="false">
      <c r="A96" s="2" t="s">
        <v>237</v>
      </c>
      <c r="B96" s="2" t="s">
        <v>238</v>
      </c>
      <c r="C96" s="2" t="s">
        <v>649</v>
      </c>
      <c r="D96" s="2" t="n">
        <v>2026</v>
      </c>
      <c r="E96" s="2" t="str">
        <f aca="false">INDEX('Employee Master'!$K$2:$K$201,MATCH(A96,'Employee Master'!$A$2:$A$201,0))</f>
        <v>Yes</v>
      </c>
      <c r="F96" s="4" t="n">
        <f aca="false">INDEX('Employee Master'!$L$2:$L$201,MATCH(A96,'Employee Master'!$A$2:$A$201,0))</f>
        <v>0.12</v>
      </c>
      <c r="G96" s="2" t="n">
        <f aca="false">INDEX('Employee Master'!$G$2:$G$201,MATCH(A96,'Employee Master'!$A$2:$A$201,0))</f>
        <v>49500</v>
      </c>
      <c r="H96" s="2" t="n">
        <f aca="false">IF(E96="Yes",ROUND(G96*F96,0),0)</f>
        <v>5940</v>
      </c>
      <c r="I96" s="2" t="n">
        <f aca="false">IF(E96="Yes",ROUND(G96*F96,0),0)</f>
        <v>5940</v>
      </c>
      <c r="J96" s="2" t="n">
        <f aca="false">H96+I96</f>
        <v>11880</v>
      </c>
      <c r="K96" s="2" t="str">
        <f aca="false">IF(E96="Yes","Generated","Not Applicable")</f>
        <v>Generated</v>
      </c>
    </row>
    <row r="97" customFormat="false" ht="15" hidden="false" customHeight="false" outlineLevel="0" collapsed="false">
      <c r="A97" s="2" t="s">
        <v>239</v>
      </c>
      <c r="B97" s="2" t="s">
        <v>240</v>
      </c>
      <c r="C97" s="2" t="s">
        <v>649</v>
      </c>
      <c r="D97" s="2" t="n">
        <v>2026</v>
      </c>
      <c r="E97" s="2" t="str">
        <f aca="false">INDEX('Employee Master'!$K$2:$K$201,MATCH(A97,'Employee Master'!$A$2:$A$201,0))</f>
        <v>Yes</v>
      </c>
      <c r="F97" s="4" t="n">
        <f aca="false">INDEX('Employee Master'!$L$2:$L$201,MATCH(A97,'Employee Master'!$A$2:$A$201,0))</f>
        <v>0.12</v>
      </c>
      <c r="G97" s="2" t="n">
        <f aca="false">INDEX('Employee Master'!$G$2:$G$201,MATCH(A97,'Employee Master'!$A$2:$A$201,0))</f>
        <v>32000</v>
      </c>
      <c r="H97" s="2" t="n">
        <f aca="false">IF(E97="Yes",ROUND(G97*F97,0),0)</f>
        <v>3840</v>
      </c>
      <c r="I97" s="2" t="n">
        <f aca="false">IF(E97="Yes",ROUND(G97*F97,0),0)</f>
        <v>3840</v>
      </c>
      <c r="J97" s="2" t="n">
        <f aca="false">H97+I97</f>
        <v>7680</v>
      </c>
      <c r="K97" s="2" t="str">
        <f aca="false">IF(E97="Yes","Generated","Not Applicable")</f>
        <v>Generated</v>
      </c>
    </row>
    <row r="98" customFormat="false" ht="15" hidden="false" customHeight="false" outlineLevel="0" collapsed="false">
      <c r="A98" s="2" t="s">
        <v>241</v>
      </c>
      <c r="B98" s="2" t="s">
        <v>242</v>
      </c>
      <c r="C98" s="2" t="s">
        <v>649</v>
      </c>
      <c r="D98" s="2" t="n">
        <v>2026</v>
      </c>
      <c r="E98" s="2" t="str">
        <f aca="false">INDEX('Employee Master'!$K$2:$K$201,MATCH(A98,'Employee Master'!$A$2:$A$201,0))</f>
        <v>Yes</v>
      </c>
      <c r="F98" s="4" t="n">
        <f aca="false">INDEX('Employee Master'!$L$2:$L$201,MATCH(A98,'Employee Master'!$A$2:$A$201,0))</f>
        <v>0.12</v>
      </c>
      <c r="G98" s="2" t="n">
        <f aca="false">INDEX('Employee Master'!$G$2:$G$201,MATCH(A98,'Employee Master'!$A$2:$A$201,0))</f>
        <v>64500</v>
      </c>
      <c r="H98" s="2" t="n">
        <f aca="false">IF(E98="Yes",ROUND(G98*F98,0),0)</f>
        <v>7740</v>
      </c>
      <c r="I98" s="2" t="n">
        <f aca="false">IF(E98="Yes",ROUND(G98*F98,0),0)</f>
        <v>7740</v>
      </c>
      <c r="J98" s="2" t="n">
        <f aca="false">H98+I98</f>
        <v>15480</v>
      </c>
      <c r="K98" s="2" t="str">
        <f aca="false">IF(E98="Yes","Generated","Not Applicable")</f>
        <v>Generated</v>
      </c>
    </row>
    <row r="99" customFormat="false" ht="15" hidden="false" customHeight="false" outlineLevel="0" collapsed="false">
      <c r="A99" s="2" t="s">
        <v>243</v>
      </c>
      <c r="B99" s="2" t="s">
        <v>244</v>
      </c>
      <c r="C99" s="2" t="s">
        <v>649</v>
      </c>
      <c r="D99" s="2" t="n">
        <v>2026</v>
      </c>
      <c r="E99" s="2" t="str">
        <f aca="false">INDEX('Employee Master'!$K$2:$K$201,MATCH(A99,'Employee Master'!$A$2:$A$201,0))</f>
        <v>Yes</v>
      </c>
      <c r="F99" s="4" t="n">
        <f aca="false">INDEX('Employee Master'!$L$2:$L$201,MATCH(A99,'Employee Master'!$A$2:$A$201,0))</f>
        <v>0.12</v>
      </c>
      <c r="G99" s="2" t="n">
        <f aca="false">INDEX('Employee Master'!$G$2:$G$201,MATCH(A99,'Employee Master'!$A$2:$A$201,0))</f>
        <v>137500</v>
      </c>
      <c r="H99" s="2" t="n">
        <f aca="false">IF(E99="Yes",ROUND(G99*F99,0),0)</f>
        <v>16500</v>
      </c>
      <c r="I99" s="2" t="n">
        <f aca="false">IF(E99="Yes",ROUND(G99*F99,0),0)</f>
        <v>16500</v>
      </c>
      <c r="J99" s="2" t="n">
        <f aca="false">H99+I99</f>
        <v>33000</v>
      </c>
      <c r="K99" s="2" t="str">
        <f aca="false">IF(E99="Yes","Generated","Not Applicable")</f>
        <v>Generated</v>
      </c>
    </row>
    <row r="100" customFormat="false" ht="15" hidden="false" customHeight="false" outlineLevel="0" collapsed="false">
      <c r="A100" s="2" t="s">
        <v>245</v>
      </c>
      <c r="B100" s="2" t="s">
        <v>246</v>
      </c>
      <c r="C100" s="2" t="s">
        <v>649</v>
      </c>
      <c r="D100" s="2" t="n">
        <v>2026</v>
      </c>
      <c r="E100" s="2" t="str">
        <f aca="false">INDEX('Employee Master'!$K$2:$K$201,MATCH(A100,'Employee Master'!$A$2:$A$201,0))</f>
        <v>Yes</v>
      </c>
      <c r="F100" s="4" t="n">
        <f aca="false">INDEX('Employee Master'!$L$2:$L$201,MATCH(A100,'Employee Master'!$A$2:$A$201,0))</f>
        <v>0.12</v>
      </c>
      <c r="G100" s="2" t="n">
        <f aca="false">INDEX('Employee Master'!$G$2:$G$201,MATCH(A100,'Employee Master'!$A$2:$A$201,0))</f>
        <v>29000</v>
      </c>
      <c r="H100" s="2" t="n">
        <f aca="false">IF(E100="Yes",ROUND(G100*F100,0),0)</f>
        <v>3480</v>
      </c>
      <c r="I100" s="2" t="n">
        <f aca="false">IF(E100="Yes",ROUND(G100*F100,0),0)</f>
        <v>3480</v>
      </c>
      <c r="J100" s="2" t="n">
        <f aca="false">H100+I100</f>
        <v>6960</v>
      </c>
      <c r="K100" s="2" t="str">
        <f aca="false">IF(E100="Yes","Generated","Not Applicable")</f>
        <v>Generated</v>
      </c>
    </row>
    <row r="101" customFormat="false" ht="15" hidden="false" customHeight="false" outlineLevel="0" collapsed="false">
      <c r="A101" s="2" t="s">
        <v>247</v>
      </c>
      <c r="B101" s="2" t="s">
        <v>248</v>
      </c>
      <c r="C101" s="2" t="s">
        <v>649</v>
      </c>
      <c r="D101" s="2" t="n">
        <v>2026</v>
      </c>
      <c r="E101" s="2" t="str">
        <f aca="false">INDEX('Employee Master'!$K$2:$K$201,MATCH(A101,'Employee Master'!$A$2:$A$201,0))</f>
        <v>Yes</v>
      </c>
      <c r="F101" s="4" t="n">
        <f aca="false">INDEX('Employee Master'!$L$2:$L$201,MATCH(A101,'Employee Master'!$A$2:$A$201,0))</f>
        <v>0.12</v>
      </c>
      <c r="G101" s="2" t="n">
        <f aca="false">INDEX('Employee Master'!$G$2:$G$201,MATCH(A101,'Employee Master'!$A$2:$A$201,0))</f>
        <v>25000</v>
      </c>
      <c r="H101" s="2" t="n">
        <f aca="false">IF(E101="Yes",ROUND(G101*F101,0),0)</f>
        <v>3000</v>
      </c>
      <c r="I101" s="2" t="n">
        <f aca="false">IF(E101="Yes",ROUND(G101*F101,0),0)</f>
        <v>3000</v>
      </c>
      <c r="J101" s="2" t="n">
        <f aca="false">H101+I101</f>
        <v>6000</v>
      </c>
      <c r="K101" s="2" t="str">
        <f aca="false">IF(E101="Yes","Generated","Not Applicable")</f>
        <v>Generated</v>
      </c>
    </row>
    <row r="102" customFormat="false" ht="15" hidden="false" customHeight="false" outlineLevel="0" collapsed="false">
      <c r="A102" s="2" t="s">
        <v>249</v>
      </c>
      <c r="B102" s="2" t="s">
        <v>250</v>
      </c>
      <c r="C102" s="2" t="s">
        <v>649</v>
      </c>
      <c r="D102" s="2" t="n">
        <v>2026</v>
      </c>
      <c r="E102" s="2" t="str">
        <f aca="false">INDEX('Employee Master'!$K$2:$K$201,MATCH(A102,'Employee Master'!$A$2:$A$201,0))</f>
        <v>Yes</v>
      </c>
      <c r="F102" s="4" t="n">
        <f aca="false">INDEX('Employee Master'!$L$2:$L$201,MATCH(A102,'Employee Master'!$A$2:$A$201,0))</f>
        <v>0.12</v>
      </c>
      <c r="G102" s="2" t="n">
        <f aca="false">INDEX('Employee Master'!$G$2:$G$201,MATCH(A102,'Employee Master'!$A$2:$A$201,0))</f>
        <v>50000</v>
      </c>
      <c r="H102" s="2" t="n">
        <f aca="false">IF(E102="Yes",ROUND(G102*F102,0),0)</f>
        <v>6000</v>
      </c>
      <c r="I102" s="2" t="n">
        <f aca="false">IF(E102="Yes",ROUND(G102*F102,0),0)</f>
        <v>6000</v>
      </c>
      <c r="J102" s="2" t="n">
        <f aca="false">H102+I102</f>
        <v>12000</v>
      </c>
      <c r="K102" s="2" t="str">
        <f aca="false">IF(E102="Yes","Generated","Not Applicable")</f>
        <v>Generated</v>
      </c>
    </row>
    <row r="103" customFormat="false" ht="15" hidden="false" customHeight="false" outlineLevel="0" collapsed="false">
      <c r="A103" s="2" t="s">
        <v>251</v>
      </c>
      <c r="B103" s="2" t="s">
        <v>252</v>
      </c>
      <c r="C103" s="2" t="s">
        <v>649</v>
      </c>
      <c r="D103" s="2" t="n">
        <v>2026</v>
      </c>
      <c r="E103" s="2" t="str">
        <f aca="false">INDEX('Employee Master'!$K$2:$K$201,MATCH(A103,'Employee Master'!$A$2:$A$201,0))</f>
        <v>Yes</v>
      </c>
      <c r="F103" s="4" t="n">
        <f aca="false">INDEX('Employee Master'!$L$2:$L$201,MATCH(A103,'Employee Master'!$A$2:$A$201,0))</f>
        <v>0.12</v>
      </c>
      <c r="G103" s="2" t="n">
        <f aca="false">INDEX('Employee Master'!$G$2:$G$201,MATCH(A103,'Employee Master'!$A$2:$A$201,0))</f>
        <v>80000</v>
      </c>
      <c r="H103" s="2" t="n">
        <f aca="false">IF(E103="Yes",ROUND(G103*F103,0),0)</f>
        <v>9600</v>
      </c>
      <c r="I103" s="2" t="n">
        <f aca="false">IF(E103="Yes",ROUND(G103*F103,0),0)</f>
        <v>9600</v>
      </c>
      <c r="J103" s="2" t="n">
        <f aca="false">H103+I103</f>
        <v>19200</v>
      </c>
      <c r="K103" s="2" t="str">
        <f aca="false">IF(E103="Yes","Generated","Not Applicable")</f>
        <v>Generated</v>
      </c>
    </row>
    <row r="104" customFormat="false" ht="15" hidden="false" customHeight="false" outlineLevel="0" collapsed="false">
      <c r="A104" s="2" t="s">
        <v>253</v>
      </c>
      <c r="B104" s="2" t="s">
        <v>254</v>
      </c>
      <c r="C104" s="2" t="s">
        <v>649</v>
      </c>
      <c r="D104" s="2" t="n">
        <v>2026</v>
      </c>
      <c r="E104" s="2" t="str">
        <f aca="false">INDEX('Employee Master'!$K$2:$K$201,MATCH(A104,'Employee Master'!$A$2:$A$201,0))</f>
        <v>Yes</v>
      </c>
      <c r="F104" s="4" t="n">
        <f aca="false">INDEX('Employee Master'!$L$2:$L$201,MATCH(A104,'Employee Master'!$A$2:$A$201,0))</f>
        <v>0.12</v>
      </c>
      <c r="G104" s="2" t="n">
        <f aca="false">INDEX('Employee Master'!$G$2:$G$201,MATCH(A104,'Employee Master'!$A$2:$A$201,0))</f>
        <v>35500</v>
      </c>
      <c r="H104" s="2" t="n">
        <f aca="false">IF(E104="Yes",ROUND(G104*F104,0),0)</f>
        <v>4260</v>
      </c>
      <c r="I104" s="2" t="n">
        <f aca="false">IF(E104="Yes",ROUND(G104*F104,0),0)</f>
        <v>4260</v>
      </c>
      <c r="J104" s="2" t="n">
        <f aca="false">H104+I104</f>
        <v>8520</v>
      </c>
      <c r="K104" s="2" t="str">
        <f aca="false">IF(E104="Yes","Generated","Not Applicable")</f>
        <v>Generated</v>
      </c>
    </row>
    <row r="105" customFormat="false" ht="15" hidden="false" customHeight="false" outlineLevel="0" collapsed="false">
      <c r="A105" s="2" t="s">
        <v>255</v>
      </c>
      <c r="B105" s="2" t="s">
        <v>256</v>
      </c>
      <c r="C105" s="2" t="s">
        <v>649</v>
      </c>
      <c r="D105" s="2" t="n">
        <v>2026</v>
      </c>
      <c r="E105" s="2" t="str">
        <f aca="false">INDEX('Employee Master'!$K$2:$K$201,MATCH(A105,'Employee Master'!$A$2:$A$201,0))</f>
        <v>Yes</v>
      </c>
      <c r="F105" s="4" t="n">
        <f aca="false">INDEX('Employee Master'!$L$2:$L$201,MATCH(A105,'Employee Master'!$A$2:$A$201,0))</f>
        <v>0.12</v>
      </c>
      <c r="G105" s="2" t="n">
        <f aca="false">INDEX('Employee Master'!$G$2:$G$201,MATCH(A105,'Employee Master'!$A$2:$A$201,0))</f>
        <v>41000</v>
      </c>
      <c r="H105" s="2" t="n">
        <f aca="false">IF(E105="Yes",ROUND(G105*F105,0),0)</f>
        <v>4920</v>
      </c>
      <c r="I105" s="2" t="n">
        <f aca="false">IF(E105="Yes",ROUND(G105*F105,0),0)</f>
        <v>4920</v>
      </c>
      <c r="J105" s="2" t="n">
        <f aca="false">H105+I105</f>
        <v>9840</v>
      </c>
      <c r="K105" s="2" t="str">
        <f aca="false">IF(E105="Yes","Generated","Not Applicable")</f>
        <v>Generated</v>
      </c>
    </row>
    <row r="106" customFormat="false" ht="15" hidden="false" customHeight="false" outlineLevel="0" collapsed="false">
      <c r="A106" s="2" t="s">
        <v>257</v>
      </c>
      <c r="B106" s="2" t="s">
        <v>258</v>
      </c>
      <c r="C106" s="2" t="s">
        <v>649</v>
      </c>
      <c r="D106" s="2" t="n">
        <v>2026</v>
      </c>
      <c r="E106" s="2" t="str">
        <f aca="false">INDEX('Employee Master'!$K$2:$K$201,MATCH(A106,'Employee Master'!$A$2:$A$201,0))</f>
        <v>Yes</v>
      </c>
      <c r="F106" s="4" t="n">
        <f aca="false">INDEX('Employee Master'!$L$2:$L$201,MATCH(A106,'Employee Master'!$A$2:$A$201,0))</f>
        <v>0.12</v>
      </c>
      <c r="G106" s="2" t="n">
        <f aca="false">INDEX('Employee Master'!$G$2:$G$201,MATCH(A106,'Employee Master'!$A$2:$A$201,0))</f>
        <v>37500</v>
      </c>
      <c r="H106" s="2" t="n">
        <f aca="false">IF(E106="Yes",ROUND(G106*F106,0),0)</f>
        <v>4500</v>
      </c>
      <c r="I106" s="2" t="n">
        <f aca="false">IF(E106="Yes",ROUND(G106*F106,0),0)</f>
        <v>4500</v>
      </c>
      <c r="J106" s="2" t="n">
        <f aca="false">H106+I106</f>
        <v>9000</v>
      </c>
      <c r="K106" s="2" t="str">
        <f aca="false">IF(E106="Yes","Generated","Not Applicable")</f>
        <v>Generated</v>
      </c>
    </row>
    <row r="107" customFormat="false" ht="15" hidden="false" customHeight="false" outlineLevel="0" collapsed="false">
      <c r="A107" s="2" t="s">
        <v>259</v>
      </c>
      <c r="B107" s="2" t="s">
        <v>260</v>
      </c>
      <c r="C107" s="2" t="s">
        <v>649</v>
      </c>
      <c r="D107" s="2" t="n">
        <v>2026</v>
      </c>
      <c r="E107" s="2" t="str">
        <f aca="false">INDEX('Employee Master'!$K$2:$K$201,MATCH(A107,'Employee Master'!$A$2:$A$201,0))</f>
        <v>Yes</v>
      </c>
      <c r="F107" s="4" t="n">
        <f aca="false">INDEX('Employee Master'!$L$2:$L$201,MATCH(A107,'Employee Master'!$A$2:$A$201,0))</f>
        <v>0.12</v>
      </c>
      <c r="G107" s="2" t="n">
        <f aca="false">INDEX('Employee Master'!$G$2:$G$201,MATCH(A107,'Employee Master'!$A$2:$A$201,0))</f>
        <v>23500</v>
      </c>
      <c r="H107" s="2" t="n">
        <f aca="false">IF(E107="Yes",ROUND(G107*F107,0),0)</f>
        <v>2820</v>
      </c>
      <c r="I107" s="2" t="n">
        <f aca="false">IF(E107="Yes",ROUND(G107*F107,0),0)</f>
        <v>2820</v>
      </c>
      <c r="J107" s="2" t="n">
        <f aca="false">H107+I107</f>
        <v>5640</v>
      </c>
      <c r="K107" s="2" t="str">
        <f aca="false">IF(E107="Yes","Generated","Not Applicable")</f>
        <v>Generated</v>
      </c>
    </row>
    <row r="108" customFormat="false" ht="15" hidden="false" customHeight="false" outlineLevel="0" collapsed="false">
      <c r="A108" s="2" t="s">
        <v>261</v>
      </c>
      <c r="B108" s="2" t="s">
        <v>262</v>
      </c>
      <c r="C108" s="2" t="s">
        <v>649</v>
      </c>
      <c r="D108" s="2" t="n">
        <v>2026</v>
      </c>
      <c r="E108" s="2" t="str">
        <f aca="false">INDEX('Employee Master'!$K$2:$K$201,MATCH(A108,'Employee Master'!$A$2:$A$201,0))</f>
        <v>Yes</v>
      </c>
      <c r="F108" s="4" t="n">
        <f aca="false">INDEX('Employee Master'!$L$2:$L$201,MATCH(A108,'Employee Master'!$A$2:$A$201,0))</f>
        <v>0.12</v>
      </c>
      <c r="G108" s="2" t="n">
        <f aca="false">INDEX('Employee Master'!$G$2:$G$201,MATCH(A108,'Employee Master'!$A$2:$A$201,0))</f>
        <v>105000</v>
      </c>
      <c r="H108" s="2" t="n">
        <f aca="false">IF(E108="Yes",ROUND(G108*F108,0),0)</f>
        <v>12600</v>
      </c>
      <c r="I108" s="2" t="n">
        <f aca="false">IF(E108="Yes",ROUND(G108*F108,0),0)</f>
        <v>12600</v>
      </c>
      <c r="J108" s="2" t="n">
        <f aca="false">H108+I108</f>
        <v>25200</v>
      </c>
      <c r="K108" s="2" t="str">
        <f aca="false">IF(E108="Yes","Generated","Not Applicable")</f>
        <v>Generated</v>
      </c>
    </row>
    <row r="109" customFormat="false" ht="15" hidden="false" customHeight="false" outlineLevel="0" collapsed="false">
      <c r="A109" s="2" t="s">
        <v>263</v>
      </c>
      <c r="B109" s="2" t="s">
        <v>264</v>
      </c>
      <c r="C109" s="2" t="s">
        <v>649</v>
      </c>
      <c r="D109" s="2" t="n">
        <v>2026</v>
      </c>
      <c r="E109" s="2" t="str">
        <f aca="false">INDEX('Employee Master'!$K$2:$K$201,MATCH(A109,'Employee Master'!$A$2:$A$201,0))</f>
        <v>Yes</v>
      </c>
      <c r="F109" s="4" t="n">
        <f aca="false">INDEX('Employee Master'!$L$2:$L$201,MATCH(A109,'Employee Master'!$A$2:$A$201,0))</f>
        <v>0.12</v>
      </c>
      <c r="G109" s="2" t="n">
        <f aca="false">INDEX('Employee Master'!$G$2:$G$201,MATCH(A109,'Employee Master'!$A$2:$A$201,0))</f>
        <v>122500</v>
      </c>
      <c r="H109" s="2" t="n">
        <f aca="false">IF(E109="Yes",ROUND(G109*F109,0),0)</f>
        <v>14700</v>
      </c>
      <c r="I109" s="2" t="n">
        <f aca="false">IF(E109="Yes",ROUND(G109*F109,0),0)</f>
        <v>14700</v>
      </c>
      <c r="J109" s="2" t="n">
        <f aca="false">H109+I109</f>
        <v>29400</v>
      </c>
      <c r="K109" s="2" t="str">
        <f aca="false">IF(E109="Yes","Generated","Not Applicable")</f>
        <v>Generated</v>
      </c>
    </row>
    <row r="110" customFormat="false" ht="15" hidden="false" customHeight="false" outlineLevel="0" collapsed="false">
      <c r="A110" s="2" t="s">
        <v>265</v>
      </c>
      <c r="B110" s="2" t="s">
        <v>266</v>
      </c>
      <c r="C110" s="2" t="s">
        <v>649</v>
      </c>
      <c r="D110" s="2" t="n">
        <v>2026</v>
      </c>
      <c r="E110" s="2" t="str">
        <f aca="false">INDEX('Employee Master'!$K$2:$K$201,MATCH(A110,'Employee Master'!$A$2:$A$201,0))</f>
        <v>Yes</v>
      </c>
      <c r="F110" s="4" t="n">
        <f aca="false">INDEX('Employee Master'!$L$2:$L$201,MATCH(A110,'Employee Master'!$A$2:$A$201,0))</f>
        <v>0.12</v>
      </c>
      <c r="G110" s="2" t="n">
        <f aca="false">INDEX('Employee Master'!$G$2:$G$201,MATCH(A110,'Employee Master'!$A$2:$A$201,0))</f>
        <v>33000</v>
      </c>
      <c r="H110" s="2" t="n">
        <f aca="false">IF(E110="Yes",ROUND(G110*F110,0),0)</f>
        <v>3960</v>
      </c>
      <c r="I110" s="2" t="n">
        <f aca="false">IF(E110="Yes",ROUND(G110*F110,0),0)</f>
        <v>3960</v>
      </c>
      <c r="J110" s="2" t="n">
        <f aca="false">H110+I110</f>
        <v>7920</v>
      </c>
      <c r="K110" s="2" t="str">
        <f aca="false">IF(E110="Yes","Generated","Not Applicable")</f>
        <v>Generated</v>
      </c>
    </row>
    <row r="111" customFormat="false" ht="15" hidden="false" customHeight="false" outlineLevel="0" collapsed="false">
      <c r="A111" s="2" t="s">
        <v>267</v>
      </c>
      <c r="B111" s="2" t="s">
        <v>268</v>
      </c>
      <c r="C111" s="2" t="s">
        <v>649</v>
      </c>
      <c r="D111" s="2" t="n">
        <v>2026</v>
      </c>
      <c r="E111" s="2" t="str">
        <f aca="false">INDEX('Employee Master'!$K$2:$K$201,MATCH(A111,'Employee Master'!$A$2:$A$201,0))</f>
        <v>Yes</v>
      </c>
      <c r="F111" s="4" t="n">
        <f aca="false">INDEX('Employee Master'!$L$2:$L$201,MATCH(A111,'Employee Master'!$A$2:$A$201,0))</f>
        <v>0.12</v>
      </c>
      <c r="G111" s="2" t="n">
        <f aca="false">INDEX('Employee Master'!$G$2:$G$201,MATCH(A111,'Employee Master'!$A$2:$A$201,0))</f>
        <v>76000</v>
      </c>
      <c r="H111" s="2" t="n">
        <f aca="false">IF(E111="Yes",ROUND(G111*F111,0),0)</f>
        <v>9120</v>
      </c>
      <c r="I111" s="2" t="n">
        <f aca="false">IF(E111="Yes",ROUND(G111*F111,0),0)</f>
        <v>9120</v>
      </c>
      <c r="J111" s="2" t="n">
        <f aca="false">H111+I111</f>
        <v>18240</v>
      </c>
      <c r="K111" s="2" t="str">
        <f aca="false">IF(E111="Yes","Generated","Not Applicable")</f>
        <v>Generated</v>
      </c>
    </row>
    <row r="112" customFormat="false" ht="15" hidden="false" customHeight="false" outlineLevel="0" collapsed="false">
      <c r="A112" s="2" t="s">
        <v>269</v>
      </c>
      <c r="B112" s="2" t="s">
        <v>270</v>
      </c>
      <c r="C112" s="2" t="s">
        <v>649</v>
      </c>
      <c r="D112" s="2" t="n">
        <v>2026</v>
      </c>
      <c r="E112" s="2" t="str">
        <f aca="false">INDEX('Employee Master'!$K$2:$K$201,MATCH(A112,'Employee Master'!$A$2:$A$201,0))</f>
        <v>Yes</v>
      </c>
      <c r="F112" s="4" t="n">
        <f aca="false">INDEX('Employee Master'!$L$2:$L$201,MATCH(A112,'Employee Master'!$A$2:$A$201,0))</f>
        <v>0.12</v>
      </c>
      <c r="G112" s="2" t="n">
        <f aca="false">INDEX('Employee Master'!$G$2:$G$201,MATCH(A112,'Employee Master'!$A$2:$A$201,0))</f>
        <v>49000</v>
      </c>
      <c r="H112" s="2" t="n">
        <f aca="false">IF(E112="Yes",ROUND(G112*F112,0),0)</f>
        <v>5880</v>
      </c>
      <c r="I112" s="2" t="n">
        <f aca="false">IF(E112="Yes",ROUND(G112*F112,0),0)</f>
        <v>5880</v>
      </c>
      <c r="J112" s="2" t="n">
        <f aca="false">H112+I112</f>
        <v>11760</v>
      </c>
      <c r="K112" s="2" t="str">
        <f aca="false">IF(E112="Yes","Generated","Not Applicable")</f>
        <v>Generated</v>
      </c>
    </row>
    <row r="113" customFormat="false" ht="15" hidden="false" customHeight="false" outlineLevel="0" collapsed="false">
      <c r="A113" s="2" t="s">
        <v>271</v>
      </c>
      <c r="B113" s="2" t="s">
        <v>272</v>
      </c>
      <c r="C113" s="2" t="s">
        <v>649</v>
      </c>
      <c r="D113" s="2" t="n">
        <v>2026</v>
      </c>
      <c r="E113" s="2" t="str">
        <f aca="false">INDEX('Employee Master'!$K$2:$K$201,MATCH(A113,'Employee Master'!$A$2:$A$201,0))</f>
        <v>Yes</v>
      </c>
      <c r="F113" s="4" t="n">
        <f aca="false">INDEX('Employee Master'!$L$2:$L$201,MATCH(A113,'Employee Master'!$A$2:$A$201,0))</f>
        <v>0.12</v>
      </c>
      <c r="G113" s="2" t="n">
        <f aca="false">INDEX('Employee Master'!$G$2:$G$201,MATCH(A113,'Employee Master'!$A$2:$A$201,0))</f>
        <v>71500</v>
      </c>
      <c r="H113" s="2" t="n">
        <f aca="false">IF(E113="Yes",ROUND(G113*F113,0),0)</f>
        <v>8580</v>
      </c>
      <c r="I113" s="2" t="n">
        <f aca="false">IF(E113="Yes",ROUND(G113*F113,0),0)</f>
        <v>8580</v>
      </c>
      <c r="J113" s="2" t="n">
        <f aca="false">H113+I113</f>
        <v>17160</v>
      </c>
      <c r="K113" s="2" t="str">
        <f aca="false">IF(E113="Yes","Generated","Not Applicable")</f>
        <v>Generated</v>
      </c>
    </row>
    <row r="114" customFormat="false" ht="15" hidden="false" customHeight="false" outlineLevel="0" collapsed="false">
      <c r="A114" s="2" t="s">
        <v>273</v>
      </c>
      <c r="B114" s="2" t="s">
        <v>274</v>
      </c>
      <c r="C114" s="2" t="s">
        <v>649</v>
      </c>
      <c r="D114" s="2" t="n">
        <v>2026</v>
      </c>
      <c r="E114" s="2" t="str">
        <f aca="false">INDEX('Employee Master'!$K$2:$K$201,MATCH(A114,'Employee Master'!$A$2:$A$201,0))</f>
        <v>Yes</v>
      </c>
      <c r="F114" s="4" t="n">
        <f aca="false">INDEX('Employee Master'!$L$2:$L$201,MATCH(A114,'Employee Master'!$A$2:$A$201,0))</f>
        <v>0.12</v>
      </c>
      <c r="G114" s="2" t="n">
        <f aca="false">INDEX('Employee Master'!$G$2:$G$201,MATCH(A114,'Employee Master'!$A$2:$A$201,0))</f>
        <v>91000</v>
      </c>
      <c r="H114" s="2" t="n">
        <f aca="false">IF(E114="Yes",ROUND(G114*F114,0),0)</f>
        <v>10920</v>
      </c>
      <c r="I114" s="2" t="n">
        <f aca="false">IF(E114="Yes",ROUND(G114*F114,0),0)</f>
        <v>10920</v>
      </c>
      <c r="J114" s="2" t="n">
        <f aca="false">H114+I114</f>
        <v>21840</v>
      </c>
      <c r="K114" s="2" t="str">
        <f aca="false">IF(E114="Yes","Generated","Not Applicable")</f>
        <v>Generated</v>
      </c>
    </row>
    <row r="115" customFormat="false" ht="15" hidden="false" customHeight="false" outlineLevel="0" collapsed="false">
      <c r="A115" s="2" t="s">
        <v>275</v>
      </c>
      <c r="B115" s="2" t="s">
        <v>276</v>
      </c>
      <c r="C115" s="2" t="s">
        <v>649</v>
      </c>
      <c r="D115" s="2" t="n">
        <v>2026</v>
      </c>
      <c r="E115" s="2" t="str">
        <f aca="false">INDEX('Employee Master'!$K$2:$K$201,MATCH(A115,'Employee Master'!$A$2:$A$201,0))</f>
        <v>Yes</v>
      </c>
      <c r="F115" s="4" t="n">
        <f aca="false">INDEX('Employee Master'!$L$2:$L$201,MATCH(A115,'Employee Master'!$A$2:$A$201,0))</f>
        <v>0.12</v>
      </c>
      <c r="G115" s="2" t="n">
        <f aca="false">INDEX('Employee Master'!$G$2:$G$201,MATCH(A115,'Employee Master'!$A$2:$A$201,0))</f>
        <v>37000</v>
      </c>
      <c r="H115" s="2" t="n">
        <f aca="false">IF(E115="Yes",ROUND(G115*F115,0),0)</f>
        <v>4440</v>
      </c>
      <c r="I115" s="2" t="n">
        <f aca="false">IF(E115="Yes",ROUND(G115*F115,0),0)</f>
        <v>4440</v>
      </c>
      <c r="J115" s="2" t="n">
        <f aca="false">H115+I115</f>
        <v>8880</v>
      </c>
      <c r="K115" s="2" t="str">
        <f aca="false">IF(E115="Yes","Generated","Not Applicable")</f>
        <v>Generated</v>
      </c>
    </row>
    <row r="116" customFormat="false" ht="15" hidden="false" customHeight="false" outlineLevel="0" collapsed="false">
      <c r="A116" s="2" t="s">
        <v>277</v>
      </c>
      <c r="B116" s="2" t="s">
        <v>278</v>
      </c>
      <c r="C116" s="2" t="s">
        <v>649</v>
      </c>
      <c r="D116" s="2" t="n">
        <v>2026</v>
      </c>
      <c r="E116" s="2" t="str">
        <f aca="false">INDEX('Employee Master'!$K$2:$K$201,MATCH(A116,'Employee Master'!$A$2:$A$201,0))</f>
        <v>Yes</v>
      </c>
      <c r="F116" s="4" t="n">
        <f aca="false">INDEX('Employee Master'!$L$2:$L$201,MATCH(A116,'Employee Master'!$A$2:$A$201,0))</f>
        <v>0.12</v>
      </c>
      <c r="G116" s="2" t="n">
        <f aca="false">INDEX('Employee Master'!$G$2:$G$201,MATCH(A116,'Employee Master'!$A$2:$A$201,0))</f>
        <v>78500</v>
      </c>
      <c r="H116" s="2" t="n">
        <f aca="false">IF(E116="Yes",ROUND(G116*F116,0),0)</f>
        <v>9420</v>
      </c>
      <c r="I116" s="2" t="n">
        <f aca="false">IF(E116="Yes",ROUND(G116*F116,0),0)</f>
        <v>9420</v>
      </c>
      <c r="J116" s="2" t="n">
        <f aca="false">H116+I116</f>
        <v>18840</v>
      </c>
      <c r="K116" s="2" t="str">
        <f aca="false">IF(E116="Yes","Generated","Not Applicable")</f>
        <v>Generated</v>
      </c>
    </row>
    <row r="117" customFormat="false" ht="15" hidden="false" customHeight="false" outlineLevel="0" collapsed="false">
      <c r="A117" s="2" t="s">
        <v>279</v>
      </c>
      <c r="B117" s="2" t="s">
        <v>280</v>
      </c>
      <c r="C117" s="2" t="s">
        <v>649</v>
      </c>
      <c r="D117" s="2" t="n">
        <v>2026</v>
      </c>
      <c r="E117" s="2" t="str">
        <f aca="false">INDEX('Employee Master'!$K$2:$K$201,MATCH(A117,'Employee Master'!$A$2:$A$201,0))</f>
        <v>Yes</v>
      </c>
      <c r="F117" s="4" t="n">
        <f aca="false">INDEX('Employee Master'!$L$2:$L$201,MATCH(A117,'Employee Master'!$A$2:$A$201,0))</f>
        <v>0.12</v>
      </c>
      <c r="G117" s="2" t="n">
        <f aca="false">INDEX('Employee Master'!$G$2:$G$201,MATCH(A117,'Employee Master'!$A$2:$A$201,0))</f>
        <v>66000</v>
      </c>
      <c r="H117" s="2" t="n">
        <f aca="false">IF(E117="Yes",ROUND(G117*F117,0),0)</f>
        <v>7920</v>
      </c>
      <c r="I117" s="2" t="n">
        <f aca="false">IF(E117="Yes",ROUND(G117*F117,0),0)</f>
        <v>7920</v>
      </c>
      <c r="J117" s="2" t="n">
        <f aca="false">H117+I117</f>
        <v>15840</v>
      </c>
      <c r="K117" s="2" t="str">
        <f aca="false">IF(E117="Yes","Generated","Not Applicable")</f>
        <v>Generated</v>
      </c>
    </row>
    <row r="118" customFormat="false" ht="15" hidden="false" customHeight="false" outlineLevel="0" collapsed="false">
      <c r="A118" s="2" t="s">
        <v>281</v>
      </c>
      <c r="B118" s="2" t="s">
        <v>282</v>
      </c>
      <c r="C118" s="2" t="s">
        <v>649</v>
      </c>
      <c r="D118" s="2" t="n">
        <v>2026</v>
      </c>
      <c r="E118" s="2" t="str">
        <f aca="false">INDEX('Employee Master'!$K$2:$K$201,MATCH(A118,'Employee Master'!$A$2:$A$201,0))</f>
        <v>Yes</v>
      </c>
      <c r="F118" s="4" t="n">
        <f aca="false">INDEX('Employee Master'!$L$2:$L$201,MATCH(A118,'Employee Master'!$A$2:$A$201,0))</f>
        <v>0.12</v>
      </c>
      <c r="G118" s="2" t="n">
        <f aca="false">INDEX('Employee Master'!$G$2:$G$201,MATCH(A118,'Employee Master'!$A$2:$A$201,0))</f>
        <v>22500</v>
      </c>
      <c r="H118" s="2" t="n">
        <f aca="false">IF(E118="Yes",ROUND(G118*F118,0),0)</f>
        <v>2700</v>
      </c>
      <c r="I118" s="2" t="n">
        <f aca="false">IF(E118="Yes",ROUND(G118*F118,0),0)</f>
        <v>2700</v>
      </c>
      <c r="J118" s="2" t="n">
        <f aca="false">H118+I118</f>
        <v>5400</v>
      </c>
      <c r="K118" s="2" t="str">
        <f aca="false">IF(E118="Yes","Generated","Not Applicable")</f>
        <v>Generated</v>
      </c>
    </row>
    <row r="119" customFormat="false" ht="15" hidden="false" customHeight="false" outlineLevel="0" collapsed="false">
      <c r="A119" s="2" t="s">
        <v>283</v>
      </c>
      <c r="B119" s="2" t="s">
        <v>284</v>
      </c>
      <c r="C119" s="2" t="s">
        <v>649</v>
      </c>
      <c r="D119" s="2" t="n">
        <v>2026</v>
      </c>
      <c r="E119" s="2" t="str">
        <f aca="false">INDEX('Employee Master'!$K$2:$K$201,MATCH(A119,'Employee Master'!$A$2:$A$201,0))</f>
        <v>Yes</v>
      </c>
      <c r="F119" s="4" t="n">
        <f aca="false">INDEX('Employee Master'!$L$2:$L$201,MATCH(A119,'Employee Master'!$A$2:$A$201,0))</f>
        <v>0.12</v>
      </c>
      <c r="G119" s="2" t="n">
        <f aca="false">INDEX('Employee Master'!$G$2:$G$201,MATCH(A119,'Employee Master'!$A$2:$A$201,0))</f>
        <v>146500</v>
      </c>
      <c r="H119" s="2" t="n">
        <f aca="false">IF(E119="Yes",ROUND(G119*F119,0),0)</f>
        <v>17580</v>
      </c>
      <c r="I119" s="2" t="n">
        <f aca="false">IF(E119="Yes",ROUND(G119*F119,0),0)</f>
        <v>17580</v>
      </c>
      <c r="J119" s="2" t="n">
        <f aca="false">H119+I119</f>
        <v>35160</v>
      </c>
      <c r="K119" s="2" t="str">
        <f aca="false">IF(E119="Yes","Generated","Not Applicable")</f>
        <v>Generated</v>
      </c>
    </row>
    <row r="120" customFormat="false" ht="15" hidden="false" customHeight="false" outlineLevel="0" collapsed="false">
      <c r="A120" s="2" t="s">
        <v>285</v>
      </c>
      <c r="B120" s="2" t="s">
        <v>286</v>
      </c>
      <c r="C120" s="2" t="s">
        <v>649</v>
      </c>
      <c r="D120" s="2" t="n">
        <v>2026</v>
      </c>
      <c r="E120" s="2" t="str">
        <f aca="false">INDEX('Employee Master'!$K$2:$K$201,MATCH(A120,'Employee Master'!$A$2:$A$201,0))</f>
        <v>Yes</v>
      </c>
      <c r="F120" s="4" t="n">
        <f aca="false">INDEX('Employee Master'!$L$2:$L$201,MATCH(A120,'Employee Master'!$A$2:$A$201,0))</f>
        <v>0.12</v>
      </c>
      <c r="G120" s="2" t="n">
        <f aca="false">INDEX('Employee Master'!$G$2:$G$201,MATCH(A120,'Employee Master'!$A$2:$A$201,0))</f>
        <v>36000</v>
      </c>
      <c r="H120" s="2" t="n">
        <f aca="false">IF(E120="Yes",ROUND(G120*F120,0),0)</f>
        <v>4320</v>
      </c>
      <c r="I120" s="2" t="n">
        <f aca="false">IF(E120="Yes",ROUND(G120*F120,0),0)</f>
        <v>4320</v>
      </c>
      <c r="J120" s="2" t="n">
        <f aca="false">H120+I120</f>
        <v>8640</v>
      </c>
      <c r="K120" s="2" t="str">
        <f aca="false">IF(E120="Yes","Generated","Not Applicable")</f>
        <v>Generated</v>
      </c>
    </row>
    <row r="121" customFormat="false" ht="15" hidden="false" customHeight="false" outlineLevel="0" collapsed="false">
      <c r="A121" s="2" t="s">
        <v>287</v>
      </c>
      <c r="B121" s="2" t="s">
        <v>288</v>
      </c>
      <c r="C121" s="2" t="s">
        <v>649</v>
      </c>
      <c r="D121" s="2" t="n">
        <v>2026</v>
      </c>
      <c r="E121" s="2" t="str">
        <f aca="false">INDEX('Employee Master'!$K$2:$K$201,MATCH(A121,'Employee Master'!$A$2:$A$201,0))</f>
        <v>Yes</v>
      </c>
      <c r="F121" s="4" t="n">
        <f aca="false">INDEX('Employee Master'!$L$2:$L$201,MATCH(A121,'Employee Master'!$A$2:$A$201,0))</f>
        <v>0.12</v>
      </c>
      <c r="G121" s="2" t="n">
        <f aca="false">INDEX('Employee Master'!$G$2:$G$201,MATCH(A121,'Employee Master'!$A$2:$A$201,0))</f>
        <v>71000</v>
      </c>
      <c r="H121" s="2" t="n">
        <f aca="false">IF(E121="Yes",ROUND(G121*F121,0),0)</f>
        <v>8520</v>
      </c>
      <c r="I121" s="2" t="n">
        <f aca="false">IF(E121="Yes",ROUND(G121*F121,0),0)</f>
        <v>8520</v>
      </c>
      <c r="J121" s="2" t="n">
        <f aca="false">H121+I121</f>
        <v>17040</v>
      </c>
      <c r="K121" s="2" t="str">
        <f aca="false">IF(E121="Yes","Generated","Not Applicable")</f>
        <v>Generated</v>
      </c>
    </row>
    <row r="122" customFormat="false" ht="15" hidden="false" customHeight="false" outlineLevel="0" collapsed="false">
      <c r="A122" s="2" t="s">
        <v>289</v>
      </c>
      <c r="B122" s="2" t="s">
        <v>290</v>
      </c>
      <c r="C122" s="2" t="s">
        <v>649</v>
      </c>
      <c r="D122" s="2" t="n">
        <v>2026</v>
      </c>
      <c r="E122" s="2" t="str">
        <f aca="false">INDEX('Employee Master'!$K$2:$K$201,MATCH(A122,'Employee Master'!$A$2:$A$201,0))</f>
        <v>Yes</v>
      </c>
      <c r="F122" s="4" t="n">
        <f aca="false">INDEX('Employee Master'!$L$2:$L$201,MATCH(A122,'Employee Master'!$A$2:$A$201,0))</f>
        <v>0.12</v>
      </c>
      <c r="G122" s="2" t="n">
        <f aca="false">INDEX('Employee Master'!$G$2:$G$201,MATCH(A122,'Employee Master'!$A$2:$A$201,0))</f>
        <v>75500</v>
      </c>
      <c r="H122" s="2" t="n">
        <f aca="false">IF(E122="Yes",ROUND(G122*F122,0),0)</f>
        <v>9060</v>
      </c>
      <c r="I122" s="2" t="n">
        <f aca="false">IF(E122="Yes",ROUND(G122*F122,0),0)</f>
        <v>9060</v>
      </c>
      <c r="J122" s="2" t="n">
        <f aca="false">H122+I122</f>
        <v>18120</v>
      </c>
      <c r="K122" s="2" t="str">
        <f aca="false">IF(E122="Yes","Generated","Not Applicable")</f>
        <v>Generated</v>
      </c>
    </row>
    <row r="123" customFormat="false" ht="15" hidden="false" customHeight="false" outlineLevel="0" collapsed="false">
      <c r="A123" s="2" t="s">
        <v>291</v>
      </c>
      <c r="B123" s="2" t="s">
        <v>292</v>
      </c>
      <c r="C123" s="2" t="s">
        <v>649</v>
      </c>
      <c r="D123" s="2" t="n">
        <v>2026</v>
      </c>
      <c r="E123" s="2" t="str">
        <f aca="false">INDEX('Employee Master'!$K$2:$K$201,MATCH(A123,'Employee Master'!$A$2:$A$201,0))</f>
        <v>Yes</v>
      </c>
      <c r="F123" s="4" t="n">
        <f aca="false">INDEX('Employee Master'!$L$2:$L$201,MATCH(A123,'Employee Master'!$A$2:$A$201,0))</f>
        <v>0.12</v>
      </c>
      <c r="G123" s="2" t="n">
        <f aca="false">INDEX('Employee Master'!$G$2:$G$201,MATCH(A123,'Employee Master'!$A$2:$A$201,0))</f>
        <v>35000</v>
      </c>
      <c r="H123" s="2" t="n">
        <f aca="false">IF(E123="Yes",ROUND(G123*F123,0),0)</f>
        <v>4200</v>
      </c>
      <c r="I123" s="2" t="n">
        <f aca="false">IF(E123="Yes",ROUND(G123*F123,0),0)</f>
        <v>4200</v>
      </c>
      <c r="J123" s="2" t="n">
        <f aca="false">H123+I123</f>
        <v>8400</v>
      </c>
      <c r="K123" s="2" t="str">
        <f aca="false">IF(E123="Yes","Generated","Not Applicable")</f>
        <v>Generated</v>
      </c>
    </row>
    <row r="124" customFormat="false" ht="15" hidden="false" customHeight="false" outlineLevel="0" collapsed="false">
      <c r="A124" s="2" t="s">
        <v>293</v>
      </c>
      <c r="B124" s="2" t="s">
        <v>294</v>
      </c>
      <c r="C124" s="2" t="s">
        <v>649</v>
      </c>
      <c r="D124" s="2" t="n">
        <v>2026</v>
      </c>
      <c r="E124" s="2" t="str">
        <f aca="false">INDEX('Employee Master'!$K$2:$K$201,MATCH(A124,'Employee Master'!$A$2:$A$201,0))</f>
        <v>Yes</v>
      </c>
      <c r="F124" s="4" t="n">
        <f aca="false">INDEX('Employee Master'!$L$2:$L$201,MATCH(A124,'Employee Master'!$A$2:$A$201,0))</f>
        <v>0.12</v>
      </c>
      <c r="G124" s="2" t="n">
        <f aca="false">INDEX('Employee Master'!$G$2:$G$201,MATCH(A124,'Employee Master'!$A$2:$A$201,0))</f>
        <v>80500</v>
      </c>
      <c r="H124" s="2" t="n">
        <f aca="false">IF(E124="Yes",ROUND(G124*F124,0),0)</f>
        <v>9660</v>
      </c>
      <c r="I124" s="2" t="n">
        <f aca="false">IF(E124="Yes",ROUND(G124*F124,0),0)</f>
        <v>9660</v>
      </c>
      <c r="J124" s="2" t="n">
        <f aca="false">H124+I124</f>
        <v>19320</v>
      </c>
      <c r="K124" s="2" t="str">
        <f aca="false">IF(E124="Yes","Generated","Not Applicable")</f>
        <v>Generated</v>
      </c>
    </row>
    <row r="125" customFormat="false" ht="15" hidden="false" customHeight="false" outlineLevel="0" collapsed="false">
      <c r="A125" s="2" t="s">
        <v>295</v>
      </c>
      <c r="B125" s="2" t="s">
        <v>296</v>
      </c>
      <c r="C125" s="2" t="s">
        <v>649</v>
      </c>
      <c r="D125" s="2" t="n">
        <v>2026</v>
      </c>
      <c r="E125" s="2" t="str">
        <f aca="false">INDEX('Employee Master'!$K$2:$K$201,MATCH(A125,'Employee Master'!$A$2:$A$201,0))</f>
        <v>Yes</v>
      </c>
      <c r="F125" s="4" t="n">
        <f aca="false">INDEX('Employee Master'!$L$2:$L$201,MATCH(A125,'Employee Master'!$A$2:$A$201,0))</f>
        <v>0.12</v>
      </c>
      <c r="G125" s="2" t="n">
        <f aca="false">INDEX('Employee Master'!$G$2:$G$201,MATCH(A125,'Employee Master'!$A$2:$A$201,0))</f>
        <v>38000</v>
      </c>
      <c r="H125" s="2" t="n">
        <f aca="false">IF(E125="Yes",ROUND(G125*F125,0),0)</f>
        <v>4560</v>
      </c>
      <c r="I125" s="2" t="n">
        <f aca="false">IF(E125="Yes",ROUND(G125*F125,0),0)</f>
        <v>4560</v>
      </c>
      <c r="J125" s="2" t="n">
        <f aca="false">H125+I125</f>
        <v>9120</v>
      </c>
      <c r="K125" s="2" t="str">
        <f aca="false">IF(E125="Yes","Generated","Not Applicable")</f>
        <v>Generated</v>
      </c>
    </row>
    <row r="126" customFormat="false" ht="15" hidden="false" customHeight="false" outlineLevel="0" collapsed="false">
      <c r="A126" s="2" t="s">
        <v>297</v>
      </c>
      <c r="B126" s="2" t="s">
        <v>298</v>
      </c>
      <c r="C126" s="2" t="s">
        <v>649</v>
      </c>
      <c r="D126" s="2" t="n">
        <v>2026</v>
      </c>
      <c r="E126" s="2" t="str">
        <f aca="false">INDEX('Employee Master'!$K$2:$K$201,MATCH(A126,'Employee Master'!$A$2:$A$201,0))</f>
        <v>Yes</v>
      </c>
      <c r="F126" s="4" t="n">
        <f aca="false">INDEX('Employee Master'!$L$2:$L$201,MATCH(A126,'Employee Master'!$A$2:$A$201,0))</f>
        <v>0.12</v>
      </c>
      <c r="G126" s="2" t="n">
        <f aca="false">INDEX('Employee Master'!$G$2:$G$201,MATCH(A126,'Employee Master'!$A$2:$A$201,0))</f>
        <v>51500</v>
      </c>
      <c r="H126" s="2" t="n">
        <f aca="false">IF(E126="Yes",ROUND(G126*F126,0),0)</f>
        <v>6180</v>
      </c>
      <c r="I126" s="2" t="n">
        <f aca="false">IF(E126="Yes",ROUND(G126*F126,0),0)</f>
        <v>6180</v>
      </c>
      <c r="J126" s="2" t="n">
        <f aca="false">H126+I126</f>
        <v>12360</v>
      </c>
      <c r="K126" s="2" t="str">
        <f aca="false">IF(E126="Yes","Generated","Not Applicable")</f>
        <v>Generated</v>
      </c>
    </row>
    <row r="127" customFormat="false" ht="15" hidden="false" customHeight="false" outlineLevel="0" collapsed="false">
      <c r="A127" s="2" t="s">
        <v>299</v>
      </c>
      <c r="B127" s="2" t="s">
        <v>300</v>
      </c>
      <c r="C127" s="2" t="s">
        <v>649</v>
      </c>
      <c r="D127" s="2" t="n">
        <v>2026</v>
      </c>
      <c r="E127" s="2" t="str">
        <f aca="false">INDEX('Employee Master'!$K$2:$K$201,MATCH(A127,'Employee Master'!$A$2:$A$201,0))</f>
        <v>Yes</v>
      </c>
      <c r="F127" s="4" t="n">
        <f aca="false">INDEX('Employee Master'!$L$2:$L$201,MATCH(A127,'Employee Master'!$A$2:$A$201,0))</f>
        <v>0.12</v>
      </c>
      <c r="G127" s="2" t="n">
        <f aca="false">INDEX('Employee Master'!$G$2:$G$201,MATCH(A127,'Employee Master'!$A$2:$A$201,0))</f>
        <v>22500</v>
      </c>
      <c r="H127" s="2" t="n">
        <f aca="false">IF(E127="Yes",ROUND(G127*F127,0),0)</f>
        <v>2700</v>
      </c>
      <c r="I127" s="2" t="n">
        <f aca="false">IF(E127="Yes",ROUND(G127*F127,0),0)</f>
        <v>2700</v>
      </c>
      <c r="J127" s="2" t="n">
        <f aca="false">H127+I127</f>
        <v>5400</v>
      </c>
      <c r="K127" s="2" t="str">
        <f aca="false">IF(E127="Yes","Generated","Not Applicable")</f>
        <v>Generated</v>
      </c>
    </row>
    <row r="128" customFormat="false" ht="15" hidden="false" customHeight="false" outlineLevel="0" collapsed="false">
      <c r="A128" s="2" t="s">
        <v>301</v>
      </c>
      <c r="B128" s="2" t="s">
        <v>302</v>
      </c>
      <c r="C128" s="2" t="s">
        <v>649</v>
      </c>
      <c r="D128" s="2" t="n">
        <v>2026</v>
      </c>
      <c r="E128" s="2" t="str">
        <f aca="false">INDEX('Employee Master'!$K$2:$K$201,MATCH(A128,'Employee Master'!$A$2:$A$201,0))</f>
        <v>Yes</v>
      </c>
      <c r="F128" s="4" t="n">
        <f aca="false">INDEX('Employee Master'!$L$2:$L$201,MATCH(A128,'Employee Master'!$A$2:$A$201,0))</f>
        <v>0.12</v>
      </c>
      <c r="G128" s="2" t="n">
        <f aca="false">INDEX('Employee Master'!$G$2:$G$201,MATCH(A128,'Employee Master'!$A$2:$A$201,0))</f>
        <v>35500</v>
      </c>
      <c r="H128" s="2" t="n">
        <f aca="false">IF(E128="Yes",ROUND(G128*F128,0),0)</f>
        <v>4260</v>
      </c>
      <c r="I128" s="2" t="n">
        <f aca="false">IF(E128="Yes",ROUND(G128*F128,0),0)</f>
        <v>4260</v>
      </c>
      <c r="J128" s="2" t="n">
        <f aca="false">H128+I128</f>
        <v>8520</v>
      </c>
      <c r="K128" s="2" t="str">
        <f aca="false">IF(E128="Yes","Generated","Not Applicable")</f>
        <v>Generated</v>
      </c>
    </row>
    <row r="129" customFormat="false" ht="15" hidden="false" customHeight="false" outlineLevel="0" collapsed="false">
      <c r="A129" s="2" t="s">
        <v>303</v>
      </c>
      <c r="B129" s="2" t="s">
        <v>304</v>
      </c>
      <c r="C129" s="2" t="s">
        <v>649</v>
      </c>
      <c r="D129" s="2" t="n">
        <v>2026</v>
      </c>
      <c r="E129" s="2" t="str">
        <f aca="false">INDEX('Employee Master'!$K$2:$K$201,MATCH(A129,'Employee Master'!$A$2:$A$201,0))</f>
        <v>Yes</v>
      </c>
      <c r="F129" s="4" t="n">
        <f aca="false">INDEX('Employee Master'!$L$2:$L$201,MATCH(A129,'Employee Master'!$A$2:$A$201,0))</f>
        <v>0.12</v>
      </c>
      <c r="G129" s="2" t="n">
        <f aca="false">INDEX('Employee Master'!$G$2:$G$201,MATCH(A129,'Employee Master'!$A$2:$A$201,0))</f>
        <v>30000</v>
      </c>
      <c r="H129" s="2" t="n">
        <f aca="false">IF(E129="Yes",ROUND(G129*F129,0),0)</f>
        <v>3600</v>
      </c>
      <c r="I129" s="2" t="n">
        <f aca="false">IF(E129="Yes",ROUND(G129*F129,0),0)</f>
        <v>3600</v>
      </c>
      <c r="J129" s="2" t="n">
        <f aca="false">H129+I129</f>
        <v>7200</v>
      </c>
      <c r="K129" s="2" t="str">
        <f aca="false">IF(E129="Yes","Generated","Not Applicable")</f>
        <v>Generated</v>
      </c>
    </row>
    <row r="130" customFormat="false" ht="15" hidden="false" customHeight="false" outlineLevel="0" collapsed="false">
      <c r="A130" s="2" t="s">
        <v>305</v>
      </c>
      <c r="B130" s="2" t="s">
        <v>306</v>
      </c>
      <c r="C130" s="2" t="s">
        <v>649</v>
      </c>
      <c r="D130" s="2" t="n">
        <v>2026</v>
      </c>
      <c r="E130" s="2" t="str">
        <f aca="false">INDEX('Employee Master'!$K$2:$K$201,MATCH(A130,'Employee Master'!$A$2:$A$201,0))</f>
        <v>Yes</v>
      </c>
      <c r="F130" s="4" t="n">
        <f aca="false">INDEX('Employee Master'!$L$2:$L$201,MATCH(A130,'Employee Master'!$A$2:$A$201,0))</f>
        <v>0.12</v>
      </c>
      <c r="G130" s="2" t="n">
        <f aca="false">INDEX('Employee Master'!$G$2:$G$201,MATCH(A130,'Employee Master'!$A$2:$A$201,0))</f>
        <v>36000</v>
      </c>
      <c r="H130" s="2" t="n">
        <f aca="false">IF(E130="Yes",ROUND(G130*F130,0),0)</f>
        <v>4320</v>
      </c>
      <c r="I130" s="2" t="n">
        <f aca="false">IF(E130="Yes",ROUND(G130*F130,0),0)</f>
        <v>4320</v>
      </c>
      <c r="J130" s="2" t="n">
        <f aca="false">H130+I130</f>
        <v>8640</v>
      </c>
      <c r="K130" s="2" t="str">
        <f aca="false">IF(E130="Yes","Generated","Not Applicable")</f>
        <v>Generated</v>
      </c>
    </row>
    <row r="131" customFormat="false" ht="15" hidden="false" customHeight="false" outlineLevel="0" collapsed="false">
      <c r="A131" s="2" t="s">
        <v>307</v>
      </c>
      <c r="B131" s="2" t="s">
        <v>308</v>
      </c>
      <c r="C131" s="2" t="s">
        <v>649</v>
      </c>
      <c r="D131" s="2" t="n">
        <v>2026</v>
      </c>
      <c r="E131" s="2" t="str">
        <f aca="false">INDEX('Employee Master'!$K$2:$K$201,MATCH(A131,'Employee Master'!$A$2:$A$201,0))</f>
        <v>Yes</v>
      </c>
      <c r="F131" s="4" t="n">
        <f aca="false">INDEX('Employee Master'!$L$2:$L$201,MATCH(A131,'Employee Master'!$A$2:$A$201,0))</f>
        <v>0.12</v>
      </c>
      <c r="G131" s="2" t="n">
        <f aca="false">INDEX('Employee Master'!$G$2:$G$201,MATCH(A131,'Employee Master'!$A$2:$A$201,0))</f>
        <v>50000</v>
      </c>
      <c r="H131" s="2" t="n">
        <f aca="false">IF(E131="Yes",ROUND(G131*F131,0),0)</f>
        <v>6000</v>
      </c>
      <c r="I131" s="2" t="n">
        <f aca="false">IF(E131="Yes",ROUND(G131*F131,0),0)</f>
        <v>6000</v>
      </c>
      <c r="J131" s="2" t="n">
        <f aca="false">H131+I131</f>
        <v>12000</v>
      </c>
      <c r="K131" s="2" t="str">
        <f aca="false">IF(E131="Yes","Generated","Not Applicable")</f>
        <v>Generated</v>
      </c>
    </row>
    <row r="132" customFormat="false" ht="15" hidden="false" customHeight="false" outlineLevel="0" collapsed="false">
      <c r="A132" s="2" t="s">
        <v>309</v>
      </c>
      <c r="B132" s="2" t="s">
        <v>310</v>
      </c>
      <c r="C132" s="2" t="s">
        <v>649</v>
      </c>
      <c r="D132" s="2" t="n">
        <v>2026</v>
      </c>
      <c r="E132" s="2" t="str">
        <f aca="false">INDEX('Employee Master'!$K$2:$K$201,MATCH(A132,'Employee Master'!$A$2:$A$201,0))</f>
        <v>Yes</v>
      </c>
      <c r="F132" s="4" t="n">
        <f aca="false">INDEX('Employee Master'!$L$2:$L$201,MATCH(A132,'Employee Master'!$A$2:$A$201,0))</f>
        <v>0.12</v>
      </c>
      <c r="G132" s="2" t="n">
        <f aca="false">INDEX('Employee Master'!$G$2:$G$201,MATCH(A132,'Employee Master'!$A$2:$A$201,0))</f>
        <v>64000</v>
      </c>
      <c r="H132" s="2" t="n">
        <f aca="false">IF(E132="Yes",ROUND(G132*F132,0),0)</f>
        <v>7680</v>
      </c>
      <c r="I132" s="2" t="n">
        <f aca="false">IF(E132="Yes",ROUND(G132*F132,0),0)</f>
        <v>7680</v>
      </c>
      <c r="J132" s="2" t="n">
        <f aca="false">H132+I132</f>
        <v>15360</v>
      </c>
      <c r="K132" s="2" t="str">
        <f aca="false">IF(E132="Yes","Generated","Not Applicable")</f>
        <v>Generated</v>
      </c>
    </row>
    <row r="133" customFormat="false" ht="15" hidden="false" customHeight="false" outlineLevel="0" collapsed="false">
      <c r="A133" s="2" t="s">
        <v>311</v>
      </c>
      <c r="B133" s="2" t="s">
        <v>312</v>
      </c>
      <c r="C133" s="2" t="s">
        <v>649</v>
      </c>
      <c r="D133" s="2" t="n">
        <v>2026</v>
      </c>
      <c r="E133" s="2" t="str">
        <f aca="false">INDEX('Employee Master'!$K$2:$K$201,MATCH(A133,'Employee Master'!$A$2:$A$201,0))</f>
        <v>Yes</v>
      </c>
      <c r="F133" s="4" t="n">
        <f aca="false">INDEX('Employee Master'!$L$2:$L$201,MATCH(A133,'Employee Master'!$A$2:$A$201,0))</f>
        <v>0.12</v>
      </c>
      <c r="G133" s="2" t="n">
        <f aca="false">INDEX('Employee Master'!$G$2:$G$201,MATCH(A133,'Employee Master'!$A$2:$A$201,0))</f>
        <v>51500</v>
      </c>
      <c r="H133" s="2" t="n">
        <f aca="false">IF(E133="Yes",ROUND(G133*F133,0),0)</f>
        <v>6180</v>
      </c>
      <c r="I133" s="2" t="n">
        <f aca="false">IF(E133="Yes",ROUND(G133*F133,0),0)</f>
        <v>6180</v>
      </c>
      <c r="J133" s="2" t="n">
        <f aca="false">H133+I133</f>
        <v>12360</v>
      </c>
      <c r="K133" s="2" t="str">
        <f aca="false">IF(E133="Yes","Generated","Not Applicable")</f>
        <v>Generated</v>
      </c>
    </row>
    <row r="134" customFormat="false" ht="15" hidden="false" customHeight="false" outlineLevel="0" collapsed="false">
      <c r="A134" s="2" t="s">
        <v>313</v>
      </c>
      <c r="B134" s="2" t="s">
        <v>314</v>
      </c>
      <c r="C134" s="2" t="s">
        <v>649</v>
      </c>
      <c r="D134" s="2" t="n">
        <v>2026</v>
      </c>
      <c r="E134" s="2" t="str">
        <f aca="false">INDEX('Employee Master'!$K$2:$K$201,MATCH(A134,'Employee Master'!$A$2:$A$201,0))</f>
        <v>Yes</v>
      </c>
      <c r="F134" s="4" t="n">
        <f aca="false">INDEX('Employee Master'!$L$2:$L$201,MATCH(A134,'Employee Master'!$A$2:$A$201,0))</f>
        <v>0.12</v>
      </c>
      <c r="G134" s="2" t="n">
        <f aca="false">INDEX('Employee Master'!$G$2:$G$201,MATCH(A134,'Employee Master'!$A$2:$A$201,0))</f>
        <v>28000</v>
      </c>
      <c r="H134" s="2" t="n">
        <f aca="false">IF(E134="Yes",ROUND(G134*F134,0),0)</f>
        <v>3360</v>
      </c>
      <c r="I134" s="2" t="n">
        <f aca="false">IF(E134="Yes",ROUND(G134*F134,0),0)</f>
        <v>3360</v>
      </c>
      <c r="J134" s="2" t="n">
        <f aca="false">H134+I134</f>
        <v>6720</v>
      </c>
      <c r="K134" s="2" t="str">
        <f aca="false">IF(E134="Yes","Generated","Not Applicable")</f>
        <v>Generated</v>
      </c>
    </row>
    <row r="135" customFormat="false" ht="15" hidden="false" customHeight="false" outlineLevel="0" collapsed="false">
      <c r="A135" s="2" t="s">
        <v>315</v>
      </c>
      <c r="B135" s="2" t="s">
        <v>316</v>
      </c>
      <c r="C135" s="2" t="s">
        <v>649</v>
      </c>
      <c r="D135" s="2" t="n">
        <v>2026</v>
      </c>
      <c r="E135" s="2" t="str">
        <f aca="false">INDEX('Employee Master'!$K$2:$K$201,MATCH(A135,'Employee Master'!$A$2:$A$201,0))</f>
        <v>Yes</v>
      </c>
      <c r="F135" s="4" t="n">
        <f aca="false">INDEX('Employee Master'!$L$2:$L$201,MATCH(A135,'Employee Master'!$A$2:$A$201,0))</f>
        <v>0.12</v>
      </c>
      <c r="G135" s="2" t="n">
        <f aca="false">INDEX('Employee Master'!$G$2:$G$201,MATCH(A135,'Employee Master'!$A$2:$A$201,0))</f>
        <v>27500</v>
      </c>
      <c r="H135" s="2" t="n">
        <f aca="false">IF(E135="Yes",ROUND(G135*F135,0),0)</f>
        <v>3300</v>
      </c>
      <c r="I135" s="2" t="n">
        <f aca="false">IF(E135="Yes",ROUND(G135*F135,0),0)</f>
        <v>3300</v>
      </c>
      <c r="J135" s="2" t="n">
        <f aca="false">H135+I135</f>
        <v>6600</v>
      </c>
      <c r="K135" s="2" t="str">
        <f aca="false">IF(E135="Yes","Generated","Not Applicable")</f>
        <v>Generated</v>
      </c>
    </row>
    <row r="136" customFormat="false" ht="15" hidden="false" customHeight="false" outlineLevel="0" collapsed="false">
      <c r="A136" s="2" t="s">
        <v>317</v>
      </c>
      <c r="B136" s="2" t="s">
        <v>318</v>
      </c>
      <c r="C136" s="2" t="s">
        <v>649</v>
      </c>
      <c r="D136" s="2" t="n">
        <v>2026</v>
      </c>
      <c r="E136" s="2" t="str">
        <f aca="false">INDEX('Employee Master'!$K$2:$K$201,MATCH(A136,'Employee Master'!$A$2:$A$201,0))</f>
        <v>Yes</v>
      </c>
      <c r="F136" s="4" t="n">
        <f aca="false">INDEX('Employee Master'!$L$2:$L$201,MATCH(A136,'Employee Master'!$A$2:$A$201,0))</f>
        <v>0.12</v>
      </c>
      <c r="G136" s="2" t="n">
        <f aca="false">INDEX('Employee Master'!$G$2:$G$201,MATCH(A136,'Employee Master'!$A$2:$A$201,0))</f>
        <v>38500</v>
      </c>
      <c r="H136" s="2" t="n">
        <f aca="false">IF(E136="Yes",ROUND(G136*F136,0),0)</f>
        <v>4620</v>
      </c>
      <c r="I136" s="2" t="n">
        <f aca="false">IF(E136="Yes",ROUND(G136*F136,0),0)</f>
        <v>4620</v>
      </c>
      <c r="J136" s="2" t="n">
        <f aca="false">H136+I136</f>
        <v>9240</v>
      </c>
      <c r="K136" s="2" t="str">
        <f aca="false">IF(E136="Yes","Generated","Not Applicable")</f>
        <v>Generated</v>
      </c>
    </row>
    <row r="137" customFormat="false" ht="15" hidden="false" customHeight="false" outlineLevel="0" collapsed="false">
      <c r="A137" s="2" t="s">
        <v>319</v>
      </c>
      <c r="B137" s="2" t="s">
        <v>320</v>
      </c>
      <c r="C137" s="2" t="s">
        <v>649</v>
      </c>
      <c r="D137" s="2" t="n">
        <v>2026</v>
      </c>
      <c r="E137" s="2" t="str">
        <f aca="false">INDEX('Employee Master'!$K$2:$K$201,MATCH(A137,'Employee Master'!$A$2:$A$201,0))</f>
        <v>Yes</v>
      </c>
      <c r="F137" s="4" t="n">
        <f aca="false">INDEX('Employee Master'!$L$2:$L$201,MATCH(A137,'Employee Master'!$A$2:$A$201,0))</f>
        <v>0.12</v>
      </c>
      <c r="G137" s="2" t="n">
        <f aca="false">INDEX('Employee Master'!$G$2:$G$201,MATCH(A137,'Employee Master'!$A$2:$A$201,0))</f>
        <v>80000</v>
      </c>
      <c r="H137" s="2" t="n">
        <f aca="false">IF(E137="Yes",ROUND(G137*F137,0),0)</f>
        <v>9600</v>
      </c>
      <c r="I137" s="2" t="n">
        <f aca="false">IF(E137="Yes",ROUND(G137*F137,0),0)</f>
        <v>9600</v>
      </c>
      <c r="J137" s="2" t="n">
        <f aca="false">H137+I137</f>
        <v>19200</v>
      </c>
      <c r="K137" s="2" t="str">
        <f aca="false">IF(E137="Yes","Generated","Not Applicable")</f>
        <v>Generated</v>
      </c>
    </row>
    <row r="138" customFormat="false" ht="15" hidden="false" customHeight="false" outlineLevel="0" collapsed="false">
      <c r="A138" s="2" t="s">
        <v>321</v>
      </c>
      <c r="B138" s="2" t="s">
        <v>322</v>
      </c>
      <c r="C138" s="2" t="s">
        <v>649</v>
      </c>
      <c r="D138" s="2" t="n">
        <v>2026</v>
      </c>
      <c r="E138" s="2" t="str">
        <f aca="false">INDEX('Employee Master'!$K$2:$K$201,MATCH(A138,'Employee Master'!$A$2:$A$201,0))</f>
        <v>Yes</v>
      </c>
      <c r="F138" s="4" t="n">
        <f aca="false">INDEX('Employee Master'!$L$2:$L$201,MATCH(A138,'Employee Master'!$A$2:$A$201,0))</f>
        <v>0.12</v>
      </c>
      <c r="G138" s="2" t="n">
        <f aca="false">INDEX('Employee Master'!$G$2:$G$201,MATCH(A138,'Employee Master'!$A$2:$A$201,0))</f>
        <v>74000</v>
      </c>
      <c r="H138" s="2" t="n">
        <f aca="false">IF(E138="Yes",ROUND(G138*F138,0),0)</f>
        <v>8880</v>
      </c>
      <c r="I138" s="2" t="n">
        <f aca="false">IF(E138="Yes",ROUND(G138*F138,0),0)</f>
        <v>8880</v>
      </c>
      <c r="J138" s="2" t="n">
        <f aca="false">H138+I138</f>
        <v>17760</v>
      </c>
      <c r="K138" s="2" t="str">
        <f aca="false">IF(E138="Yes","Generated","Not Applicable")</f>
        <v>Generated</v>
      </c>
    </row>
    <row r="139" customFormat="false" ht="15" hidden="false" customHeight="false" outlineLevel="0" collapsed="false">
      <c r="A139" s="2" t="s">
        <v>323</v>
      </c>
      <c r="B139" s="2" t="s">
        <v>324</v>
      </c>
      <c r="C139" s="2" t="s">
        <v>649</v>
      </c>
      <c r="D139" s="2" t="n">
        <v>2026</v>
      </c>
      <c r="E139" s="2" t="str">
        <f aca="false">INDEX('Employee Master'!$K$2:$K$201,MATCH(A139,'Employee Master'!$A$2:$A$201,0))</f>
        <v>Yes</v>
      </c>
      <c r="F139" s="4" t="n">
        <f aca="false">INDEX('Employee Master'!$L$2:$L$201,MATCH(A139,'Employee Master'!$A$2:$A$201,0))</f>
        <v>0.12</v>
      </c>
      <c r="G139" s="2" t="n">
        <f aca="false">INDEX('Employee Master'!$G$2:$G$201,MATCH(A139,'Employee Master'!$A$2:$A$201,0))</f>
        <v>119000</v>
      </c>
      <c r="H139" s="2" t="n">
        <f aca="false">IF(E139="Yes",ROUND(G139*F139,0),0)</f>
        <v>14280</v>
      </c>
      <c r="I139" s="2" t="n">
        <f aca="false">IF(E139="Yes",ROUND(G139*F139,0),0)</f>
        <v>14280</v>
      </c>
      <c r="J139" s="2" t="n">
        <f aca="false">H139+I139</f>
        <v>28560</v>
      </c>
      <c r="K139" s="2" t="str">
        <f aca="false">IF(E139="Yes","Generated","Not Applicable")</f>
        <v>Generated</v>
      </c>
    </row>
    <row r="140" customFormat="false" ht="15" hidden="false" customHeight="false" outlineLevel="0" collapsed="false">
      <c r="A140" s="2" t="s">
        <v>325</v>
      </c>
      <c r="B140" s="2" t="s">
        <v>326</v>
      </c>
      <c r="C140" s="2" t="s">
        <v>649</v>
      </c>
      <c r="D140" s="2" t="n">
        <v>2026</v>
      </c>
      <c r="E140" s="2" t="str">
        <f aca="false">INDEX('Employee Master'!$K$2:$K$201,MATCH(A140,'Employee Master'!$A$2:$A$201,0))</f>
        <v>Yes</v>
      </c>
      <c r="F140" s="4" t="n">
        <f aca="false">INDEX('Employee Master'!$L$2:$L$201,MATCH(A140,'Employee Master'!$A$2:$A$201,0))</f>
        <v>0.12</v>
      </c>
      <c r="G140" s="2" t="n">
        <f aca="false">INDEX('Employee Master'!$G$2:$G$201,MATCH(A140,'Employee Master'!$A$2:$A$201,0))</f>
        <v>30000</v>
      </c>
      <c r="H140" s="2" t="n">
        <f aca="false">IF(E140="Yes",ROUND(G140*F140,0),0)</f>
        <v>3600</v>
      </c>
      <c r="I140" s="2" t="n">
        <f aca="false">IF(E140="Yes",ROUND(G140*F140,0),0)</f>
        <v>3600</v>
      </c>
      <c r="J140" s="2" t="n">
        <f aca="false">H140+I140</f>
        <v>7200</v>
      </c>
      <c r="K140" s="2" t="str">
        <f aca="false">IF(E140="Yes","Generated","Not Applicable")</f>
        <v>Generated</v>
      </c>
    </row>
    <row r="141" customFormat="false" ht="15" hidden="false" customHeight="false" outlineLevel="0" collapsed="false">
      <c r="A141" s="2" t="s">
        <v>327</v>
      </c>
      <c r="B141" s="2" t="s">
        <v>328</v>
      </c>
      <c r="C141" s="2" t="s">
        <v>649</v>
      </c>
      <c r="D141" s="2" t="n">
        <v>2026</v>
      </c>
      <c r="E141" s="2" t="str">
        <f aca="false">INDEX('Employee Master'!$K$2:$K$201,MATCH(A141,'Employee Master'!$A$2:$A$201,0))</f>
        <v>Yes</v>
      </c>
      <c r="F141" s="4" t="n">
        <f aca="false">INDEX('Employee Master'!$L$2:$L$201,MATCH(A141,'Employee Master'!$A$2:$A$201,0))</f>
        <v>0.12</v>
      </c>
      <c r="G141" s="2" t="n">
        <f aca="false">INDEX('Employee Master'!$G$2:$G$201,MATCH(A141,'Employee Master'!$A$2:$A$201,0))</f>
        <v>22000</v>
      </c>
      <c r="H141" s="2" t="n">
        <f aca="false">IF(E141="Yes",ROUND(G141*F141,0),0)</f>
        <v>2640</v>
      </c>
      <c r="I141" s="2" t="n">
        <f aca="false">IF(E141="Yes",ROUND(G141*F141,0),0)</f>
        <v>2640</v>
      </c>
      <c r="J141" s="2" t="n">
        <f aca="false">H141+I141</f>
        <v>5280</v>
      </c>
      <c r="K141" s="2" t="str">
        <f aca="false">IF(E141="Yes","Generated","Not Applicable")</f>
        <v>Generated</v>
      </c>
    </row>
    <row r="142" customFormat="false" ht="15" hidden="false" customHeight="false" outlineLevel="0" collapsed="false">
      <c r="A142" s="2" t="s">
        <v>329</v>
      </c>
      <c r="B142" s="2" t="s">
        <v>330</v>
      </c>
      <c r="C142" s="2" t="s">
        <v>649</v>
      </c>
      <c r="D142" s="2" t="n">
        <v>2026</v>
      </c>
      <c r="E142" s="2" t="str">
        <f aca="false">INDEX('Employee Master'!$K$2:$K$201,MATCH(A142,'Employee Master'!$A$2:$A$201,0))</f>
        <v>Yes</v>
      </c>
      <c r="F142" s="4" t="n">
        <f aca="false">INDEX('Employee Master'!$L$2:$L$201,MATCH(A142,'Employee Master'!$A$2:$A$201,0))</f>
        <v>0.12</v>
      </c>
      <c r="G142" s="2" t="n">
        <f aca="false">INDEX('Employee Master'!$G$2:$G$201,MATCH(A142,'Employee Master'!$A$2:$A$201,0))</f>
        <v>73000</v>
      </c>
      <c r="H142" s="2" t="n">
        <f aca="false">IF(E142="Yes",ROUND(G142*F142,0),0)</f>
        <v>8760</v>
      </c>
      <c r="I142" s="2" t="n">
        <f aca="false">IF(E142="Yes",ROUND(G142*F142,0),0)</f>
        <v>8760</v>
      </c>
      <c r="J142" s="2" t="n">
        <f aca="false">H142+I142</f>
        <v>17520</v>
      </c>
      <c r="K142" s="2" t="str">
        <f aca="false">IF(E142="Yes","Generated","Not Applicable")</f>
        <v>Generated</v>
      </c>
    </row>
    <row r="143" customFormat="false" ht="15" hidden="false" customHeight="false" outlineLevel="0" collapsed="false">
      <c r="A143" s="2" t="s">
        <v>331</v>
      </c>
      <c r="B143" s="2" t="s">
        <v>332</v>
      </c>
      <c r="C143" s="2" t="s">
        <v>649</v>
      </c>
      <c r="D143" s="2" t="n">
        <v>2026</v>
      </c>
      <c r="E143" s="2" t="str">
        <f aca="false">INDEX('Employee Master'!$K$2:$K$201,MATCH(A143,'Employee Master'!$A$2:$A$201,0))</f>
        <v>Yes</v>
      </c>
      <c r="F143" s="4" t="n">
        <f aca="false">INDEX('Employee Master'!$L$2:$L$201,MATCH(A143,'Employee Master'!$A$2:$A$201,0))</f>
        <v>0.12</v>
      </c>
      <c r="G143" s="2" t="n">
        <f aca="false">INDEX('Employee Master'!$G$2:$G$201,MATCH(A143,'Employee Master'!$A$2:$A$201,0))</f>
        <v>69500</v>
      </c>
      <c r="H143" s="2" t="n">
        <f aca="false">IF(E143="Yes",ROUND(G143*F143,0),0)</f>
        <v>8340</v>
      </c>
      <c r="I143" s="2" t="n">
        <f aca="false">IF(E143="Yes",ROUND(G143*F143,0),0)</f>
        <v>8340</v>
      </c>
      <c r="J143" s="2" t="n">
        <f aca="false">H143+I143</f>
        <v>16680</v>
      </c>
      <c r="K143" s="2" t="str">
        <f aca="false">IF(E143="Yes","Generated","Not Applicable")</f>
        <v>Generated</v>
      </c>
    </row>
    <row r="144" customFormat="false" ht="15" hidden="false" customHeight="false" outlineLevel="0" collapsed="false">
      <c r="A144" s="2" t="s">
        <v>333</v>
      </c>
      <c r="B144" s="2" t="s">
        <v>334</v>
      </c>
      <c r="C144" s="2" t="s">
        <v>649</v>
      </c>
      <c r="D144" s="2" t="n">
        <v>2026</v>
      </c>
      <c r="E144" s="2" t="str">
        <f aca="false">INDEX('Employee Master'!$K$2:$K$201,MATCH(A144,'Employee Master'!$A$2:$A$201,0))</f>
        <v>Yes</v>
      </c>
      <c r="F144" s="4" t="n">
        <f aca="false">INDEX('Employee Master'!$L$2:$L$201,MATCH(A144,'Employee Master'!$A$2:$A$201,0))</f>
        <v>0.12</v>
      </c>
      <c r="G144" s="2" t="n">
        <f aca="false">INDEX('Employee Master'!$G$2:$G$201,MATCH(A144,'Employee Master'!$A$2:$A$201,0))</f>
        <v>106000</v>
      </c>
      <c r="H144" s="2" t="n">
        <f aca="false">IF(E144="Yes",ROUND(G144*F144,0),0)</f>
        <v>12720</v>
      </c>
      <c r="I144" s="2" t="n">
        <f aca="false">IF(E144="Yes",ROUND(G144*F144,0),0)</f>
        <v>12720</v>
      </c>
      <c r="J144" s="2" t="n">
        <f aca="false">H144+I144</f>
        <v>25440</v>
      </c>
      <c r="K144" s="2" t="str">
        <f aca="false">IF(E144="Yes","Generated","Not Applicable")</f>
        <v>Generated</v>
      </c>
    </row>
    <row r="145" customFormat="false" ht="15" hidden="false" customHeight="false" outlineLevel="0" collapsed="false">
      <c r="A145" s="2" t="s">
        <v>335</v>
      </c>
      <c r="B145" s="2" t="s">
        <v>336</v>
      </c>
      <c r="C145" s="2" t="s">
        <v>649</v>
      </c>
      <c r="D145" s="2" t="n">
        <v>2026</v>
      </c>
      <c r="E145" s="2" t="str">
        <f aca="false">INDEX('Employee Master'!$K$2:$K$201,MATCH(A145,'Employee Master'!$A$2:$A$201,0))</f>
        <v>Yes</v>
      </c>
      <c r="F145" s="4" t="n">
        <f aca="false">INDEX('Employee Master'!$L$2:$L$201,MATCH(A145,'Employee Master'!$A$2:$A$201,0))</f>
        <v>0.12</v>
      </c>
      <c r="G145" s="2" t="n">
        <f aca="false">INDEX('Employee Master'!$G$2:$G$201,MATCH(A145,'Employee Master'!$A$2:$A$201,0))</f>
        <v>31000</v>
      </c>
      <c r="H145" s="2" t="n">
        <f aca="false">IF(E145="Yes",ROUND(G145*F145,0),0)</f>
        <v>3720</v>
      </c>
      <c r="I145" s="2" t="n">
        <f aca="false">IF(E145="Yes",ROUND(G145*F145,0),0)</f>
        <v>3720</v>
      </c>
      <c r="J145" s="2" t="n">
        <f aca="false">H145+I145</f>
        <v>7440</v>
      </c>
      <c r="K145" s="2" t="str">
        <f aca="false">IF(E145="Yes","Generated","Not Applicable")</f>
        <v>Generated</v>
      </c>
    </row>
    <row r="146" customFormat="false" ht="15" hidden="false" customHeight="false" outlineLevel="0" collapsed="false">
      <c r="A146" s="2" t="s">
        <v>337</v>
      </c>
      <c r="B146" s="2" t="s">
        <v>338</v>
      </c>
      <c r="C146" s="2" t="s">
        <v>649</v>
      </c>
      <c r="D146" s="2" t="n">
        <v>2026</v>
      </c>
      <c r="E146" s="2" t="str">
        <f aca="false">INDEX('Employee Master'!$K$2:$K$201,MATCH(A146,'Employee Master'!$A$2:$A$201,0))</f>
        <v>Yes</v>
      </c>
      <c r="F146" s="4" t="n">
        <f aca="false">INDEX('Employee Master'!$L$2:$L$201,MATCH(A146,'Employee Master'!$A$2:$A$201,0))</f>
        <v>0.12</v>
      </c>
      <c r="G146" s="2" t="n">
        <f aca="false">INDEX('Employee Master'!$G$2:$G$201,MATCH(A146,'Employee Master'!$A$2:$A$201,0))</f>
        <v>42500</v>
      </c>
      <c r="H146" s="2" t="n">
        <f aca="false">IF(E146="Yes",ROUND(G146*F146,0),0)</f>
        <v>5100</v>
      </c>
      <c r="I146" s="2" t="n">
        <f aca="false">IF(E146="Yes",ROUND(G146*F146,0),0)</f>
        <v>5100</v>
      </c>
      <c r="J146" s="2" t="n">
        <f aca="false">H146+I146</f>
        <v>10200</v>
      </c>
      <c r="K146" s="2" t="str">
        <f aca="false">IF(E146="Yes","Generated","Not Applicable")</f>
        <v>Generated</v>
      </c>
    </row>
    <row r="147" customFormat="false" ht="15" hidden="false" customHeight="false" outlineLevel="0" collapsed="false">
      <c r="A147" s="2" t="s">
        <v>339</v>
      </c>
      <c r="B147" s="2" t="s">
        <v>340</v>
      </c>
      <c r="C147" s="2" t="s">
        <v>649</v>
      </c>
      <c r="D147" s="2" t="n">
        <v>2026</v>
      </c>
      <c r="E147" s="2" t="str">
        <f aca="false">INDEX('Employee Master'!$K$2:$K$201,MATCH(A147,'Employee Master'!$A$2:$A$201,0))</f>
        <v>Yes</v>
      </c>
      <c r="F147" s="4" t="n">
        <f aca="false">INDEX('Employee Master'!$L$2:$L$201,MATCH(A147,'Employee Master'!$A$2:$A$201,0))</f>
        <v>0.12</v>
      </c>
      <c r="G147" s="2" t="n">
        <f aca="false">INDEX('Employee Master'!$G$2:$G$201,MATCH(A147,'Employee Master'!$A$2:$A$201,0))</f>
        <v>79000</v>
      </c>
      <c r="H147" s="2" t="n">
        <f aca="false">IF(E147="Yes",ROUND(G147*F147,0),0)</f>
        <v>9480</v>
      </c>
      <c r="I147" s="2" t="n">
        <f aca="false">IF(E147="Yes",ROUND(G147*F147,0),0)</f>
        <v>9480</v>
      </c>
      <c r="J147" s="2" t="n">
        <f aca="false">H147+I147</f>
        <v>18960</v>
      </c>
      <c r="K147" s="2" t="str">
        <f aca="false">IF(E147="Yes","Generated","Not Applicable")</f>
        <v>Generated</v>
      </c>
    </row>
    <row r="148" customFormat="false" ht="15" hidden="false" customHeight="false" outlineLevel="0" collapsed="false">
      <c r="A148" s="2" t="s">
        <v>341</v>
      </c>
      <c r="B148" s="2" t="s">
        <v>342</v>
      </c>
      <c r="C148" s="2" t="s">
        <v>649</v>
      </c>
      <c r="D148" s="2" t="n">
        <v>2026</v>
      </c>
      <c r="E148" s="2" t="str">
        <f aca="false">INDEX('Employee Master'!$K$2:$K$201,MATCH(A148,'Employee Master'!$A$2:$A$201,0))</f>
        <v>Yes</v>
      </c>
      <c r="F148" s="4" t="n">
        <f aca="false">INDEX('Employee Master'!$L$2:$L$201,MATCH(A148,'Employee Master'!$A$2:$A$201,0))</f>
        <v>0.12</v>
      </c>
      <c r="G148" s="2" t="n">
        <f aca="false">INDEX('Employee Master'!$G$2:$G$201,MATCH(A148,'Employee Master'!$A$2:$A$201,0))</f>
        <v>29500</v>
      </c>
      <c r="H148" s="2" t="n">
        <f aca="false">IF(E148="Yes",ROUND(G148*F148,0),0)</f>
        <v>3540</v>
      </c>
      <c r="I148" s="2" t="n">
        <f aca="false">IF(E148="Yes",ROUND(G148*F148,0),0)</f>
        <v>3540</v>
      </c>
      <c r="J148" s="2" t="n">
        <f aca="false">H148+I148</f>
        <v>7080</v>
      </c>
      <c r="K148" s="2" t="str">
        <f aca="false">IF(E148="Yes","Generated","Not Applicable")</f>
        <v>Generated</v>
      </c>
    </row>
    <row r="149" customFormat="false" ht="15" hidden="false" customHeight="false" outlineLevel="0" collapsed="false">
      <c r="A149" s="2" t="s">
        <v>343</v>
      </c>
      <c r="B149" s="2" t="s">
        <v>344</v>
      </c>
      <c r="C149" s="2" t="s">
        <v>649</v>
      </c>
      <c r="D149" s="2" t="n">
        <v>2026</v>
      </c>
      <c r="E149" s="2" t="str">
        <f aca="false">INDEX('Employee Master'!$K$2:$K$201,MATCH(A149,'Employee Master'!$A$2:$A$201,0))</f>
        <v>Yes</v>
      </c>
      <c r="F149" s="4" t="n">
        <f aca="false">INDEX('Employee Master'!$L$2:$L$201,MATCH(A149,'Employee Master'!$A$2:$A$201,0))</f>
        <v>0.12</v>
      </c>
      <c r="G149" s="2" t="n">
        <f aca="false">INDEX('Employee Master'!$G$2:$G$201,MATCH(A149,'Employee Master'!$A$2:$A$201,0))</f>
        <v>36500</v>
      </c>
      <c r="H149" s="2" t="n">
        <f aca="false">IF(E149="Yes",ROUND(G149*F149,0),0)</f>
        <v>4380</v>
      </c>
      <c r="I149" s="2" t="n">
        <f aca="false">IF(E149="Yes",ROUND(G149*F149,0),0)</f>
        <v>4380</v>
      </c>
      <c r="J149" s="2" t="n">
        <f aca="false">H149+I149</f>
        <v>8760</v>
      </c>
      <c r="K149" s="2" t="str">
        <f aca="false">IF(E149="Yes","Generated","Not Applicable")</f>
        <v>Generated</v>
      </c>
    </row>
    <row r="150" customFormat="false" ht="15" hidden="false" customHeight="false" outlineLevel="0" collapsed="false">
      <c r="A150" s="2" t="s">
        <v>345</v>
      </c>
      <c r="B150" s="2" t="s">
        <v>346</v>
      </c>
      <c r="C150" s="2" t="s">
        <v>649</v>
      </c>
      <c r="D150" s="2" t="n">
        <v>2026</v>
      </c>
      <c r="E150" s="2" t="str">
        <f aca="false">INDEX('Employee Master'!$K$2:$K$201,MATCH(A150,'Employee Master'!$A$2:$A$201,0))</f>
        <v>Yes</v>
      </c>
      <c r="F150" s="4" t="n">
        <f aca="false">INDEX('Employee Master'!$L$2:$L$201,MATCH(A150,'Employee Master'!$A$2:$A$201,0))</f>
        <v>0.12</v>
      </c>
      <c r="G150" s="2" t="n">
        <f aca="false">INDEX('Employee Master'!$G$2:$G$201,MATCH(A150,'Employee Master'!$A$2:$A$201,0))</f>
        <v>26500</v>
      </c>
      <c r="H150" s="2" t="n">
        <f aca="false">IF(E150="Yes",ROUND(G150*F150,0),0)</f>
        <v>3180</v>
      </c>
      <c r="I150" s="2" t="n">
        <f aca="false">IF(E150="Yes",ROUND(G150*F150,0),0)</f>
        <v>3180</v>
      </c>
      <c r="J150" s="2" t="n">
        <f aca="false">H150+I150</f>
        <v>6360</v>
      </c>
      <c r="K150" s="2" t="str">
        <f aca="false">IF(E150="Yes","Generated","Not Applicable")</f>
        <v>Generated</v>
      </c>
    </row>
    <row r="151" customFormat="false" ht="15" hidden="false" customHeight="false" outlineLevel="0" collapsed="false">
      <c r="A151" s="2" t="s">
        <v>347</v>
      </c>
      <c r="B151" s="2" t="s">
        <v>348</v>
      </c>
      <c r="C151" s="2" t="s">
        <v>649</v>
      </c>
      <c r="D151" s="2" t="n">
        <v>2026</v>
      </c>
      <c r="E151" s="2" t="str">
        <f aca="false">INDEX('Employee Master'!$K$2:$K$201,MATCH(A151,'Employee Master'!$A$2:$A$201,0))</f>
        <v>Yes</v>
      </c>
      <c r="F151" s="4" t="n">
        <f aca="false">INDEX('Employee Master'!$L$2:$L$201,MATCH(A151,'Employee Master'!$A$2:$A$201,0))</f>
        <v>0.12</v>
      </c>
      <c r="G151" s="2" t="n">
        <f aca="false">INDEX('Employee Master'!$G$2:$G$201,MATCH(A151,'Employee Master'!$A$2:$A$201,0))</f>
        <v>42500</v>
      </c>
      <c r="H151" s="2" t="n">
        <f aca="false">IF(E151="Yes",ROUND(G151*F151,0),0)</f>
        <v>5100</v>
      </c>
      <c r="I151" s="2" t="n">
        <f aca="false">IF(E151="Yes",ROUND(G151*F151,0),0)</f>
        <v>5100</v>
      </c>
      <c r="J151" s="2" t="n">
        <f aca="false">H151+I151</f>
        <v>10200</v>
      </c>
      <c r="K151" s="2" t="str">
        <f aca="false">IF(E151="Yes","Generated","Not Applicable")</f>
        <v>Generated</v>
      </c>
    </row>
    <row r="152" customFormat="false" ht="15" hidden="false" customHeight="false" outlineLevel="0" collapsed="false">
      <c r="A152" s="2" t="s">
        <v>349</v>
      </c>
      <c r="B152" s="2" t="s">
        <v>350</v>
      </c>
      <c r="C152" s="2" t="s">
        <v>649</v>
      </c>
      <c r="D152" s="2" t="n">
        <v>2026</v>
      </c>
      <c r="E152" s="2" t="str">
        <f aca="false">INDEX('Employee Master'!$K$2:$K$201,MATCH(A152,'Employee Master'!$A$2:$A$201,0))</f>
        <v>Yes</v>
      </c>
      <c r="F152" s="4" t="n">
        <f aca="false">INDEX('Employee Master'!$L$2:$L$201,MATCH(A152,'Employee Master'!$A$2:$A$201,0))</f>
        <v>0.12</v>
      </c>
      <c r="G152" s="2" t="n">
        <f aca="false">INDEX('Employee Master'!$G$2:$G$201,MATCH(A152,'Employee Master'!$A$2:$A$201,0))</f>
        <v>74500</v>
      </c>
      <c r="H152" s="2" t="n">
        <f aca="false">IF(E152="Yes",ROUND(G152*F152,0),0)</f>
        <v>8940</v>
      </c>
      <c r="I152" s="2" t="n">
        <f aca="false">IF(E152="Yes",ROUND(G152*F152,0),0)</f>
        <v>8940</v>
      </c>
      <c r="J152" s="2" t="n">
        <f aca="false">H152+I152</f>
        <v>17880</v>
      </c>
      <c r="K152" s="2" t="str">
        <f aca="false">IF(E152="Yes","Generated","Not Applicable")</f>
        <v>Generated</v>
      </c>
    </row>
    <row r="153" customFormat="false" ht="15" hidden="false" customHeight="false" outlineLevel="0" collapsed="false">
      <c r="A153" s="2" t="s">
        <v>351</v>
      </c>
      <c r="B153" s="2" t="s">
        <v>352</v>
      </c>
      <c r="C153" s="2" t="s">
        <v>649</v>
      </c>
      <c r="D153" s="2" t="n">
        <v>2026</v>
      </c>
      <c r="E153" s="2" t="str">
        <f aca="false">INDEX('Employee Master'!$K$2:$K$201,MATCH(A153,'Employee Master'!$A$2:$A$201,0))</f>
        <v>Yes</v>
      </c>
      <c r="F153" s="4" t="n">
        <f aca="false">INDEX('Employee Master'!$L$2:$L$201,MATCH(A153,'Employee Master'!$A$2:$A$201,0))</f>
        <v>0.12</v>
      </c>
      <c r="G153" s="2" t="n">
        <f aca="false">INDEX('Employee Master'!$G$2:$G$201,MATCH(A153,'Employee Master'!$A$2:$A$201,0))</f>
        <v>92000</v>
      </c>
      <c r="H153" s="2" t="n">
        <f aca="false">IF(E153="Yes",ROUND(G153*F153,0),0)</f>
        <v>11040</v>
      </c>
      <c r="I153" s="2" t="n">
        <f aca="false">IF(E153="Yes",ROUND(G153*F153,0),0)</f>
        <v>11040</v>
      </c>
      <c r="J153" s="2" t="n">
        <f aca="false">H153+I153</f>
        <v>22080</v>
      </c>
      <c r="K153" s="2" t="str">
        <f aca="false">IF(E153="Yes","Generated","Not Applicable")</f>
        <v>Generated</v>
      </c>
    </row>
    <row r="154" customFormat="false" ht="15" hidden="false" customHeight="false" outlineLevel="0" collapsed="false">
      <c r="A154" s="2" t="s">
        <v>353</v>
      </c>
      <c r="B154" s="2" t="s">
        <v>354</v>
      </c>
      <c r="C154" s="2" t="s">
        <v>649</v>
      </c>
      <c r="D154" s="2" t="n">
        <v>2026</v>
      </c>
      <c r="E154" s="2" t="str">
        <f aca="false">INDEX('Employee Master'!$K$2:$K$201,MATCH(A154,'Employee Master'!$A$2:$A$201,0))</f>
        <v>Yes</v>
      </c>
      <c r="F154" s="4" t="n">
        <f aca="false">INDEX('Employee Master'!$L$2:$L$201,MATCH(A154,'Employee Master'!$A$2:$A$201,0))</f>
        <v>0.12</v>
      </c>
      <c r="G154" s="2" t="n">
        <f aca="false">INDEX('Employee Master'!$G$2:$G$201,MATCH(A154,'Employee Master'!$A$2:$A$201,0))</f>
        <v>79000</v>
      </c>
      <c r="H154" s="2" t="n">
        <f aca="false">IF(E154="Yes",ROUND(G154*F154,0),0)</f>
        <v>9480</v>
      </c>
      <c r="I154" s="2" t="n">
        <f aca="false">IF(E154="Yes",ROUND(G154*F154,0),0)</f>
        <v>9480</v>
      </c>
      <c r="J154" s="2" t="n">
        <f aca="false">H154+I154</f>
        <v>18960</v>
      </c>
      <c r="K154" s="2" t="str">
        <f aca="false">IF(E154="Yes","Generated","Not Applicable")</f>
        <v>Generated</v>
      </c>
    </row>
    <row r="155" customFormat="false" ht="15" hidden="false" customHeight="false" outlineLevel="0" collapsed="false">
      <c r="A155" s="2" t="s">
        <v>355</v>
      </c>
      <c r="B155" s="2" t="s">
        <v>356</v>
      </c>
      <c r="C155" s="2" t="s">
        <v>649</v>
      </c>
      <c r="D155" s="2" t="n">
        <v>2026</v>
      </c>
      <c r="E155" s="2" t="str">
        <f aca="false">INDEX('Employee Master'!$K$2:$K$201,MATCH(A155,'Employee Master'!$A$2:$A$201,0))</f>
        <v>Yes</v>
      </c>
      <c r="F155" s="4" t="n">
        <f aca="false">INDEX('Employee Master'!$L$2:$L$201,MATCH(A155,'Employee Master'!$A$2:$A$201,0))</f>
        <v>0.12</v>
      </c>
      <c r="G155" s="2" t="n">
        <f aca="false">INDEX('Employee Master'!$G$2:$G$201,MATCH(A155,'Employee Master'!$A$2:$A$201,0))</f>
        <v>87000</v>
      </c>
      <c r="H155" s="2" t="n">
        <f aca="false">IF(E155="Yes",ROUND(G155*F155,0),0)</f>
        <v>10440</v>
      </c>
      <c r="I155" s="2" t="n">
        <f aca="false">IF(E155="Yes",ROUND(G155*F155,0),0)</f>
        <v>10440</v>
      </c>
      <c r="J155" s="2" t="n">
        <f aca="false">H155+I155</f>
        <v>20880</v>
      </c>
      <c r="K155" s="2" t="str">
        <f aca="false">IF(E155="Yes","Generated","Not Applicable")</f>
        <v>Generated</v>
      </c>
    </row>
    <row r="156" customFormat="false" ht="15" hidden="false" customHeight="false" outlineLevel="0" collapsed="false">
      <c r="A156" s="2" t="s">
        <v>357</v>
      </c>
      <c r="B156" s="2" t="s">
        <v>358</v>
      </c>
      <c r="C156" s="2" t="s">
        <v>649</v>
      </c>
      <c r="D156" s="2" t="n">
        <v>2026</v>
      </c>
      <c r="E156" s="2" t="str">
        <f aca="false">INDEX('Employee Master'!$K$2:$K$201,MATCH(A156,'Employee Master'!$A$2:$A$201,0))</f>
        <v>Yes</v>
      </c>
      <c r="F156" s="4" t="n">
        <f aca="false">INDEX('Employee Master'!$L$2:$L$201,MATCH(A156,'Employee Master'!$A$2:$A$201,0))</f>
        <v>0.12</v>
      </c>
      <c r="G156" s="2" t="n">
        <f aca="false">INDEX('Employee Master'!$G$2:$G$201,MATCH(A156,'Employee Master'!$A$2:$A$201,0))</f>
        <v>42500</v>
      </c>
      <c r="H156" s="2" t="n">
        <f aca="false">IF(E156="Yes",ROUND(G156*F156,0),0)</f>
        <v>5100</v>
      </c>
      <c r="I156" s="2" t="n">
        <f aca="false">IF(E156="Yes",ROUND(G156*F156,0),0)</f>
        <v>5100</v>
      </c>
      <c r="J156" s="2" t="n">
        <f aca="false">H156+I156</f>
        <v>10200</v>
      </c>
      <c r="K156" s="2" t="str">
        <f aca="false">IF(E156="Yes","Generated","Not Applicable")</f>
        <v>Generated</v>
      </c>
    </row>
    <row r="157" customFormat="false" ht="15" hidden="false" customHeight="false" outlineLevel="0" collapsed="false">
      <c r="A157" s="2" t="s">
        <v>359</v>
      </c>
      <c r="B157" s="2" t="s">
        <v>360</v>
      </c>
      <c r="C157" s="2" t="s">
        <v>649</v>
      </c>
      <c r="D157" s="2" t="n">
        <v>2026</v>
      </c>
      <c r="E157" s="2" t="str">
        <f aca="false">INDEX('Employee Master'!$K$2:$K$201,MATCH(A157,'Employee Master'!$A$2:$A$201,0))</f>
        <v>Yes</v>
      </c>
      <c r="F157" s="4" t="n">
        <f aca="false">INDEX('Employee Master'!$L$2:$L$201,MATCH(A157,'Employee Master'!$A$2:$A$201,0))</f>
        <v>0.12</v>
      </c>
      <c r="G157" s="2" t="n">
        <f aca="false">INDEX('Employee Master'!$G$2:$G$201,MATCH(A157,'Employee Master'!$A$2:$A$201,0))</f>
        <v>39000</v>
      </c>
      <c r="H157" s="2" t="n">
        <f aca="false">IF(E157="Yes",ROUND(G157*F157,0),0)</f>
        <v>4680</v>
      </c>
      <c r="I157" s="2" t="n">
        <f aca="false">IF(E157="Yes",ROUND(G157*F157,0),0)</f>
        <v>4680</v>
      </c>
      <c r="J157" s="2" t="n">
        <f aca="false">H157+I157</f>
        <v>9360</v>
      </c>
      <c r="K157" s="2" t="str">
        <f aca="false">IF(E157="Yes","Generated","Not Applicable")</f>
        <v>Generated</v>
      </c>
    </row>
    <row r="158" customFormat="false" ht="15" hidden="false" customHeight="false" outlineLevel="0" collapsed="false">
      <c r="A158" s="2" t="s">
        <v>361</v>
      </c>
      <c r="B158" s="2" t="s">
        <v>362</v>
      </c>
      <c r="C158" s="2" t="s">
        <v>649</v>
      </c>
      <c r="D158" s="2" t="n">
        <v>2026</v>
      </c>
      <c r="E158" s="2" t="str">
        <f aca="false">INDEX('Employee Master'!$K$2:$K$201,MATCH(A158,'Employee Master'!$A$2:$A$201,0))</f>
        <v>Yes</v>
      </c>
      <c r="F158" s="4" t="n">
        <f aca="false">INDEX('Employee Master'!$L$2:$L$201,MATCH(A158,'Employee Master'!$A$2:$A$201,0))</f>
        <v>0.12</v>
      </c>
      <c r="G158" s="2" t="n">
        <f aca="false">INDEX('Employee Master'!$G$2:$G$201,MATCH(A158,'Employee Master'!$A$2:$A$201,0))</f>
        <v>62500</v>
      </c>
      <c r="H158" s="2" t="n">
        <f aca="false">IF(E158="Yes",ROUND(G158*F158,0),0)</f>
        <v>7500</v>
      </c>
      <c r="I158" s="2" t="n">
        <f aca="false">IF(E158="Yes",ROUND(G158*F158,0),0)</f>
        <v>7500</v>
      </c>
      <c r="J158" s="2" t="n">
        <f aca="false">H158+I158</f>
        <v>15000</v>
      </c>
      <c r="K158" s="2" t="str">
        <f aca="false">IF(E158="Yes","Generated","Not Applicable")</f>
        <v>Generated</v>
      </c>
    </row>
    <row r="159" customFormat="false" ht="15" hidden="false" customHeight="false" outlineLevel="0" collapsed="false">
      <c r="A159" s="2" t="s">
        <v>363</v>
      </c>
      <c r="B159" s="2" t="s">
        <v>364</v>
      </c>
      <c r="C159" s="2" t="s">
        <v>649</v>
      </c>
      <c r="D159" s="2" t="n">
        <v>2026</v>
      </c>
      <c r="E159" s="2" t="str">
        <f aca="false">INDEX('Employee Master'!$K$2:$K$201,MATCH(A159,'Employee Master'!$A$2:$A$201,0))</f>
        <v>Yes</v>
      </c>
      <c r="F159" s="4" t="n">
        <f aca="false">INDEX('Employee Master'!$L$2:$L$201,MATCH(A159,'Employee Master'!$A$2:$A$201,0))</f>
        <v>0.12</v>
      </c>
      <c r="G159" s="2" t="n">
        <f aca="false">INDEX('Employee Master'!$G$2:$G$201,MATCH(A159,'Employee Master'!$A$2:$A$201,0))</f>
        <v>95000</v>
      </c>
      <c r="H159" s="2" t="n">
        <f aca="false">IF(E159="Yes",ROUND(G159*F159,0),0)</f>
        <v>11400</v>
      </c>
      <c r="I159" s="2" t="n">
        <f aca="false">IF(E159="Yes",ROUND(G159*F159,0),0)</f>
        <v>11400</v>
      </c>
      <c r="J159" s="2" t="n">
        <f aca="false">H159+I159</f>
        <v>22800</v>
      </c>
      <c r="K159" s="2" t="str">
        <f aca="false">IF(E159="Yes","Generated","Not Applicable")</f>
        <v>Generated</v>
      </c>
    </row>
    <row r="160" customFormat="false" ht="15" hidden="false" customHeight="false" outlineLevel="0" collapsed="false">
      <c r="A160" s="2" t="s">
        <v>365</v>
      </c>
      <c r="B160" s="2" t="s">
        <v>366</v>
      </c>
      <c r="C160" s="2" t="s">
        <v>649</v>
      </c>
      <c r="D160" s="2" t="n">
        <v>2026</v>
      </c>
      <c r="E160" s="2" t="str">
        <f aca="false">INDEX('Employee Master'!$K$2:$K$201,MATCH(A160,'Employee Master'!$A$2:$A$201,0))</f>
        <v>Yes</v>
      </c>
      <c r="F160" s="4" t="n">
        <f aca="false">INDEX('Employee Master'!$L$2:$L$201,MATCH(A160,'Employee Master'!$A$2:$A$201,0))</f>
        <v>0.12</v>
      </c>
      <c r="G160" s="2" t="n">
        <f aca="false">INDEX('Employee Master'!$G$2:$G$201,MATCH(A160,'Employee Master'!$A$2:$A$201,0))</f>
        <v>35000</v>
      </c>
      <c r="H160" s="2" t="n">
        <f aca="false">IF(E160="Yes",ROUND(G160*F160,0),0)</f>
        <v>4200</v>
      </c>
      <c r="I160" s="2" t="n">
        <f aca="false">IF(E160="Yes",ROUND(G160*F160,0),0)</f>
        <v>4200</v>
      </c>
      <c r="J160" s="2" t="n">
        <f aca="false">H160+I160</f>
        <v>8400</v>
      </c>
      <c r="K160" s="2" t="str">
        <f aca="false">IF(E160="Yes","Generated","Not Applicable")</f>
        <v>Generated</v>
      </c>
    </row>
    <row r="161" customFormat="false" ht="15" hidden="false" customHeight="false" outlineLevel="0" collapsed="false">
      <c r="A161" s="2" t="s">
        <v>367</v>
      </c>
      <c r="B161" s="2" t="s">
        <v>368</v>
      </c>
      <c r="C161" s="2" t="s">
        <v>649</v>
      </c>
      <c r="D161" s="2" t="n">
        <v>2026</v>
      </c>
      <c r="E161" s="2" t="str">
        <f aca="false">INDEX('Employee Master'!$K$2:$K$201,MATCH(A161,'Employee Master'!$A$2:$A$201,0))</f>
        <v>Yes</v>
      </c>
      <c r="F161" s="4" t="n">
        <f aca="false">INDEX('Employee Master'!$L$2:$L$201,MATCH(A161,'Employee Master'!$A$2:$A$201,0))</f>
        <v>0.12</v>
      </c>
      <c r="G161" s="2" t="n">
        <f aca="false">INDEX('Employee Master'!$G$2:$G$201,MATCH(A161,'Employee Master'!$A$2:$A$201,0))</f>
        <v>73500</v>
      </c>
      <c r="H161" s="2" t="n">
        <f aca="false">IF(E161="Yes",ROUND(G161*F161,0),0)</f>
        <v>8820</v>
      </c>
      <c r="I161" s="2" t="n">
        <f aca="false">IF(E161="Yes",ROUND(G161*F161,0),0)</f>
        <v>8820</v>
      </c>
      <c r="J161" s="2" t="n">
        <f aca="false">H161+I161</f>
        <v>17640</v>
      </c>
      <c r="K161" s="2" t="str">
        <f aca="false">IF(E161="Yes","Generated","Not Applicable")</f>
        <v>Generated</v>
      </c>
    </row>
    <row r="162" customFormat="false" ht="15" hidden="false" customHeight="false" outlineLevel="0" collapsed="false">
      <c r="A162" s="2" t="s">
        <v>369</v>
      </c>
      <c r="B162" s="2" t="s">
        <v>370</v>
      </c>
      <c r="C162" s="2" t="s">
        <v>649</v>
      </c>
      <c r="D162" s="2" t="n">
        <v>2026</v>
      </c>
      <c r="E162" s="2" t="str">
        <f aca="false">INDEX('Employee Master'!$K$2:$K$201,MATCH(A162,'Employee Master'!$A$2:$A$201,0))</f>
        <v>Yes</v>
      </c>
      <c r="F162" s="4" t="n">
        <f aca="false">INDEX('Employee Master'!$L$2:$L$201,MATCH(A162,'Employee Master'!$A$2:$A$201,0))</f>
        <v>0.12</v>
      </c>
      <c r="G162" s="2" t="n">
        <f aca="false">INDEX('Employee Master'!$G$2:$G$201,MATCH(A162,'Employee Master'!$A$2:$A$201,0))</f>
        <v>89500</v>
      </c>
      <c r="H162" s="2" t="n">
        <f aca="false">IF(E162="Yes",ROUND(G162*F162,0),0)</f>
        <v>10740</v>
      </c>
      <c r="I162" s="2" t="n">
        <f aca="false">IF(E162="Yes",ROUND(G162*F162,0),0)</f>
        <v>10740</v>
      </c>
      <c r="J162" s="2" t="n">
        <f aca="false">H162+I162</f>
        <v>21480</v>
      </c>
      <c r="K162" s="2" t="str">
        <f aca="false">IF(E162="Yes","Generated","Not Applicable")</f>
        <v>Generated</v>
      </c>
    </row>
    <row r="163" customFormat="false" ht="15" hidden="false" customHeight="false" outlineLevel="0" collapsed="false">
      <c r="A163" s="2" t="s">
        <v>371</v>
      </c>
      <c r="B163" s="2" t="s">
        <v>372</v>
      </c>
      <c r="C163" s="2" t="s">
        <v>649</v>
      </c>
      <c r="D163" s="2" t="n">
        <v>2026</v>
      </c>
      <c r="E163" s="2" t="str">
        <f aca="false">INDEX('Employee Master'!$K$2:$K$201,MATCH(A163,'Employee Master'!$A$2:$A$201,0))</f>
        <v>Yes</v>
      </c>
      <c r="F163" s="4" t="n">
        <f aca="false">INDEX('Employee Master'!$L$2:$L$201,MATCH(A163,'Employee Master'!$A$2:$A$201,0))</f>
        <v>0.12</v>
      </c>
      <c r="G163" s="2" t="n">
        <f aca="false">INDEX('Employee Master'!$G$2:$G$201,MATCH(A163,'Employee Master'!$A$2:$A$201,0))</f>
        <v>84500</v>
      </c>
      <c r="H163" s="2" t="n">
        <f aca="false">IF(E163="Yes",ROUND(G163*F163,0),0)</f>
        <v>10140</v>
      </c>
      <c r="I163" s="2" t="n">
        <f aca="false">IF(E163="Yes",ROUND(G163*F163,0),0)</f>
        <v>10140</v>
      </c>
      <c r="J163" s="2" t="n">
        <f aca="false">H163+I163</f>
        <v>20280</v>
      </c>
      <c r="K163" s="2" t="str">
        <f aca="false">IF(E163="Yes","Generated","Not Applicable")</f>
        <v>Generated</v>
      </c>
    </row>
    <row r="164" customFormat="false" ht="15" hidden="false" customHeight="false" outlineLevel="0" collapsed="false">
      <c r="A164" s="2" t="s">
        <v>373</v>
      </c>
      <c r="B164" s="2" t="s">
        <v>374</v>
      </c>
      <c r="C164" s="2" t="s">
        <v>649</v>
      </c>
      <c r="D164" s="2" t="n">
        <v>2026</v>
      </c>
      <c r="E164" s="2" t="str">
        <f aca="false">INDEX('Employee Master'!$K$2:$K$201,MATCH(A164,'Employee Master'!$A$2:$A$201,0))</f>
        <v>Yes</v>
      </c>
      <c r="F164" s="4" t="n">
        <f aca="false">INDEX('Employee Master'!$L$2:$L$201,MATCH(A164,'Employee Master'!$A$2:$A$201,0))</f>
        <v>0.12</v>
      </c>
      <c r="G164" s="2" t="n">
        <f aca="false">INDEX('Employee Master'!$G$2:$G$201,MATCH(A164,'Employee Master'!$A$2:$A$201,0))</f>
        <v>32000</v>
      </c>
      <c r="H164" s="2" t="n">
        <f aca="false">IF(E164="Yes",ROUND(G164*F164,0),0)</f>
        <v>3840</v>
      </c>
      <c r="I164" s="2" t="n">
        <f aca="false">IF(E164="Yes",ROUND(G164*F164,0),0)</f>
        <v>3840</v>
      </c>
      <c r="J164" s="2" t="n">
        <f aca="false">H164+I164</f>
        <v>7680</v>
      </c>
      <c r="K164" s="2" t="str">
        <f aca="false">IF(E164="Yes","Generated","Not Applicable")</f>
        <v>Generated</v>
      </c>
    </row>
    <row r="165" customFormat="false" ht="15" hidden="false" customHeight="false" outlineLevel="0" collapsed="false">
      <c r="A165" s="2" t="s">
        <v>375</v>
      </c>
      <c r="B165" s="2" t="s">
        <v>376</v>
      </c>
      <c r="C165" s="2" t="s">
        <v>649</v>
      </c>
      <c r="D165" s="2" t="n">
        <v>2026</v>
      </c>
      <c r="E165" s="2" t="str">
        <f aca="false">INDEX('Employee Master'!$K$2:$K$201,MATCH(A165,'Employee Master'!$A$2:$A$201,0))</f>
        <v>Yes</v>
      </c>
      <c r="F165" s="4" t="n">
        <f aca="false">INDEX('Employee Master'!$L$2:$L$201,MATCH(A165,'Employee Master'!$A$2:$A$201,0))</f>
        <v>0.12</v>
      </c>
      <c r="G165" s="2" t="n">
        <f aca="false">INDEX('Employee Master'!$G$2:$G$201,MATCH(A165,'Employee Master'!$A$2:$A$201,0))</f>
        <v>37000</v>
      </c>
      <c r="H165" s="2" t="n">
        <f aca="false">IF(E165="Yes",ROUND(G165*F165,0),0)</f>
        <v>4440</v>
      </c>
      <c r="I165" s="2" t="n">
        <f aca="false">IF(E165="Yes",ROUND(G165*F165,0),0)</f>
        <v>4440</v>
      </c>
      <c r="J165" s="2" t="n">
        <f aca="false">H165+I165</f>
        <v>8880</v>
      </c>
      <c r="K165" s="2" t="str">
        <f aca="false">IF(E165="Yes","Generated","Not Applicable")</f>
        <v>Generated</v>
      </c>
    </row>
    <row r="166" customFormat="false" ht="15" hidden="false" customHeight="false" outlineLevel="0" collapsed="false">
      <c r="A166" s="2" t="s">
        <v>377</v>
      </c>
      <c r="B166" s="2" t="s">
        <v>378</v>
      </c>
      <c r="C166" s="2" t="s">
        <v>649</v>
      </c>
      <c r="D166" s="2" t="n">
        <v>2026</v>
      </c>
      <c r="E166" s="2" t="str">
        <f aca="false">INDEX('Employee Master'!$K$2:$K$201,MATCH(A166,'Employee Master'!$A$2:$A$201,0))</f>
        <v>Yes</v>
      </c>
      <c r="F166" s="4" t="n">
        <f aca="false">INDEX('Employee Master'!$L$2:$L$201,MATCH(A166,'Employee Master'!$A$2:$A$201,0))</f>
        <v>0.12</v>
      </c>
      <c r="G166" s="2" t="n">
        <f aca="false">INDEX('Employee Master'!$G$2:$G$201,MATCH(A166,'Employee Master'!$A$2:$A$201,0))</f>
        <v>50000</v>
      </c>
      <c r="H166" s="2" t="n">
        <f aca="false">IF(E166="Yes",ROUND(G166*F166,0),0)</f>
        <v>6000</v>
      </c>
      <c r="I166" s="2" t="n">
        <f aca="false">IF(E166="Yes",ROUND(G166*F166,0),0)</f>
        <v>6000</v>
      </c>
      <c r="J166" s="2" t="n">
        <f aca="false">H166+I166</f>
        <v>12000</v>
      </c>
      <c r="K166" s="2" t="str">
        <f aca="false">IF(E166="Yes","Generated","Not Applicable")</f>
        <v>Generated</v>
      </c>
    </row>
    <row r="167" customFormat="false" ht="15" hidden="false" customHeight="false" outlineLevel="0" collapsed="false">
      <c r="A167" s="2" t="s">
        <v>379</v>
      </c>
      <c r="B167" s="2" t="s">
        <v>380</v>
      </c>
      <c r="C167" s="2" t="s">
        <v>649</v>
      </c>
      <c r="D167" s="2" t="n">
        <v>2026</v>
      </c>
      <c r="E167" s="2" t="str">
        <f aca="false">INDEX('Employee Master'!$K$2:$K$201,MATCH(A167,'Employee Master'!$A$2:$A$201,0))</f>
        <v>Yes</v>
      </c>
      <c r="F167" s="4" t="n">
        <f aca="false">INDEX('Employee Master'!$L$2:$L$201,MATCH(A167,'Employee Master'!$A$2:$A$201,0))</f>
        <v>0.12</v>
      </c>
      <c r="G167" s="2" t="n">
        <f aca="false">INDEX('Employee Master'!$G$2:$G$201,MATCH(A167,'Employee Master'!$A$2:$A$201,0))</f>
        <v>19500</v>
      </c>
      <c r="H167" s="2" t="n">
        <f aca="false">IF(E167="Yes",ROUND(G167*F167,0),0)</f>
        <v>2340</v>
      </c>
      <c r="I167" s="2" t="n">
        <f aca="false">IF(E167="Yes",ROUND(G167*F167,0),0)</f>
        <v>2340</v>
      </c>
      <c r="J167" s="2" t="n">
        <f aca="false">H167+I167</f>
        <v>4680</v>
      </c>
      <c r="K167" s="2" t="str">
        <f aca="false">IF(E167="Yes","Generated","Not Applicable")</f>
        <v>Generated</v>
      </c>
    </row>
    <row r="168" customFormat="false" ht="15" hidden="false" customHeight="false" outlineLevel="0" collapsed="false">
      <c r="A168" s="2" t="s">
        <v>381</v>
      </c>
      <c r="B168" s="2" t="s">
        <v>382</v>
      </c>
      <c r="C168" s="2" t="s">
        <v>649</v>
      </c>
      <c r="D168" s="2" t="n">
        <v>2026</v>
      </c>
      <c r="E168" s="2" t="str">
        <f aca="false">INDEX('Employee Master'!$K$2:$K$201,MATCH(A168,'Employee Master'!$A$2:$A$201,0))</f>
        <v>Yes</v>
      </c>
      <c r="F168" s="4" t="n">
        <f aca="false">INDEX('Employee Master'!$L$2:$L$201,MATCH(A168,'Employee Master'!$A$2:$A$201,0))</f>
        <v>0.12</v>
      </c>
      <c r="G168" s="2" t="n">
        <f aca="false">INDEX('Employee Master'!$G$2:$G$201,MATCH(A168,'Employee Master'!$A$2:$A$201,0))</f>
        <v>22000</v>
      </c>
      <c r="H168" s="2" t="n">
        <f aca="false">IF(E168="Yes",ROUND(G168*F168,0),0)</f>
        <v>2640</v>
      </c>
      <c r="I168" s="2" t="n">
        <f aca="false">IF(E168="Yes",ROUND(G168*F168,0),0)</f>
        <v>2640</v>
      </c>
      <c r="J168" s="2" t="n">
        <f aca="false">H168+I168</f>
        <v>5280</v>
      </c>
      <c r="K168" s="2" t="str">
        <f aca="false">IF(E168="Yes","Generated","Not Applicable")</f>
        <v>Generated</v>
      </c>
    </row>
    <row r="169" customFormat="false" ht="15" hidden="false" customHeight="false" outlineLevel="0" collapsed="false">
      <c r="A169" s="2" t="s">
        <v>383</v>
      </c>
      <c r="B169" s="2" t="s">
        <v>384</v>
      </c>
      <c r="C169" s="2" t="s">
        <v>649</v>
      </c>
      <c r="D169" s="2" t="n">
        <v>2026</v>
      </c>
      <c r="E169" s="2" t="str">
        <f aca="false">INDEX('Employee Master'!$K$2:$K$201,MATCH(A169,'Employee Master'!$A$2:$A$201,0))</f>
        <v>Yes</v>
      </c>
      <c r="F169" s="4" t="n">
        <f aca="false">INDEX('Employee Master'!$L$2:$L$201,MATCH(A169,'Employee Master'!$A$2:$A$201,0))</f>
        <v>0.12</v>
      </c>
      <c r="G169" s="2" t="n">
        <f aca="false">INDEX('Employee Master'!$G$2:$G$201,MATCH(A169,'Employee Master'!$A$2:$A$201,0))</f>
        <v>30000</v>
      </c>
      <c r="H169" s="2" t="n">
        <f aca="false">IF(E169="Yes",ROUND(G169*F169,0),0)</f>
        <v>3600</v>
      </c>
      <c r="I169" s="2" t="n">
        <f aca="false">IF(E169="Yes",ROUND(G169*F169,0),0)</f>
        <v>3600</v>
      </c>
      <c r="J169" s="2" t="n">
        <f aca="false">H169+I169</f>
        <v>7200</v>
      </c>
      <c r="K169" s="2" t="str">
        <f aca="false">IF(E169="Yes","Generated","Not Applicable")</f>
        <v>Generated</v>
      </c>
    </row>
    <row r="170" customFormat="false" ht="15" hidden="false" customHeight="false" outlineLevel="0" collapsed="false">
      <c r="A170" s="2" t="s">
        <v>385</v>
      </c>
      <c r="B170" s="2" t="s">
        <v>386</v>
      </c>
      <c r="C170" s="2" t="s">
        <v>649</v>
      </c>
      <c r="D170" s="2" t="n">
        <v>2026</v>
      </c>
      <c r="E170" s="2" t="str">
        <f aca="false">INDEX('Employee Master'!$K$2:$K$201,MATCH(A170,'Employee Master'!$A$2:$A$201,0))</f>
        <v>Yes</v>
      </c>
      <c r="F170" s="4" t="n">
        <f aca="false">INDEX('Employee Master'!$L$2:$L$201,MATCH(A170,'Employee Master'!$A$2:$A$201,0))</f>
        <v>0.12</v>
      </c>
      <c r="G170" s="2" t="n">
        <f aca="false">INDEX('Employee Master'!$G$2:$G$201,MATCH(A170,'Employee Master'!$A$2:$A$201,0))</f>
        <v>24500</v>
      </c>
      <c r="H170" s="2" t="n">
        <f aca="false">IF(E170="Yes",ROUND(G170*F170,0),0)</f>
        <v>2940</v>
      </c>
      <c r="I170" s="2" t="n">
        <f aca="false">IF(E170="Yes",ROUND(G170*F170,0),0)</f>
        <v>2940</v>
      </c>
      <c r="J170" s="2" t="n">
        <f aca="false">H170+I170</f>
        <v>5880</v>
      </c>
      <c r="K170" s="2" t="str">
        <f aca="false">IF(E170="Yes","Generated","Not Applicable")</f>
        <v>Generated</v>
      </c>
    </row>
    <row r="171" customFormat="false" ht="15" hidden="false" customHeight="false" outlineLevel="0" collapsed="false">
      <c r="A171" s="2" t="s">
        <v>387</v>
      </c>
      <c r="B171" s="2" t="s">
        <v>388</v>
      </c>
      <c r="C171" s="2" t="s">
        <v>649</v>
      </c>
      <c r="D171" s="2" t="n">
        <v>2026</v>
      </c>
      <c r="E171" s="2" t="str">
        <f aca="false">INDEX('Employee Master'!$K$2:$K$201,MATCH(A171,'Employee Master'!$A$2:$A$201,0))</f>
        <v>Yes</v>
      </c>
      <c r="F171" s="4" t="n">
        <f aca="false">INDEX('Employee Master'!$L$2:$L$201,MATCH(A171,'Employee Master'!$A$2:$A$201,0))</f>
        <v>0.12</v>
      </c>
      <c r="G171" s="2" t="n">
        <f aca="false">INDEX('Employee Master'!$G$2:$G$201,MATCH(A171,'Employee Master'!$A$2:$A$201,0))</f>
        <v>29000</v>
      </c>
      <c r="H171" s="2" t="n">
        <f aca="false">IF(E171="Yes",ROUND(G171*F171,0),0)</f>
        <v>3480</v>
      </c>
      <c r="I171" s="2" t="n">
        <f aca="false">IF(E171="Yes",ROUND(G171*F171,0),0)</f>
        <v>3480</v>
      </c>
      <c r="J171" s="2" t="n">
        <f aca="false">H171+I171</f>
        <v>6960</v>
      </c>
      <c r="K171" s="2" t="str">
        <f aca="false">IF(E171="Yes","Generated","Not Applicable")</f>
        <v>Generated</v>
      </c>
    </row>
    <row r="172" customFormat="false" ht="15" hidden="false" customHeight="false" outlineLevel="0" collapsed="false">
      <c r="A172" s="2" t="s">
        <v>389</v>
      </c>
      <c r="B172" s="2" t="s">
        <v>390</v>
      </c>
      <c r="C172" s="2" t="s">
        <v>649</v>
      </c>
      <c r="D172" s="2" t="n">
        <v>2026</v>
      </c>
      <c r="E172" s="2" t="str">
        <f aca="false">INDEX('Employee Master'!$K$2:$K$201,MATCH(A172,'Employee Master'!$A$2:$A$201,0))</f>
        <v>Yes</v>
      </c>
      <c r="F172" s="4" t="n">
        <f aca="false">INDEX('Employee Master'!$L$2:$L$201,MATCH(A172,'Employee Master'!$A$2:$A$201,0))</f>
        <v>0.12</v>
      </c>
      <c r="G172" s="2" t="n">
        <f aca="false">INDEX('Employee Master'!$G$2:$G$201,MATCH(A172,'Employee Master'!$A$2:$A$201,0))</f>
        <v>68500</v>
      </c>
      <c r="H172" s="2" t="n">
        <f aca="false">IF(E172="Yes",ROUND(G172*F172,0),0)</f>
        <v>8220</v>
      </c>
      <c r="I172" s="2" t="n">
        <f aca="false">IF(E172="Yes",ROUND(G172*F172,0),0)</f>
        <v>8220</v>
      </c>
      <c r="J172" s="2" t="n">
        <f aca="false">H172+I172</f>
        <v>16440</v>
      </c>
      <c r="K172" s="2" t="str">
        <f aca="false">IF(E172="Yes","Generated","Not Applicable")</f>
        <v>Generated</v>
      </c>
    </row>
    <row r="173" customFormat="false" ht="15" hidden="false" customHeight="false" outlineLevel="0" collapsed="false">
      <c r="A173" s="2" t="s">
        <v>391</v>
      </c>
      <c r="B173" s="2" t="s">
        <v>392</v>
      </c>
      <c r="C173" s="2" t="s">
        <v>649</v>
      </c>
      <c r="D173" s="2" t="n">
        <v>2026</v>
      </c>
      <c r="E173" s="2" t="str">
        <f aca="false">INDEX('Employee Master'!$K$2:$K$201,MATCH(A173,'Employee Master'!$A$2:$A$201,0))</f>
        <v>Yes</v>
      </c>
      <c r="F173" s="4" t="n">
        <f aca="false">INDEX('Employee Master'!$L$2:$L$201,MATCH(A173,'Employee Master'!$A$2:$A$201,0))</f>
        <v>0.12</v>
      </c>
      <c r="G173" s="2" t="n">
        <f aca="false">INDEX('Employee Master'!$G$2:$G$201,MATCH(A173,'Employee Master'!$A$2:$A$201,0))</f>
        <v>125000</v>
      </c>
      <c r="H173" s="2" t="n">
        <f aca="false">IF(E173="Yes",ROUND(G173*F173,0),0)</f>
        <v>15000</v>
      </c>
      <c r="I173" s="2" t="n">
        <f aca="false">IF(E173="Yes",ROUND(G173*F173,0),0)</f>
        <v>15000</v>
      </c>
      <c r="J173" s="2" t="n">
        <f aca="false">H173+I173</f>
        <v>30000</v>
      </c>
      <c r="K173" s="2" t="str">
        <f aca="false">IF(E173="Yes","Generated","Not Applicable")</f>
        <v>Generated</v>
      </c>
    </row>
    <row r="174" customFormat="false" ht="15" hidden="false" customHeight="false" outlineLevel="0" collapsed="false">
      <c r="A174" s="2" t="s">
        <v>393</v>
      </c>
      <c r="B174" s="2" t="s">
        <v>394</v>
      </c>
      <c r="C174" s="2" t="s">
        <v>649</v>
      </c>
      <c r="D174" s="2" t="n">
        <v>2026</v>
      </c>
      <c r="E174" s="2" t="str">
        <f aca="false">INDEX('Employee Master'!$K$2:$K$201,MATCH(A174,'Employee Master'!$A$2:$A$201,0))</f>
        <v>Yes</v>
      </c>
      <c r="F174" s="4" t="n">
        <f aca="false">INDEX('Employee Master'!$L$2:$L$201,MATCH(A174,'Employee Master'!$A$2:$A$201,0))</f>
        <v>0.12</v>
      </c>
      <c r="G174" s="2" t="n">
        <f aca="false">INDEX('Employee Master'!$G$2:$G$201,MATCH(A174,'Employee Master'!$A$2:$A$201,0))</f>
        <v>106000</v>
      </c>
      <c r="H174" s="2" t="n">
        <f aca="false">IF(E174="Yes",ROUND(G174*F174,0),0)</f>
        <v>12720</v>
      </c>
      <c r="I174" s="2" t="n">
        <f aca="false">IF(E174="Yes",ROUND(G174*F174,0),0)</f>
        <v>12720</v>
      </c>
      <c r="J174" s="2" t="n">
        <f aca="false">H174+I174</f>
        <v>25440</v>
      </c>
      <c r="K174" s="2" t="str">
        <f aca="false">IF(E174="Yes","Generated","Not Applicable")</f>
        <v>Generated</v>
      </c>
    </row>
    <row r="175" customFormat="false" ht="15" hidden="false" customHeight="false" outlineLevel="0" collapsed="false">
      <c r="A175" s="2" t="s">
        <v>395</v>
      </c>
      <c r="B175" s="2" t="s">
        <v>396</v>
      </c>
      <c r="C175" s="2" t="s">
        <v>649</v>
      </c>
      <c r="D175" s="2" t="n">
        <v>2026</v>
      </c>
      <c r="E175" s="2" t="str">
        <f aca="false">INDEX('Employee Master'!$K$2:$K$201,MATCH(A175,'Employee Master'!$A$2:$A$201,0))</f>
        <v>Yes</v>
      </c>
      <c r="F175" s="4" t="n">
        <f aca="false">INDEX('Employee Master'!$L$2:$L$201,MATCH(A175,'Employee Master'!$A$2:$A$201,0))</f>
        <v>0.12</v>
      </c>
      <c r="G175" s="2" t="n">
        <f aca="false">INDEX('Employee Master'!$G$2:$G$201,MATCH(A175,'Employee Master'!$A$2:$A$201,0))</f>
        <v>32500</v>
      </c>
      <c r="H175" s="2" t="n">
        <f aca="false">IF(E175="Yes",ROUND(G175*F175,0),0)</f>
        <v>3900</v>
      </c>
      <c r="I175" s="2" t="n">
        <f aca="false">IF(E175="Yes",ROUND(G175*F175,0),0)</f>
        <v>3900</v>
      </c>
      <c r="J175" s="2" t="n">
        <f aca="false">H175+I175</f>
        <v>7800</v>
      </c>
      <c r="K175" s="2" t="str">
        <f aca="false">IF(E175="Yes","Generated","Not Applicable")</f>
        <v>Generated</v>
      </c>
    </row>
    <row r="176" customFormat="false" ht="15" hidden="false" customHeight="false" outlineLevel="0" collapsed="false">
      <c r="A176" s="2" t="s">
        <v>397</v>
      </c>
      <c r="B176" s="2" t="s">
        <v>398</v>
      </c>
      <c r="C176" s="2" t="s">
        <v>649</v>
      </c>
      <c r="D176" s="2" t="n">
        <v>2026</v>
      </c>
      <c r="E176" s="2" t="str">
        <f aca="false">INDEX('Employee Master'!$K$2:$K$201,MATCH(A176,'Employee Master'!$A$2:$A$201,0))</f>
        <v>Yes</v>
      </c>
      <c r="F176" s="4" t="n">
        <f aca="false">INDEX('Employee Master'!$L$2:$L$201,MATCH(A176,'Employee Master'!$A$2:$A$201,0))</f>
        <v>0.12</v>
      </c>
      <c r="G176" s="2" t="n">
        <f aca="false">INDEX('Employee Master'!$G$2:$G$201,MATCH(A176,'Employee Master'!$A$2:$A$201,0))</f>
        <v>75000</v>
      </c>
      <c r="H176" s="2" t="n">
        <f aca="false">IF(E176="Yes",ROUND(G176*F176,0),0)</f>
        <v>9000</v>
      </c>
      <c r="I176" s="2" t="n">
        <f aca="false">IF(E176="Yes",ROUND(G176*F176,0),0)</f>
        <v>9000</v>
      </c>
      <c r="J176" s="2" t="n">
        <f aca="false">H176+I176</f>
        <v>18000</v>
      </c>
      <c r="K176" s="2" t="str">
        <f aca="false">IF(E176="Yes","Generated","Not Applicable")</f>
        <v>Generated</v>
      </c>
    </row>
    <row r="177" customFormat="false" ht="15" hidden="false" customHeight="false" outlineLevel="0" collapsed="false">
      <c r="A177" s="2" t="s">
        <v>399</v>
      </c>
      <c r="B177" s="2" t="s">
        <v>400</v>
      </c>
      <c r="C177" s="2" t="s">
        <v>649</v>
      </c>
      <c r="D177" s="2" t="n">
        <v>2026</v>
      </c>
      <c r="E177" s="2" t="str">
        <f aca="false">INDEX('Employee Master'!$K$2:$K$201,MATCH(A177,'Employee Master'!$A$2:$A$201,0))</f>
        <v>Yes</v>
      </c>
      <c r="F177" s="4" t="n">
        <f aca="false">INDEX('Employee Master'!$L$2:$L$201,MATCH(A177,'Employee Master'!$A$2:$A$201,0))</f>
        <v>0.12</v>
      </c>
      <c r="G177" s="2" t="n">
        <f aca="false">INDEX('Employee Master'!$G$2:$G$201,MATCH(A177,'Employee Master'!$A$2:$A$201,0))</f>
        <v>76500</v>
      </c>
      <c r="H177" s="2" t="n">
        <f aca="false">IF(E177="Yes",ROUND(G177*F177,0),0)</f>
        <v>9180</v>
      </c>
      <c r="I177" s="2" t="n">
        <f aca="false">IF(E177="Yes",ROUND(G177*F177,0),0)</f>
        <v>9180</v>
      </c>
      <c r="J177" s="2" t="n">
        <f aca="false">H177+I177</f>
        <v>18360</v>
      </c>
      <c r="K177" s="2" t="str">
        <f aca="false">IF(E177="Yes","Generated","Not Applicable")</f>
        <v>Generated</v>
      </c>
    </row>
    <row r="178" customFormat="false" ht="15" hidden="false" customHeight="false" outlineLevel="0" collapsed="false">
      <c r="A178" s="2" t="s">
        <v>401</v>
      </c>
      <c r="B178" s="2" t="s">
        <v>402</v>
      </c>
      <c r="C178" s="2" t="s">
        <v>649</v>
      </c>
      <c r="D178" s="2" t="n">
        <v>2026</v>
      </c>
      <c r="E178" s="2" t="str">
        <f aca="false">INDEX('Employee Master'!$K$2:$K$201,MATCH(A178,'Employee Master'!$A$2:$A$201,0))</f>
        <v>Yes</v>
      </c>
      <c r="F178" s="4" t="n">
        <f aca="false">INDEX('Employee Master'!$L$2:$L$201,MATCH(A178,'Employee Master'!$A$2:$A$201,0))</f>
        <v>0.12</v>
      </c>
      <c r="G178" s="2" t="n">
        <f aca="false">INDEX('Employee Master'!$G$2:$G$201,MATCH(A178,'Employee Master'!$A$2:$A$201,0))</f>
        <v>60000</v>
      </c>
      <c r="H178" s="2" t="n">
        <f aca="false">IF(E178="Yes",ROUND(G178*F178,0),0)</f>
        <v>7200</v>
      </c>
      <c r="I178" s="2" t="n">
        <f aca="false">IF(E178="Yes",ROUND(G178*F178,0),0)</f>
        <v>7200</v>
      </c>
      <c r="J178" s="2" t="n">
        <f aca="false">H178+I178</f>
        <v>14400</v>
      </c>
      <c r="K178" s="2" t="str">
        <f aca="false">IF(E178="Yes","Generated","Not Applicable")</f>
        <v>Generated</v>
      </c>
    </row>
    <row r="179" customFormat="false" ht="15" hidden="false" customHeight="false" outlineLevel="0" collapsed="false">
      <c r="A179" s="2" t="s">
        <v>403</v>
      </c>
      <c r="B179" s="2" t="s">
        <v>404</v>
      </c>
      <c r="C179" s="2" t="s">
        <v>649</v>
      </c>
      <c r="D179" s="2" t="n">
        <v>2026</v>
      </c>
      <c r="E179" s="2" t="str">
        <f aca="false">INDEX('Employee Master'!$K$2:$K$201,MATCH(A179,'Employee Master'!$A$2:$A$201,0))</f>
        <v>Yes</v>
      </c>
      <c r="F179" s="4" t="n">
        <f aca="false">INDEX('Employee Master'!$L$2:$L$201,MATCH(A179,'Employee Master'!$A$2:$A$201,0))</f>
        <v>0.12</v>
      </c>
      <c r="G179" s="2" t="n">
        <f aca="false">INDEX('Employee Master'!$G$2:$G$201,MATCH(A179,'Employee Master'!$A$2:$A$201,0))</f>
        <v>28000</v>
      </c>
      <c r="H179" s="2" t="n">
        <f aca="false">IF(E179="Yes",ROUND(G179*F179,0),0)</f>
        <v>3360</v>
      </c>
      <c r="I179" s="2" t="n">
        <f aca="false">IF(E179="Yes",ROUND(G179*F179,0),0)</f>
        <v>3360</v>
      </c>
      <c r="J179" s="2" t="n">
        <f aca="false">H179+I179</f>
        <v>6720</v>
      </c>
      <c r="K179" s="2" t="str">
        <f aca="false">IF(E179="Yes","Generated","Not Applicable")</f>
        <v>Generated</v>
      </c>
    </row>
    <row r="180" customFormat="false" ht="15" hidden="false" customHeight="false" outlineLevel="0" collapsed="false">
      <c r="A180" s="2" t="s">
        <v>405</v>
      </c>
      <c r="B180" s="2" t="s">
        <v>406</v>
      </c>
      <c r="C180" s="2" t="s">
        <v>649</v>
      </c>
      <c r="D180" s="2" t="n">
        <v>2026</v>
      </c>
      <c r="E180" s="2" t="str">
        <f aca="false">INDEX('Employee Master'!$K$2:$K$201,MATCH(A180,'Employee Master'!$A$2:$A$201,0))</f>
        <v>Yes</v>
      </c>
      <c r="F180" s="4" t="n">
        <f aca="false">INDEX('Employee Master'!$L$2:$L$201,MATCH(A180,'Employee Master'!$A$2:$A$201,0))</f>
        <v>0.12</v>
      </c>
      <c r="G180" s="2" t="n">
        <f aca="false">INDEX('Employee Master'!$G$2:$G$201,MATCH(A180,'Employee Master'!$A$2:$A$201,0))</f>
        <v>32500</v>
      </c>
      <c r="H180" s="2" t="n">
        <f aca="false">IF(E180="Yes",ROUND(G180*F180,0),0)</f>
        <v>3900</v>
      </c>
      <c r="I180" s="2" t="n">
        <f aca="false">IF(E180="Yes",ROUND(G180*F180,0),0)</f>
        <v>3900</v>
      </c>
      <c r="J180" s="2" t="n">
        <f aca="false">H180+I180</f>
        <v>7800</v>
      </c>
      <c r="K180" s="2" t="str">
        <f aca="false">IF(E180="Yes","Generated","Not Applicable")</f>
        <v>Generated</v>
      </c>
    </row>
    <row r="181" customFormat="false" ht="15" hidden="false" customHeight="false" outlineLevel="0" collapsed="false">
      <c r="A181" s="2" t="s">
        <v>407</v>
      </c>
      <c r="B181" s="2" t="s">
        <v>408</v>
      </c>
      <c r="C181" s="2" t="s">
        <v>649</v>
      </c>
      <c r="D181" s="2" t="n">
        <v>2026</v>
      </c>
      <c r="E181" s="2" t="str">
        <f aca="false">INDEX('Employee Master'!$K$2:$K$201,MATCH(A181,'Employee Master'!$A$2:$A$201,0))</f>
        <v>Yes</v>
      </c>
      <c r="F181" s="4" t="n">
        <f aca="false">INDEX('Employee Master'!$L$2:$L$201,MATCH(A181,'Employee Master'!$A$2:$A$201,0))</f>
        <v>0.12</v>
      </c>
      <c r="G181" s="2" t="n">
        <f aca="false">INDEX('Employee Master'!$G$2:$G$201,MATCH(A181,'Employee Master'!$A$2:$A$201,0))</f>
        <v>41500</v>
      </c>
      <c r="H181" s="2" t="n">
        <f aca="false">IF(E181="Yes",ROUND(G181*F181,0),0)</f>
        <v>4980</v>
      </c>
      <c r="I181" s="2" t="n">
        <f aca="false">IF(E181="Yes",ROUND(G181*F181,0),0)</f>
        <v>4980</v>
      </c>
      <c r="J181" s="2" t="n">
        <f aca="false">H181+I181</f>
        <v>9960</v>
      </c>
      <c r="K181" s="2" t="str">
        <f aca="false">IF(E181="Yes","Generated","Not Applicable")</f>
        <v>Generated</v>
      </c>
    </row>
    <row r="182" customFormat="false" ht="15" hidden="false" customHeight="false" outlineLevel="0" collapsed="false">
      <c r="A182" s="2" t="s">
        <v>409</v>
      </c>
      <c r="B182" s="2" t="s">
        <v>410</v>
      </c>
      <c r="C182" s="2" t="s">
        <v>649</v>
      </c>
      <c r="D182" s="2" t="n">
        <v>2026</v>
      </c>
      <c r="E182" s="2" t="str">
        <f aca="false">INDEX('Employee Master'!$K$2:$K$201,MATCH(A182,'Employee Master'!$A$2:$A$201,0))</f>
        <v>Yes</v>
      </c>
      <c r="F182" s="4" t="n">
        <f aca="false">INDEX('Employee Master'!$L$2:$L$201,MATCH(A182,'Employee Master'!$A$2:$A$201,0))</f>
        <v>0.12</v>
      </c>
      <c r="G182" s="2" t="n">
        <f aca="false">INDEX('Employee Master'!$G$2:$G$201,MATCH(A182,'Employee Master'!$A$2:$A$201,0))</f>
        <v>58000</v>
      </c>
      <c r="H182" s="2" t="n">
        <f aca="false">IF(E182="Yes",ROUND(G182*F182,0),0)</f>
        <v>6960</v>
      </c>
      <c r="I182" s="2" t="n">
        <f aca="false">IF(E182="Yes",ROUND(G182*F182,0),0)</f>
        <v>6960</v>
      </c>
      <c r="J182" s="2" t="n">
        <f aca="false">H182+I182</f>
        <v>13920</v>
      </c>
      <c r="K182" s="2" t="str">
        <f aca="false">IF(E182="Yes","Generated","Not Applicable")</f>
        <v>Generated</v>
      </c>
    </row>
    <row r="183" customFormat="false" ht="15" hidden="false" customHeight="false" outlineLevel="0" collapsed="false">
      <c r="A183" s="2" t="s">
        <v>411</v>
      </c>
      <c r="B183" s="2" t="s">
        <v>412</v>
      </c>
      <c r="C183" s="2" t="s">
        <v>649</v>
      </c>
      <c r="D183" s="2" t="n">
        <v>2026</v>
      </c>
      <c r="E183" s="2" t="str">
        <f aca="false">INDEX('Employee Master'!$K$2:$K$201,MATCH(A183,'Employee Master'!$A$2:$A$201,0))</f>
        <v>Yes</v>
      </c>
      <c r="F183" s="4" t="n">
        <f aca="false">INDEX('Employee Master'!$L$2:$L$201,MATCH(A183,'Employee Master'!$A$2:$A$201,0))</f>
        <v>0.12</v>
      </c>
      <c r="G183" s="2" t="n">
        <f aca="false">INDEX('Employee Master'!$G$2:$G$201,MATCH(A183,'Employee Master'!$A$2:$A$201,0))</f>
        <v>58000</v>
      </c>
      <c r="H183" s="2" t="n">
        <f aca="false">IF(E183="Yes",ROUND(G183*F183,0),0)</f>
        <v>6960</v>
      </c>
      <c r="I183" s="2" t="n">
        <f aca="false">IF(E183="Yes",ROUND(G183*F183,0),0)</f>
        <v>6960</v>
      </c>
      <c r="J183" s="2" t="n">
        <f aca="false">H183+I183</f>
        <v>13920</v>
      </c>
      <c r="K183" s="2" t="str">
        <f aca="false">IF(E183="Yes","Generated","Not Applicable")</f>
        <v>Generated</v>
      </c>
    </row>
    <row r="184" customFormat="false" ht="15" hidden="false" customHeight="false" outlineLevel="0" collapsed="false">
      <c r="A184" s="2" t="s">
        <v>413</v>
      </c>
      <c r="B184" s="2" t="s">
        <v>414</v>
      </c>
      <c r="C184" s="2" t="s">
        <v>649</v>
      </c>
      <c r="D184" s="2" t="n">
        <v>2026</v>
      </c>
      <c r="E184" s="2" t="str">
        <f aca="false">INDEX('Employee Master'!$K$2:$K$201,MATCH(A184,'Employee Master'!$A$2:$A$201,0))</f>
        <v>Yes</v>
      </c>
      <c r="F184" s="4" t="n">
        <f aca="false">INDEX('Employee Master'!$L$2:$L$201,MATCH(A184,'Employee Master'!$A$2:$A$201,0))</f>
        <v>0.12</v>
      </c>
      <c r="G184" s="2" t="n">
        <f aca="false">INDEX('Employee Master'!$G$2:$G$201,MATCH(A184,'Employee Master'!$A$2:$A$201,0))</f>
        <v>98500</v>
      </c>
      <c r="H184" s="2" t="n">
        <f aca="false">IF(E184="Yes",ROUND(G184*F184,0),0)</f>
        <v>11820</v>
      </c>
      <c r="I184" s="2" t="n">
        <f aca="false">IF(E184="Yes",ROUND(G184*F184,0),0)</f>
        <v>11820</v>
      </c>
      <c r="J184" s="2" t="n">
        <f aca="false">H184+I184</f>
        <v>23640</v>
      </c>
      <c r="K184" s="2" t="str">
        <f aca="false">IF(E184="Yes","Generated","Not Applicable")</f>
        <v>Generated</v>
      </c>
    </row>
    <row r="185" customFormat="false" ht="15" hidden="false" customHeight="false" outlineLevel="0" collapsed="false">
      <c r="A185" s="2" t="s">
        <v>415</v>
      </c>
      <c r="B185" s="2" t="s">
        <v>416</v>
      </c>
      <c r="C185" s="2" t="s">
        <v>649</v>
      </c>
      <c r="D185" s="2" t="n">
        <v>2026</v>
      </c>
      <c r="E185" s="2" t="str">
        <f aca="false">INDEX('Employee Master'!$K$2:$K$201,MATCH(A185,'Employee Master'!$A$2:$A$201,0))</f>
        <v>Yes</v>
      </c>
      <c r="F185" s="4" t="n">
        <f aca="false">INDEX('Employee Master'!$L$2:$L$201,MATCH(A185,'Employee Master'!$A$2:$A$201,0))</f>
        <v>0.12</v>
      </c>
      <c r="G185" s="2" t="n">
        <f aca="false">INDEX('Employee Master'!$G$2:$G$201,MATCH(A185,'Employee Master'!$A$2:$A$201,0))</f>
        <v>49500</v>
      </c>
      <c r="H185" s="2" t="n">
        <f aca="false">IF(E185="Yes",ROUND(G185*F185,0),0)</f>
        <v>5940</v>
      </c>
      <c r="I185" s="2" t="n">
        <f aca="false">IF(E185="Yes",ROUND(G185*F185,0),0)</f>
        <v>5940</v>
      </c>
      <c r="J185" s="2" t="n">
        <f aca="false">H185+I185</f>
        <v>11880</v>
      </c>
      <c r="K185" s="2" t="str">
        <f aca="false">IF(E185="Yes","Generated","Not Applicable")</f>
        <v>Generated</v>
      </c>
    </row>
    <row r="186" customFormat="false" ht="15" hidden="false" customHeight="false" outlineLevel="0" collapsed="false">
      <c r="A186" s="2" t="s">
        <v>417</v>
      </c>
      <c r="B186" s="2" t="s">
        <v>418</v>
      </c>
      <c r="C186" s="2" t="s">
        <v>649</v>
      </c>
      <c r="D186" s="2" t="n">
        <v>2026</v>
      </c>
      <c r="E186" s="2" t="str">
        <f aca="false">INDEX('Employee Master'!$K$2:$K$201,MATCH(A186,'Employee Master'!$A$2:$A$201,0))</f>
        <v>Yes</v>
      </c>
      <c r="F186" s="4" t="n">
        <f aca="false">INDEX('Employee Master'!$L$2:$L$201,MATCH(A186,'Employee Master'!$A$2:$A$201,0))</f>
        <v>0.12</v>
      </c>
      <c r="G186" s="2" t="n">
        <f aca="false">INDEX('Employee Master'!$G$2:$G$201,MATCH(A186,'Employee Master'!$A$2:$A$201,0))</f>
        <v>46500</v>
      </c>
      <c r="H186" s="2" t="n">
        <f aca="false">IF(E186="Yes",ROUND(G186*F186,0),0)</f>
        <v>5580</v>
      </c>
      <c r="I186" s="2" t="n">
        <f aca="false">IF(E186="Yes",ROUND(G186*F186,0),0)</f>
        <v>5580</v>
      </c>
      <c r="J186" s="2" t="n">
        <f aca="false">H186+I186</f>
        <v>11160</v>
      </c>
      <c r="K186" s="2" t="str">
        <f aca="false">IF(E186="Yes","Generated","Not Applicable")</f>
        <v>Generated</v>
      </c>
    </row>
    <row r="187" customFormat="false" ht="15" hidden="false" customHeight="false" outlineLevel="0" collapsed="false">
      <c r="A187" s="2" t="s">
        <v>419</v>
      </c>
      <c r="B187" s="2" t="s">
        <v>420</v>
      </c>
      <c r="C187" s="2" t="s">
        <v>649</v>
      </c>
      <c r="D187" s="2" t="n">
        <v>2026</v>
      </c>
      <c r="E187" s="2" t="str">
        <f aca="false">INDEX('Employee Master'!$K$2:$K$201,MATCH(A187,'Employee Master'!$A$2:$A$201,0))</f>
        <v>Yes</v>
      </c>
      <c r="F187" s="4" t="n">
        <f aca="false">INDEX('Employee Master'!$L$2:$L$201,MATCH(A187,'Employee Master'!$A$2:$A$201,0))</f>
        <v>0.12</v>
      </c>
      <c r="G187" s="2" t="n">
        <f aca="false">INDEX('Employee Master'!$G$2:$G$201,MATCH(A187,'Employee Master'!$A$2:$A$201,0))</f>
        <v>37000</v>
      </c>
      <c r="H187" s="2" t="n">
        <f aca="false">IF(E187="Yes",ROUND(G187*F187,0),0)</f>
        <v>4440</v>
      </c>
      <c r="I187" s="2" t="n">
        <f aca="false">IF(E187="Yes",ROUND(G187*F187,0),0)</f>
        <v>4440</v>
      </c>
      <c r="J187" s="2" t="n">
        <f aca="false">H187+I187</f>
        <v>8880</v>
      </c>
      <c r="K187" s="2" t="str">
        <f aca="false">IF(E187="Yes","Generated","Not Applicable")</f>
        <v>Generated</v>
      </c>
    </row>
    <row r="188" customFormat="false" ht="15" hidden="false" customHeight="false" outlineLevel="0" collapsed="false">
      <c r="A188" s="2" t="s">
        <v>421</v>
      </c>
      <c r="B188" s="2" t="s">
        <v>422</v>
      </c>
      <c r="C188" s="2" t="s">
        <v>649</v>
      </c>
      <c r="D188" s="2" t="n">
        <v>2026</v>
      </c>
      <c r="E188" s="2" t="str">
        <f aca="false">INDEX('Employee Master'!$K$2:$K$201,MATCH(A188,'Employee Master'!$A$2:$A$201,0))</f>
        <v>Yes</v>
      </c>
      <c r="F188" s="4" t="n">
        <f aca="false">INDEX('Employee Master'!$L$2:$L$201,MATCH(A188,'Employee Master'!$A$2:$A$201,0))</f>
        <v>0.12</v>
      </c>
      <c r="G188" s="2" t="n">
        <f aca="false">INDEX('Employee Master'!$G$2:$G$201,MATCH(A188,'Employee Master'!$A$2:$A$201,0))</f>
        <v>78000</v>
      </c>
      <c r="H188" s="2" t="n">
        <f aca="false">IF(E188="Yes",ROUND(G188*F188,0),0)</f>
        <v>9360</v>
      </c>
      <c r="I188" s="2" t="n">
        <f aca="false">IF(E188="Yes",ROUND(G188*F188,0),0)</f>
        <v>9360</v>
      </c>
      <c r="J188" s="2" t="n">
        <f aca="false">H188+I188</f>
        <v>18720</v>
      </c>
      <c r="K188" s="2" t="str">
        <f aca="false">IF(E188="Yes","Generated","Not Applicable")</f>
        <v>Generated</v>
      </c>
    </row>
    <row r="189" customFormat="false" ht="15" hidden="false" customHeight="false" outlineLevel="0" collapsed="false">
      <c r="A189" s="2" t="s">
        <v>423</v>
      </c>
      <c r="B189" s="2" t="s">
        <v>424</v>
      </c>
      <c r="C189" s="2" t="s">
        <v>649</v>
      </c>
      <c r="D189" s="2" t="n">
        <v>2026</v>
      </c>
      <c r="E189" s="2" t="str">
        <f aca="false">INDEX('Employee Master'!$K$2:$K$201,MATCH(A189,'Employee Master'!$A$2:$A$201,0))</f>
        <v>Yes</v>
      </c>
      <c r="F189" s="4" t="n">
        <f aca="false">INDEX('Employee Master'!$L$2:$L$201,MATCH(A189,'Employee Master'!$A$2:$A$201,0))</f>
        <v>0.12</v>
      </c>
      <c r="G189" s="2" t="n">
        <f aca="false">INDEX('Employee Master'!$G$2:$G$201,MATCH(A189,'Employee Master'!$A$2:$A$201,0))</f>
        <v>28500</v>
      </c>
      <c r="H189" s="2" t="n">
        <f aca="false">IF(E189="Yes",ROUND(G189*F189,0),0)</f>
        <v>3420</v>
      </c>
      <c r="I189" s="2" t="n">
        <f aca="false">IF(E189="Yes",ROUND(G189*F189,0),0)</f>
        <v>3420</v>
      </c>
      <c r="J189" s="2" t="n">
        <f aca="false">H189+I189</f>
        <v>6840</v>
      </c>
      <c r="K189" s="2" t="str">
        <f aca="false">IF(E189="Yes","Generated","Not Applicable")</f>
        <v>Generated</v>
      </c>
    </row>
    <row r="190" customFormat="false" ht="15" hidden="false" customHeight="false" outlineLevel="0" collapsed="false">
      <c r="A190" s="2" t="s">
        <v>425</v>
      </c>
      <c r="B190" s="2" t="s">
        <v>426</v>
      </c>
      <c r="C190" s="2" t="s">
        <v>649</v>
      </c>
      <c r="D190" s="2" t="n">
        <v>2026</v>
      </c>
      <c r="E190" s="2" t="str">
        <f aca="false">INDEX('Employee Master'!$K$2:$K$201,MATCH(A190,'Employee Master'!$A$2:$A$201,0))</f>
        <v>Yes</v>
      </c>
      <c r="F190" s="4" t="n">
        <f aca="false">INDEX('Employee Master'!$L$2:$L$201,MATCH(A190,'Employee Master'!$A$2:$A$201,0))</f>
        <v>0.12</v>
      </c>
      <c r="G190" s="2" t="n">
        <f aca="false">INDEX('Employee Master'!$G$2:$G$201,MATCH(A190,'Employee Master'!$A$2:$A$201,0))</f>
        <v>23000</v>
      </c>
      <c r="H190" s="2" t="n">
        <f aca="false">IF(E190="Yes",ROUND(G190*F190,0),0)</f>
        <v>2760</v>
      </c>
      <c r="I190" s="2" t="n">
        <f aca="false">IF(E190="Yes",ROUND(G190*F190,0),0)</f>
        <v>2760</v>
      </c>
      <c r="J190" s="2" t="n">
        <f aca="false">H190+I190</f>
        <v>5520</v>
      </c>
      <c r="K190" s="2" t="str">
        <f aca="false">IF(E190="Yes","Generated","Not Applicable")</f>
        <v>Generated</v>
      </c>
    </row>
    <row r="191" customFormat="false" ht="15" hidden="false" customHeight="false" outlineLevel="0" collapsed="false">
      <c r="A191" s="2" t="s">
        <v>427</v>
      </c>
      <c r="B191" s="2" t="s">
        <v>428</v>
      </c>
      <c r="C191" s="2" t="s">
        <v>649</v>
      </c>
      <c r="D191" s="2" t="n">
        <v>2026</v>
      </c>
      <c r="E191" s="2" t="str">
        <f aca="false">INDEX('Employee Master'!$K$2:$K$201,MATCH(A191,'Employee Master'!$A$2:$A$201,0))</f>
        <v>Yes</v>
      </c>
      <c r="F191" s="4" t="n">
        <f aca="false">INDEX('Employee Master'!$L$2:$L$201,MATCH(A191,'Employee Master'!$A$2:$A$201,0))</f>
        <v>0.12</v>
      </c>
      <c r="G191" s="2" t="n">
        <f aca="false">INDEX('Employee Master'!$G$2:$G$201,MATCH(A191,'Employee Master'!$A$2:$A$201,0))</f>
        <v>71500</v>
      </c>
      <c r="H191" s="2" t="n">
        <f aca="false">IF(E191="Yes",ROUND(G191*F191,0),0)</f>
        <v>8580</v>
      </c>
      <c r="I191" s="2" t="n">
        <f aca="false">IF(E191="Yes",ROUND(G191*F191,0),0)</f>
        <v>8580</v>
      </c>
      <c r="J191" s="2" t="n">
        <f aca="false">H191+I191</f>
        <v>17160</v>
      </c>
      <c r="K191" s="2" t="str">
        <f aca="false">IF(E191="Yes","Generated","Not Applicable")</f>
        <v>Generated</v>
      </c>
    </row>
    <row r="192" customFormat="false" ht="15" hidden="false" customHeight="false" outlineLevel="0" collapsed="false">
      <c r="A192" s="2" t="s">
        <v>429</v>
      </c>
      <c r="B192" s="2" t="s">
        <v>430</v>
      </c>
      <c r="C192" s="2" t="s">
        <v>649</v>
      </c>
      <c r="D192" s="2" t="n">
        <v>2026</v>
      </c>
      <c r="E192" s="2" t="str">
        <f aca="false">INDEX('Employee Master'!$K$2:$K$201,MATCH(A192,'Employee Master'!$A$2:$A$201,0))</f>
        <v>Yes</v>
      </c>
      <c r="F192" s="4" t="n">
        <f aca="false">INDEX('Employee Master'!$L$2:$L$201,MATCH(A192,'Employee Master'!$A$2:$A$201,0))</f>
        <v>0.12</v>
      </c>
      <c r="G192" s="2" t="n">
        <f aca="false">INDEX('Employee Master'!$G$2:$G$201,MATCH(A192,'Employee Master'!$A$2:$A$201,0))</f>
        <v>83000</v>
      </c>
      <c r="H192" s="2" t="n">
        <f aca="false">IF(E192="Yes",ROUND(G192*F192,0),0)</f>
        <v>9960</v>
      </c>
      <c r="I192" s="2" t="n">
        <f aca="false">IF(E192="Yes",ROUND(G192*F192,0),0)</f>
        <v>9960</v>
      </c>
      <c r="J192" s="2" t="n">
        <f aca="false">H192+I192</f>
        <v>19920</v>
      </c>
      <c r="K192" s="2" t="str">
        <f aca="false">IF(E192="Yes","Generated","Not Applicable")</f>
        <v>Generated</v>
      </c>
    </row>
    <row r="193" customFormat="false" ht="15" hidden="false" customHeight="false" outlineLevel="0" collapsed="false">
      <c r="A193" s="2" t="s">
        <v>431</v>
      </c>
      <c r="B193" s="2" t="s">
        <v>432</v>
      </c>
      <c r="C193" s="2" t="s">
        <v>649</v>
      </c>
      <c r="D193" s="2" t="n">
        <v>2026</v>
      </c>
      <c r="E193" s="2" t="str">
        <f aca="false">INDEX('Employee Master'!$K$2:$K$201,MATCH(A193,'Employee Master'!$A$2:$A$201,0))</f>
        <v>Yes</v>
      </c>
      <c r="F193" s="4" t="n">
        <f aca="false">INDEX('Employee Master'!$L$2:$L$201,MATCH(A193,'Employee Master'!$A$2:$A$201,0))</f>
        <v>0.12</v>
      </c>
      <c r="G193" s="2" t="n">
        <f aca="false">INDEX('Employee Master'!$G$2:$G$201,MATCH(A193,'Employee Master'!$A$2:$A$201,0))</f>
        <v>70000</v>
      </c>
      <c r="H193" s="2" t="n">
        <f aca="false">IF(E193="Yes",ROUND(G193*F193,0),0)</f>
        <v>8400</v>
      </c>
      <c r="I193" s="2" t="n">
        <f aca="false">IF(E193="Yes",ROUND(G193*F193,0),0)</f>
        <v>8400</v>
      </c>
      <c r="J193" s="2" t="n">
        <f aca="false">H193+I193</f>
        <v>16800</v>
      </c>
      <c r="K193" s="2" t="str">
        <f aca="false">IF(E193="Yes","Generated","Not Applicable")</f>
        <v>Generated</v>
      </c>
    </row>
    <row r="194" customFormat="false" ht="15" hidden="false" customHeight="false" outlineLevel="0" collapsed="false">
      <c r="A194" s="2" t="s">
        <v>433</v>
      </c>
      <c r="B194" s="2" t="s">
        <v>434</v>
      </c>
      <c r="C194" s="2" t="s">
        <v>649</v>
      </c>
      <c r="D194" s="2" t="n">
        <v>2026</v>
      </c>
      <c r="E194" s="2" t="str">
        <f aca="false">INDEX('Employee Master'!$K$2:$K$201,MATCH(A194,'Employee Master'!$A$2:$A$201,0))</f>
        <v>Yes</v>
      </c>
      <c r="F194" s="4" t="n">
        <f aca="false">INDEX('Employee Master'!$L$2:$L$201,MATCH(A194,'Employee Master'!$A$2:$A$201,0))</f>
        <v>0.12</v>
      </c>
      <c r="G194" s="2" t="n">
        <f aca="false">INDEX('Employee Master'!$G$2:$G$201,MATCH(A194,'Employee Master'!$A$2:$A$201,0))</f>
        <v>29000</v>
      </c>
      <c r="H194" s="2" t="n">
        <f aca="false">IF(E194="Yes",ROUND(G194*F194,0),0)</f>
        <v>3480</v>
      </c>
      <c r="I194" s="2" t="n">
        <f aca="false">IF(E194="Yes",ROUND(G194*F194,0),0)</f>
        <v>3480</v>
      </c>
      <c r="J194" s="2" t="n">
        <f aca="false">H194+I194</f>
        <v>6960</v>
      </c>
      <c r="K194" s="2" t="str">
        <f aca="false">IF(E194="Yes","Generated","Not Applicable")</f>
        <v>Generated</v>
      </c>
    </row>
    <row r="195" customFormat="false" ht="15" hidden="false" customHeight="false" outlineLevel="0" collapsed="false">
      <c r="A195" s="2" t="s">
        <v>435</v>
      </c>
      <c r="B195" s="2" t="s">
        <v>436</v>
      </c>
      <c r="C195" s="2" t="s">
        <v>649</v>
      </c>
      <c r="D195" s="2" t="n">
        <v>2026</v>
      </c>
      <c r="E195" s="2" t="str">
        <f aca="false">INDEX('Employee Master'!$K$2:$K$201,MATCH(A195,'Employee Master'!$A$2:$A$201,0))</f>
        <v>Yes</v>
      </c>
      <c r="F195" s="4" t="n">
        <f aca="false">INDEX('Employee Master'!$L$2:$L$201,MATCH(A195,'Employee Master'!$A$2:$A$201,0))</f>
        <v>0.12</v>
      </c>
      <c r="G195" s="2" t="n">
        <f aca="false">INDEX('Employee Master'!$G$2:$G$201,MATCH(A195,'Employee Master'!$A$2:$A$201,0))</f>
        <v>45500</v>
      </c>
      <c r="H195" s="2" t="n">
        <f aca="false">IF(E195="Yes",ROUND(G195*F195,0),0)</f>
        <v>5460</v>
      </c>
      <c r="I195" s="2" t="n">
        <f aca="false">IF(E195="Yes",ROUND(G195*F195,0),0)</f>
        <v>5460</v>
      </c>
      <c r="J195" s="2" t="n">
        <f aca="false">H195+I195</f>
        <v>10920</v>
      </c>
      <c r="K195" s="2" t="str">
        <f aca="false">IF(E195="Yes","Generated","Not Applicable")</f>
        <v>Generated</v>
      </c>
    </row>
    <row r="196" customFormat="false" ht="15" hidden="false" customHeight="false" outlineLevel="0" collapsed="false">
      <c r="A196" s="2" t="s">
        <v>437</v>
      </c>
      <c r="B196" s="2" t="s">
        <v>438</v>
      </c>
      <c r="C196" s="2" t="s">
        <v>649</v>
      </c>
      <c r="D196" s="2" t="n">
        <v>2026</v>
      </c>
      <c r="E196" s="2" t="str">
        <f aca="false">INDEX('Employee Master'!$K$2:$K$201,MATCH(A196,'Employee Master'!$A$2:$A$201,0))</f>
        <v>Yes</v>
      </c>
      <c r="F196" s="4" t="n">
        <f aca="false">INDEX('Employee Master'!$L$2:$L$201,MATCH(A196,'Employee Master'!$A$2:$A$201,0))</f>
        <v>0.12</v>
      </c>
      <c r="G196" s="2" t="n">
        <f aca="false">INDEX('Employee Master'!$G$2:$G$201,MATCH(A196,'Employee Master'!$A$2:$A$201,0))</f>
        <v>49500</v>
      </c>
      <c r="H196" s="2" t="n">
        <f aca="false">IF(E196="Yes",ROUND(G196*F196,0),0)</f>
        <v>5940</v>
      </c>
      <c r="I196" s="2" t="n">
        <f aca="false">IF(E196="Yes",ROUND(G196*F196,0),0)</f>
        <v>5940</v>
      </c>
      <c r="J196" s="2" t="n">
        <f aca="false">H196+I196</f>
        <v>11880</v>
      </c>
      <c r="K196" s="2" t="str">
        <f aca="false">IF(E196="Yes","Generated","Not Applicable")</f>
        <v>Generated</v>
      </c>
    </row>
    <row r="197" customFormat="false" ht="15" hidden="false" customHeight="false" outlineLevel="0" collapsed="false">
      <c r="A197" s="2" t="s">
        <v>439</v>
      </c>
      <c r="B197" s="2" t="s">
        <v>440</v>
      </c>
      <c r="C197" s="2" t="s">
        <v>649</v>
      </c>
      <c r="D197" s="2" t="n">
        <v>2026</v>
      </c>
      <c r="E197" s="2" t="str">
        <f aca="false">INDEX('Employee Master'!$K$2:$K$201,MATCH(A197,'Employee Master'!$A$2:$A$201,0))</f>
        <v>Yes</v>
      </c>
      <c r="F197" s="4" t="n">
        <f aca="false">INDEX('Employee Master'!$L$2:$L$201,MATCH(A197,'Employee Master'!$A$2:$A$201,0))</f>
        <v>0.12</v>
      </c>
      <c r="G197" s="2" t="n">
        <f aca="false">INDEX('Employee Master'!$G$2:$G$201,MATCH(A197,'Employee Master'!$A$2:$A$201,0))</f>
        <v>35500</v>
      </c>
      <c r="H197" s="2" t="n">
        <f aca="false">IF(E197="Yes",ROUND(G197*F197,0),0)</f>
        <v>4260</v>
      </c>
      <c r="I197" s="2" t="n">
        <f aca="false">IF(E197="Yes",ROUND(G197*F197,0),0)</f>
        <v>4260</v>
      </c>
      <c r="J197" s="2" t="n">
        <f aca="false">H197+I197</f>
        <v>8520</v>
      </c>
      <c r="K197" s="2" t="str">
        <f aca="false">IF(E197="Yes","Generated","Not Applicable")</f>
        <v>Generated</v>
      </c>
    </row>
    <row r="198" customFormat="false" ht="15" hidden="false" customHeight="false" outlineLevel="0" collapsed="false">
      <c r="A198" s="2" t="s">
        <v>441</v>
      </c>
      <c r="B198" s="2" t="s">
        <v>442</v>
      </c>
      <c r="C198" s="2" t="s">
        <v>649</v>
      </c>
      <c r="D198" s="2" t="n">
        <v>2026</v>
      </c>
      <c r="E198" s="2" t="str">
        <f aca="false">INDEX('Employee Master'!$K$2:$K$201,MATCH(A198,'Employee Master'!$A$2:$A$201,0))</f>
        <v>Yes</v>
      </c>
      <c r="F198" s="4" t="n">
        <f aca="false">INDEX('Employee Master'!$L$2:$L$201,MATCH(A198,'Employee Master'!$A$2:$A$201,0))</f>
        <v>0.12</v>
      </c>
      <c r="G198" s="2" t="n">
        <f aca="false">INDEX('Employee Master'!$G$2:$G$201,MATCH(A198,'Employee Master'!$A$2:$A$201,0))</f>
        <v>32000</v>
      </c>
      <c r="H198" s="2" t="n">
        <f aca="false">IF(E198="Yes",ROUND(G198*F198,0),0)</f>
        <v>3840</v>
      </c>
      <c r="I198" s="2" t="n">
        <f aca="false">IF(E198="Yes",ROUND(G198*F198,0),0)</f>
        <v>3840</v>
      </c>
      <c r="J198" s="2" t="n">
        <f aca="false">H198+I198</f>
        <v>7680</v>
      </c>
      <c r="K198" s="2" t="str">
        <f aca="false">IF(E198="Yes","Generated","Not Applicable")</f>
        <v>Generated</v>
      </c>
    </row>
    <row r="199" customFormat="false" ht="15" hidden="false" customHeight="false" outlineLevel="0" collapsed="false">
      <c r="A199" s="2" t="s">
        <v>443</v>
      </c>
      <c r="B199" s="2" t="s">
        <v>444</v>
      </c>
      <c r="C199" s="2" t="s">
        <v>649</v>
      </c>
      <c r="D199" s="2" t="n">
        <v>2026</v>
      </c>
      <c r="E199" s="2" t="str">
        <f aca="false">INDEX('Employee Master'!$K$2:$K$201,MATCH(A199,'Employee Master'!$A$2:$A$201,0))</f>
        <v>Yes</v>
      </c>
      <c r="F199" s="4" t="n">
        <f aca="false">INDEX('Employee Master'!$L$2:$L$201,MATCH(A199,'Employee Master'!$A$2:$A$201,0))</f>
        <v>0.12</v>
      </c>
      <c r="G199" s="2" t="n">
        <f aca="false">INDEX('Employee Master'!$G$2:$G$201,MATCH(A199,'Employee Master'!$A$2:$A$201,0))</f>
        <v>20500</v>
      </c>
      <c r="H199" s="2" t="n">
        <f aca="false">IF(E199="Yes",ROUND(G199*F199,0),0)</f>
        <v>2460</v>
      </c>
      <c r="I199" s="2" t="n">
        <f aca="false">IF(E199="Yes",ROUND(G199*F199,0),0)</f>
        <v>2460</v>
      </c>
      <c r="J199" s="2" t="n">
        <f aca="false">H199+I199</f>
        <v>4920</v>
      </c>
      <c r="K199" s="2" t="str">
        <f aca="false">IF(E199="Yes","Generated","Not Applicable")</f>
        <v>Generated</v>
      </c>
    </row>
    <row r="200" customFormat="false" ht="15" hidden="false" customHeight="false" outlineLevel="0" collapsed="false">
      <c r="A200" s="2" t="s">
        <v>445</v>
      </c>
      <c r="B200" s="2" t="s">
        <v>446</v>
      </c>
      <c r="C200" s="2" t="s">
        <v>649</v>
      </c>
      <c r="D200" s="2" t="n">
        <v>2026</v>
      </c>
      <c r="E200" s="2" t="str">
        <f aca="false">INDEX('Employee Master'!$K$2:$K$201,MATCH(A200,'Employee Master'!$A$2:$A$201,0))</f>
        <v>Yes</v>
      </c>
      <c r="F200" s="4" t="n">
        <f aca="false">INDEX('Employee Master'!$L$2:$L$201,MATCH(A200,'Employee Master'!$A$2:$A$201,0))</f>
        <v>0.12</v>
      </c>
      <c r="G200" s="2" t="n">
        <f aca="false">INDEX('Employee Master'!$G$2:$G$201,MATCH(A200,'Employee Master'!$A$2:$A$201,0))</f>
        <v>27000</v>
      </c>
      <c r="H200" s="2" t="n">
        <f aca="false">IF(E200="Yes",ROUND(G200*F200,0),0)</f>
        <v>3240</v>
      </c>
      <c r="I200" s="2" t="n">
        <f aca="false">IF(E200="Yes",ROUND(G200*F200,0),0)</f>
        <v>3240</v>
      </c>
      <c r="J200" s="2" t="n">
        <f aca="false">H200+I200</f>
        <v>6480</v>
      </c>
      <c r="K200" s="2" t="str">
        <f aca="false">IF(E200="Yes","Generated","Not Applicable")</f>
        <v>Generated</v>
      </c>
    </row>
    <row r="201" customFormat="false" ht="15" hidden="false" customHeight="false" outlineLevel="0" collapsed="false">
      <c r="A201" s="2" t="s">
        <v>447</v>
      </c>
      <c r="B201" s="2" t="s">
        <v>448</v>
      </c>
      <c r="C201" s="2" t="s">
        <v>649</v>
      </c>
      <c r="D201" s="2" t="n">
        <v>2026</v>
      </c>
      <c r="E201" s="2" t="str">
        <f aca="false">INDEX('Employee Master'!$K$2:$K$201,MATCH(A201,'Employee Master'!$A$2:$A$201,0))</f>
        <v>Yes</v>
      </c>
      <c r="F201" s="4" t="n">
        <f aca="false">INDEX('Employee Master'!$L$2:$L$201,MATCH(A201,'Employee Master'!$A$2:$A$201,0))</f>
        <v>0.12</v>
      </c>
      <c r="G201" s="2" t="n">
        <f aca="false">INDEX('Employee Master'!$G$2:$G$201,MATCH(A201,'Employee Master'!$A$2:$A$201,0))</f>
        <v>62000</v>
      </c>
      <c r="H201" s="2" t="n">
        <f aca="false">IF(E201="Yes",ROUND(G201*F201,0),0)</f>
        <v>7440</v>
      </c>
      <c r="I201" s="2" t="n">
        <f aca="false">IF(E201="Yes",ROUND(G201*F201,0),0)</f>
        <v>7440</v>
      </c>
      <c r="J201" s="2" t="n">
        <f aca="false">H201+I201</f>
        <v>14880</v>
      </c>
      <c r="K201" s="2" t="str">
        <f aca="false">IF(E201="Yes","Generated","Not Applicable")</f>
        <v>Generated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2" min="1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635</v>
      </c>
      <c r="E1" s="1" t="s">
        <v>637</v>
      </c>
      <c r="F1" s="1" t="s">
        <v>638</v>
      </c>
      <c r="G1" s="1" t="s">
        <v>639</v>
      </c>
      <c r="H1" s="1" t="s">
        <v>479</v>
      </c>
      <c r="I1" s="1" t="s">
        <v>640</v>
      </c>
      <c r="J1" s="1" t="s">
        <v>653</v>
      </c>
      <c r="K1" s="1" t="s">
        <v>654</v>
      </c>
      <c r="L1" s="1" t="s">
        <v>655</v>
      </c>
      <c r="M1" s="1" t="s">
        <v>642</v>
      </c>
      <c r="N1" s="1" t="s">
        <v>6</v>
      </c>
      <c r="O1" s="1" t="s">
        <v>645</v>
      </c>
      <c r="P1" s="1" t="s">
        <v>12</v>
      </c>
      <c r="Q1" s="1" t="s">
        <v>13</v>
      </c>
      <c r="R1" s="1" t="s">
        <v>651</v>
      </c>
      <c r="S1" s="1" t="s">
        <v>648</v>
      </c>
      <c r="T1" s="1" t="s">
        <v>8</v>
      </c>
      <c r="U1" s="1" t="s">
        <v>656</v>
      </c>
      <c r="V1" s="1" t="s">
        <v>9</v>
      </c>
    </row>
    <row r="2" customFormat="false" ht="15" hidden="false" customHeight="false" outlineLevel="0" collapsed="false">
      <c r="A2" s="2" t="s">
        <v>15</v>
      </c>
      <c r="B2" s="2" t="s">
        <v>16</v>
      </c>
      <c r="C2" s="2" t="s">
        <v>17</v>
      </c>
      <c r="D2" s="2" t="s">
        <v>657</v>
      </c>
      <c r="E2" s="2" t="n">
        <f aca="false">INDEX('Salary Records'!$F$2:$F$201,MATCH(A2,'Salary Records'!$A$2:$A$201,0))</f>
        <v>26</v>
      </c>
      <c r="F2" s="2" t="n">
        <f aca="false">INDEX('Salary Records'!$G$2:$G$201,MATCH(A2,'Salary Records'!$A$2:$A$201,0))</f>
        <v>26</v>
      </c>
      <c r="G2" s="2" t="n">
        <f aca="false">INDEX('Salary Records'!$H$2:$H$201,MATCH(A2,'Salary Records'!$A$2:$A$201,0))</f>
        <v>0</v>
      </c>
      <c r="H2" s="2" t="n">
        <f aca="false">INDEX('Salary Records'!$I$2:$I$201,MATCH(A2,'Salary Records'!$A$2:$A$201,0))</f>
        <v>0</v>
      </c>
      <c r="I2" s="2" t="n">
        <f aca="false">INDEX('Salary Records'!$J$2:$J$201,MATCH(A2,'Salary Records'!$A$2:$A$201,0))</f>
        <v>0</v>
      </c>
      <c r="J2" s="2" t="n">
        <f aca="false">ROUND(F2/E2*100,1)</f>
        <v>100</v>
      </c>
      <c r="K2" s="2" t="n">
        <v>2</v>
      </c>
      <c r="L2" s="2" t="n">
        <f aca="false">INDEX('Salary Records'!$K$2:$K$201,MATCH(A2,'Salary Records'!$A$2:$A$201,0))</f>
        <v>0</v>
      </c>
      <c r="M2" s="2" t="n">
        <f aca="false">INDEX('Salary Records'!$L$2:$L$201,MATCH(A2,'Salary Records'!$A$2:$A$201,0))</f>
        <v>0</v>
      </c>
      <c r="N2" s="2" t="n">
        <f aca="false">INDEX('Salary Records'!$E$2:$E$201,MATCH(A2,'Salary Records'!$A$2:$A$201,0))</f>
        <v>48000</v>
      </c>
      <c r="O2" s="2" t="n">
        <f aca="false">INDEX('Salary Records'!$O$2:$O$201,MATCH(A2,'Salary Records'!$A$2:$A$201,0))</f>
        <v>0</v>
      </c>
      <c r="P2" s="2" t="n">
        <f aca="false">INDEX('PF Records'!$H$2:$H$201,MATCH(A2,'PF Records'!$A$2:$A$201,0))</f>
        <v>5760</v>
      </c>
      <c r="Q2" s="2" t="n">
        <f aca="false">INDEX('PF Records'!$I$2:$I$201,MATCH(A2,'PF Records'!$A$2:$A$201,0))</f>
        <v>5760</v>
      </c>
      <c r="R2" s="2" t="n">
        <f aca="false">P2+Q2</f>
        <v>11520</v>
      </c>
      <c r="S2" s="2" t="n">
        <f aca="false">INDEX('Salary Records'!$S$2:$S$201,MATCH(A2,'Salary Records'!$A$2:$A$201,0))</f>
        <v>42240</v>
      </c>
      <c r="T2" s="2" t="n">
        <f aca="false">INDEX('Employee Master'!$I$2:$I$201,MATCH(A2,'Employee Master'!$A$2:$A$201,0))</f>
        <v>5.5</v>
      </c>
      <c r="U2" s="2" t="n">
        <f aca="false">INDEX('Employee Master'!$H$2:$H$201,MATCH(A2,'Employee Master'!$A$2:$A$201,0))</f>
        <v>0</v>
      </c>
      <c r="V2" s="2" t="n">
        <f aca="false">INDEX('Employee Master'!$J$2:$J$201,MATCH(A2,'Employee Master'!$A$2:$A$201,0))</f>
        <v>5.5</v>
      </c>
    </row>
    <row r="3" customFormat="false" ht="15" hidden="false" customHeight="false" outlineLevel="0" collapsed="false">
      <c r="A3" s="2" t="s">
        <v>22</v>
      </c>
      <c r="B3" s="2" t="s">
        <v>23</v>
      </c>
      <c r="C3" s="2" t="s">
        <v>24</v>
      </c>
      <c r="D3" s="2" t="s">
        <v>657</v>
      </c>
      <c r="E3" s="2" t="n">
        <f aca="false">INDEX('Salary Records'!$F$2:$F$201,MATCH(A3,'Salary Records'!$A$2:$A$201,0))</f>
        <v>26</v>
      </c>
      <c r="F3" s="2" t="n">
        <f aca="false">INDEX('Salary Records'!$G$2:$G$201,MATCH(A3,'Salary Records'!$A$2:$A$201,0))</f>
        <v>26</v>
      </c>
      <c r="G3" s="2" t="n">
        <f aca="false">INDEX('Salary Records'!$H$2:$H$201,MATCH(A3,'Salary Records'!$A$2:$A$201,0))</f>
        <v>0</v>
      </c>
      <c r="H3" s="2" t="n">
        <f aca="false">INDEX('Salary Records'!$I$2:$I$201,MATCH(A3,'Salary Records'!$A$2:$A$201,0))</f>
        <v>0</v>
      </c>
      <c r="I3" s="2" t="n">
        <f aca="false">INDEX('Salary Records'!$J$2:$J$201,MATCH(A3,'Salary Records'!$A$2:$A$201,0))</f>
        <v>0</v>
      </c>
      <c r="J3" s="2" t="n">
        <f aca="false">ROUND(F3/E3*100,1)</f>
        <v>100</v>
      </c>
      <c r="K3" s="2" t="n">
        <v>2</v>
      </c>
      <c r="L3" s="2" t="n">
        <f aca="false">INDEX('Salary Records'!$K$2:$K$201,MATCH(A3,'Salary Records'!$A$2:$A$201,0))</f>
        <v>0</v>
      </c>
      <c r="M3" s="2" t="n">
        <f aca="false">INDEX('Salary Records'!$L$2:$L$201,MATCH(A3,'Salary Records'!$A$2:$A$201,0))</f>
        <v>0</v>
      </c>
      <c r="N3" s="2" t="n">
        <f aca="false">INDEX('Salary Records'!$E$2:$E$201,MATCH(A3,'Salary Records'!$A$2:$A$201,0))</f>
        <v>104500</v>
      </c>
      <c r="O3" s="2" t="n">
        <f aca="false">INDEX('Salary Records'!$O$2:$O$201,MATCH(A3,'Salary Records'!$A$2:$A$201,0))</f>
        <v>0</v>
      </c>
      <c r="P3" s="2" t="n">
        <f aca="false">INDEX('PF Records'!$H$2:$H$201,MATCH(A3,'PF Records'!$A$2:$A$201,0))</f>
        <v>12540</v>
      </c>
      <c r="Q3" s="2" t="n">
        <f aca="false">INDEX('PF Records'!$I$2:$I$201,MATCH(A3,'PF Records'!$A$2:$A$201,0))</f>
        <v>12540</v>
      </c>
      <c r="R3" s="2" t="n">
        <f aca="false">P3+Q3</f>
        <v>25080</v>
      </c>
      <c r="S3" s="2" t="n">
        <f aca="false">INDEX('Salary Records'!$S$2:$S$201,MATCH(A3,'Salary Records'!$A$2:$A$201,0))</f>
        <v>91960</v>
      </c>
      <c r="T3" s="2" t="n">
        <f aca="false">INDEX('Employee Master'!$I$2:$I$201,MATCH(A3,'Employee Master'!$A$2:$A$201,0))</f>
        <v>3</v>
      </c>
      <c r="U3" s="2" t="n">
        <f aca="false">INDEX('Employee Master'!$H$2:$H$201,MATCH(A3,'Employee Master'!$A$2:$A$201,0))</f>
        <v>3.9</v>
      </c>
      <c r="V3" s="2" t="n">
        <f aca="false">INDEX('Employee Master'!$J$2:$J$201,MATCH(A3,'Employee Master'!$A$2:$A$201,0))</f>
        <v>6.9</v>
      </c>
    </row>
    <row r="4" customFormat="false" ht="15" hidden="false" customHeight="false" outlineLevel="0" collapsed="false">
      <c r="A4" s="2" t="s">
        <v>26</v>
      </c>
      <c r="B4" s="2" t="s">
        <v>27</v>
      </c>
      <c r="C4" s="2" t="s">
        <v>28</v>
      </c>
      <c r="D4" s="2" t="s">
        <v>657</v>
      </c>
      <c r="E4" s="2" t="n">
        <f aca="false">INDEX('Salary Records'!$F$2:$F$201,MATCH(A4,'Salary Records'!$A$2:$A$201,0))</f>
        <v>26</v>
      </c>
      <c r="F4" s="2" t="n">
        <f aca="false">INDEX('Salary Records'!$G$2:$G$201,MATCH(A4,'Salary Records'!$A$2:$A$201,0))</f>
        <v>20</v>
      </c>
      <c r="G4" s="2" t="n">
        <f aca="false">INDEX('Salary Records'!$H$2:$H$201,MATCH(A4,'Salary Records'!$A$2:$A$201,0))</f>
        <v>5</v>
      </c>
      <c r="H4" s="2" t="n">
        <f aca="false">INDEX('Salary Records'!$I$2:$I$201,MATCH(A4,'Salary Records'!$A$2:$A$201,0))</f>
        <v>1</v>
      </c>
      <c r="I4" s="2" t="n">
        <f aca="false">INDEX('Salary Records'!$J$2:$J$201,MATCH(A4,'Salary Records'!$A$2:$A$201,0))</f>
        <v>0</v>
      </c>
      <c r="J4" s="2" t="n">
        <f aca="false">ROUND(F4/E4*100,1)</f>
        <v>76.9</v>
      </c>
      <c r="K4" s="2" t="n">
        <v>2</v>
      </c>
      <c r="L4" s="2" t="n">
        <f aca="false">INDEX('Salary Records'!$K$2:$K$201,MATCH(A4,'Salary Records'!$A$2:$A$201,0))</f>
        <v>2</v>
      </c>
      <c r="M4" s="2" t="n">
        <f aca="false">INDEX('Salary Records'!$L$2:$L$201,MATCH(A4,'Salary Records'!$A$2:$A$201,0))</f>
        <v>3</v>
      </c>
      <c r="N4" s="2" t="n">
        <f aca="false">INDEX('Salary Records'!$E$2:$E$201,MATCH(A4,'Salary Records'!$A$2:$A$201,0))</f>
        <v>23000</v>
      </c>
      <c r="O4" s="2" t="n">
        <f aca="false">INDEX('Salary Records'!$O$2:$O$201,MATCH(A4,'Salary Records'!$A$2:$A$201,0))</f>
        <v>2653.86</v>
      </c>
      <c r="P4" s="2" t="n">
        <f aca="false">INDEX('PF Records'!$H$2:$H$201,MATCH(A4,'PF Records'!$A$2:$A$201,0))</f>
        <v>2760</v>
      </c>
      <c r="Q4" s="2" t="n">
        <f aca="false">INDEX('PF Records'!$I$2:$I$201,MATCH(A4,'PF Records'!$A$2:$A$201,0))</f>
        <v>2760</v>
      </c>
      <c r="R4" s="2" t="n">
        <f aca="false">P4+Q4</f>
        <v>5520</v>
      </c>
      <c r="S4" s="2" t="n">
        <f aca="false">INDEX('Salary Records'!$S$2:$S$201,MATCH(A4,'Salary Records'!$A$2:$A$201,0))</f>
        <v>17586.14</v>
      </c>
      <c r="T4" s="2" t="n">
        <f aca="false">INDEX('Employee Master'!$I$2:$I$201,MATCH(A4,'Employee Master'!$A$2:$A$201,0))</f>
        <v>1.5</v>
      </c>
      <c r="U4" s="2" t="n">
        <f aca="false">INDEX('Employee Master'!$H$2:$H$201,MATCH(A4,'Employee Master'!$A$2:$A$201,0))</f>
        <v>3.4</v>
      </c>
      <c r="V4" s="2" t="n">
        <f aca="false">INDEX('Employee Master'!$J$2:$J$201,MATCH(A4,'Employee Master'!$A$2:$A$201,0))</f>
        <v>4.9</v>
      </c>
    </row>
    <row r="5" customFormat="false" ht="15" hidden="false" customHeight="false" outlineLevel="0" collapsed="false">
      <c r="A5" s="2" t="s">
        <v>30</v>
      </c>
      <c r="B5" s="2" t="s">
        <v>31</v>
      </c>
      <c r="C5" s="2" t="s">
        <v>32</v>
      </c>
      <c r="D5" s="2" t="s">
        <v>657</v>
      </c>
      <c r="E5" s="2" t="n">
        <f aca="false">INDEX('Salary Records'!$F$2:$F$201,MATCH(A5,'Salary Records'!$A$2:$A$201,0))</f>
        <v>26</v>
      </c>
      <c r="F5" s="2" t="n">
        <f aca="false">INDEX('Salary Records'!$G$2:$G$201,MATCH(A5,'Salary Records'!$A$2:$A$201,0))</f>
        <v>24</v>
      </c>
      <c r="G5" s="2" t="n">
        <f aca="false">INDEX('Salary Records'!$H$2:$H$201,MATCH(A5,'Salary Records'!$A$2:$A$201,0))</f>
        <v>2</v>
      </c>
      <c r="H5" s="2" t="n">
        <f aca="false">INDEX('Salary Records'!$I$2:$I$201,MATCH(A5,'Salary Records'!$A$2:$A$201,0))</f>
        <v>0</v>
      </c>
      <c r="I5" s="2" t="n">
        <f aca="false">INDEX('Salary Records'!$J$2:$J$201,MATCH(A5,'Salary Records'!$A$2:$A$201,0))</f>
        <v>0</v>
      </c>
      <c r="J5" s="2" t="n">
        <f aca="false">ROUND(F5/E5*100,1)</f>
        <v>92.3</v>
      </c>
      <c r="K5" s="2" t="n">
        <v>2</v>
      </c>
      <c r="L5" s="2" t="n">
        <f aca="false">INDEX('Salary Records'!$K$2:$K$201,MATCH(A5,'Salary Records'!$A$2:$A$201,0))</f>
        <v>2</v>
      </c>
      <c r="M5" s="2" t="n">
        <f aca="false">INDEX('Salary Records'!$L$2:$L$201,MATCH(A5,'Salary Records'!$A$2:$A$201,0))</f>
        <v>0</v>
      </c>
      <c r="N5" s="2" t="n">
        <f aca="false">INDEX('Salary Records'!$E$2:$E$201,MATCH(A5,'Salary Records'!$A$2:$A$201,0))</f>
        <v>33000</v>
      </c>
      <c r="O5" s="2" t="n">
        <f aca="false">INDEX('Salary Records'!$O$2:$O$201,MATCH(A5,'Salary Records'!$A$2:$A$201,0))</f>
        <v>0</v>
      </c>
      <c r="P5" s="2" t="n">
        <f aca="false">INDEX('PF Records'!$H$2:$H$201,MATCH(A5,'PF Records'!$A$2:$A$201,0))</f>
        <v>3960</v>
      </c>
      <c r="Q5" s="2" t="n">
        <f aca="false">INDEX('PF Records'!$I$2:$I$201,MATCH(A5,'PF Records'!$A$2:$A$201,0))</f>
        <v>3960</v>
      </c>
      <c r="R5" s="2" t="n">
        <f aca="false">P5+Q5</f>
        <v>7920</v>
      </c>
      <c r="S5" s="2" t="n">
        <f aca="false">INDEX('Salary Records'!$S$2:$S$201,MATCH(A5,'Salary Records'!$A$2:$A$201,0))</f>
        <v>29040</v>
      </c>
      <c r="T5" s="2" t="n">
        <f aca="false">INDEX('Employee Master'!$I$2:$I$201,MATCH(A5,'Employee Master'!$A$2:$A$201,0))</f>
        <v>7.2</v>
      </c>
      <c r="U5" s="2" t="n">
        <f aca="false">INDEX('Employee Master'!$H$2:$H$201,MATCH(A5,'Employee Master'!$A$2:$A$201,0))</f>
        <v>5.1</v>
      </c>
      <c r="V5" s="2" t="n">
        <f aca="false">INDEX('Employee Master'!$J$2:$J$201,MATCH(A5,'Employee Master'!$A$2:$A$201,0))</f>
        <v>12.3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657</v>
      </c>
      <c r="E6" s="2" t="n">
        <f aca="false">INDEX('Salary Records'!$F$2:$F$201,MATCH(A6,'Salary Records'!$A$2:$A$201,0))</f>
        <v>26</v>
      </c>
      <c r="F6" s="2" t="n">
        <f aca="false">INDEX('Salary Records'!$G$2:$G$201,MATCH(A6,'Salary Records'!$A$2:$A$201,0))</f>
        <v>25</v>
      </c>
      <c r="G6" s="2" t="n">
        <f aca="false">INDEX('Salary Records'!$H$2:$H$201,MATCH(A6,'Salary Records'!$A$2:$A$201,0))</f>
        <v>1</v>
      </c>
      <c r="H6" s="2" t="n">
        <f aca="false">INDEX('Salary Records'!$I$2:$I$201,MATCH(A6,'Salary Records'!$A$2:$A$201,0))</f>
        <v>0</v>
      </c>
      <c r="I6" s="2" t="n">
        <f aca="false">INDEX('Salary Records'!$J$2:$J$201,MATCH(A6,'Salary Records'!$A$2:$A$201,0))</f>
        <v>0</v>
      </c>
      <c r="J6" s="2" t="n">
        <f aca="false">ROUND(F6/E6*100,1)</f>
        <v>96.2</v>
      </c>
      <c r="K6" s="2" t="n">
        <v>2</v>
      </c>
      <c r="L6" s="2" t="n">
        <f aca="false">INDEX('Salary Records'!$K$2:$K$201,MATCH(A6,'Salary Records'!$A$2:$A$201,0))</f>
        <v>1</v>
      </c>
      <c r="M6" s="2" t="n">
        <f aca="false">INDEX('Salary Records'!$L$2:$L$201,MATCH(A6,'Salary Records'!$A$2:$A$201,0))</f>
        <v>0</v>
      </c>
      <c r="N6" s="2" t="n">
        <f aca="false">INDEX('Salary Records'!$E$2:$E$201,MATCH(A6,'Salary Records'!$A$2:$A$201,0))</f>
        <v>81000</v>
      </c>
      <c r="O6" s="2" t="n">
        <f aca="false">INDEX('Salary Records'!$O$2:$O$201,MATCH(A6,'Salary Records'!$A$2:$A$201,0))</f>
        <v>0</v>
      </c>
      <c r="P6" s="2" t="n">
        <f aca="false">INDEX('PF Records'!$H$2:$H$201,MATCH(A6,'PF Records'!$A$2:$A$201,0))</f>
        <v>9720</v>
      </c>
      <c r="Q6" s="2" t="n">
        <f aca="false">INDEX('PF Records'!$I$2:$I$201,MATCH(A6,'PF Records'!$A$2:$A$201,0))</f>
        <v>9720</v>
      </c>
      <c r="R6" s="2" t="n">
        <f aca="false">P6+Q6</f>
        <v>19440</v>
      </c>
      <c r="S6" s="2" t="n">
        <f aca="false">INDEX('Salary Records'!$S$2:$S$201,MATCH(A6,'Salary Records'!$A$2:$A$201,0))</f>
        <v>71280</v>
      </c>
      <c r="T6" s="2" t="n">
        <f aca="false">INDEX('Employee Master'!$I$2:$I$201,MATCH(A6,'Employee Master'!$A$2:$A$201,0))</f>
        <v>0.8</v>
      </c>
      <c r="U6" s="2" t="n">
        <f aca="false">INDEX('Employee Master'!$H$2:$H$201,MATCH(A6,'Employee Master'!$A$2:$A$201,0))</f>
        <v>3.4</v>
      </c>
      <c r="V6" s="2" t="n">
        <f aca="false">INDEX('Employee Master'!$J$2:$J$201,MATCH(A6,'Employee Master'!$A$2:$A$201,0))</f>
        <v>4.2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657</v>
      </c>
      <c r="E7" s="2" t="n">
        <f aca="false">INDEX('Salary Records'!$F$2:$F$201,MATCH(A7,'Salary Records'!$A$2:$A$201,0))</f>
        <v>26</v>
      </c>
      <c r="F7" s="2" t="n">
        <f aca="false">INDEX('Salary Records'!$G$2:$G$201,MATCH(A7,'Salary Records'!$A$2:$A$201,0))</f>
        <v>20</v>
      </c>
      <c r="G7" s="2" t="n">
        <f aca="false">INDEX('Salary Records'!$H$2:$H$201,MATCH(A7,'Salary Records'!$A$2:$A$201,0))</f>
        <v>3</v>
      </c>
      <c r="H7" s="2" t="n">
        <f aca="false">INDEX('Salary Records'!$I$2:$I$201,MATCH(A7,'Salary Records'!$A$2:$A$201,0))</f>
        <v>1</v>
      </c>
      <c r="I7" s="2" t="n">
        <f aca="false">INDEX('Salary Records'!$J$2:$J$201,MATCH(A7,'Salary Records'!$A$2:$A$201,0))</f>
        <v>2</v>
      </c>
      <c r="J7" s="2" t="n">
        <f aca="false">ROUND(F7/E7*100,1)</f>
        <v>76.9</v>
      </c>
      <c r="K7" s="2" t="n">
        <v>2</v>
      </c>
      <c r="L7" s="2" t="n">
        <f aca="false">INDEX('Salary Records'!$K$2:$K$201,MATCH(A7,'Salary Records'!$A$2:$A$201,0))</f>
        <v>2</v>
      </c>
      <c r="M7" s="2" t="n">
        <f aca="false">INDEX('Salary Records'!$L$2:$L$201,MATCH(A7,'Salary Records'!$A$2:$A$201,0))</f>
        <v>1</v>
      </c>
      <c r="N7" s="2" t="n">
        <f aca="false">INDEX('Salary Records'!$E$2:$E$201,MATCH(A7,'Salary Records'!$A$2:$A$201,0))</f>
        <v>23000</v>
      </c>
      <c r="O7" s="2" t="n">
        <f aca="false">INDEX('Salary Records'!$O$2:$O$201,MATCH(A7,'Salary Records'!$A$2:$A$201,0))</f>
        <v>884.62</v>
      </c>
      <c r="P7" s="2" t="n">
        <f aca="false">INDEX('PF Records'!$H$2:$H$201,MATCH(A7,'PF Records'!$A$2:$A$201,0))</f>
        <v>2760</v>
      </c>
      <c r="Q7" s="2" t="n">
        <f aca="false">INDEX('PF Records'!$I$2:$I$201,MATCH(A7,'PF Records'!$A$2:$A$201,0))</f>
        <v>2760</v>
      </c>
      <c r="R7" s="2" t="n">
        <f aca="false">P7+Q7</f>
        <v>5520</v>
      </c>
      <c r="S7" s="2" t="n">
        <f aca="false">INDEX('Salary Records'!$S$2:$S$201,MATCH(A7,'Salary Records'!$A$2:$A$201,0))</f>
        <v>17586.14</v>
      </c>
      <c r="T7" s="2" t="n">
        <f aca="false">INDEX('Employee Master'!$I$2:$I$201,MATCH(A7,'Employee Master'!$A$2:$A$201,0))</f>
        <v>2.5</v>
      </c>
      <c r="U7" s="2" t="n">
        <f aca="false">INDEX('Employee Master'!$H$2:$H$201,MATCH(A7,'Employee Master'!$A$2:$A$201,0))</f>
        <v>0.3</v>
      </c>
      <c r="V7" s="2" t="n">
        <f aca="false">INDEX('Employee Master'!$J$2:$J$201,MATCH(A7,'Employee Master'!$A$2:$A$201,0))</f>
        <v>2.8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657</v>
      </c>
      <c r="E8" s="2" t="n">
        <f aca="false">INDEX('Salary Records'!$F$2:$F$201,MATCH(A8,'Salary Records'!$A$2:$A$201,0))</f>
        <v>26</v>
      </c>
      <c r="F8" s="2" t="n">
        <f aca="false">INDEX('Salary Records'!$G$2:$G$201,MATCH(A8,'Salary Records'!$A$2:$A$201,0))</f>
        <v>26</v>
      </c>
      <c r="G8" s="2" t="n">
        <f aca="false">INDEX('Salary Records'!$H$2:$H$201,MATCH(A8,'Salary Records'!$A$2:$A$201,0))</f>
        <v>0</v>
      </c>
      <c r="H8" s="2" t="n">
        <f aca="false">INDEX('Salary Records'!$I$2:$I$201,MATCH(A8,'Salary Records'!$A$2:$A$201,0))</f>
        <v>0</v>
      </c>
      <c r="I8" s="2" t="n">
        <f aca="false">INDEX('Salary Records'!$J$2:$J$201,MATCH(A8,'Salary Records'!$A$2:$A$201,0))</f>
        <v>0</v>
      </c>
      <c r="J8" s="2" t="n">
        <f aca="false">ROUND(F8/E8*100,1)</f>
        <v>100</v>
      </c>
      <c r="K8" s="2" t="n">
        <v>2</v>
      </c>
      <c r="L8" s="2" t="n">
        <f aca="false">INDEX('Salary Records'!$K$2:$K$201,MATCH(A8,'Salary Records'!$A$2:$A$201,0))</f>
        <v>0</v>
      </c>
      <c r="M8" s="2" t="n">
        <f aca="false">INDEX('Salary Records'!$L$2:$L$201,MATCH(A8,'Salary Records'!$A$2:$A$201,0))</f>
        <v>0</v>
      </c>
      <c r="N8" s="2" t="n">
        <f aca="false">INDEX('Salary Records'!$E$2:$E$201,MATCH(A8,'Salary Records'!$A$2:$A$201,0))</f>
        <v>34000</v>
      </c>
      <c r="O8" s="2" t="n">
        <f aca="false">INDEX('Salary Records'!$O$2:$O$201,MATCH(A8,'Salary Records'!$A$2:$A$201,0))</f>
        <v>0</v>
      </c>
      <c r="P8" s="2" t="n">
        <f aca="false">INDEX('PF Records'!$H$2:$H$201,MATCH(A8,'PF Records'!$A$2:$A$201,0))</f>
        <v>4080</v>
      </c>
      <c r="Q8" s="2" t="n">
        <f aca="false">INDEX('PF Records'!$I$2:$I$201,MATCH(A8,'PF Records'!$A$2:$A$201,0))</f>
        <v>4080</v>
      </c>
      <c r="R8" s="2" t="n">
        <f aca="false">P8+Q8</f>
        <v>8160</v>
      </c>
      <c r="S8" s="2" t="n">
        <f aca="false">INDEX('Salary Records'!$S$2:$S$201,MATCH(A8,'Salary Records'!$A$2:$A$201,0))</f>
        <v>29920</v>
      </c>
      <c r="T8" s="2" t="n">
        <f aca="false">INDEX('Employee Master'!$I$2:$I$201,MATCH(A8,'Employee Master'!$A$2:$A$201,0))</f>
        <v>7.2</v>
      </c>
      <c r="U8" s="2" t="n">
        <f aca="false">INDEX('Employee Master'!$H$2:$H$201,MATCH(A8,'Employee Master'!$A$2:$A$201,0))</f>
        <v>0.3</v>
      </c>
      <c r="V8" s="2" t="n">
        <f aca="false">INDEX('Employee Master'!$J$2:$J$201,MATCH(A8,'Employee Master'!$A$2:$A$201,0))</f>
        <v>7.5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657</v>
      </c>
      <c r="E9" s="2" t="n">
        <f aca="false">INDEX('Salary Records'!$F$2:$F$201,MATCH(A9,'Salary Records'!$A$2:$A$201,0))</f>
        <v>26</v>
      </c>
      <c r="F9" s="2" t="n">
        <f aca="false">INDEX('Salary Records'!$G$2:$G$201,MATCH(A9,'Salary Records'!$A$2:$A$201,0))</f>
        <v>26</v>
      </c>
      <c r="G9" s="2" t="n">
        <f aca="false">INDEX('Salary Records'!$H$2:$H$201,MATCH(A9,'Salary Records'!$A$2:$A$201,0))</f>
        <v>0</v>
      </c>
      <c r="H9" s="2" t="n">
        <f aca="false">INDEX('Salary Records'!$I$2:$I$201,MATCH(A9,'Salary Records'!$A$2:$A$201,0))</f>
        <v>0</v>
      </c>
      <c r="I9" s="2" t="n">
        <f aca="false">INDEX('Salary Records'!$J$2:$J$201,MATCH(A9,'Salary Records'!$A$2:$A$201,0))</f>
        <v>0</v>
      </c>
      <c r="J9" s="2" t="n">
        <f aca="false">ROUND(F9/E9*100,1)</f>
        <v>100</v>
      </c>
      <c r="K9" s="2" t="n">
        <v>2</v>
      </c>
      <c r="L9" s="2" t="n">
        <f aca="false">INDEX('Salary Records'!$K$2:$K$201,MATCH(A9,'Salary Records'!$A$2:$A$201,0))</f>
        <v>0</v>
      </c>
      <c r="M9" s="2" t="n">
        <f aca="false">INDEX('Salary Records'!$L$2:$L$201,MATCH(A9,'Salary Records'!$A$2:$A$201,0))</f>
        <v>0</v>
      </c>
      <c r="N9" s="2" t="n">
        <f aca="false">INDEX('Salary Records'!$E$2:$E$201,MATCH(A9,'Salary Records'!$A$2:$A$201,0))</f>
        <v>30500</v>
      </c>
      <c r="O9" s="2" t="n">
        <f aca="false">INDEX('Salary Records'!$O$2:$O$201,MATCH(A9,'Salary Records'!$A$2:$A$201,0))</f>
        <v>0</v>
      </c>
      <c r="P9" s="2" t="n">
        <f aca="false">INDEX('PF Records'!$H$2:$H$201,MATCH(A9,'PF Records'!$A$2:$A$201,0))</f>
        <v>3660</v>
      </c>
      <c r="Q9" s="2" t="n">
        <f aca="false">INDEX('PF Records'!$I$2:$I$201,MATCH(A9,'PF Records'!$A$2:$A$201,0))</f>
        <v>3660</v>
      </c>
      <c r="R9" s="2" t="n">
        <f aca="false">P9+Q9</f>
        <v>7320</v>
      </c>
      <c r="S9" s="2" t="n">
        <f aca="false">INDEX('Salary Records'!$S$2:$S$201,MATCH(A9,'Salary Records'!$A$2:$A$201,0))</f>
        <v>26840</v>
      </c>
      <c r="T9" s="2" t="n">
        <f aca="false">INDEX('Employee Master'!$I$2:$I$201,MATCH(A9,'Employee Master'!$A$2:$A$201,0))</f>
        <v>6.3</v>
      </c>
      <c r="U9" s="2" t="n">
        <f aca="false">INDEX('Employee Master'!$H$2:$H$201,MATCH(A9,'Employee Master'!$A$2:$A$201,0))</f>
        <v>0</v>
      </c>
      <c r="V9" s="2" t="n">
        <f aca="false">INDEX('Employee Master'!$J$2:$J$201,MATCH(A9,'Employee Master'!$A$2:$A$201,0))</f>
        <v>6.3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657</v>
      </c>
      <c r="E10" s="2" t="n">
        <f aca="false">INDEX('Salary Records'!$F$2:$F$201,MATCH(A10,'Salary Records'!$A$2:$A$201,0))</f>
        <v>26</v>
      </c>
      <c r="F10" s="2" t="n">
        <f aca="false">INDEX('Salary Records'!$G$2:$G$201,MATCH(A10,'Salary Records'!$A$2:$A$201,0))</f>
        <v>16</v>
      </c>
      <c r="G10" s="2" t="n">
        <f aca="false">INDEX('Salary Records'!$H$2:$H$201,MATCH(A10,'Salary Records'!$A$2:$A$201,0))</f>
        <v>9</v>
      </c>
      <c r="H10" s="2" t="n">
        <f aca="false">INDEX('Salary Records'!$I$2:$I$201,MATCH(A10,'Salary Records'!$A$2:$A$201,0))</f>
        <v>1</v>
      </c>
      <c r="I10" s="2" t="n">
        <f aca="false">INDEX('Salary Records'!$J$2:$J$201,MATCH(A10,'Salary Records'!$A$2:$A$201,0))</f>
        <v>0</v>
      </c>
      <c r="J10" s="2" t="n">
        <f aca="false">ROUND(F10/E10*100,1)</f>
        <v>61.5</v>
      </c>
      <c r="K10" s="2" t="n">
        <v>2</v>
      </c>
      <c r="L10" s="2" t="n">
        <f aca="false">INDEX('Salary Records'!$K$2:$K$201,MATCH(A10,'Salary Records'!$A$2:$A$201,0))</f>
        <v>2</v>
      </c>
      <c r="M10" s="2" t="n">
        <f aca="false">INDEX('Salary Records'!$L$2:$L$201,MATCH(A10,'Salary Records'!$A$2:$A$201,0))</f>
        <v>7</v>
      </c>
      <c r="N10" s="2" t="n">
        <f aca="false">INDEX('Salary Records'!$E$2:$E$201,MATCH(A10,'Salary Records'!$A$2:$A$201,0))</f>
        <v>33500</v>
      </c>
      <c r="O10" s="2" t="n">
        <f aca="false">INDEX('Salary Records'!$O$2:$O$201,MATCH(A10,'Salary Records'!$A$2:$A$201,0))</f>
        <v>9019.22</v>
      </c>
      <c r="P10" s="2" t="n">
        <f aca="false">INDEX('PF Records'!$H$2:$H$201,MATCH(A10,'PF Records'!$A$2:$A$201,0))</f>
        <v>4020</v>
      </c>
      <c r="Q10" s="2" t="n">
        <f aca="false">INDEX('PF Records'!$I$2:$I$201,MATCH(A10,'PF Records'!$A$2:$A$201,0))</f>
        <v>4020</v>
      </c>
      <c r="R10" s="2" t="n">
        <f aca="false">P10+Q10</f>
        <v>8040</v>
      </c>
      <c r="S10" s="2" t="n">
        <f aca="false">INDEX('Salary Records'!$S$2:$S$201,MATCH(A10,'Salary Records'!$A$2:$A$201,0))</f>
        <v>20460.78</v>
      </c>
      <c r="T10" s="2" t="n">
        <f aca="false">INDEX('Employee Master'!$I$2:$I$201,MATCH(A10,'Employee Master'!$A$2:$A$201,0))</f>
        <v>1.7</v>
      </c>
      <c r="U10" s="2" t="n">
        <f aca="false">INDEX('Employee Master'!$H$2:$H$201,MATCH(A10,'Employee Master'!$A$2:$A$201,0))</f>
        <v>6</v>
      </c>
      <c r="V10" s="2" t="n">
        <f aca="false">INDEX('Employee Master'!$J$2:$J$201,MATCH(A10,'Employee Master'!$A$2:$A$201,0))</f>
        <v>7.7</v>
      </c>
    </row>
    <row r="11" customFormat="false" ht="15" hidden="false" customHeight="false" outlineLevel="0" collapsed="false">
      <c r="A11" s="2" t="s">
        <v>55</v>
      </c>
      <c r="B11" s="2" t="s">
        <v>56</v>
      </c>
      <c r="C11" s="2" t="s">
        <v>57</v>
      </c>
      <c r="D11" s="2" t="s">
        <v>657</v>
      </c>
      <c r="E11" s="2" t="n">
        <f aca="false">INDEX('Salary Records'!$F$2:$F$201,MATCH(A11,'Salary Records'!$A$2:$A$201,0))</f>
        <v>26</v>
      </c>
      <c r="F11" s="2" t="n">
        <f aca="false">INDEX('Salary Records'!$G$2:$G$201,MATCH(A11,'Salary Records'!$A$2:$A$201,0))</f>
        <v>18</v>
      </c>
      <c r="G11" s="2" t="n">
        <f aca="false">INDEX('Salary Records'!$H$2:$H$201,MATCH(A11,'Salary Records'!$A$2:$A$201,0))</f>
        <v>5</v>
      </c>
      <c r="H11" s="2" t="n">
        <f aca="false">INDEX('Salary Records'!$I$2:$I$201,MATCH(A11,'Salary Records'!$A$2:$A$201,0))</f>
        <v>1</v>
      </c>
      <c r="I11" s="2" t="n">
        <f aca="false">INDEX('Salary Records'!$J$2:$J$201,MATCH(A11,'Salary Records'!$A$2:$A$201,0))</f>
        <v>2</v>
      </c>
      <c r="J11" s="2" t="n">
        <f aca="false">ROUND(F11/E11*100,1)</f>
        <v>69.2</v>
      </c>
      <c r="K11" s="2" t="n">
        <v>2</v>
      </c>
      <c r="L11" s="2" t="n">
        <f aca="false">INDEX('Salary Records'!$K$2:$K$201,MATCH(A11,'Salary Records'!$A$2:$A$201,0))</f>
        <v>2</v>
      </c>
      <c r="M11" s="2" t="n">
        <f aca="false">INDEX('Salary Records'!$L$2:$L$201,MATCH(A11,'Salary Records'!$A$2:$A$201,0))</f>
        <v>3</v>
      </c>
      <c r="N11" s="2" t="n">
        <f aca="false">INDEX('Salary Records'!$E$2:$E$201,MATCH(A11,'Salary Records'!$A$2:$A$201,0))</f>
        <v>20500</v>
      </c>
      <c r="O11" s="2" t="n">
        <f aca="false">INDEX('Salary Records'!$O$2:$O$201,MATCH(A11,'Salary Records'!$A$2:$A$201,0))</f>
        <v>2365.38</v>
      </c>
      <c r="P11" s="2" t="n">
        <f aca="false">INDEX('PF Records'!$H$2:$H$201,MATCH(A11,'PF Records'!$A$2:$A$201,0))</f>
        <v>2460</v>
      </c>
      <c r="Q11" s="2" t="n">
        <f aca="false">INDEX('PF Records'!$I$2:$I$201,MATCH(A11,'PF Records'!$A$2:$A$201,0))</f>
        <v>2460</v>
      </c>
      <c r="R11" s="2" t="n">
        <f aca="false">P11+Q11</f>
        <v>4920</v>
      </c>
      <c r="S11" s="2" t="n">
        <f aca="false">INDEX('Salary Records'!$S$2:$S$201,MATCH(A11,'Salary Records'!$A$2:$A$201,0))</f>
        <v>14886.16</v>
      </c>
      <c r="T11" s="2" t="n">
        <f aca="false">INDEX('Employee Master'!$I$2:$I$201,MATCH(A11,'Employee Master'!$A$2:$A$201,0))</f>
        <v>6.7</v>
      </c>
      <c r="U11" s="2" t="n">
        <f aca="false">INDEX('Employee Master'!$H$2:$H$201,MATCH(A11,'Employee Master'!$A$2:$A$201,0))</f>
        <v>7.1</v>
      </c>
      <c r="V11" s="2" t="n">
        <f aca="false">INDEX('Employee Master'!$J$2:$J$201,MATCH(A11,'Employee Master'!$A$2:$A$201,0))</f>
        <v>13.8</v>
      </c>
    </row>
    <row r="12" customFormat="false" ht="15" hidden="false" customHeight="false" outlineLevel="0" collapsed="false">
      <c r="A12" s="2" t="s">
        <v>59</v>
      </c>
      <c r="B12" s="2" t="s">
        <v>60</v>
      </c>
      <c r="C12" s="2" t="s">
        <v>17</v>
      </c>
      <c r="D12" s="2" t="s">
        <v>657</v>
      </c>
      <c r="E12" s="2" t="n">
        <f aca="false">INDEX('Salary Records'!$F$2:$F$201,MATCH(A12,'Salary Records'!$A$2:$A$201,0))</f>
        <v>26</v>
      </c>
      <c r="F12" s="2" t="n">
        <f aca="false">INDEX('Salary Records'!$G$2:$G$201,MATCH(A12,'Salary Records'!$A$2:$A$201,0))</f>
        <v>23</v>
      </c>
      <c r="G12" s="2" t="n">
        <f aca="false">INDEX('Salary Records'!$H$2:$H$201,MATCH(A12,'Salary Records'!$A$2:$A$201,0))</f>
        <v>2</v>
      </c>
      <c r="H12" s="2" t="n">
        <f aca="false">INDEX('Salary Records'!$I$2:$I$201,MATCH(A12,'Salary Records'!$A$2:$A$201,0))</f>
        <v>1</v>
      </c>
      <c r="I12" s="2" t="n">
        <f aca="false">INDEX('Salary Records'!$J$2:$J$201,MATCH(A12,'Salary Records'!$A$2:$A$201,0))</f>
        <v>0</v>
      </c>
      <c r="J12" s="2" t="n">
        <f aca="false">ROUND(F12/E12*100,1)</f>
        <v>88.5</v>
      </c>
      <c r="K12" s="2" t="n">
        <v>2</v>
      </c>
      <c r="L12" s="2" t="n">
        <f aca="false">INDEX('Salary Records'!$K$2:$K$201,MATCH(A12,'Salary Records'!$A$2:$A$201,0))</f>
        <v>2</v>
      </c>
      <c r="M12" s="2" t="n">
        <f aca="false">INDEX('Salary Records'!$L$2:$L$201,MATCH(A12,'Salary Records'!$A$2:$A$201,0))</f>
        <v>0</v>
      </c>
      <c r="N12" s="2" t="n">
        <f aca="false">INDEX('Salary Records'!$E$2:$E$201,MATCH(A12,'Salary Records'!$A$2:$A$201,0))</f>
        <v>124000</v>
      </c>
      <c r="O12" s="2" t="n">
        <f aca="false">INDEX('Salary Records'!$O$2:$O$201,MATCH(A12,'Salary Records'!$A$2:$A$201,0))</f>
        <v>0</v>
      </c>
      <c r="P12" s="2" t="n">
        <f aca="false">INDEX('PF Records'!$H$2:$H$201,MATCH(A12,'PF Records'!$A$2:$A$201,0))</f>
        <v>14880</v>
      </c>
      <c r="Q12" s="2" t="n">
        <f aca="false">INDEX('PF Records'!$I$2:$I$201,MATCH(A12,'PF Records'!$A$2:$A$201,0))</f>
        <v>14880</v>
      </c>
      <c r="R12" s="2" t="n">
        <f aca="false">P12+Q12</f>
        <v>29760</v>
      </c>
      <c r="S12" s="2" t="n">
        <f aca="false">INDEX('Salary Records'!$S$2:$S$201,MATCH(A12,'Salary Records'!$A$2:$A$201,0))</f>
        <v>104350.77</v>
      </c>
      <c r="T12" s="2" t="n">
        <f aca="false">INDEX('Employee Master'!$I$2:$I$201,MATCH(A12,'Employee Master'!$A$2:$A$201,0))</f>
        <v>1.2</v>
      </c>
      <c r="U12" s="2" t="n">
        <f aca="false">INDEX('Employee Master'!$H$2:$H$201,MATCH(A12,'Employee Master'!$A$2:$A$201,0))</f>
        <v>6.9</v>
      </c>
      <c r="V12" s="2" t="n">
        <f aca="false">INDEX('Employee Master'!$J$2:$J$201,MATCH(A12,'Employee Master'!$A$2:$A$201,0))</f>
        <v>8.1</v>
      </c>
    </row>
    <row r="13" customFormat="false" ht="15" hidden="false" customHeight="false" outlineLevel="0" collapsed="false">
      <c r="A13" s="2" t="s">
        <v>61</v>
      </c>
      <c r="B13" s="2" t="s">
        <v>62</v>
      </c>
      <c r="C13" s="2" t="s">
        <v>24</v>
      </c>
      <c r="D13" s="2" t="s">
        <v>657</v>
      </c>
      <c r="E13" s="2" t="n">
        <f aca="false">INDEX('Salary Records'!$F$2:$F$201,MATCH(A13,'Salary Records'!$A$2:$A$201,0))</f>
        <v>26</v>
      </c>
      <c r="F13" s="2" t="n">
        <f aca="false">INDEX('Salary Records'!$G$2:$G$201,MATCH(A13,'Salary Records'!$A$2:$A$201,0))</f>
        <v>26</v>
      </c>
      <c r="G13" s="2" t="n">
        <f aca="false">INDEX('Salary Records'!$H$2:$H$201,MATCH(A13,'Salary Records'!$A$2:$A$201,0))</f>
        <v>0</v>
      </c>
      <c r="H13" s="2" t="n">
        <f aca="false">INDEX('Salary Records'!$I$2:$I$201,MATCH(A13,'Salary Records'!$A$2:$A$201,0))</f>
        <v>0</v>
      </c>
      <c r="I13" s="2" t="n">
        <f aca="false">INDEX('Salary Records'!$J$2:$J$201,MATCH(A13,'Salary Records'!$A$2:$A$201,0))</f>
        <v>0</v>
      </c>
      <c r="J13" s="2" t="n">
        <f aca="false">ROUND(F13/E13*100,1)</f>
        <v>100</v>
      </c>
      <c r="K13" s="2" t="n">
        <v>2</v>
      </c>
      <c r="L13" s="2" t="n">
        <f aca="false">INDEX('Salary Records'!$K$2:$K$201,MATCH(A13,'Salary Records'!$A$2:$A$201,0))</f>
        <v>0</v>
      </c>
      <c r="M13" s="2" t="n">
        <f aca="false">INDEX('Salary Records'!$L$2:$L$201,MATCH(A13,'Salary Records'!$A$2:$A$201,0))</f>
        <v>0</v>
      </c>
      <c r="N13" s="2" t="n">
        <f aca="false">INDEX('Salary Records'!$E$2:$E$201,MATCH(A13,'Salary Records'!$A$2:$A$201,0))</f>
        <v>101000</v>
      </c>
      <c r="O13" s="2" t="n">
        <f aca="false">INDEX('Salary Records'!$O$2:$O$201,MATCH(A13,'Salary Records'!$A$2:$A$201,0))</f>
        <v>0</v>
      </c>
      <c r="P13" s="2" t="n">
        <f aca="false">INDEX('PF Records'!$H$2:$H$201,MATCH(A13,'PF Records'!$A$2:$A$201,0))</f>
        <v>12120</v>
      </c>
      <c r="Q13" s="2" t="n">
        <f aca="false">INDEX('PF Records'!$I$2:$I$201,MATCH(A13,'PF Records'!$A$2:$A$201,0))</f>
        <v>12120</v>
      </c>
      <c r="R13" s="2" t="n">
        <f aca="false">P13+Q13</f>
        <v>24240</v>
      </c>
      <c r="S13" s="2" t="n">
        <f aca="false">INDEX('Salary Records'!$S$2:$S$201,MATCH(A13,'Salary Records'!$A$2:$A$201,0))</f>
        <v>88880</v>
      </c>
      <c r="T13" s="2" t="n">
        <f aca="false">INDEX('Employee Master'!$I$2:$I$201,MATCH(A13,'Employee Master'!$A$2:$A$201,0))</f>
        <v>0.8</v>
      </c>
      <c r="U13" s="2" t="n">
        <f aca="false">INDEX('Employee Master'!$H$2:$H$201,MATCH(A13,'Employee Master'!$A$2:$A$201,0))</f>
        <v>0.9</v>
      </c>
      <c r="V13" s="2" t="n">
        <f aca="false">INDEX('Employee Master'!$J$2:$J$201,MATCH(A13,'Employee Master'!$A$2:$A$201,0))</f>
        <v>1.7</v>
      </c>
    </row>
    <row r="14" customFormat="false" ht="15" hidden="false" customHeight="false" outlineLevel="0" collapsed="false">
      <c r="A14" s="2" t="s">
        <v>64</v>
      </c>
      <c r="B14" s="2" t="s">
        <v>65</v>
      </c>
      <c r="C14" s="2" t="s">
        <v>28</v>
      </c>
      <c r="D14" s="2" t="s">
        <v>657</v>
      </c>
      <c r="E14" s="2" t="n">
        <f aca="false">INDEX('Salary Records'!$F$2:$F$201,MATCH(A14,'Salary Records'!$A$2:$A$201,0))</f>
        <v>26</v>
      </c>
      <c r="F14" s="2" t="n">
        <f aca="false">INDEX('Salary Records'!$G$2:$G$201,MATCH(A14,'Salary Records'!$A$2:$A$201,0))</f>
        <v>20</v>
      </c>
      <c r="G14" s="2" t="n">
        <f aca="false">INDEX('Salary Records'!$H$2:$H$201,MATCH(A14,'Salary Records'!$A$2:$A$201,0))</f>
        <v>2</v>
      </c>
      <c r="H14" s="2" t="n">
        <f aca="false">INDEX('Salary Records'!$I$2:$I$201,MATCH(A14,'Salary Records'!$A$2:$A$201,0))</f>
        <v>2</v>
      </c>
      <c r="I14" s="2" t="n">
        <f aca="false">INDEX('Salary Records'!$J$2:$J$201,MATCH(A14,'Salary Records'!$A$2:$A$201,0))</f>
        <v>2</v>
      </c>
      <c r="J14" s="2" t="n">
        <f aca="false">ROUND(F14/E14*100,1)</f>
        <v>76.9</v>
      </c>
      <c r="K14" s="2" t="n">
        <v>2</v>
      </c>
      <c r="L14" s="2" t="n">
        <f aca="false">INDEX('Salary Records'!$K$2:$K$201,MATCH(A14,'Salary Records'!$A$2:$A$201,0))</f>
        <v>2</v>
      </c>
      <c r="M14" s="2" t="n">
        <f aca="false">INDEX('Salary Records'!$L$2:$L$201,MATCH(A14,'Salary Records'!$A$2:$A$201,0))</f>
        <v>0</v>
      </c>
      <c r="N14" s="2" t="n">
        <f aca="false">INDEX('Salary Records'!$E$2:$E$201,MATCH(A14,'Salary Records'!$A$2:$A$201,0))</f>
        <v>69500</v>
      </c>
      <c r="O14" s="2" t="n">
        <f aca="false">INDEX('Salary Records'!$O$2:$O$201,MATCH(A14,'Salary Records'!$A$2:$A$201,0))</f>
        <v>0</v>
      </c>
      <c r="P14" s="2" t="n">
        <f aca="false">INDEX('PF Records'!$H$2:$H$201,MATCH(A14,'PF Records'!$A$2:$A$201,0))</f>
        <v>8340</v>
      </c>
      <c r="Q14" s="2" t="n">
        <f aca="false">INDEX('PF Records'!$I$2:$I$201,MATCH(A14,'PF Records'!$A$2:$A$201,0))</f>
        <v>8340</v>
      </c>
      <c r="R14" s="2" t="n">
        <f aca="false">P14+Q14</f>
        <v>16680</v>
      </c>
      <c r="S14" s="2" t="n">
        <f aca="false">INDEX('Salary Records'!$S$2:$S$201,MATCH(A14,'Salary Records'!$A$2:$A$201,0))</f>
        <v>55813.84</v>
      </c>
      <c r="T14" s="2" t="n">
        <f aca="false">INDEX('Employee Master'!$I$2:$I$201,MATCH(A14,'Employee Master'!$A$2:$A$201,0))</f>
        <v>6.4</v>
      </c>
      <c r="U14" s="2" t="n">
        <f aca="false">INDEX('Employee Master'!$H$2:$H$201,MATCH(A14,'Employee Master'!$A$2:$A$201,0))</f>
        <v>6.5</v>
      </c>
      <c r="V14" s="2" t="n">
        <f aca="false">INDEX('Employee Master'!$J$2:$J$201,MATCH(A14,'Employee Master'!$A$2:$A$201,0))</f>
        <v>12.9</v>
      </c>
    </row>
    <row r="15" customFormat="false" ht="15" hidden="false" customHeight="false" outlineLevel="0" collapsed="false">
      <c r="A15" s="2" t="s">
        <v>67</v>
      </c>
      <c r="B15" s="2" t="s">
        <v>68</v>
      </c>
      <c r="C15" s="2" t="s">
        <v>32</v>
      </c>
      <c r="D15" s="2" t="s">
        <v>657</v>
      </c>
      <c r="E15" s="2" t="n">
        <f aca="false">INDEX('Salary Records'!$F$2:$F$201,MATCH(A15,'Salary Records'!$A$2:$A$201,0))</f>
        <v>26</v>
      </c>
      <c r="F15" s="2" t="n">
        <f aca="false">INDEX('Salary Records'!$G$2:$G$201,MATCH(A15,'Salary Records'!$A$2:$A$201,0))</f>
        <v>18</v>
      </c>
      <c r="G15" s="2" t="n">
        <f aca="false">INDEX('Salary Records'!$H$2:$H$201,MATCH(A15,'Salary Records'!$A$2:$A$201,0))</f>
        <v>6</v>
      </c>
      <c r="H15" s="2" t="n">
        <f aca="false">INDEX('Salary Records'!$I$2:$I$201,MATCH(A15,'Salary Records'!$A$2:$A$201,0))</f>
        <v>2</v>
      </c>
      <c r="I15" s="2" t="n">
        <f aca="false">INDEX('Salary Records'!$J$2:$J$201,MATCH(A15,'Salary Records'!$A$2:$A$201,0))</f>
        <v>0</v>
      </c>
      <c r="J15" s="2" t="n">
        <f aca="false">ROUND(F15/E15*100,1)</f>
        <v>69.2</v>
      </c>
      <c r="K15" s="2" t="n">
        <v>2</v>
      </c>
      <c r="L15" s="2" t="n">
        <f aca="false">INDEX('Salary Records'!$K$2:$K$201,MATCH(A15,'Salary Records'!$A$2:$A$201,0))</f>
        <v>2</v>
      </c>
      <c r="M15" s="2" t="n">
        <f aca="false">INDEX('Salary Records'!$L$2:$L$201,MATCH(A15,'Salary Records'!$A$2:$A$201,0))</f>
        <v>4</v>
      </c>
      <c r="N15" s="2" t="n">
        <f aca="false">INDEX('Salary Records'!$E$2:$E$201,MATCH(A15,'Salary Records'!$A$2:$A$201,0))</f>
        <v>60000</v>
      </c>
      <c r="O15" s="2" t="n">
        <f aca="false">INDEX('Salary Records'!$O$2:$O$201,MATCH(A15,'Salary Records'!$A$2:$A$201,0))</f>
        <v>9230.76</v>
      </c>
      <c r="P15" s="2" t="n">
        <f aca="false">INDEX('PF Records'!$H$2:$H$201,MATCH(A15,'PF Records'!$A$2:$A$201,0))</f>
        <v>7200</v>
      </c>
      <c r="Q15" s="2" t="n">
        <f aca="false">INDEX('PF Records'!$I$2:$I$201,MATCH(A15,'PF Records'!$A$2:$A$201,0))</f>
        <v>7200</v>
      </c>
      <c r="R15" s="2" t="n">
        <f aca="false">P15+Q15</f>
        <v>14400</v>
      </c>
      <c r="S15" s="2" t="n">
        <f aca="false">INDEX('Salary Records'!$S$2:$S$201,MATCH(A15,'Salary Records'!$A$2:$A$201,0))</f>
        <v>43569.24</v>
      </c>
      <c r="T15" s="2" t="n">
        <f aca="false">INDEX('Employee Master'!$I$2:$I$201,MATCH(A15,'Employee Master'!$A$2:$A$201,0))</f>
        <v>6.2</v>
      </c>
      <c r="U15" s="2" t="n">
        <f aca="false">INDEX('Employee Master'!$H$2:$H$201,MATCH(A15,'Employee Master'!$A$2:$A$201,0))</f>
        <v>0.2</v>
      </c>
      <c r="V15" s="2" t="n">
        <f aca="false">INDEX('Employee Master'!$J$2:$J$201,MATCH(A15,'Employee Master'!$A$2:$A$201,0))</f>
        <v>6.4</v>
      </c>
    </row>
    <row r="16" customFormat="false" ht="15" hidden="false" customHeight="false" outlineLevel="0" collapsed="false">
      <c r="A16" s="2" t="s">
        <v>69</v>
      </c>
      <c r="B16" s="2" t="s">
        <v>70</v>
      </c>
      <c r="C16" s="2" t="s">
        <v>36</v>
      </c>
      <c r="D16" s="2" t="s">
        <v>657</v>
      </c>
      <c r="E16" s="2" t="n">
        <f aca="false">INDEX('Salary Records'!$F$2:$F$201,MATCH(A16,'Salary Records'!$A$2:$A$201,0))</f>
        <v>26</v>
      </c>
      <c r="F16" s="2" t="n">
        <f aca="false">INDEX('Salary Records'!$G$2:$G$201,MATCH(A16,'Salary Records'!$A$2:$A$201,0))</f>
        <v>23</v>
      </c>
      <c r="G16" s="2" t="n">
        <f aca="false">INDEX('Salary Records'!$H$2:$H$201,MATCH(A16,'Salary Records'!$A$2:$A$201,0))</f>
        <v>1</v>
      </c>
      <c r="H16" s="2" t="n">
        <f aca="false">INDEX('Salary Records'!$I$2:$I$201,MATCH(A16,'Salary Records'!$A$2:$A$201,0))</f>
        <v>2</v>
      </c>
      <c r="I16" s="2" t="n">
        <f aca="false">INDEX('Salary Records'!$J$2:$J$201,MATCH(A16,'Salary Records'!$A$2:$A$201,0))</f>
        <v>0</v>
      </c>
      <c r="J16" s="2" t="n">
        <f aca="false">ROUND(F16/E16*100,1)</f>
        <v>88.5</v>
      </c>
      <c r="K16" s="2" t="n">
        <v>2</v>
      </c>
      <c r="L16" s="2" t="n">
        <f aca="false">INDEX('Salary Records'!$K$2:$K$201,MATCH(A16,'Salary Records'!$A$2:$A$201,0))</f>
        <v>1</v>
      </c>
      <c r="M16" s="2" t="n">
        <f aca="false">INDEX('Salary Records'!$L$2:$L$201,MATCH(A16,'Salary Records'!$A$2:$A$201,0))</f>
        <v>0</v>
      </c>
      <c r="N16" s="2" t="n">
        <f aca="false">INDEX('Salary Records'!$E$2:$E$201,MATCH(A16,'Salary Records'!$A$2:$A$201,0))</f>
        <v>63500</v>
      </c>
      <c r="O16" s="2" t="n">
        <f aca="false">INDEX('Salary Records'!$O$2:$O$201,MATCH(A16,'Salary Records'!$A$2:$A$201,0))</f>
        <v>0</v>
      </c>
      <c r="P16" s="2" t="n">
        <f aca="false">INDEX('PF Records'!$H$2:$H$201,MATCH(A16,'PF Records'!$A$2:$A$201,0))</f>
        <v>7620</v>
      </c>
      <c r="Q16" s="2" t="n">
        <f aca="false">INDEX('PF Records'!$I$2:$I$201,MATCH(A16,'PF Records'!$A$2:$A$201,0))</f>
        <v>7620</v>
      </c>
      <c r="R16" s="2" t="n">
        <f aca="false">P16+Q16</f>
        <v>15240</v>
      </c>
      <c r="S16" s="2" t="n">
        <f aca="false">INDEX('Salary Records'!$S$2:$S$201,MATCH(A16,'Salary Records'!$A$2:$A$201,0))</f>
        <v>53437.69</v>
      </c>
      <c r="T16" s="2" t="n">
        <f aca="false">INDEX('Employee Master'!$I$2:$I$201,MATCH(A16,'Employee Master'!$A$2:$A$201,0))</f>
        <v>7.9</v>
      </c>
      <c r="U16" s="2" t="n">
        <f aca="false">INDEX('Employee Master'!$H$2:$H$201,MATCH(A16,'Employee Master'!$A$2:$A$201,0))</f>
        <v>0</v>
      </c>
      <c r="V16" s="2" t="n">
        <f aca="false">INDEX('Employee Master'!$J$2:$J$201,MATCH(A16,'Employee Master'!$A$2:$A$201,0))</f>
        <v>7.9</v>
      </c>
    </row>
    <row r="17" customFormat="false" ht="15" hidden="false" customHeight="false" outlineLevel="0" collapsed="false">
      <c r="A17" s="2" t="s">
        <v>71</v>
      </c>
      <c r="B17" s="2" t="s">
        <v>72</v>
      </c>
      <c r="C17" s="2" t="s">
        <v>41</v>
      </c>
      <c r="D17" s="2" t="s">
        <v>657</v>
      </c>
      <c r="E17" s="2" t="n">
        <f aca="false">INDEX('Salary Records'!$F$2:$F$201,MATCH(A17,'Salary Records'!$A$2:$A$201,0))</f>
        <v>26</v>
      </c>
      <c r="F17" s="2" t="n">
        <f aca="false">INDEX('Salary Records'!$G$2:$G$201,MATCH(A17,'Salary Records'!$A$2:$A$201,0))</f>
        <v>20</v>
      </c>
      <c r="G17" s="2" t="n">
        <f aca="false">INDEX('Salary Records'!$H$2:$H$201,MATCH(A17,'Salary Records'!$A$2:$A$201,0))</f>
        <v>5</v>
      </c>
      <c r="H17" s="2" t="n">
        <f aca="false">INDEX('Salary Records'!$I$2:$I$201,MATCH(A17,'Salary Records'!$A$2:$A$201,0))</f>
        <v>1</v>
      </c>
      <c r="I17" s="2" t="n">
        <f aca="false">INDEX('Salary Records'!$J$2:$J$201,MATCH(A17,'Salary Records'!$A$2:$A$201,0))</f>
        <v>0</v>
      </c>
      <c r="J17" s="2" t="n">
        <f aca="false">ROUND(F17/E17*100,1)</f>
        <v>76.9</v>
      </c>
      <c r="K17" s="2" t="n">
        <v>2</v>
      </c>
      <c r="L17" s="2" t="n">
        <f aca="false">INDEX('Salary Records'!$K$2:$K$201,MATCH(A17,'Salary Records'!$A$2:$A$201,0))</f>
        <v>2</v>
      </c>
      <c r="M17" s="2" t="n">
        <f aca="false">INDEX('Salary Records'!$L$2:$L$201,MATCH(A17,'Salary Records'!$A$2:$A$201,0))</f>
        <v>3</v>
      </c>
      <c r="N17" s="2" t="n">
        <f aca="false">INDEX('Salary Records'!$E$2:$E$201,MATCH(A17,'Salary Records'!$A$2:$A$201,0))</f>
        <v>94500</v>
      </c>
      <c r="O17" s="2" t="n">
        <f aca="false">INDEX('Salary Records'!$O$2:$O$201,MATCH(A17,'Salary Records'!$A$2:$A$201,0))</f>
        <v>10903.86</v>
      </c>
      <c r="P17" s="2" t="n">
        <f aca="false">INDEX('PF Records'!$H$2:$H$201,MATCH(A17,'PF Records'!$A$2:$A$201,0))</f>
        <v>11340</v>
      </c>
      <c r="Q17" s="2" t="n">
        <f aca="false">INDEX('PF Records'!$I$2:$I$201,MATCH(A17,'PF Records'!$A$2:$A$201,0))</f>
        <v>11340</v>
      </c>
      <c r="R17" s="2" t="n">
        <f aca="false">P17+Q17</f>
        <v>22680</v>
      </c>
      <c r="S17" s="2" t="n">
        <f aca="false">INDEX('Salary Records'!$S$2:$S$201,MATCH(A17,'Salary Records'!$A$2:$A$201,0))</f>
        <v>68621.52</v>
      </c>
      <c r="T17" s="2" t="n">
        <f aca="false">INDEX('Employee Master'!$I$2:$I$201,MATCH(A17,'Employee Master'!$A$2:$A$201,0))</f>
        <v>2.7</v>
      </c>
      <c r="U17" s="2" t="n">
        <f aca="false">INDEX('Employee Master'!$H$2:$H$201,MATCH(A17,'Employee Master'!$A$2:$A$201,0))</f>
        <v>2.6</v>
      </c>
      <c r="V17" s="2" t="n">
        <f aca="false">INDEX('Employee Master'!$J$2:$J$201,MATCH(A17,'Employee Master'!$A$2:$A$201,0))</f>
        <v>5.3</v>
      </c>
    </row>
    <row r="18" customFormat="false" ht="15" hidden="false" customHeight="false" outlineLevel="0" collapsed="false">
      <c r="A18" s="2" t="s">
        <v>74</v>
      </c>
      <c r="B18" s="2" t="s">
        <v>75</v>
      </c>
      <c r="C18" s="2" t="s">
        <v>45</v>
      </c>
      <c r="D18" s="2" t="s">
        <v>657</v>
      </c>
      <c r="E18" s="2" t="n">
        <f aca="false">INDEX('Salary Records'!$F$2:$F$201,MATCH(A18,'Salary Records'!$A$2:$A$201,0))</f>
        <v>26</v>
      </c>
      <c r="F18" s="2" t="n">
        <f aca="false">INDEX('Salary Records'!$G$2:$G$201,MATCH(A18,'Salary Records'!$A$2:$A$201,0))</f>
        <v>21</v>
      </c>
      <c r="G18" s="2" t="n">
        <f aca="false">INDEX('Salary Records'!$H$2:$H$201,MATCH(A18,'Salary Records'!$A$2:$A$201,0))</f>
        <v>4</v>
      </c>
      <c r="H18" s="2" t="n">
        <f aca="false">INDEX('Salary Records'!$I$2:$I$201,MATCH(A18,'Salary Records'!$A$2:$A$201,0))</f>
        <v>1</v>
      </c>
      <c r="I18" s="2" t="n">
        <f aca="false">INDEX('Salary Records'!$J$2:$J$201,MATCH(A18,'Salary Records'!$A$2:$A$201,0))</f>
        <v>0</v>
      </c>
      <c r="J18" s="2" t="n">
        <f aca="false">ROUND(F18/E18*100,1)</f>
        <v>80.8</v>
      </c>
      <c r="K18" s="2" t="n">
        <v>2</v>
      </c>
      <c r="L18" s="2" t="n">
        <f aca="false">INDEX('Salary Records'!$K$2:$K$201,MATCH(A18,'Salary Records'!$A$2:$A$201,0))</f>
        <v>2</v>
      </c>
      <c r="M18" s="2" t="n">
        <f aca="false">INDEX('Salary Records'!$L$2:$L$201,MATCH(A18,'Salary Records'!$A$2:$A$201,0))</f>
        <v>2</v>
      </c>
      <c r="N18" s="2" t="n">
        <f aca="false">INDEX('Salary Records'!$E$2:$E$201,MATCH(A18,'Salary Records'!$A$2:$A$201,0))</f>
        <v>66500</v>
      </c>
      <c r="O18" s="2" t="n">
        <f aca="false">INDEX('Salary Records'!$O$2:$O$201,MATCH(A18,'Salary Records'!$A$2:$A$201,0))</f>
        <v>5115.38</v>
      </c>
      <c r="P18" s="2" t="n">
        <f aca="false">INDEX('PF Records'!$H$2:$H$201,MATCH(A18,'PF Records'!$A$2:$A$201,0))</f>
        <v>7980</v>
      </c>
      <c r="Q18" s="2" t="n">
        <f aca="false">INDEX('PF Records'!$I$2:$I$201,MATCH(A18,'PF Records'!$A$2:$A$201,0))</f>
        <v>7980</v>
      </c>
      <c r="R18" s="2" t="n">
        <f aca="false">P18+Q18</f>
        <v>15960</v>
      </c>
      <c r="S18" s="2" t="n">
        <f aca="false">INDEX('Salary Records'!$S$2:$S$201,MATCH(A18,'Salary Records'!$A$2:$A$201,0))</f>
        <v>50846.93</v>
      </c>
      <c r="T18" s="2" t="n">
        <f aca="false">INDEX('Employee Master'!$I$2:$I$201,MATCH(A18,'Employee Master'!$A$2:$A$201,0))</f>
        <v>2.2</v>
      </c>
      <c r="U18" s="2" t="n">
        <f aca="false">INDEX('Employee Master'!$H$2:$H$201,MATCH(A18,'Employee Master'!$A$2:$A$201,0))</f>
        <v>7.7</v>
      </c>
      <c r="V18" s="2" t="n">
        <f aca="false">INDEX('Employee Master'!$J$2:$J$201,MATCH(A18,'Employee Master'!$A$2:$A$201,0))</f>
        <v>9.9</v>
      </c>
    </row>
    <row r="19" customFormat="false" ht="15" hidden="false" customHeight="false" outlineLevel="0" collapsed="false">
      <c r="A19" s="2" t="s">
        <v>77</v>
      </c>
      <c r="B19" s="2" t="s">
        <v>78</v>
      </c>
      <c r="C19" s="2" t="s">
        <v>49</v>
      </c>
      <c r="D19" s="2" t="s">
        <v>657</v>
      </c>
      <c r="E19" s="2" t="n">
        <f aca="false">INDEX('Salary Records'!$F$2:$F$201,MATCH(A19,'Salary Records'!$A$2:$A$201,0))</f>
        <v>26</v>
      </c>
      <c r="F19" s="2" t="n">
        <f aca="false">INDEX('Salary Records'!$G$2:$G$201,MATCH(A19,'Salary Records'!$A$2:$A$201,0))</f>
        <v>20</v>
      </c>
      <c r="G19" s="2" t="n">
        <f aca="false">INDEX('Salary Records'!$H$2:$H$201,MATCH(A19,'Salary Records'!$A$2:$A$201,0))</f>
        <v>4</v>
      </c>
      <c r="H19" s="2" t="n">
        <f aca="false">INDEX('Salary Records'!$I$2:$I$201,MATCH(A19,'Salary Records'!$A$2:$A$201,0))</f>
        <v>0</v>
      </c>
      <c r="I19" s="2" t="n">
        <f aca="false">INDEX('Salary Records'!$J$2:$J$201,MATCH(A19,'Salary Records'!$A$2:$A$201,0))</f>
        <v>2</v>
      </c>
      <c r="J19" s="2" t="n">
        <f aca="false">ROUND(F19/E19*100,1)</f>
        <v>76.9</v>
      </c>
      <c r="K19" s="2" t="n">
        <v>2</v>
      </c>
      <c r="L19" s="2" t="n">
        <f aca="false">INDEX('Salary Records'!$K$2:$K$201,MATCH(A19,'Salary Records'!$A$2:$A$201,0))</f>
        <v>2</v>
      </c>
      <c r="M19" s="2" t="n">
        <f aca="false">INDEX('Salary Records'!$L$2:$L$201,MATCH(A19,'Salary Records'!$A$2:$A$201,0))</f>
        <v>2</v>
      </c>
      <c r="N19" s="2" t="n">
        <f aca="false">INDEX('Salary Records'!$E$2:$E$201,MATCH(A19,'Salary Records'!$A$2:$A$201,0))</f>
        <v>38500</v>
      </c>
      <c r="O19" s="2" t="n">
        <f aca="false">INDEX('Salary Records'!$O$2:$O$201,MATCH(A19,'Salary Records'!$A$2:$A$201,0))</f>
        <v>2961.54</v>
      </c>
      <c r="P19" s="2" t="n">
        <f aca="false">INDEX('PF Records'!$H$2:$H$201,MATCH(A19,'PF Records'!$A$2:$A$201,0))</f>
        <v>4620</v>
      </c>
      <c r="Q19" s="2" t="n">
        <f aca="false">INDEX('PF Records'!$I$2:$I$201,MATCH(A19,'PF Records'!$A$2:$A$201,0))</f>
        <v>4620</v>
      </c>
      <c r="R19" s="2" t="n">
        <f aca="false">P19+Q19</f>
        <v>9240</v>
      </c>
      <c r="S19" s="2" t="n">
        <f aca="false">INDEX('Salary Records'!$S$2:$S$201,MATCH(A19,'Salary Records'!$A$2:$A$201,0))</f>
        <v>29437.69</v>
      </c>
      <c r="T19" s="2" t="n">
        <f aca="false">INDEX('Employee Master'!$I$2:$I$201,MATCH(A19,'Employee Master'!$A$2:$A$201,0))</f>
        <v>3.8</v>
      </c>
      <c r="U19" s="2" t="n">
        <f aca="false">INDEX('Employee Master'!$H$2:$H$201,MATCH(A19,'Employee Master'!$A$2:$A$201,0))</f>
        <v>2.8</v>
      </c>
      <c r="V19" s="2" t="n">
        <f aca="false">INDEX('Employee Master'!$J$2:$J$201,MATCH(A19,'Employee Master'!$A$2:$A$201,0))</f>
        <v>6.6</v>
      </c>
    </row>
    <row r="20" customFormat="false" ht="15" hidden="false" customHeight="false" outlineLevel="0" collapsed="false">
      <c r="A20" s="2" t="s">
        <v>79</v>
      </c>
      <c r="B20" s="2" t="s">
        <v>80</v>
      </c>
      <c r="C20" s="2" t="s">
        <v>53</v>
      </c>
      <c r="D20" s="2" t="s">
        <v>657</v>
      </c>
      <c r="E20" s="2" t="n">
        <f aca="false">INDEX('Salary Records'!$F$2:$F$201,MATCH(A20,'Salary Records'!$A$2:$A$201,0))</f>
        <v>26</v>
      </c>
      <c r="F20" s="2" t="n">
        <f aca="false">INDEX('Salary Records'!$G$2:$G$201,MATCH(A20,'Salary Records'!$A$2:$A$201,0))</f>
        <v>23</v>
      </c>
      <c r="G20" s="2" t="n">
        <f aca="false">INDEX('Salary Records'!$H$2:$H$201,MATCH(A20,'Salary Records'!$A$2:$A$201,0))</f>
        <v>3</v>
      </c>
      <c r="H20" s="2" t="n">
        <f aca="false">INDEX('Salary Records'!$I$2:$I$201,MATCH(A20,'Salary Records'!$A$2:$A$201,0))</f>
        <v>0</v>
      </c>
      <c r="I20" s="2" t="n">
        <f aca="false">INDEX('Salary Records'!$J$2:$J$201,MATCH(A20,'Salary Records'!$A$2:$A$201,0))</f>
        <v>0</v>
      </c>
      <c r="J20" s="2" t="n">
        <f aca="false">ROUND(F20/E20*100,1)</f>
        <v>88.5</v>
      </c>
      <c r="K20" s="2" t="n">
        <v>2</v>
      </c>
      <c r="L20" s="2" t="n">
        <f aca="false">INDEX('Salary Records'!$K$2:$K$201,MATCH(A20,'Salary Records'!$A$2:$A$201,0))</f>
        <v>2</v>
      </c>
      <c r="M20" s="2" t="n">
        <f aca="false">INDEX('Salary Records'!$L$2:$L$201,MATCH(A20,'Salary Records'!$A$2:$A$201,0))</f>
        <v>1</v>
      </c>
      <c r="N20" s="2" t="n">
        <f aca="false">INDEX('Salary Records'!$E$2:$E$201,MATCH(A20,'Salary Records'!$A$2:$A$201,0))</f>
        <v>37000</v>
      </c>
      <c r="O20" s="2" t="n">
        <f aca="false">INDEX('Salary Records'!$O$2:$O$201,MATCH(A20,'Salary Records'!$A$2:$A$201,0))</f>
        <v>1423.08</v>
      </c>
      <c r="P20" s="2" t="n">
        <f aca="false">INDEX('PF Records'!$H$2:$H$201,MATCH(A20,'PF Records'!$A$2:$A$201,0))</f>
        <v>4440</v>
      </c>
      <c r="Q20" s="2" t="n">
        <f aca="false">INDEX('PF Records'!$I$2:$I$201,MATCH(A20,'PF Records'!$A$2:$A$201,0))</f>
        <v>4440</v>
      </c>
      <c r="R20" s="2" t="n">
        <f aca="false">P20+Q20</f>
        <v>8880</v>
      </c>
      <c r="S20" s="2" t="n">
        <f aca="false">INDEX('Salary Records'!$S$2:$S$201,MATCH(A20,'Salary Records'!$A$2:$A$201,0))</f>
        <v>31136.92</v>
      </c>
      <c r="T20" s="2" t="n">
        <f aca="false">INDEX('Employee Master'!$I$2:$I$201,MATCH(A20,'Employee Master'!$A$2:$A$201,0))</f>
        <v>7.4</v>
      </c>
      <c r="U20" s="2" t="n">
        <f aca="false">INDEX('Employee Master'!$H$2:$H$201,MATCH(A20,'Employee Master'!$A$2:$A$201,0))</f>
        <v>3.1</v>
      </c>
      <c r="V20" s="2" t="n">
        <f aca="false">INDEX('Employee Master'!$J$2:$J$201,MATCH(A20,'Employee Master'!$A$2:$A$201,0))</f>
        <v>10.5</v>
      </c>
    </row>
    <row r="21" customFormat="false" ht="15" hidden="false" customHeight="false" outlineLevel="0" collapsed="false">
      <c r="A21" s="2" t="s">
        <v>81</v>
      </c>
      <c r="B21" s="2" t="s">
        <v>82</v>
      </c>
      <c r="C21" s="2" t="s">
        <v>57</v>
      </c>
      <c r="D21" s="2" t="s">
        <v>657</v>
      </c>
      <c r="E21" s="2" t="n">
        <f aca="false">INDEX('Salary Records'!$F$2:$F$201,MATCH(A21,'Salary Records'!$A$2:$A$201,0))</f>
        <v>26</v>
      </c>
      <c r="F21" s="2" t="n">
        <f aca="false">INDEX('Salary Records'!$G$2:$G$201,MATCH(A21,'Salary Records'!$A$2:$A$201,0))</f>
        <v>17</v>
      </c>
      <c r="G21" s="2" t="n">
        <f aca="false">INDEX('Salary Records'!$H$2:$H$201,MATCH(A21,'Salary Records'!$A$2:$A$201,0))</f>
        <v>8</v>
      </c>
      <c r="H21" s="2" t="n">
        <f aca="false">INDEX('Salary Records'!$I$2:$I$201,MATCH(A21,'Salary Records'!$A$2:$A$201,0))</f>
        <v>0</v>
      </c>
      <c r="I21" s="2" t="n">
        <f aca="false">INDEX('Salary Records'!$J$2:$J$201,MATCH(A21,'Salary Records'!$A$2:$A$201,0))</f>
        <v>1</v>
      </c>
      <c r="J21" s="2" t="n">
        <f aca="false">ROUND(F21/E21*100,1)</f>
        <v>65.4</v>
      </c>
      <c r="K21" s="2" t="n">
        <v>2</v>
      </c>
      <c r="L21" s="2" t="n">
        <f aca="false">INDEX('Salary Records'!$K$2:$K$201,MATCH(A21,'Salary Records'!$A$2:$A$201,0))</f>
        <v>2</v>
      </c>
      <c r="M21" s="2" t="n">
        <f aca="false">INDEX('Salary Records'!$L$2:$L$201,MATCH(A21,'Salary Records'!$A$2:$A$201,0))</f>
        <v>6</v>
      </c>
      <c r="N21" s="2" t="n">
        <f aca="false">INDEX('Salary Records'!$E$2:$E$201,MATCH(A21,'Salary Records'!$A$2:$A$201,0))</f>
        <v>38000</v>
      </c>
      <c r="O21" s="2" t="n">
        <f aca="false">INDEX('Salary Records'!$O$2:$O$201,MATCH(A21,'Salary Records'!$A$2:$A$201,0))</f>
        <v>8769.24</v>
      </c>
      <c r="P21" s="2" t="n">
        <f aca="false">INDEX('PF Records'!$H$2:$H$201,MATCH(A21,'PF Records'!$A$2:$A$201,0))</f>
        <v>4560</v>
      </c>
      <c r="Q21" s="2" t="n">
        <f aca="false">INDEX('PF Records'!$I$2:$I$201,MATCH(A21,'PF Records'!$A$2:$A$201,0))</f>
        <v>4560</v>
      </c>
      <c r="R21" s="2" t="n">
        <f aca="false">P21+Q21</f>
        <v>9120</v>
      </c>
      <c r="S21" s="2" t="n">
        <f aca="false">INDEX('Salary Records'!$S$2:$S$201,MATCH(A21,'Salary Records'!$A$2:$A$201,0))</f>
        <v>23939.99</v>
      </c>
      <c r="T21" s="2" t="n">
        <f aca="false">INDEX('Employee Master'!$I$2:$I$201,MATCH(A21,'Employee Master'!$A$2:$A$201,0))</f>
        <v>0.7</v>
      </c>
      <c r="U21" s="2" t="n">
        <f aca="false">INDEX('Employee Master'!$H$2:$H$201,MATCH(A21,'Employee Master'!$A$2:$A$201,0))</f>
        <v>3.5</v>
      </c>
      <c r="V21" s="2" t="n">
        <f aca="false">INDEX('Employee Master'!$J$2:$J$201,MATCH(A21,'Employee Master'!$A$2:$A$201,0))</f>
        <v>4.2</v>
      </c>
    </row>
    <row r="22" customFormat="false" ht="15" hidden="false" customHeight="false" outlineLevel="0" collapsed="false">
      <c r="A22" s="2" t="s">
        <v>84</v>
      </c>
      <c r="B22" s="2" t="s">
        <v>85</v>
      </c>
      <c r="C22" s="2" t="s">
        <v>17</v>
      </c>
      <c r="D22" s="2" t="s">
        <v>657</v>
      </c>
      <c r="E22" s="2" t="n">
        <f aca="false">INDEX('Salary Records'!$F$2:$F$201,MATCH(A22,'Salary Records'!$A$2:$A$201,0))</f>
        <v>26</v>
      </c>
      <c r="F22" s="2" t="n">
        <f aca="false">INDEX('Salary Records'!$G$2:$G$201,MATCH(A22,'Salary Records'!$A$2:$A$201,0))</f>
        <v>24</v>
      </c>
      <c r="G22" s="2" t="n">
        <f aca="false">INDEX('Salary Records'!$H$2:$H$201,MATCH(A22,'Salary Records'!$A$2:$A$201,0))</f>
        <v>1</v>
      </c>
      <c r="H22" s="2" t="n">
        <f aca="false">INDEX('Salary Records'!$I$2:$I$201,MATCH(A22,'Salary Records'!$A$2:$A$201,0))</f>
        <v>0</v>
      </c>
      <c r="I22" s="2" t="n">
        <f aca="false">INDEX('Salary Records'!$J$2:$J$201,MATCH(A22,'Salary Records'!$A$2:$A$201,0))</f>
        <v>1</v>
      </c>
      <c r="J22" s="2" t="n">
        <f aca="false">ROUND(F22/E22*100,1)</f>
        <v>92.3</v>
      </c>
      <c r="K22" s="2" t="n">
        <v>2</v>
      </c>
      <c r="L22" s="2" t="n">
        <f aca="false">INDEX('Salary Records'!$K$2:$K$201,MATCH(A22,'Salary Records'!$A$2:$A$201,0))</f>
        <v>1</v>
      </c>
      <c r="M22" s="2" t="n">
        <f aca="false">INDEX('Salary Records'!$L$2:$L$201,MATCH(A22,'Salary Records'!$A$2:$A$201,0))</f>
        <v>0</v>
      </c>
      <c r="N22" s="2" t="n">
        <f aca="false">INDEX('Salary Records'!$E$2:$E$201,MATCH(A22,'Salary Records'!$A$2:$A$201,0))</f>
        <v>54000</v>
      </c>
      <c r="O22" s="2" t="n">
        <f aca="false">INDEX('Salary Records'!$O$2:$O$201,MATCH(A22,'Salary Records'!$A$2:$A$201,0))</f>
        <v>0</v>
      </c>
      <c r="P22" s="2" t="n">
        <f aca="false">INDEX('PF Records'!$H$2:$H$201,MATCH(A22,'PF Records'!$A$2:$A$201,0))</f>
        <v>6480</v>
      </c>
      <c r="Q22" s="2" t="n">
        <f aca="false">INDEX('PF Records'!$I$2:$I$201,MATCH(A22,'PF Records'!$A$2:$A$201,0))</f>
        <v>6480</v>
      </c>
      <c r="R22" s="2" t="n">
        <f aca="false">P22+Q22</f>
        <v>12960</v>
      </c>
      <c r="S22" s="2" t="n">
        <f aca="false">INDEX('Salary Records'!$S$2:$S$201,MATCH(A22,'Salary Records'!$A$2:$A$201,0))</f>
        <v>46481.54</v>
      </c>
      <c r="T22" s="2" t="n">
        <f aca="false">INDEX('Employee Master'!$I$2:$I$201,MATCH(A22,'Employee Master'!$A$2:$A$201,0))</f>
        <v>3.8</v>
      </c>
      <c r="U22" s="2" t="n">
        <f aca="false">INDEX('Employee Master'!$H$2:$H$201,MATCH(A22,'Employee Master'!$A$2:$A$201,0))</f>
        <v>0.6</v>
      </c>
      <c r="V22" s="2" t="n">
        <f aca="false">INDEX('Employee Master'!$J$2:$J$201,MATCH(A22,'Employee Master'!$A$2:$A$201,0))</f>
        <v>4.4</v>
      </c>
    </row>
    <row r="23" customFormat="false" ht="15" hidden="false" customHeight="false" outlineLevel="0" collapsed="false">
      <c r="A23" s="2" t="s">
        <v>86</v>
      </c>
      <c r="B23" s="2" t="s">
        <v>87</v>
      </c>
      <c r="C23" s="2" t="s">
        <v>24</v>
      </c>
      <c r="D23" s="2" t="s">
        <v>657</v>
      </c>
      <c r="E23" s="2" t="n">
        <f aca="false">INDEX('Salary Records'!$F$2:$F$201,MATCH(A23,'Salary Records'!$A$2:$A$201,0))</f>
        <v>26</v>
      </c>
      <c r="F23" s="2" t="n">
        <f aca="false">INDEX('Salary Records'!$G$2:$G$201,MATCH(A23,'Salary Records'!$A$2:$A$201,0))</f>
        <v>17</v>
      </c>
      <c r="G23" s="2" t="n">
        <f aca="false">INDEX('Salary Records'!$H$2:$H$201,MATCH(A23,'Salary Records'!$A$2:$A$201,0))</f>
        <v>9</v>
      </c>
      <c r="H23" s="2" t="n">
        <f aca="false">INDEX('Salary Records'!$I$2:$I$201,MATCH(A23,'Salary Records'!$A$2:$A$201,0))</f>
        <v>0</v>
      </c>
      <c r="I23" s="2" t="n">
        <f aca="false">INDEX('Salary Records'!$J$2:$J$201,MATCH(A23,'Salary Records'!$A$2:$A$201,0))</f>
        <v>0</v>
      </c>
      <c r="J23" s="2" t="n">
        <f aca="false">ROUND(F23/E23*100,1)</f>
        <v>65.4</v>
      </c>
      <c r="K23" s="2" t="n">
        <v>2</v>
      </c>
      <c r="L23" s="2" t="n">
        <f aca="false">INDEX('Salary Records'!$K$2:$K$201,MATCH(A23,'Salary Records'!$A$2:$A$201,0))</f>
        <v>2</v>
      </c>
      <c r="M23" s="2" t="n">
        <f aca="false">INDEX('Salary Records'!$L$2:$L$201,MATCH(A23,'Salary Records'!$A$2:$A$201,0))</f>
        <v>7</v>
      </c>
      <c r="N23" s="2" t="n">
        <f aca="false">INDEX('Salary Records'!$E$2:$E$201,MATCH(A23,'Salary Records'!$A$2:$A$201,0))</f>
        <v>121000</v>
      </c>
      <c r="O23" s="2" t="n">
        <f aca="false">INDEX('Salary Records'!$O$2:$O$201,MATCH(A23,'Salary Records'!$A$2:$A$201,0))</f>
        <v>32576.95</v>
      </c>
      <c r="P23" s="2" t="n">
        <f aca="false">INDEX('PF Records'!$H$2:$H$201,MATCH(A23,'PF Records'!$A$2:$A$201,0))</f>
        <v>14520</v>
      </c>
      <c r="Q23" s="2" t="n">
        <f aca="false">INDEX('PF Records'!$I$2:$I$201,MATCH(A23,'PF Records'!$A$2:$A$201,0))</f>
        <v>14520</v>
      </c>
      <c r="R23" s="2" t="n">
        <f aca="false">P23+Q23</f>
        <v>29040</v>
      </c>
      <c r="S23" s="2" t="n">
        <f aca="false">INDEX('Salary Records'!$S$2:$S$201,MATCH(A23,'Salary Records'!$A$2:$A$201,0))</f>
        <v>73903.05</v>
      </c>
      <c r="T23" s="2" t="n">
        <f aca="false">INDEX('Employee Master'!$I$2:$I$201,MATCH(A23,'Employee Master'!$A$2:$A$201,0))</f>
        <v>1.2</v>
      </c>
      <c r="U23" s="2" t="n">
        <f aca="false">INDEX('Employee Master'!$H$2:$H$201,MATCH(A23,'Employee Master'!$A$2:$A$201,0))</f>
        <v>0</v>
      </c>
      <c r="V23" s="2" t="n">
        <f aca="false">INDEX('Employee Master'!$J$2:$J$201,MATCH(A23,'Employee Master'!$A$2:$A$201,0))</f>
        <v>1.2</v>
      </c>
    </row>
    <row r="24" customFormat="false" ht="15" hidden="false" customHeight="false" outlineLevel="0" collapsed="false">
      <c r="A24" s="2" t="s">
        <v>88</v>
      </c>
      <c r="B24" s="2" t="s">
        <v>89</v>
      </c>
      <c r="C24" s="2" t="s">
        <v>28</v>
      </c>
      <c r="D24" s="2" t="s">
        <v>657</v>
      </c>
      <c r="E24" s="2" t="n">
        <f aca="false">INDEX('Salary Records'!$F$2:$F$201,MATCH(A24,'Salary Records'!$A$2:$A$201,0))</f>
        <v>26</v>
      </c>
      <c r="F24" s="2" t="n">
        <f aca="false">INDEX('Salary Records'!$G$2:$G$201,MATCH(A24,'Salary Records'!$A$2:$A$201,0))</f>
        <v>21</v>
      </c>
      <c r="G24" s="2" t="n">
        <f aca="false">INDEX('Salary Records'!$H$2:$H$201,MATCH(A24,'Salary Records'!$A$2:$A$201,0))</f>
        <v>5</v>
      </c>
      <c r="H24" s="2" t="n">
        <f aca="false">INDEX('Salary Records'!$I$2:$I$201,MATCH(A24,'Salary Records'!$A$2:$A$201,0))</f>
        <v>0</v>
      </c>
      <c r="I24" s="2" t="n">
        <f aca="false">INDEX('Salary Records'!$J$2:$J$201,MATCH(A24,'Salary Records'!$A$2:$A$201,0))</f>
        <v>0</v>
      </c>
      <c r="J24" s="2" t="n">
        <f aca="false">ROUND(F24/E24*100,1)</f>
        <v>80.8</v>
      </c>
      <c r="K24" s="2" t="n">
        <v>2</v>
      </c>
      <c r="L24" s="2" t="n">
        <f aca="false">INDEX('Salary Records'!$K$2:$K$201,MATCH(A24,'Salary Records'!$A$2:$A$201,0))</f>
        <v>2</v>
      </c>
      <c r="M24" s="2" t="n">
        <f aca="false">INDEX('Salary Records'!$L$2:$L$201,MATCH(A24,'Salary Records'!$A$2:$A$201,0))</f>
        <v>3</v>
      </c>
      <c r="N24" s="2" t="n">
        <f aca="false">INDEX('Salary Records'!$E$2:$E$201,MATCH(A24,'Salary Records'!$A$2:$A$201,0))</f>
        <v>88000</v>
      </c>
      <c r="O24" s="2" t="n">
        <f aca="false">INDEX('Salary Records'!$O$2:$O$201,MATCH(A24,'Salary Records'!$A$2:$A$201,0))</f>
        <v>10153.86</v>
      </c>
      <c r="P24" s="2" t="n">
        <f aca="false">INDEX('PF Records'!$H$2:$H$201,MATCH(A24,'PF Records'!$A$2:$A$201,0))</f>
        <v>10560</v>
      </c>
      <c r="Q24" s="2" t="n">
        <f aca="false">INDEX('PF Records'!$I$2:$I$201,MATCH(A24,'PF Records'!$A$2:$A$201,0))</f>
        <v>10560</v>
      </c>
      <c r="R24" s="2" t="n">
        <f aca="false">P24+Q24</f>
        <v>21120</v>
      </c>
      <c r="S24" s="2" t="n">
        <f aca="false">INDEX('Salary Records'!$S$2:$S$201,MATCH(A24,'Salary Records'!$A$2:$A$201,0))</f>
        <v>67286.14</v>
      </c>
      <c r="T24" s="2" t="n">
        <f aca="false">INDEX('Employee Master'!$I$2:$I$201,MATCH(A24,'Employee Master'!$A$2:$A$201,0))</f>
        <v>5.2</v>
      </c>
      <c r="U24" s="2" t="n">
        <f aca="false">INDEX('Employee Master'!$H$2:$H$201,MATCH(A24,'Employee Master'!$A$2:$A$201,0))</f>
        <v>5.3</v>
      </c>
      <c r="V24" s="2" t="n">
        <f aca="false">INDEX('Employee Master'!$J$2:$J$201,MATCH(A24,'Employee Master'!$A$2:$A$201,0))</f>
        <v>10.5</v>
      </c>
    </row>
    <row r="25" customFormat="false" ht="15" hidden="false" customHeight="false" outlineLevel="0" collapsed="false">
      <c r="A25" s="2" t="s">
        <v>90</v>
      </c>
      <c r="B25" s="2" t="s">
        <v>91</v>
      </c>
      <c r="C25" s="2" t="s">
        <v>32</v>
      </c>
      <c r="D25" s="2" t="s">
        <v>657</v>
      </c>
      <c r="E25" s="2" t="n">
        <f aca="false">INDEX('Salary Records'!$F$2:$F$201,MATCH(A25,'Salary Records'!$A$2:$A$201,0))</f>
        <v>26</v>
      </c>
      <c r="F25" s="2" t="n">
        <f aca="false">INDEX('Salary Records'!$G$2:$G$201,MATCH(A25,'Salary Records'!$A$2:$A$201,0))</f>
        <v>24</v>
      </c>
      <c r="G25" s="2" t="n">
        <f aca="false">INDEX('Salary Records'!$H$2:$H$201,MATCH(A25,'Salary Records'!$A$2:$A$201,0))</f>
        <v>2</v>
      </c>
      <c r="H25" s="2" t="n">
        <f aca="false">INDEX('Salary Records'!$I$2:$I$201,MATCH(A25,'Salary Records'!$A$2:$A$201,0))</f>
        <v>0</v>
      </c>
      <c r="I25" s="2" t="n">
        <f aca="false">INDEX('Salary Records'!$J$2:$J$201,MATCH(A25,'Salary Records'!$A$2:$A$201,0))</f>
        <v>0</v>
      </c>
      <c r="J25" s="2" t="n">
        <f aca="false">ROUND(F25/E25*100,1)</f>
        <v>92.3</v>
      </c>
      <c r="K25" s="2" t="n">
        <v>2</v>
      </c>
      <c r="L25" s="2" t="n">
        <f aca="false">INDEX('Salary Records'!$K$2:$K$201,MATCH(A25,'Salary Records'!$A$2:$A$201,0))</f>
        <v>2</v>
      </c>
      <c r="M25" s="2" t="n">
        <f aca="false">INDEX('Salary Records'!$L$2:$L$201,MATCH(A25,'Salary Records'!$A$2:$A$201,0))</f>
        <v>0</v>
      </c>
      <c r="N25" s="2" t="n">
        <f aca="false">INDEX('Salary Records'!$E$2:$E$201,MATCH(A25,'Salary Records'!$A$2:$A$201,0))</f>
        <v>34500</v>
      </c>
      <c r="O25" s="2" t="n">
        <f aca="false">INDEX('Salary Records'!$O$2:$O$201,MATCH(A25,'Salary Records'!$A$2:$A$201,0))</f>
        <v>0</v>
      </c>
      <c r="P25" s="2" t="n">
        <f aca="false">INDEX('PF Records'!$H$2:$H$201,MATCH(A25,'PF Records'!$A$2:$A$201,0))</f>
        <v>4140</v>
      </c>
      <c r="Q25" s="2" t="n">
        <f aca="false">INDEX('PF Records'!$I$2:$I$201,MATCH(A25,'PF Records'!$A$2:$A$201,0))</f>
        <v>4140</v>
      </c>
      <c r="R25" s="2" t="n">
        <f aca="false">P25+Q25</f>
        <v>8280</v>
      </c>
      <c r="S25" s="2" t="n">
        <f aca="false">INDEX('Salary Records'!$S$2:$S$201,MATCH(A25,'Salary Records'!$A$2:$A$201,0))</f>
        <v>30360</v>
      </c>
      <c r="T25" s="2" t="n">
        <f aca="false">INDEX('Employee Master'!$I$2:$I$201,MATCH(A25,'Employee Master'!$A$2:$A$201,0))</f>
        <v>2.4</v>
      </c>
      <c r="U25" s="2" t="n">
        <f aca="false">INDEX('Employee Master'!$H$2:$H$201,MATCH(A25,'Employee Master'!$A$2:$A$201,0))</f>
        <v>1</v>
      </c>
      <c r="V25" s="2" t="n">
        <f aca="false">INDEX('Employee Master'!$J$2:$J$201,MATCH(A25,'Employee Master'!$A$2:$A$201,0))</f>
        <v>3.4</v>
      </c>
    </row>
    <row r="26" customFormat="false" ht="15" hidden="false" customHeight="false" outlineLevel="0" collapsed="false">
      <c r="A26" s="2" t="s">
        <v>93</v>
      </c>
      <c r="B26" s="2" t="s">
        <v>94</v>
      </c>
      <c r="C26" s="2" t="s">
        <v>36</v>
      </c>
      <c r="D26" s="2" t="s">
        <v>657</v>
      </c>
      <c r="E26" s="2" t="n">
        <f aca="false">INDEX('Salary Records'!$F$2:$F$201,MATCH(A26,'Salary Records'!$A$2:$A$201,0))</f>
        <v>26</v>
      </c>
      <c r="F26" s="2" t="n">
        <f aca="false">INDEX('Salary Records'!$G$2:$G$201,MATCH(A26,'Salary Records'!$A$2:$A$201,0))</f>
        <v>22</v>
      </c>
      <c r="G26" s="2" t="n">
        <f aca="false">INDEX('Salary Records'!$H$2:$H$201,MATCH(A26,'Salary Records'!$A$2:$A$201,0))</f>
        <v>3</v>
      </c>
      <c r="H26" s="2" t="n">
        <f aca="false">INDEX('Salary Records'!$I$2:$I$201,MATCH(A26,'Salary Records'!$A$2:$A$201,0))</f>
        <v>1</v>
      </c>
      <c r="I26" s="2" t="n">
        <f aca="false">INDEX('Salary Records'!$J$2:$J$201,MATCH(A26,'Salary Records'!$A$2:$A$201,0))</f>
        <v>0</v>
      </c>
      <c r="J26" s="2" t="n">
        <f aca="false">ROUND(F26/E26*100,1)</f>
        <v>84.6</v>
      </c>
      <c r="K26" s="2" t="n">
        <v>2</v>
      </c>
      <c r="L26" s="2" t="n">
        <f aca="false">INDEX('Salary Records'!$K$2:$K$201,MATCH(A26,'Salary Records'!$A$2:$A$201,0))</f>
        <v>2</v>
      </c>
      <c r="M26" s="2" t="n">
        <f aca="false">INDEX('Salary Records'!$L$2:$L$201,MATCH(A26,'Salary Records'!$A$2:$A$201,0))</f>
        <v>1</v>
      </c>
      <c r="N26" s="2" t="n">
        <f aca="false">INDEX('Salary Records'!$E$2:$E$201,MATCH(A26,'Salary Records'!$A$2:$A$201,0))</f>
        <v>89500</v>
      </c>
      <c r="O26" s="2" t="n">
        <f aca="false">INDEX('Salary Records'!$O$2:$O$201,MATCH(A26,'Salary Records'!$A$2:$A$201,0))</f>
        <v>3442.31</v>
      </c>
      <c r="P26" s="2" t="n">
        <f aca="false">INDEX('PF Records'!$H$2:$H$201,MATCH(A26,'PF Records'!$A$2:$A$201,0))</f>
        <v>10740</v>
      </c>
      <c r="Q26" s="2" t="n">
        <f aca="false">INDEX('PF Records'!$I$2:$I$201,MATCH(A26,'PF Records'!$A$2:$A$201,0))</f>
        <v>10740</v>
      </c>
      <c r="R26" s="2" t="n">
        <f aca="false">P26+Q26</f>
        <v>21480</v>
      </c>
      <c r="S26" s="2" t="n">
        <f aca="false">INDEX('Salary Records'!$S$2:$S$201,MATCH(A26,'Salary Records'!$A$2:$A$201,0))</f>
        <v>75317.69</v>
      </c>
      <c r="T26" s="2" t="n">
        <f aca="false">INDEX('Employee Master'!$I$2:$I$201,MATCH(A26,'Employee Master'!$A$2:$A$201,0))</f>
        <v>0.3</v>
      </c>
      <c r="U26" s="2" t="n">
        <f aca="false">INDEX('Employee Master'!$H$2:$H$201,MATCH(A26,'Employee Master'!$A$2:$A$201,0))</f>
        <v>7.2</v>
      </c>
      <c r="V26" s="2" t="n">
        <f aca="false">INDEX('Employee Master'!$J$2:$J$201,MATCH(A26,'Employee Master'!$A$2:$A$201,0))</f>
        <v>7.5</v>
      </c>
    </row>
    <row r="27" customFormat="false" ht="15" hidden="false" customHeight="false" outlineLevel="0" collapsed="false">
      <c r="A27" s="2" t="s">
        <v>95</v>
      </c>
      <c r="B27" s="2" t="s">
        <v>96</v>
      </c>
      <c r="C27" s="2" t="s">
        <v>41</v>
      </c>
      <c r="D27" s="2" t="s">
        <v>657</v>
      </c>
      <c r="E27" s="2" t="n">
        <f aca="false">INDEX('Salary Records'!$F$2:$F$201,MATCH(A27,'Salary Records'!$A$2:$A$201,0))</f>
        <v>26</v>
      </c>
      <c r="F27" s="2" t="n">
        <f aca="false">INDEX('Salary Records'!$G$2:$G$201,MATCH(A27,'Salary Records'!$A$2:$A$201,0))</f>
        <v>16</v>
      </c>
      <c r="G27" s="2" t="n">
        <f aca="false">INDEX('Salary Records'!$H$2:$H$201,MATCH(A27,'Salary Records'!$A$2:$A$201,0))</f>
        <v>8</v>
      </c>
      <c r="H27" s="2" t="n">
        <f aca="false">INDEX('Salary Records'!$I$2:$I$201,MATCH(A27,'Salary Records'!$A$2:$A$201,0))</f>
        <v>2</v>
      </c>
      <c r="I27" s="2" t="n">
        <f aca="false">INDEX('Salary Records'!$J$2:$J$201,MATCH(A27,'Salary Records'!$A$2:$A$201,0))</f>
        <v>0</v>
      </c>
      <c r="J27" s="2" t="n">
        <f aca="false">ROUND(F27/E27*100,1)</f>
        <v>61.5</v>
      </c>
      <c r="K27" s="2" t="n">
        <v>2</v>
      </c>
      <c r="L27" s="2" t="n">
        <f aca="false">INDEX('Salary Records'!$K$2:$K$201,MATCH(A27,'Salary Records'!$A$2:$A$201,0))</f>
        <v>2</v>
      </c>
      <c r="M27" s="2" t="n">
        <f aca="false">INDEX('Salary Records'!$L$2:$L$201,MATCH(A27,'Salary Records'!$A$2:$A$201,0))</f>
        <v>6</v>
      </c>
      <c r="N27" s="2" t="n">
        <f aca="false">INDEX('Salary Records'!$E$2:$E$201,MATCH(A27,'Salary Records'!$A$2:$A$201,0))</f>
        <v>76500</v>
      </c>
      <c r="O27" s="2" t="n">
        <f aca="false">INDEX('Salary Records'!$O$2:$O$201,MATCH(A27,'Salary Records'!$A$2:$A$201,0))</f>
        <v>17653.86</v>
      </c>
      <c r="P27" s="2" t="n">
        <f aca="false">INDEX('PF Records'!$H$2:$H$201,MATCH(A27,'PF Records'!$A$2:$A$201,0))</f>
        <v>9180</v>
      </c>
      <c r="Q27" s="2" t="n">
        <f aca="false">INDEX('PF Records'!$I$2:$I$201,MATCH(A27,'PF Records'!$A$2:$A$201,0))</f>
        <v>9180</v>
      </c>
      <c r="R27" s="2" t="n">
        <f aca="false">P27+Q27</f>
        <v>18360</v>
      </c>
      <c r="S27" s="2" t="n">
        <f aca="false">INDEX('Salary Records'!$S$2:$S$201,MATCH(A27,'Salary Records'!$A$2:$A$201,0))</f>
        <v>49666.14</v>
      </c>
      <c r="T27" s="2" t="n">
        <f aca="false">INDEX('Employee Master'!$I$2:$I$201,MATCH(A27,'Employee Master'!$A$2:$A$201,0))</f>
        <v>2.5</v>
      </c>
      <c r="U27" s="2" t="n">
        <f aca="false">INDEX('Employee Master'!$H$2:$H$201,MATCH(A27,'Employee Master'!$A$2:$A$201,0))</f>
        <v>6.7</v>
      </c>
      <c r="V27" s="2" t="n">
        <f aca="false">INDEX('Employee Master'!$J$2:$J$201,MATCH(A27,'Employee Master'!$A$2:$A$201,0))</f>
        <v>9.2</v>
      </c>
    </row>
    <row r="28" customFormat="false" ht="15" hidden="false" customHeight="false" outlineLevel="0" collapsed="false">
      <c r="A28" s="2" t="s">
        <v>97</v>
      </c>
      <c r="B28" s="2" t="s">
        <v>98</v>
      </c>
      <c r="C28" s="2" t="s">
        <v>45</v>
      </c>
      <c r="D28" s="2" t="s">
        <v>657</v>
      </c>
      <c r="E28" s="2" t="n">
        <f aca="false">INDEX('Salary Records'!$F$2:$F$201,MATCH(A28,'Salary Records'!$A$2:$A$201,0))</f>
        <v>26</v>
      </c>
      <c r="F28" s="2" t="n">
        <f aca="false">INDEX('Salary Records'!$G$2:$G$201,MATCH(A28,'Salary Records'!$A$2:$A$201,0))</f>
        <v>22</v>
      </c>
      <c r="G28" s="2" t="n">
        <f aca="false">INDEX('Salary Records'!$H$2:$H$201,MATCH(A28,'Salary Records'!$A$2:$A$201,0))</f>
        <v>3</v>
      </c>
      <c r="H28" s="2" t="n">
        <f aca="false">INDEX('Salary Records'!$I$2:$I$201,MATCH(A28,'Salary Records'!$A$2:$A$201,0))</f>
        <v>1</v>
      </c>
      <c r="I28" s="2" t="n">
        <f aca="false">INDEX('Salary Records'!$J$2:$J$201,MATCH(A28,'Salary Records'!$A$2:$A$201,0))</f>
        <v>0</v>
      </c>
      <c r="J28" s="2" t="n">
        <f aca="false">ROUND(F28/E28*100,1)</f>
        <v>84.6</v>
      </c>
      <c r="K28" s="2" t="n">
        <v>2</v>
      </c>
      <c r="L28" s="2" t="n">
        <f aca="false">INDEX('Salary Records'!$K$2:$K$201,MATCH(A28,'Salary Records'!$A$2:$A$201,0))</f>
        <v>2</v>
      </c>
      <c r="M28" s="2" t="n">
        <f aca="false">INDEX('Salary Records'!$L$2:$L$201,MATCH(A28,'Salary Records'!$A$2:$A$201,0))</f>
        <v>1</v>
      </c>
      <c r="N28" s="2" t="n">
        <f aca="false">INDEX('Salary Records'!$E$2:$E$201,MATCH(A28,'Salary Records'!$A$2:$A$201,0))</f>
        <v>34000</v>
      </c>
      <c r="O28" s="2" t="n">
        <f aca="false">INDEX('Salary Records'!$O$2:$O$201,MATCH(A28,'Salary Records'!$A$2:$A$201,0))</f>
        <v>1307.69</v>
      </c>
      <c r="P28" s="2" t="n">
        <f aca="false">INDEX('PF Records'!$H$2:$H$201,MATCH(A28,'PF Records'!$A$2:$A$201,0))</f>
        <v>4080</v>
      </c>
      <c r="Q28" s="2" t="n">
        <f aca="false">INDEX('PF Records'!$I$2:$I$201,MATCH(A28,'PF Records'!$A$2:$A$201,0))</f>
        <v>4080</v>
      </c>
      <c r="R28" s="2" t="n">
        <f aca="false">P28+Q28</f>
        <v>8160</v>
      </c>
      <c r="S28" s="2" t="n">
        <f aca="false">INDEX('Salary Records'!$S$2:$S$201,MATCH(A28,'Salary Records'!$A$2:$A$201,0))</f>
        <v>28612.31</v>
      </c>
      <c r="T28" s="2" t="n">
        <f aca="false">INDEX('Employee Master'!$I$2:$I$201,MATCH(A28,'Employee Master'!$A$2:$A$201,0))</f>
        <v>2.2</v>
      </c>
      <c r="U28" s="2" t="n">
        <f aca="false">INDEX('Employee Master'!$H$2:$H$201,MATCH(A28,'Employee Master'!$A$2:$A$201,0))</f>
        <v>4.9</v>
      </c>
      <c r="V28" s="2" t="n">
        <f aca="false">INDEX('Employee Master'!$J$2:$J$201,MATCH(A28,'Employee Master'!$A$2:$A$201,0))</f>
        <v>7.1</v>
      </c>
    </row>
    <row r="29" customFormat="false" ht="15" hidden="false" customHeight="false" outlineLevel="0" collapsed="false">
      <c r="A29" s="2" t="s">
        <v>99</v>
      </c>
      <c r="B29" s="2" t="s">
        <v>100</v>
      </c>
      <c r="C29" s="2" t="s">
        <v>49</v>
      </c>
      <c r="D29" s="2" t="s">
        <v>657</v>
      </c>
      <c r="E29" s="2" t="n">
        <f aca="false">INDEX('Salary Records'!$F$2:$F$201,MATCH(A29,'Salary Records'!$A$2:$A$201,0))</f>
        <v>26</v>
      </c>
      <c r="F29" s="2" t="n">
        <f aca="false">INDEX('Salary Records'!$G$2:$G$201,MATCH(A29,'Salary Records'!$A$2:$A$201,0))</f>
        <v>16</v>
      </c>
      <c r="G29" s="2" t="n">
        <f aca="false">INDEX('Salary Records'!$H$2:$H$201,MATCH(A29,'Salary Records'!$A$2:$A$201,0))</f>
        <v>8</v>
      </c>
      <c r="H29" s="2" t="n">
        <f aca="false">INDEX('Salary Records'!$I$2:$I$201,MATCH(A29,'Salary Records'!$A$2:$A$201,0))</f>
        <v>0</v>
      </c>
      <c r="I29" s="2" t="n">
        <f aca="false">INDEX('Salary Records'!$J$2:$J$201,MATCH(A29,'Salary Records'!$A$2:$A$201,0))</f>
        <v>2</v>
      </c>
      <c r="J29" s="2" t="n">
        <f aca="false">ROUND(F29/E29*100,1)</f>
        <v>61.5</v>
      </c>
      <c r="K29" s="2" t="n">
        <v>2</v>
      </c>
      <c r="L29" s="2" t="n">
        <f aca="false">INDEX('Salary Records'!$K$2:$K$201,MATCH(A29,'Salary Records'!$A$2:$A$201,0))</f>
        <v>2</v>
      </c>
      <c r="M29" s="2" t="n">
        <f aca="false">INDEX('Salary Records'!$L$2:$L$201,MATCH(A29,'Salary Records'!$A$2:$A$201,0))</f>
        <v>6</v>
      </c>
      <c r="N29" s="2" t="n">
        <f aca="false">INDEX('Salary Records'!$E$2:$E$201,MATCH(A29,'Salary Records'!$A$2:$A$201,0))</f>
        <v>138000</v>
      </c>
      <c r="O29" s="2" t="n">
        <f aca="false">INDEX('Salary Records'!$O$2:$O$201,MATCH(A29,'Salary Records'!$A$2:$A$201,0))</f>
        <v>31846.14</v>
      </c>
      <c r="P29" s="2" t="n">
        <f aca="false">INDEX('PF Records'!$H$2:$H$201,MATCH(A29,'PF Records'!$A$2:$A$201,0))</f>
        <v>16560</v>
      </c>
      <c r="Q29" s="2" t="n">
        <f aca="false">INDEX('PF Records'!$I$2:$I$201,MATCH(A29,'PF Records'!$A$2:$A$201,0))</f>
        <v>16560</v>
      </c>
      <c r="R29" s="2" t="n">
        <f aca="false">P29+Q29</f>
        <v>33120</v>
      </c>
      <c r="S29" s="2" t="n">
        <f aca="false">INDEX('Salary Records'!$S$2:$S$201,MATCH(A29,'Salary Records'!$A$2:$A$201,0))</f>
        <v>84286.17</v>
      </c>
      <c r="T29" s="2" t="n">
        <f aca="false">INDEX('Employee Master'!$I$2:$I$201,MATCH(A29,'Employee Master'!$A$2:$A$201,0))</f>
        <v>1.1</v>
      </c>
      <c r="U29" s="2" t="n">
        <f aca="false">INDEX('Employee Master'!$H$2:$H$201,MATCH(A29,'Employee Master'!$A$2:$A$201,0))</f>
        <v>1.7</v>
      </c>
      <c r="V29" s="2" t="n">
        <f aca="false">INDEX('Employee Master'!$J$2:$J$201,MATCH(A29,'Employee Master'!$A$2:$A$201,0))</f>
        <v>2.8</v>
      </c>
    </row>
    <row r="30" customFormat="false" ht="15" hidden="false" customHeight="false" outlineLevel="0" collapsed="false">
      <c r="A30" s="2" t="s">
        <v>101</v>
      </c>
      <c r="B30" s="2" t="s">
        <v>102</v>
      </c>
      <c r="C30" s="2" t="s">
        <v>53</v>
      </c>
      <c r="D30" s="2" t="s">
        <v>657</v>
      </c>
      <c r="E30" s="2" t="n">
        <f aca="false">INDEX('Salary Records'!$F$2:$F$201,MATCH(A30,'Salary Records'!$A$2:$A$201,0))</f>
        <v>26</v>
      </c>
      <c r="F30" s="2" t="n">
        <f aca="false">INDEX('Salary Records'!$G$2:$G$201,MATCH(A30,'Salary Records'!$A$2:$A$201,0))</f>
        <v>22</v>
      </c>
      <c r="G30" s="2" t="n">
        <f aca="false">INDEX('Salary Records'!$H$2:$H$201,MATCH(A30,'Salary Records'!$A$2:$A$201,0))</f>
        <v>2</v>
      </c>
      <c r="H30" s="2" t="n">
        <f aca="false">INDEX('Salary Records'!$I$2:$I$201,MATCH(A30,'Salary Records'!$A$2:$A$201,0))</f>
        <v>2</v>
      </c>
      <c r="I30" s="2" t="n">
        <f aca="false">INDEX('Salary Records'!$J$2:$J$201,MATCH(A30,'Salary Records'!$A$2:$A$201,0))</f>
        <v>0</v>
      </c>
      <c r="J30" s="2" t="n">
        <f aca="false">ROUND(F30/E30*100,1)</f>
        <v>84.6</v>
      </c>
      <c r="K30" s="2" t="n">
        <v>2</v>
      </c>
      <c r="L30" s="2" t="n">
        <f aca="false">INDEX('Salary Records'!$K$2:$K$201,MATCH(A30,'Salary Records'!$A$2:$A$201,0))</f>
        <v>2</v>
      </c>
      <c r="M30" s="2" t="n">
        <f aca="false">INDEX('Salary Records'!$L$2:$L$201,MATCH(A30,'Salary Records'!$A$2:$A$201,0))</f>
        <v>0</v>
      </c>
      <c r="N30" s="2" t="n">
        <f aca="false">INDEX('Salary Records'!$E$2:$E$201,MATCH(A30,'Salary Records'!$A$2:$A$201,0))</f>
        <v>21000</v>
      </c>
      <c r="O30" s="2" t="n">
        <f aca="false">INDEX('Salary Records'!$O$2:$O$201,MATCH(A30,'Salary Records'!$A$2:$A$201,0))</f>
        <v>0</v>
      </c>
      <c r="P30" s="2" t="n">
        <f aca="false">INDEX('PF Records'!$H$2:$H$201,MATCH(A30,'PF Records'!$A$2:$A$201,0))</f>
        <v>2520</v>
      </c>
      <c r="Q30" s="2" t="n">
        <f aca="false">INDEX('PF Records'!$I$2:$I$201,MATCH(A30,'PF Records'!$A$2:$A$201,0))</f>
        <v>2520</v>
      </c>
      <c r="R30" s="2" t="n">
        <f aca="false">P30+Q30</f>
        <v>5040</v>
      </c>
      <c r="S30" s="2" t="n">
        <f aca="false">INDEX('Salary Records'!$S$2:$S$201,MATCH(A30,'Salary Records'!$A$2:$A$201,0))</f>
        <v>17672.31</v>
      </c>
      <c r="T30" s="2" t="n">
        <f aca="false">INDEX('Employee Master'!$I$2:$I$201,MATCH(A30,'Employee Master'!$A$2:$A$201,0))</f>
        <v>5.5</v>
      </c>
      <c r="U30" s="2" t="n">
        <f aca="false">INDEX('Employee Master'!$H$2:$H$201,MATCH(A30,'Employee Master'!$A$2:$A$201,0))</f>
        <v>0</v>
      </c>
      <c r="V30" s="2" t="n">
        <f aca="false">INDEX('Employee Master'!$J$2:$J$201,MATCH(A30,'Employee Master'!$A$2:$A$201,0))</f>
        <v>5.5</v>
      </c>
    </row>
    <row r="31" customFormat="false" ht="15" hidden="false" customHeight="false" outlineLevel="0" collapsed="false">
      <c r="A31" s="2" t="s">
        <v>104</v>
      </c>
      <c r="B31" s="2" t="s">
        <v>105</v>
      </c>
      <c r="C31" s="2" t="s">
        <v>57</v>
      </c>
      <c r="D31" s="2" t="s">
        <v>657</v>
      </c>
      <c r="E31" s="2" t="n">
        <f aca="false">INDEX('Salary Records'!$F$2:$F$201,MATCH(A31,'Salary Records'!$A$2:$A$201,0))</f>
        <v>26</v>
      </c>
      <c r="F31" s="2" t="n">
        <f aca="false">INDEX('Salary Records'!$G$2:$G$201,MATCH(A31,'Salary Records'!$A$2:$A$201,0))</f>
        <v>21</v>
      </c>
      <c r="G31" s="2" t="n">
        <f aca="false">INDEX('Salary Records'!$H$2:$H$201,MATCH(A31,'Salary Records'!$A$2:$A$201,0))</f>
        <v>4</v>
      </c>
      <c r="H31" s="2" t="n">
        <f aca="false">INDEX('Salary Records'!$I$2:$I$201,MATCH(A31,'Salary Records'!$A$2:$A$201,0))</f>
        <v>1</v>
      </c>
      <c r="I31" s="2" t="n">
        <f aca="false">INDEX('Salary Records'!$J$2:$J$201,MATCH(A31,'Salary Records'!$A$2:$A$201,0))</f>
        <v>0</v>
      </c>
      <c r="J31" s="2" t="n">
        <f aca="false">ROUND(F31/E31*100,1)</f>
        <v>80.8</v>
      </c>
      <c r="K31" s="2" t="n">
        <v>2</v>
      </c>
      <c r="L31" s="2" t="n">
        <f aca="false">INDEX('Salary Records'!$K$2:$K$201,MATCH(A31,'Salary Records'!$A$2:$A$201,0))</f>
        <v>2</v>
      </c>
      <c r="M31" s="2" t="n">
        <f aca="false">INDEX('Salary Records'!$L$2:$L$201,MATCH(A31,'Salary Records'!$A$2:$A$201,0))</f>
        <v>2</v>
      </c>
      <c r="N31" s="2" t="n">
        <f aca="false">INDEX('Salary Records'!$E$2:$E$201,MATCH(A31,'Salary Records'!$A$2:$A$201,0))</f>
        <v>41000</v>
      </c>
      <c r="O31" s="2" t="n">
        <f aca="false">INDEX('Salary Records'!$O$2:$O$201,MATCH(A31,'Salary Records'!$A$2:$A$201,0))</f>
        <v>3153.84</v>
      </c>
      <c r="P31" s="2" t="n">
        <f aca="false">INDEX('PF Records'!$H$2:$H$201,MATCH(A31,'PF Records'!$A$2:$A$201,0))</f>
        <v>4920</v>
      </c>
      <c r="Q31" s="2" t="n">
        <f aca="false">INDEX('PF Records'!$I$2:$I$201,MATCH(A31,'PF Records'!$A$2:$A$201,0))</f>
        <v>4920</v>
      </c>
      <c r="R31" s="2" t="n">
        <f aca="false">P31+Q31</f>
        <v>9840</v>
      </c>
      <c r="S31" s="2" t="n">
        <f aca="false">INDEX('Salary Records'!$S$2:$S$201,MATCH(A31,'Salary Records'!$A$2:$A$201,0))</f>
        <v>32926.16</v>
      </c>
      <c r="T31" s="2" t="n">
        <f aca="false">INDEX('Employee Master'!$I$2:$I$201,MATCH(A31,'Employee Master'!$A$2:$A$201,0))</f>
        <v>0.2</v>
      </c>
      <c r="U31" s="2" t="n">
        <f aca="false">INDEX('Employee Master'!$H$2:$H$201,MATCH(A31,'Employee Master'!$A$2:$A$201,0))</f>
        <v>1.9</v>
      </c>
      <c r="V31" s="2" t="n">
        <f aca="false">INDEX('Employee Master'!$J$2:$J$201,MATCH(A31,'Employee Master'!$A$2:$A$201,0))</f>
        <v>2.1</v>
      </c>
    </row>
    <row r="32" customFormat="false" ht="15" hidden="false" customHeight="false" outlineLevel="0" collapsed="false">
      <c r="A32" s="2" t="s">
        <v>106</v>
      </c>
      <c r="B32" s="2" t="s">
        <v>107</v>
      </c>
      <c r="C32" s="2" t="s">
        <v>17</v>
      </c>
      <c r="D32" s="2" t="s">
        <v>657</v>
      </c>
      <c r="E32" s="2" t="n">
        <f aca="false">INDEX('Salary Records'!$F$2:$F$201,MATCH(A32,'Salary Records'!$A$2:$A$201,0))</f>
        <v>26</v>
      </c>
      <c r="F32" s="2" t="n">
        <f aca="false">INDEX('Salary Records'!$G$2:$G$201,MATCH(A32,'Salary Records'!$A$2:$A$201,0))</f>
        <v>19</v>
      </c>
      <c r="G32" s="2" t="n">
        <f aca="false">INDEX('Salary Records'!$H$2:$H$201,MATCH(A32,'Salary Records'!$A$2:$A$201,0))</f>
        <v>6</v>
      </c>
      <c r="H32" s="2" t="n">
        <f aca="false">INDEX('Salary Records'!$I$2:$I$201,MATCH(A32,'Salary Records'!$A$2:$A$201,0))</f>
        <v>0</v>
      </c>
      <c r="I32" s="2" t="n">
        <f aca="false">INDEX('Salary Records'!$J$2:$J$201,MATCH(A32,'Salary Records'!$A$2:$A$201,0))</f>
        <v>1</v>
      </c>
      <c r="J32" s="2" t="n">
        <f aca="false">ROUND(F32/E32*100,1)</f>
        <v>73.1</v>
      </c>
      <c r="K32" s="2" t="n">
        <v>2</v>
      </c>
      <c r="L32" s="2" t="n">
        <f aca="false">INDEX('Salary Records'!$K$2:$K$201,MATCH(A32,'Salary Records'!$A$2:$A$201,0))</f>
        <v>2</v>
      </c>
      <c r="M32" s="2" t="n">
        <f aca="false">INDEX('Salary Records'!$L$2:$L$201,MATCH(A32,'Salary Records'!$A$2:$A$201,0))</f>
        <v>4</v>
      </c>
      <c r="N32" s="2" t="n">
        <f aca="false">INDEX('Salary Records'!$E$2:$E$201,MATCH(A32,'Salary Records'!$A$2:$A$201,0))</f>
        <v>39500</v>
      </c>
      <c r="O32" s="2" t="n">
        <f aca="false">INDEX('Salary Records'!$O$2:$O$201,MATCH(A32,'Salary Records'!$A$2:$A$201,0))</f>
        <v>6076.92</v>
      </c>
      <c r="P32" s="2" t="n">
        <f aca="false">INDEX('PF Records'!$H$2:$H$201,MATCH(A32,'PF Records'!$A$2:$A$201,0))</f>
        <v>4740</v>
      </c>
      <c r="Q32" s="2" t="n">
        <f aca="false">INDEX('PF Records'!$I$2:$I$201,MATCH(A32,'PF Records'!$A$2:$A$201,0))</f>
        <v>4740</v>
      </c>
      <c r="R32" s="2" t="n">
        <f aca="false">P32+Q32</f>
        <v>9480</v>
      </c>
      <c r="S32" s="2" t="n">
        <f aca="false">INDEX('Salary Records'!$S$2:$S$201,MATCH(A32,'Salary Records'!$A$2:$A$201,0))</f>
        <v>27923.46</v>
      </c>
      <c r="T32" s="2" t="n">
        <f aca="false">INDEX('Employee Master'!$I$2:$I$201,MATCH(A32,'Employee Master'!$A$2:$A$201,0))</f>
        <v>8.4</v>
      </c>
      <c r="U32" s="2" t="n">
        <f aca="false">INDEX('Employee Master'!$H$2:$H$201,MATCH(A32,'Employee Master'!$A$2:$A$201,0))</f>
        <v>0.4</v>
      </c>
      <c r="V32" s="2" t="n">
        <f aca="false">INDEX('Employee Master'!$J$2:$J$201,MATCH(A32,'Employee Master'!$A$2:$A$201,0))</f>
        <v>8.8</v>
      </c>
    </row>
    <row r="33" customFormat="false" ht="15" hidden="false" customHeight="false" outlineLevel="0" collapsed="false">
      <c r="A33" s="2" t="s">
        <v>108</v>
      </c>
      <c r="B33" s="2" t="s">
        <v>109</v>
      </c>
      <c r="C33" s="2" t="s">
        <v>24</v>
      </c>
      <c r="D33" s="2" t="s">
        <v>657</v>
      </c>
      <c r="E33" s="2" t="n">
        <f aca="false">INDEX('Salary Records'!$F$2:$F$201,MATCH(A33,'Salary Records'!$A$2:$A$201,0))</f>
        <v>26</v>
      </c>
      <c r="F33" s="2" t="n">
        <f aca="false">INDEX('Salary Records'!$G$2:$G$201,MATCH(A33,'Salary Records'!$A$2:$A$201,0))</f>
        <v>24</v>
      </c>
      <c r="G33" s="2" t="n">
        <f aca="false">INDEX('Salary Records'!$H$2:$H$201,MATCH(A33,'Salary Records'!$A$2:$A$201,0))</f>
        <v>0</v>
      </c>
      <c r="H33" s="2" t="n">
        <f aca="false">INDEX('Salary Records'!$I$2:$I$201,MATCH(A33,'Salary Records'!$A$2:$A$201,0))</f>
        <v>0</v>
      </c>
      <c r="I33" s="2" t="n">
        <f aca="false">INDEX('Salary Records'!$J$2:$J$201,MATCH(A33,'Salary Records'!$A$2:$A$201,0))</f>
        <v>2</v>
      </c>
      <c r="J33" s="2" t="n">
        <f aca="false">ROUND(F33/E33*100,1)</f>
        <v>92.3</v>
      </c>
      <c r="K33" s="2" t="n">
        <v>2</v>
      </c>
      <c r="L33" s="2" t="n">
        <f aca="false">INDEX('Salary Records'!$K$2:$K$201,MATCH(A33,'Salary Records'!$A$2:$A$201,0))</f>
        <v>0</v>
      </c>
      <c r="M33" s="2" t="n">
        <f aca="false">INDEX('Salary Records'!$L$2:$L$201,MATCH(A33,'Salary Records'!$A$2:$A$201,0))</f>
        <v>0</v>
      </c>
      <c r="N33" s="2" t="n">
        <f aca="false">INDEX('Salary Records'!$E$2:$E$201,MATCH(A33,'Salary Records'!$A$2:$A$201,0))</f>
        <v>60000</v>
      </c>
      <c r="O33" s="2" t="n">
        <f aca="false">INDEX('Salary Records'!$O$2:$O$201,MATCH(A33,'Salary Records'!$A$2:$A$201,0))</f>
        <v>0</v>
      </c>
      <c r="P33" s="2" t="n">
        <f aca="false">INDEX('PF Records'!$H$2:$H$201,MATCH(A33,'PF Records'!$A$2:$A$201,0))</f>
        <v>7200</v>
      </c>
      <c r="Q33" s="2" t="n">
        <f aca="false">INDEX('PF Records'!$I$2:$I$201,MATCH(A33,'PF Records'!$A$2:$A$201,0))</f>
        <v>7200</v>
      </c>
      <c r="R33" s="2" t="n">
        <f aca="false">P33+Q33</f>
        <v>14400</v>
      </c>
      <c r="S33" s="2" t="n">
        <f aca="false">INDEX('Salary Records'!$S$2:$S$201,MATCH(A33,'Salary Records'!$A$2:$A$201,0))</f>
        <v>50492.31</v>
      </c>
      <c r="T33" s="2" t="n">
        <f aca="false">INDEX('Employee Master'!$I$2:$I$201,MATCH(A33,'Employee Master'!$A$2:$A$201,0))</f>
        <v>4</v>
      </c>
      <c r="U33" s="2" t="n">
        <f aca="false">INDEX('Employee Master'!$H$2:$H$201,MATCH(A33,'Employee Master'!$A$2:$A$201,0))</f>
        <v>7.1</v>
      </c>
      <c r="V33" s="2" t="n">
        <f aca="false">INDEX('Employee Master'!$J$2:$J$201,MATCH(A33,'Employee Master'!$A$2:$A$201,0))</f>
        <v>11.1</v>
      </c>
    </row>
    <row r="34" customFormat="false" ht="15" hidden="false" customHeight="false" outlineLevel="0" collapsed="false">
      <c r="A34" s="2" t="s">
        <v>110</v>
      </c>
      <c r="B34" s="2" t="s">
        <v>111</v>
      </c>
      <c r="C34" s="2" t="s">
        <v>28</v>
      </c>
      <c r="D34" s="2" t="s">
        <v>657</v>
      </c>
      <c r="E34" s="2" t="n">
        <f aca="false">INDEX('Salary Records'!$F$2:$F$201,MATCH(A34,'Salary Records'!$A$2:$A$201,0))</f>
        <v>26</v>
      </c>
      <c r="F34" s="2" t="n">
        <f aca="false">INDEX('Salary Records'!$G$2:$G$201,MATCH(A34,'Salary Records'!$A$2:$A$201,0))</f>
        <v>17</v>
      </c>
      <c r="G34" s="2" t="n">
        <f aca="false">INDEX('Salary Records'!$H$2:$H$201,MATCH(A34,'Salary Records'!$A$2:$A$201,0))</f>
        <v>9</v>
      </c>
      <c r="H34" s="2" t="n">
        <f aca="false">INDEX('Salary Records'!$I$2:$I$201,MATCH(A34,'Salary Records'!$A$2:$A$201,0))</f>
        <v>0</v>
      </c>
      <c r="I34" s="2" t="n">
        <f aca="false">INDEX('Salary Records'!$J$2:$J$201,MATCH(A34,'Salary Records'!$A$2:$A$201,0))</f>
        <v>0</v>
      </c>
      <c r="J34" s="2" t="n">
        <f aca="false">ROUND(F34/E34*100,1)</f>
        <v>65.4</v>
      </c>
      <c r="K34" s="2" t="n">
        <v>2</v>
      </c>
      <c r="L34" s="2" t="n">
        <f aca="false">INDEX('Salary Records'!$K$2:$K$201,MATCH(A34,'Salary Records'!$A$2:$A$201,0))</f>
        <v>2</v>
      </c>
      <c r="M34" s="2" t="n">
        <f aca="false">INDEX('Salary Records'!$L$2:$L$201,MATCH(A34,'Salary Records'!$A$2:$A$201,0))</f>
        <v>7</v>
      </c>
      <c r="N34" s="2" t="n">
        <f aca="false">INDEX('Salary Records'!$E$2:$E$201,MATCH(A34,'Salary Records'!$A$2:$A$201,0))</f>
        <v>87500</v>
      </c>
      <c r="O34" s="2" t="n">
        <f aca="false">INDEX('Salary Records'!$O$2:$O$201,MATCH(A34,'Salary Records'!$A$2:$A$201,0))</f>
        <v>23557.66</v>
      </c>
      <c r="P34" s="2" t="n">
        <f aca="false">INDEX('PF Records'!$H$2:$H$201,MATCH(A34,'PF Records'!$A$2:$A$201,0))</f>
        <v>10500</v>
      </c>
      <c r="Q34" s="2" t="n">
        <f aca="false">INDEX('PF Records'!$I$2:$I$201,MATCH(A34,'PF Records'!$A$2:$A$201,0))</f>
        <v>10500</v>
      </c>
      <c r="R34" s="2" t="n">
        <f aca="false">P34+Q34</f>
        <v>21000</v>
      </c>
      <c r="S34" s="2" t="n">
        <f aca="false">INDEX('Salary Records'!$S$2:$S$201,MATCH(A34,'Salary Records'!$A$2:$A$201,0))</f>
        <v>53442.34</v>
      </c>
      <c r="T34" s="2" t="n">
        <f aca="false">INDEX('Employee Master'!$I$2:$I$201,MATCH(A34,'Employee Master'!$A$2:$A$201,0))</f>
        <v>4.2</v>
      </c>
      <c r="U34" s="2" t="n">
        <f aca="false">INDEX('Employee Master'!$H$2:$H$201,MATCH(A34,'Employee Master'!$A$2:$A$201,0))</f>
        <v>2</v>
      </c>
      <c r="V34" s="2" t="n">
        <f aca="false">INDEX('Employee Master'!$J$2:$J$201,MATCH(A34,'Employee Master'!$A$2:$A$201,0))</f>
        <v>6.2</v>
      </c>
    </row>
    <row r="35" customFormat="false" ht="15" hidden="false" customHeight="false" outlineLevel="0" collapsed="false">
      <c r="A35" s="2" t="s">
        <v>112</v>
      </c>
      <c r="B35" s="2" t="s">
        <v>113</v>
      </c>
      <c r="C35" s="2" t="s">
        <v>32</v>
      </c>
      <c r="D35" s="2" t="s">
        <v>657</v>
      </c>
      <c r="E35" s="2" t="n">
        <f aca="false">INDEX('Salary Records'!$F$2:$F$201,MATCH(A35,'Salary Records'!$A$2:$A$201,0))</f>
        <v>26</v>
      </c>
      <c r="F35" s="2" t="n">
        <f aca="false">INDEX('Salary Records'!$G$2:$G$201,MATCH(A35,'Salary Records'!$A$2:$A$201,0))</f>
        <v>24</v>
      </c>
      <c r="G35" s="2" t="n">
        <f aca="false">INDEX('Salary Records'!$H$2:$H$201,MATCH(A35,'Salary Records'!$A$2:$A$201,0))</f>
        <v>0</v>
      </c>
      <c r="H35" s="2" t="n">
        <f aca="false">INDEX('Salary Records'!$I$2:$I$201,MATCH(A35,'Salary Records'!$A$2:$A$201,0))</f>
        <v>0</v>
      </c>
      <c r="I35" s="2" t="n">
        <f aca="false">INDEX('Salary Records'!$J$2:$J$201,MATCH(A35,'Salary Records'!$A$2:$A$201,0))</f>
        <v>2</v>
      </c>
      <c r="J35" s="2" t="n">
        <f aca="false">ROUND(F35/E35*100,1)</f>
        <v>92.3</v>
      </c>
      <c r="K35" s="2" t="n">
        <v>2</v>
      </c>
      <c r="L35" s="2" t="n">
        <f aca="false">INDEX('Salary Records'!$K$2:$K$201,MATCH(A35,'Salary Records'!$A$2:$A$201,0))</f>
        <v>0</v>
      </c>
      <c r="M35" s="2" t="n">
        <f aca="false">INDEX('Salary Records'!$L$2:$L$201,MATCH(A35,'Salary Records'!$A$2:$A$201,0))</f>
        <v>0</v>
      </c>
      <c r="N35" s="2" t="n">
        <f aca="false">INDEX('Salary Records'!$E$2:$E$201,MATCH(A35,'Salary Records'!$A$2:$A$201,0))</f>
        <v>46500</v>
      </c>
      <c r="O35" s="2" t="n">
        <f aca="false">INDEX('Salary Records'!$O$2:$O$201,MATCH(A35,'Salary Records'!$A$2:$A$201,0))</f>
        <v>0</v>
      </c>
      <c r="P35" s="2" t="n">
        <f aca="false">INDEX('PF Records'!$H$2:$H$201,MATCH(A35,'PF Records'!$A$2:$A$201,0))</f>
        <v>5580</v>
      </c>
      <c r="Q35" s="2" t="n">
        <f aca="false">INDEX('PF Records'!$I$2:$I$201,MATCH(A35,'PF Records'!$A$2:$A$201,0))</f>
        <v>5580</v>
      </c>
      <c r="R35" s="2" t="n">
        <f aca="false">P35+Q35</f>
        <v>11160</v>
      </c>
      <c r="S35" s="2" t="n">
        <f aca="false">INDEX('Salary Records'!$S$2:$S$201,MATCH(A35,'Salary Records'!$A$2:$A$201,0))</f>
        <v>39131.54</v>
      </c>
      <c r="T35" s="2" t="n">
        <f aca="false">INDEX('Employee Master'!$I$2:$I$201,MATCH(A35,'Employee Master'!$A$2:$A$201,0))</f>
        <v>7.5</v>
      </c>
      <c r="U35" s="2" t="n">
        <f aca="false">INDEX('Employee Master'!$H$2:$H$201,MATCH(A35,'Employee Master'!$A$2:$A$201,0))</f>
        <v>6.2</v>
      </c>
      <c r="V35" s="2" t="n">
        <f aca="false">INDEX('Employee Master'!$J$2:$J$201,MATCH(A35,'Employee Master'!$A$2:$A$201,0))</f>
        <v>13.7</v>
      </c>
    </row>
    <row r="36" customFormat="false" ht="15" hidden="false" customHeight="false" outlineLevel="0" collapsed="false">
      <c r="A36" s="2" t="s">
        <v>114</v>
      </c>
      <c r="B36" s="2" t="s">
        <v>115</v>
      </c>
      <c r="C36" s="2" t="s">
        <v>36</v>
      </c>
      <c r="D36" s="2" t="s">
        <v>657</v>
      </c>
      <c r="E36" s="2" t="n">
        <f aca="false">INDEX('Salary Records'!$F$2:$F$201,MATCH(A36,'Salary Records'!$A$2:$A$201,0))</f>
        <v>26</v>
      </c>
      <c r="F36" s="2" t="n">
        <f aca="false">INDEX('Salary Records'!$G$2:$G$201,MATCH(A36,'Salary Records'!$A$2:$A$201,0))</f>
        <v>16</v>
      </c>
      <c r="G36" s="2" t="n">
        <f aca="false">INDEX('Salary Records'!$H$2:$H$201,MATCH(A36,'Salary Records'!$A$2:$A$201,0))</f>
        <v>8</v>
      </c>
      <c r="H36" s="2" t="n">
        <f aca="false">INDEX('Salary Records'!$I$2:$I$201,MATCH(A36,'Salary Records'!$A$2:$A$201,0))</f>
        <v>1</v>
      </c>
      <c r="I36" s="2" t="n">
        <f aca="false">INDEX('Salary Records'!$J$2:$J$201,MATCH(A36,'Salary Records'!$A$2:$A$201,0))</f>
        <v>1</v>
      </c>
      <c r="J36" s="2" t="n">
        <f aca="false">ROUND(F36/E36*100,1)</f>
        <v>61.5</v>
      </c>
      <c r="K36" s="2" t="n">
        <v>2</v>
      </c>
      <c r="L36" s="2" t="n">
        <f aca="false">INDEX('Salary Records'!$K$2:$K$201,MATCH(A36,'Salary Records'!$A$2:$A$201,0))</f>
        <v>2</v>
      </c>
      <c r="M36" s="2" t="n">
        <f aca="false">INDEX('Salary Records'!$L$2:$L$201,MATCH(A36,'Salary Records'!$A$2:$A$201,0))</f>
        <v>6</v>
      </c>
      <c r="N36" s="2" t="n">
        <f aca="false">INDEX('Salary Records'!$E$2:$E$201,MATCH(A36,'Salary Records'!$A$2:$A$201,0))</f>
        <v>48500</v>
      </c>
      <c r="O36" s="2" t="n">
        <f aca="false">INDEX('Salary Records'!$O$2:$O$201,MATCH(A36,'Salary Records'!$A$2:$A$201,0))</f>
        <v>11192.28</v>
      </c>
      <c r="P36" s="2" t="n">
        <f aca="false">INDEX('PF Records'!$H$2:$H$201,MATCH(A36,'PF Records'!$A$2:$A$201,0))</f>
        <v>5820</v>
      </c>
      <c r="Q36" s="2" t="n">
        <f aca="false">INDEX('PF Records'!$I$2:$I$201,MATCH(A36,'PF Records'!$A$2:$A$201,0))</f>
        <v>5820</v>
      </c>
      <c r="R36" s="2" t="n">
        <f aca="false">P36+Q36</f>
        <v>11640</v>
      </c>
      <c r="S36" s="2" t="n">
        <f aca="false">INDEX('Salary Records'!$S$2:$S$201,MATCH(A36,'Salary Records'!$A$2:$A$201,0))</f>
        <v>30555.03</v>
      </c>
      <c r="T36" s="2" t="n">
        <f aca="false">INDEX('Employee Master'!$I$2:$I$201,MATCH(A36,'Employee Master'!$A$2:$A$201,0))</f>
        <v>2.4</v>
      </c>
      <c r="U36" s="2" t="n">
        <f aca="false">INDEX('Employee Master'!$H$2:$H$201,MATCH(A36,'Employee Master'!$A$2:$A$201,0))</f>
        <v>2</v>
      </c>
      <c r="V36" s="2" t="n">
        <f aca="false">INDEX('Employee Master'!$J$2:$J$201,MATCH(A36,'Employee Master'!$A$2:$A$201,0))</f>
        <v>4.4</v>
      </c>
    </row>
    <row r="37" customFormat="false" ht="15" hidden="false" customHeight="false" outlineLevel="0" collapsed="false">
      <c r="A37" s="2" t="s">
        <v>116</v>
      </c>
      <c r="B37" s="2" t="s">
        <v>117</v>
      </c>
      <c r="C37" s="2" t="s">
        <v>41</v>
      </c>
      <c r="D37" s="2" t="s">
        <v>657</v>
      </c>
      <c r="E37" s="2" t="n">
        <f aca="false">INDEX('Salary Records'!$F$2:$F$201,MATCH(A37,'Salary Records'!$A$2:$A$201,0))</f>
        <v>26</v>
      </c>
      <c r="F37" s="2" t="n">
        <f aca="false">INDEX('Salary Records'!$G$2:$G$201,MATCH(A37,'Salary Records'!$A$2:$A$201,0))</f>
        <v>23</v>
      </c>
      <c r="G37" s="2" t="n">
        <f aca="false">INDEX('Salary Records'!$H$2:$H$201,MATCH(A37,'Salary Records'!$A$2:$A$201,0))</f>
        <v>2</v>
      </c>
      <c r="H37" s="2" t="n">
        <f aca="false">INDEX('Salary Records'!$I$2:$I$201,MATCH(A37,'Salary Records'!$A$2:$A$201,0))</f>
        <v>1</v>
      </c>
      <c r="I37" s="2" t="n">
        <f aca="false">INDEX('Salary Records'!$J$2:$J$201,MATCH(A37,'Salary Records'!$A$2:$A$201,0))</f>
        <v>0</v>
      </c>
      <c r="J37" s="2" t="n">
        <f aca="false">ROUND(F37/E37*100,1)</f>
        <v>88.5</v>
      </c>
      <c r="K37" s="2" t="n">
        <v>2</v>
      </c>
      <c r="L37" s="2" t="n">
        <f aca="false">INDEX('Salary Records'!$K$2:$K$201,MATCH(A37,'Salary Records'!$A$2:$A$201,0))</f>
        <v>2</v>
      </c>
      <c r="M37" s="2" t="n">
        <f aca="false">INDEX('Salary Records'!$L$2:$L$201,MATCH(A37,'Salary Records'!$A$2:$A$201,0))</f>
        <v>0</v>
      </c>
      <c r="N37" s="2" t="n">
        <f aca="false">INDEX('Salary Records'!$E$2:$E$201,MATCH(A37,'Salary Records'!$A$2:$A$201,0))</f>
        <v>58500</v>
      </c>
      <c r="O37" s="2" t="n">
        <f aca="false">INDEX('Salary Records'!$O$2:$O$201,MATCH(A37,'Salary Records'!$A$2:$A$201,0))</f>
        <v>0</v>
      </c>
      <c r="P37" s="2" t="n">
        <f aca="false">INDEX('PF Records'!$H$2:$H$201,MATCH(A37,'PF Records'!$A$2:$A$201,0))</f>
        <v>7020</v>
      </c>
      <c r="Q37" s="2" t="n">
        <f aca="false">INDEX('PF Records'!$I$2:$I$201,MATCH(A37,'PF Records'!$A$2:$A$201,0))</f>
        <v>7020</v>
      </c>
      <c r="R37" s="2" t="n">
        <f aca="false">P37+Q37</f>
        <v>14040</v>
      </c>
      <c r="S37" s="2" t="n">
        <f aca="false">INDEX('Salary Records'!$S$2:$S$201,MATCH(A37,'Salary Records'!$A$2:$A$201,0))</f>
        <v>51480</v>
      </c>
      <c r="T37" s="2" t="n">
        <f aca="false">INDEX('Employee Master'!$I$2:$I$201,MATCH(A37,'Employee Master'!$A$2:$A$201,0))</f>
        <v>3.5</v>
      </c>
      <c r="U37" s="2" t="n">
        <f aca="false">INDEX('Employee Master'!$H$2:$H$201,MATCH(A37,'Employee Master'!$A$2:$A$201,0))</f>
        <v>0</v>
      </c>
      <c r="V37" s="2" t="n">
        <f aca="false">INDEX('Employee Master'!$J$2:$J$201,MATCH(A37,'Employee Master'!$A$2:$A$201,0))</f>
        <v>3.5</v>
      </c>
    </row>
    <row r="38" customFormat="false" ht="15" hidden="false" customHeight="false" outlineLevel="0" collapsed="false">
      <c r="A38" s="2" t="s">
        <v>118</v>
      </c>
      <c r="B38" s="2" t="s">
        <v>119</v>
      </c>
      <c r="C38" s="2" t="s">
        <v>45</v>
      </c>
      <c r="D38" s="2" t="s">
        <v>657</v>
      </c>
      <c r="E38" s="2" t="n">
        <f aca="false">INDEX('Salary Records'!$F$2:$F$201,MATCH(A38,'Salary Records'!$A$2:$A$201,0))</f>
        <v>26</v>
      </c>
      <c r="F38" s="2" t="n">
        <f aca="false">INDEX('Salary Records'!$G$2:$G$201,MATCH(A38,'Salary Records'!$A$2:$A$201,0))</f>
        <v>23</v>
      </c>
      <c r="G38" s="2" t="n">
        <f aca="false">INDEX('Salary Records'!$H$2:$H$201,MATCH(A38,'Salary Records'!$A$2:$A$201,0))</f>
        <v>3</v>
      </c>
      <c r="H38" s="2" t="n">
        <f aca="false">INDEX('Salary Records'!$I$2:$I$201,MATCH(A38,'Salary Records'!$A$2:$A$201,0))</f>
        <v>0</v>
      </c>
      <c r="I38" s="2" t="n">
        <f aca="false">INDEX('Salary Records'!$J$2:$J$201,MATCH(A38,'Salary Records'!$A$2:$A$201,0))</f>
        <v>0</v>
      </c>
      <c r="J38" s="2" t="n">
        <f aca="false">ROUND(F38/E38*100,1)</f>
        <v>88.5</v>
      </c>
      <c r="K38" s="2" t="n">
        <v>2</v>
      </c>
      <c r="L38" s="2" t="n">
        <f aca="false">INDEX('Salary Records'!$K$2:$K$201,MATCH(A38,'Salary Records'!$A$2:$A$201,0))</f>
        <v>2</v>
      </c>
      <c r="M38" s="2" t="n">
        <f aca="false">INDEX('Salary Records'!$L$2:$L$201,MATCH(A38,'Salary Records'!$A$2:$A$201,0))</f>
        <v>1</v>
      </c>
      <c r="N38" s="2" t="n">
        <f aca="false">INDEX('Salary Records'!$E$2:$E$201,MATCH(A38,'Salary Records'!$A$2:$A$201,0))</f>
        <v>104500</v>
      </c>
      <c r="O38" s="2" t="n">
        <f aca="false">INDEX('Salary Records'!$O$2:$O$201,MATCH(A38,'Salary Records'!$A$2:$A$201,0))</f>
        <v>4019.23</v>
      </c>
      <c r="P38" s="2" t="n">
        <f aca="false">INDEX('PF Records'!$H$2:$H$201,MATCH(A38,'PF Records'!$A$2:$A$201,0))</f>
        <v>12540</v>
      </c>
      <c r="Q38" s="2" t="n">
        <f aca="false">INDEX('PF Records'!$I$2:$I$201,MATCH(A38,'PF Records'!$A$2:$A$201,0))</f>
        <v>12540</v>
      </c>
      <c r="R38" s="2" t="n">
        <f aca="false">P38+Q38</f>
        <v>25080</v>
      </c>
      <c r="S38" s="2" t="n">
        <f aca="false">INDEX('Salary Records'!$S$2:$S$201,MATCH(A38,'Salary Records'!$A$2:$A$201,0))</f>
        <v>87940.77</v>
      </c>
      <c r="T38" s="2" t="n">
        <f aca="false">INDEX('Employee Master'!$I$2:$I$201,MATCH(A38,'Employee Master'!$A$2:$A$201,0))</f>
        <v>3.7</v>
      </c>
      <c r="U38" s="2" t="n">
        <f aca="false">INDEX('Employee Master'!$H$2:$H$201,MATCH(A38,'Employee Master'!$A$2:$A$201,0))</f>
        <v>4.9</v>
      </c>
      <c r="V38" s="2" t="n">
        <f aca="false">INDEX('Employee Master'!$J$2:$J$201,MATCH(A38,'Employee Master'!$A$2:$A$201,0))</f>
        <v>8.6</v>
      </c>
    </row>
    <row r="39" customFormat="false" ht="15" hidden="false" customHeight="false" outlineLevel="0" collapsed="false">
      <c r="A39" s="2" t="s">
        <v>120</v>
      </c>
      <c r="B39" s="2" t="s">
        <v>121</v>
      </c>
      <c r="C39" s="2" t="s">
        <v>49</v>
      </c>
      <c r="D39" s="2" t="s">
        <v>657</v>
      </c>
      <c r="E39" s="2" t="n">
        <f aca="false">INDEX('Salary Records'!$F$2:$F$201,MATCH(A39,'Salary Records'!$A$2:$A$201,0))</f>
        <v>26</v>
      </c>
      <c r="F39" s="2" t="n">
        <f aca="false">INDEX('Salary Records'!$G$2:$G$201,MATCH(A39,'Salary Records'!$A$2:$A$201,0))</f>
        <v>24</v>
      </c>
      <c r="G39" s="2" t="n">
        <f aca="false">INDEX('Salary Records'!$H$2:$H$201,MATCH(A39,'Salary Records'!$A$2:$A$201,0))</f>
        <v>0</v>
      </c>
      <c r="H39" s="2" t="n">
        <f aca="false">INDEX('Salary Records'!$I$2:$I$201,MATCH(A39,'Salary Records'!$A$2:$A$201,0))</f>
        <v>0</v>
      </c>
      <c r="I39" s="2" t="n">
        <f aca="false">INDEX('Salary Records'!$J$2:$J$201,MATCH(A39,'Salary Records'!$A$2:$A$201,0))</f>
        <v>2</v>
      </c>
      <c r="J39" s="2" t="n">
        <f aca="false">ROUND(F39/E39*100,1)</f>
        <v>92.3</v>
      </c>
      <c r="K39" s="2" t="n">
        <v>2</v>
      </c>
      <c r="L39" s="2" t="n">
        <f aca="false">INDEX('Salary Records'!$K$2:$K$201,MATCH(A39,'Salary Records'!$A$2:$A$201,0))</f>
        <v>0</v>
      </c>
      <c r="M39" s="2" t="n">
        <f aca="false">INDEX('Salary Records'!$L$2:$L$201,MATCH(A39,'Salary Records'!$A$2:$A$201,0))</f>
        <v>0</v>
      </c>
      <c r="N39" s="2" t="n">
        <f aca="false">INDEX('Salary Records'!$E$2:$E$201,MATCH(A39,'Salary Records'!$A$2:$A$201,0))</f>
        <v>138500</v>
      </c>
      <c r="O39" s="2" t="n">
        <f aca="false">INDEX('Salary Records'!$O$2:$O$201,MATCH(A39,'Salary Records'!$A$2:$A$201,0))</f>
        <v>0</v>
      </c>
      <c r="P39" s="2" t="n">
        <f aca="false">INDEX('PF Records'!$H$2:$H$201,MATCH(A39,'PF Records'!$A$2:$A$201,0))</f>
        <v>16620</v>
      </c>
      <c r="Q39" s="2" t="n">
        <f aca="false">INDEX('PF Records'!$I$2:$I$201,MATCH(A39,'PF Records'!$A$2:$A$201,0))</f>
        <v>16620</v>
      </c>
      <c r="R39" s="2" t="n">
        <f aca="false">P39+Q39</f>
        <v>33240</v>
      </c>
      <c r="S39" s="2" t="n">
        <f aca="false">INDEX('Salary Records'!$S$2:$S$201,MATCH(A39,'Salary Records'!$A$2:$A$201,0))</f>
        <v>116553.08</v>
      </c>
      <c r="T39" s="2" t="n">
        <f aca="false">INDEX('Employee Master'!$I$2:$I$201,MATCH(A39,'Employee Master'!$A$2:$A$201,0))</f>
        <v>6.9</v>
      </c>
      <c r="U39" s="2" t="n">
        <f aca="false">INDEX('Employee Master'!$H$2:$H$201,MATCH(A39,'Employee Master'!$A$2:$A$201,0))</f>
        <v>5.9</v>
      </c>
      <c r="V39" s="2" t="n">
        <f aca="false">INDEX('Employee Master'!$J$2:$J$201,MATCH(A39,'Employee Master'!$A$2:$A$201,0))</f>
        <v>12.8</v>
      </c>
    </row>
    <row r="40" customFormat="false" ht="15" hidden="false" customHeight="false" outlineLevel="0" collapsed="false">
      <c r="A40" s="2" t="s">
        <v>122</v>
      </c>
      <c r="B40" s="2" t="s">
        <v>123</v>
      </c>
      <c r="C40" s="2" t="s">
        <v>53</v>
      </c>
      <c r="D40" s="2" t="s">
        <v>657</v>
      </c>
      <c r="E40" s="2" t="n">
        <f aca="false">INDEX('Salary Records'!$F$2:$F$201,MATCH(A40,'Salary Records'!$A$2:$A$201,0))</f>
        <v>26</v>
      </c>
      <c r="F40" s="2" t="n">
        <f aca="false">INDEX('Salary Records'!$G$2:$G$201,MATCH(A40,'Salary Records'!$A$2:$A$201,0))</f>
        <v>18</v>
      </c>
      <c r="G40" s="2" t="n">
        <f aca="false">INDEX('Salary Records'!$H$2:$H$201,MATCH(A40,'Salary Records'!$A$2:$A$201,0))</f>
        <v>7</v>
      </c>
      <c r="H40" s="2" t="n">
        <f aca="false">INDEX('Salary Records'!$I$2:$I$201,MATCH(A40,'Salary Records'!$A$2:$A$201,0))</f>
        <v>1</v>
      </c>
      <c r="I40" s="2" t="n">
        <f aca="false">INDEX('Salary Records'!$J$2:$J$201,MATCH(A40,'Salary Records'!$A$2:$A$201,0))</f>
        <v>0</v>
      </c>
      <c r="J40" s="2" t="n">
        <f aca="false">ROUND(F40/E40*100,1)</f>
        <v>69.2</v>
      </c>
      <c r="K40" s="2" t="n">
        <v>2</v>
      </c>
      <c r="L40" s="2" t="n">
        <f aca="false">INDEX('Salary Records'!$K$2:$K$201,MATCH(A40,'Salary Records'!$A$2:$A$201,0))</f>
        <v>2</v>
      </c>
      <c r="M40" s="2" t="n">
        <f aca="false">INDEX('Salary Records'!$L$2:$L$201,MATCH(A40,'Salary Records'!$A$2:$A$201,0))</f>
        <v>5</v>
      </c>
      <c r="N40" s="2" t="n">
        <f aca="false">INDEX('Salary Records'!$E$2:$E$201,MATCH(A40,'Salary Records'!$A$2:$A$201,0))</f>
        <v>28000</v>
      </c>
      <c r="O40" s="2" t="n">
        <f aca="false">INDEX('Salary Records'!$O$2:$O$201,MATCH(A40,'Salary Records'!$A$2:$A$201,0))</f>
        <v>5384.6</v>
      </c>
      <c r="P40" s="2" t="n">
        <f aca="false">INDEX('PF Records'!$H$2:$H$201,MATCH(A40,'PF Records'!$A$2:$A$201,0))</f>
        <v>3360</v>
      </c>
      <c r="Q40" s="2" t="n">
        <f aca="false">INDEX('PF Records'!$I$2:$I$201,MATCH(A40,'PF Records'!$A$2:$A$201,0))</f>
        <v>3360</v>
      </c>
      <c r="R40" s="2" t="n">
        <f aca="false">P40+Q40</f>
        <v>6720</v>
      </c>
      <c r="S40" s="2" t="n">
        <f aca="false">INDEX('Salary Records'!$S$2:$S$201,MATCH(A40,'Salary Records'!$A$2:$A$201,0))</f>
        <v>19255.4</v>
      </c>
      <c r="T40" s="2" t="n">
        <f aca="false">INDEX('Employee Master'!$I$2:$I$201,MATCH(A40,'Employee Master'!$A$2:$A$201,0))</f>
        <v>1.5</v>
      </c>
      <c r="U40" s="2" t="n">
        <f aca="false">INDEX('Employee Master'!$H$2:$H$201,MATCH(A40,'Employee Master'!$A$2:$A$201,0))</f>
        <v>2.2</v>
      </c>
      <c r="V40" s="2" t="n">
        <f aca="false">INDEX('Employee Master'!$J$2:$J$201,MATCH(A40,'Employee Master'!$A$2:$A$201,0))</f>
        <v>3.7</v>
      </c>
    </row>
    <row r="41" customFormat="false" ht="15" hidden="false" customHeight="false" outlineLevel="0" collapsed="false">
      <c r="A41" s="2" t="s">
        <v>124</v>
      </c>
      <c r="B41" s="2" t="s">
        <v>125</v>
      </c>
      <c r="C41" s="2" t="s">
        <v>57</v>
      </c>
      <c r="D41" s="2" t="s">
        <v>657</v>
      </c>
      <c r="E41" s="2" t="n">
        <f aca="false">INDEX('Salary Records'!$F$2:$F$201,MATCH(A41,'Salary Records'!$A$2:$A$201,0))</f>
        <v>26</v>
      </c>
      <c r="F41" s="2" t="n">
        <f aca="false">INDEX('Salary Records'!$G$2:$G$201,MATCH(A41,'Salary Records'!$A$2:$A$201,0))</f>
        <v>20</v>
      </c>
      <c r="G41" s="2" t="n">
        <f aca="false">INDEX('Salary Records'!$H$2:$H$201,MATCH(A41,'Salary Records'!$A$2:$A$201,0))</f>
        <v>2</v>
      </c>
      <c r="H41" s="2" t="n">
        <f aca="false">INDEX('Salary Records'!$I$2:$I$201,MATCH(A41,'Salary Records'!$A$2:$A$201,0))</f>
        <v>2</v>
      </c>
      <c r="I41" s="2" t="n">
        <f aca="false">INDEX('Salary Records'!$J$2:$J$201,MATCH(A41,'Salary Records'!$A$2:$A$201,0))</f>
        <v>2</v>
      </c>
      <c r="J41" s="2" t="n">
        <f aca="false">ROUND(F41/E41*100,1)</f>
        <v>76.9</v>
      </c>
      <c r="K41" s="2" t="n">
        <v>2</v>
      </c>
      <c r="L41" s="2" t="n">
        <f aca="false">INDEX('Salary Records'!$K$2:$K$201,MATCH(A41,'Salary Records'!$A$2:$A$201,0))</f>
        <v>2</v>
      </c>
      <c r="M41" s="2" t="n">
        <f aca="false">INDEX('Salary Records'!$L$2:$L$201,MATCH(A41,'Salary Records'!$A$2:$A$201,0))</f>
        <v>0</v>
      </c>
      <c r="N41" s="2" t="n">
        <f aca="false">INDEX('Salary Records'!$E$2:$E$201,MATCH(A41,'Salary Records'!$A$2:$A$201,0))</f>
        <v>76000</v>
      </c>
      <c r="O41" s="2" t="n">
        <f aca="false">INDEX('Salary Records'!$O$2:$O$201,MATCH(A41,'Salary Records'!$A$2:$A$201,0))</f>
        <v>0</v>
      </c>
      <c r="P41" s="2" t="n">
        <f aca="false">INDEX('PF Records'!$H$2:$H$201,MATCH(A41,'PF Records'!$A$2:$A$201,0))</f>
        <v>9120</v>
      </c>
      <c r="Q41" s="2" t="n">
        <f aca="false">INDEX('PF Records'!$I$2:$I$201,MATCH(A41,'PF Records'!$A$2:$A$201,0))</f>
        <v>9120</v>
      </c>
      <c r="R41" s="2" t="n">
        <f aca="false">P41+Q41</f>
        <v>18240</v>
      </c>
      <c r="S41" s="2" t="n">
        <f aca="false">INDEX('Salary Records'!$S$2:$S$201,MATCH(A41,'Salary Records'!$A$2:$A$201,0))</f>
        <v>63956.92</v>
      </c>
      <c r="T41" s="2" t="n">
        <f aca="false">INDEX('Employee Master'!$I$2:$I$201,MATCH(A41,'Employee Master'!$A$2:$A$201,0))</f>
        <v>6</v>
      </c>
      <c r="U41" s="2" t="n">
        <f aca="false">INDEX('Employee Master'!$H$2:$H$201,MATCH(A41,'Employee Master'!$A$2:$A$201,0))</f>
        <v>2.2</v>
      </c>
      <c r="V41" s="2" t="n">
        <f aca="false">INDEX('Employee Master'!$J$2:$J$201,MATCH(A41,'Employee Master'!$A$2:$A$201,0))</f>
        <v>8.2</v>
      </c>
    </row>
    <row r="42" customFormat="false" ht="15" hidden="false" customHeight="false" outlineLevel="0" collapsed="false">
      <c r="A42" s="2" t="s">
        <v>126</v>
      </c>
      <c r="B42" s="2" t="s">
        <v>127</v>
      </c>
      <c r="C42" s="2" t="s">
        <v>17</v>
      </c>
      <c r="D42" s="2" t="s">
        <v>657</v>
      </c>
      <c r="E42" s="2" t="n">
        <f aca="false">INDEX('Salary Records'!$F$2:$F$201,MATCH(A42,'Salary Records'!$A$2:$A$201,0))</f>
        <v>26</v>
      </c>
      <c r="F42" s="2" t="n">
        <f aca="false">INDEX('Salary Records'!$G$2:$G$201,MATCH(A42,'Salary Records'!$A$2:$A$201,0))</f>
        <v>14</v>
      </c>
      <c r="G42" s="2" t="n">
        <f aca="false">INDEX('Salary Records'!$H$2:$H$201,MATCH(A42,'Salary Records'!$A$2:$A$201,0))</f>
        <v>8</v>
      </c>
      <c r="H42" s="2" t="n">
        <f aca="false">INDEX('Salary Records'!$I$2:$I$201,MATCH(A42,'Salary Records'!$A$2:$A$201,0))</f>
        <v>2</v>
      </c>
      <c r="I42" s="2" t="n">
        <f aca="false">INDEX('Salary Records'!$J$2:$J$201,MATCH(A42,'Salary Records'!$A$2:$A$201,0))</f>
        <v>2</v>
      </c>
      <c r="J42" s="2" t="n">
        <f aca="false">ROUND(F42/E42*100,1)</f>
        <v>53.8</v>
      </c>
      <c r="K42" s="2" t="n">
        <v>2</v>
      </c>
      <c r="L42" s="2" t="n">
        <f aca="false">INDEX('Salary Records'!$K$2:$K$201,MATCH(A42,'Salary Records'!$A$2:$A$201,0))</f>
        <v>2</v>
      </c>
      <c r="M42" s="2" t="n">
        <f aca="false">INDEX('Salary Records'!$L$2:$L$201,MATCH(A42,'Salary Records'!$A$2:$A$201,0))</f>
        <v>6</v>
      </c>
      <c r="N42" s="2" t="n">
        <f aca="false">INDEX('Salary Records'!$E$2:$E$201,MATCH(A42,'Salary Records'!$A$2:$A$201,0))</f>
        <v>100500</v>
      </c>
      <c r="O42" s="2" t="n">
        <f aca="false">INDEX('Salary Records'!$O$2:$O$201,MATCH(A42,'Salary Records'!$A$2:$A$201,0))</f>
        <v>23192.28</v>
      </c>
      <c r="P42" s="2" t="n">
        <f aca="false">INDEX('PF Records'!$H$2:$H$201,MATCH(A42,'PF Records'!$A$2:$A$201,0))</f>
        <v>12060</v>
      </c>
      <c r="Q42" s="2" t="n">
        <f aca="false">INDEX('PF Records'!$I$2:$I$201,MATCH(A42,'PF Records'!$A$2:$A$201,0))</f>
        <v>12060</v>
      </c>
      <c r="R42" s="2" t="n">
        <f aca="false">P42+Q42</f>
        <v>24120</v>
      </c>
      <c r="S42" s="2" t="n">
        <f aca="false">INDEX('Salary Records'!$S$2:$S$201,MATCH(A42,'Salary Records'!$A$2:$A$201,0))</f>
        <v>57516.96</v>
      </c>
      <c r="T42" s="2" t="n">
        <f aca="false">INDEX('Employee Master'!$I$2:$I$201,MATCH(A42,'Employee Master'!$A$2:$A$201,0))</f>
        <v>5.6</v>
      </c>
      <c r="U42" s="2" t="n">
        <f aca="false">INDEX('Employee Master'!$H$2:$H$201,MATCH(A42,'Employee Master'!$A$2:$A$201,0))</f>
        <v>2.7</v>
      </c>
      <c r="V42" s="2" t="n">
        <f aca="false">INDEX('Employee Master'!$J$2:$J$201,MATCH(A42,'Employee Master'!$A$2:$A$201,0))</f>
        <v>8.3</v>
      </c>
    </row>
    <row r="43" customFormat="false" ht="15" hidden="false" customHeight="false" outlineLevel="0" collapsed="false">
      <c r="A43" s="2" t="s">
        <v>128</v>
      </c>
      <c r="B43" s="2" t="s">
        <v>129</v>
      </c>
      <c r="C43" s="2" t="s">
        <v>24</v>
      </c>
      <c r="D43" s="2" t="s">
        <v>657</v>
      </c>
      <c r="E43" s="2" t="n">
        <f aca="false">INDEX('Salary Records'!$F$2:$F$201,MATCH(A43,'Salary Records'!$A$2:$A$201,0))</f>
        <v>26</v>
      </c>
      <c r="F43" s="2" t="n">
        <f aca="false">INDEX('Salary Records'!$G$2:$G$201,MATCH(A43,'Salary Records'!$A$2:$A$201,0))</f>
        <v>23</v>
      </c>
      <c r="G43" s="2" t="n">
        <f aca="false">INDEX('Salary Records'!$H$2:$H$201,MATCH(A43,'Salary Records'!$A$2:$A$201,0))</f>
        <v>3</v>
      </c>
      <c r="H43" s="2" t="n">
        <f aca="false">INDEX('Salary Records'!$I$2:$I$201,MATCH(A43,'Salary Records'!$A$2:$A$201,0))</f>
        <v>0</v>
      </c>
      <c r="I43" s="2" t="n">
        <f aca="false">INDEX('Salary Records'!$J$2:$J$201,MATCH(A43,'Salary Records'!$A$2:$A$201,0))</f>
        <v>0</v>
      </c>
      <c r="J43" s="2" t="n">
        <f aca="false">ROUND(F43/E43*100,1)</f>
        <v>88.5</v>
      </c>
      <c r="K43" s="2" t="n">
        <v>2</v>
      </c>
      <c r="L43" s="2" t="n">
        <f aca="false">INDEX('Salary Records'!$K$2:$K$201,MATCH(A43,'Salary Records'!$A$2:$A$201,0))</f>
        <v>2</v>
      </c>
      <c r="M43" s="2" t="n">
        <f aca="false">INDEX('Salary Records'!$L$2:$L$201,MATCH(A43,'Salary Records'!$A$2:$A$201,0))</f>
        <v>1</v>
      </c>
      <c r="N43" s="2" t="n">
        <f aca="false">INDEX('Salary Records'!$E$2:$E$201,MATCH(A43,'Salary Records'!$A$2:$A$201,0))</f>
        <v>39000</v>
      </c>
      <c r="O43" s="2" t="n">
        <f aca="false">INDEX('Salary Records'!$O$2:$O$201,MATCH(A43,'Salary Records'!$A$2:$A$201,0))</f>
        <v>1500</v>
      </c>
      <c r="P43" s="2" t="n">
        <f aca="false">INDEX('PF Records'!$H$2:$H$201,MATCH(A43,'PF Records'!$A$2:$A$201,0))</f>
        <v>4680</v>
      </c>
      <c r="Q43" s="2" t="n">
        <f aca="false">INDEX('PF Records'!$I$2:$I$201,MATCH(A43,'PF Records'!$A$2:$A$201,0))</f>
        <v>4680</v>
      </c>
      <c r="R43" s="2" t="n">
        <f aca="false">P43+Q43</f>
        <v>9360</v>
      </c>
      <c r="S43" s="2" t="n">
        <f aca="false">INDEX('Salary Records'!$S$2:$S$201,MATCH(A43,'Salary Records'!$A$2:$A$201,0))</f>
        <v>32820</v>
      </c>
      <c r="T43" s="2" t="n">
        <f aca="false">INDEX('Employee Master'!$I$2:$I$201,MATCH(A43,'Employee Master'!$A$2:$A$201,0))</f>
        <v>7</v>
      </c>
      <c r="U43" s="2" t="n">
        <f aca="false">INDEX('Employee Master'!$H$2:$H$201,MATCH(A43,'Employee Master'!$A$2:$A$201,0))</f>
        <v>1.9</v>
      </c>
      <c r="V43" s="2" t="n">
        <f aca="false">INDEX('Employee Master'!$J$2:$J$201,MATCH(A43,'Employee Master'!$A$2:$A$201,0))</f>
        <v>8.9</v>
      </c>
    </row>
    <row r="44" customFormat="false" ht="15" hidden="false" customHeight="false" outlineLevel="0" collapsed="false">
      <c r="A44" s="2" t="s">
        <v>130</v>
      </c>
      <c r="B44" s="2" t="s">
        <v>131</v>
      </c>
      <c r="C44" s="2" t="s">
        <v>28</v>
      </c>
      <c r="D44" s="2" t="s">
        <v>657</v>
      </c>
      <c r="E44" s="2" t="n">
        <f aca="false">INDEX('Salary Records'!$F$2:$F$201,MATCH(A44,'Salary Records'!$A$2:$A$201,0))</f>
        <v>26</v>
      </c>
      <c r="F44" s="2" t="n">
        <f aca="false">INDEX('Salary Records'!$G$2:$G$201,MATCH(A44,'Salary Records'!$A$2:$A$201,0))</f>
        <v>24</v>
      </c>
      <c r="G44" s="2" t="n">
        <f aca="false">INDEX('Salary Records'!$H$2:$H$201,MATCH(A44,'Salary Records'!$A$2:$A$201,0))</f>
        <v>0</v>
      </c>
      <c r="H44" s="2" t="n">
        <f aca="false">INDEX('Salary Records'!$I$2:$I$201,MATCH(A44,'Salary Records'!$A$2:$A$201,0))</f>
        <v>0</v>
      </c>
      <c r="I44" s="2" t="n">
        <f aca="false">INDEX('Salary Records'!$J$2:$J$201,MATCH(A44,'Salary Records'!$A$2:$A$201,0))</f>
        <v>2</v>
      </c>
      <c r="J44" s="2" t="n">
        <f aca="false">ROUND(F44/E44*100,1)</f>
        <v>92.3</v>
      </c>
      <c r="K44" s="2" t="n">
        <v>2</v>
      </c>
      <c r="L44" s="2" t="n">
        <f aca="false">INDEX('Salary Records'!$K$2:$K$201,MATCH(A44,'Salary Records'!$A$2:$A$201,0))</f>
        <v>0</v>
      </c>
      <c r="M44" s="2" t="n">
        <f aca="false">INDEX('Salary Records'!$L$2:$L$201,MATCH(A44,'Salary Records'!$A$2:$A$201,0))</f>
        <v>0</v>
      </c>
      <c r="N44" s="2" t="n">
        <f aca="false">INDEX('Salary Records'!$E$2:$E$201,MATCH(A44,'Salary Records'!$A$2:$A$201,0))</f>
        <v>22000</v>
      </c>
      <c r="O44" s="2" t="n">
        <f aca="false">INDEX('Salary Records'!$O$2:$O$201,MATCH(A44,'Salary Records'!$A$2:$A$201,0))</f>
        <v>0</v>
      </c>
      <c r="P44" s="2" t="n">
        <f aca="false">INDEX('PF Records'!$H$2:$H$201,MATCH(A44,'PF Records'!$A$2:$A$201,0))</f>
        <v>2640</v>
      </c>
      <c r="Q44" s="2" t="n">
        <f aca="false">INDEX('PF Records'!$I$2:$I$201,MATCH(A44,'PF Records'!$A$2:$A$201,0))</f>
        <v>2640</v>
      </c>
      <c r="R44" s="2" t="n">
        <f aca="false">P44+Q44</f>
        <v>5280</v>
      </c>
      <c r="S44" s="2" t="n">
        <f aca="false">INDEX('Salary Records'!$S$2:$S$201,MATCH(A44,'Salary Records'!$A$2:$A$201,0))</f>
        <v>18513.85</v>
      </c>
      <c r="T44" s="2" t="n">
        <f aca="false">INDEX('Employee Master'!$I$2:$I$201,MATCH(A44,'Employee Master'!$A$2:$A$201,0))</f>
        <v>4</v>
      </c>
      <c r="U44" s="2" t="n">
        <f aca="false">INDEX('Employee Master'!$H$2:$H$201,MATCH(A44,'Employee Master'!$A$2:$A$201,0))</f>
        <v>0</v>
      </c>
      <c r="V44" s="2" t="n">
        <f aca="false">INDEX('Employee Master'!$J$2:$J$201,MATCH(A44,'Employee Master'!$A$2:$A$201,0))</f>
        <v>4</v>
      </c>
    </row>
    <row r="45" customFormat="false" ht="15" hidden="false" customHeight="false" outlineLevel="0" collapsed="false">
      <c r="A45" s="2" t="s">
        <v>132</v>
      </c>
      <c r="B45" s="2" t="s">
        <v>133</v>
      </c>
      <c r="C45" s="2" t="s">
        <v>32</v>
      </c>
      <c r="D45" s="2" t="s">
        <v>657</v>
      </c>
      <c r="E45" s="2" t="n">
        <f aca="false">INDEX('Salary Records'!$F$2:$F$201,MATCH(A45,'Salary Records'!$A$2:$A$201,0))</f>
        <v>26</v>
      </c>
      <c r="F45" s="2" t="n">
        <f aca="false">INDEX('Salary Records'!$G$2:$G$201,MATCH(A45,'Salary Records'!$A$2:$A$201,0))</f>
        <v>25</v>
      </c>
      <c r="G45" s="2" t="n">
        <f aca="false">INDEX('Salary Records'!$H$2:$H$201,MATCH(A45,'Salary Records'!$A$2:$A$201,0))</f>
        <v>0</v>
      </c>
      <c r="H45" s="2" t="n">
        <f aca="false">INDEX('Salary Records'!$I$2:$I$201,MATCH(A45,'Salary Records'!$A$2:$A$201,0))</f>
        <v>0</v>
      </c>
      <c r="I45" s="2" t="n">
        <f aca="false">INDEX('Salary Records'!$J$2:$J$201,MATCH(A45,'Salary Records'!$A$2:$A$201,0))</f>
        <v>1</v>
      </c>
      <c r="J45" s="2" t="n">
        <f aca="false">ROUND(F45/E45*100,1)</f>
        <v>96.2</v>
      </c>
      <c r="K45" s="2" t="n">
        <v>2</v>
      </c>
      <c r="L45" s="2" t="n">
        <f aca="false">INDEX('Salary Records'!$K$2:$K$201,MATCH(A45,'Salary Records'!$A$2:$A$201,0))</f>
        <v>0</v>
      </c>
      <c r="M45" s="2" t="n">
        <f aca="false">INDEX('Salary Records'!$L$2:$L$201,MATCH(A45,'Salary Records'!$A$2:$A$201,0))</f>
        <v>0</v>
      </c>
      <c r="N45" s="2" t="n">
        <f aca="false">INDEX('Salary Records'!$E$2:$E$201,MATCH(A45,'Salary Records'!$A$2:$A$201,0))</f>
        <v>49000</v>
      </c>
      <c r="O45" s="2" t="n">
        <f aca="false">INDEX('Salary Records'!$O$2:$O$201,MATCH(A45,'Salary Records'!$A$2:$A$201,0))</f>
        <v>0</v>
      </c>
      <c r="P45" s="2" t="n">
        <f aca="false">INDEX('PF Records'!$H$2:$H$201,MATCH(A45,'PF Records'!$A$2:$A$201,0))</f>
        <v>5880</v>
      </c>
      <c r="Q45" s="2" t="n">
        <f aca="false">INDEX('PF Records'!$I$2:$I$201,MATCH(A45,'PF Records'!$A$2:$A$201,0))</f>
        <v>5880</v>
      </c>
      <c r="R45" s="2" t="n">
        <f aca="false">P45+Q45</f>
        <v>11760</v>
      </c>
      <c r="S45" s="2" t="n">
        <f aca="false">INDEX('Salary Records'!$S$2:$S$201,MATCH(A45,'Salary Records'!$A$2:$A$201,0))</f>
        <v>42177.69</v>
      </c>
      <c r="T45" s="2" t="n">
        <f aca="false">INDEX('Employee Master'!$I$2:$I$201,MATCH(A45,'Employee Master'!$A$2:$A$201,0))</f>
        <v>6.3</v>
      </c>
      <c r="U45" s="2" t="n">
        <f aca="false">INDEX('Employee Master'!$H$2:$H$201,MATCH(A45,'Employee Master'!$A$2:$A$201,0))</f>
        <v>6.7</v>
      </c>
      <c r="V45" s="2" t="n">
        <f aca="false">INDEX('Employee Master'!$J$2:$J$201,MATCH(A45,'Employee Master'!$A$2:$A$201,0))</f>
        <v>13</v>
      </c>
    </row>
    <row r="46" customFormat="false" ht="15" hidden="false" customHeight="false" outlineLevel="0" collapsed="false">
      <c r="A46" s="2" t="s">
        <v>134</v>
      </c>
      <c r="B46" s="2" t="s">
        <v>135</v>
      </c>
      <c r="C46" s="2" t="s">
        <v>36</v>
      </c>
      <c r="D46" s="2" t="s">
        <v>657</v>
      </c>
      <c r="E46" s="2" t="n">
        <f aca="false">INDEX('Salary Records'!$F$2:$F$201,MATCH(A46,'Salary Records'!$A$2:$A$201,0))</f>
        <v>26</v>
      </c>
      <c r="F46" s="2" t="n">
        <f aca="false">INDEX('Salary Records'!$G$2:$G$201,MATCH(A46,'Salary Records'!$A$2:$A$201,0))</f>
        <v>22</v>
      </c>
      <c r="G46" s="2" t="n">
        <f aca="false">INDEX('Salary Records'!$H$2:$H$201,MATCH(A46,'Salary Records'!$A$2:$A$201,0))</f>
        <v>2</v>
      </c>
      <c r="H46" s="2" t="n">
        <f aca="false">INDEX('Salary Records'!$I$2:$I$201,MATCH(A46,'Salary Records'!$A$2:$A$201,0))</f>
        <v>2</v>
      </c>
      <c r="I46" s="2" t="n">
        <f aca="false">INDEX('Salary Records'!$J$2:$J$201,MATCH(A46,'Salary Records'!$A$2:$A$201,0))</f>
        <v>0</v>
      </c>
      <c r="J46" s="2" t="n">
        <f aca="false">ROUND(F46/E46*100,1)</f>
        <v>84.6</v>
      </c>
      <c r="K46" s="2" t="n">
        <v>2</v>
      </c>
      <c r="L46" s="2" t="n">
        <f aca="false">INDEX('Salary Records'!$K$2:$K$201,MATCH(A46,'Salary Records'!$A$2:$A$201,0))</f>
        <v>2</v>
      </c>
      <c r="M46" s="2" t="n">
        <f aca="false">INDEX('Salary Records'!$L$2:$L$201,MATCH(A46,'Salary Records'!$A$2:$A$201,0))</f>
        <v>0</v>
      </c>
      <c r="N46" s="2" t="n">
        <f aca="false">INDEX('Salary Records'!$E$2:$E$201,MATCH(A46,'Salary Records'!$A$2:$A$201,0))</f>
        <v>47000</v>
      </c>
      <c r="O46" s="2" t="n">
        <f aca="false">INDEX('Salary Records'!$O$2:$O$201,MATCH(A46,'Salary Records'!$A$2:$A$201,0))</f>
        <v>0</v>
      </c>
      <c r="P46" s="2" t="n">
        <f aca="false">INDEX('PF Records'!$H$2:$H$201,MATCH(A46,'PF Records'!$A$2:$A$201,0))</f>
        <v>5640</v>
      </c>
      <c r="Q46" s="2" t="n">
        <f aca="false">INDEX('PF Records'!$I$2:$I$201,MATCH(A46,'PF Records'!$A$2:$A$201,0))</f>
        <v>5640</v>
      </c>
      <c r="R46" s="2" t="n">
        <f aca="false">P46+Q46</f>
        <v>11280</v>
      </c>
      <c r="S46" s="2" t="n">
        <f aca="false">INDEX('Salary Records'!$S$2:$S$201,MATCH(A46,'Salary Records'!$A$2:$A$201,0))</f>
        <v>39552.31</v>
      </c>
      <c r="T46" s="2" t="n">
        <f aca="false">INDEX('Employee Master'!$I$2:$I$201,MATCH(A46,'Employee Master'!$A$2:$A$201,0))</f>
        <v>2.2</v>
      </c>
      <c r="U46" s="2" t="n">
        <f aca="false">INDEX('Employee Master'!$H$2:$H$201,MATCH(A46,'Employee Master'!$A$2:$A$201,0))</f>
        <v>3</v>
      </c>
      <c r="V46" s="2" t="n">
        <f aca="false">INDEX('Employee Master'!$J$2:$J$201,MATCH(A46,'Employee Master'!$A$2:$A$201,0))</f>
        <v>5.2</v>
      </c>
    </row>
    <row r="47" customFormat="false" ht="15" hidden="false" customHeight="false" outlineLevel="0" collapsed="false">
      <c r="A47" s="2" t="s">
        <v>136</v>
      </c>
      <c r="B47" s="2" t="s">
        <v>137</v>
      </c>
      <c r="C47" s="2" t="s">
        <v>41</v>
      </c>
      <c r="D47" s="2" t="s">
        <v>657</v>
      </c>
      <c r="E47" s="2" t="n">
        <f aca="false">INDEX('Salary Records'!$F$2:$F$201,MATCH(A47,'Salary Records'!$A$2:$A$201,0))</f>
        <v>26</v>
      </c>
      <c r="F47" s="2" t="n">
        <f aca="false">INDEX('Salary Records'!$G$2:$G$201,MATCH(A47,'Salary Records'!$A$2:$A$201,0))</f>
        <v>24</v>
      </c>
      <c r="G47" s="2" t="n">
        <f aca="false">INDEX('Salary Records'!$H$2:$H$201,MATCH(A47,'Salary Records'!$A$2:$A$201,0))</f>
        <v>0</v>
      </c>
      <c r="H47" s="2" t="n">
        <f aca="false">INDEX('Salary Records'!$I$2:$I$201,MATCH(A47,'Salary Records'!$A$2:$A$201,0))</f>
        <v>0</v>
      </c>
      <c r="I47" s="2" t="n">
        <f aca="false">INDEX('Salary Records'!$J$2:$J$201,MATCH(A47,'Salary Records'!$A$2:$A$201,0))</f>
        <v>2</v>
      </c>
      <c r="J47" s="2" t="n">
        <f aca="false">ROUND(F47/E47*100,1)</f>
        <v>92.3</v>
      </c>
      <c r="K47" s="2" t="n">
        <v>2</v>
      </c>
      <c r="L47" s="2" t="n">
        <f aca="false">INDEX('Salary Records'!$K$2:$K$201,MATCH(A47,'Salary Records'!$A$2:$A$201,0))</f>
        <v>0</v>
      </c>
      <c r="M47" s="2" t="n">
        <f aca="false">INDEX('Salary Records'!$L$2:$L$201,MATCH(A47,'Salary Records'!$A$2:$A$201,0))</f>
        <v>0</v>
      </c>
      <c r="N47" s="2" t="n">
        <f aca="false">INDEX('Salary Records'!$E$2:$E$201,MATCH(A47,'Salary Records'!$A$2:$A$201,0))</f>
        <v>69500</v>
      </c>
      <c r="O47" s="2" t="n">
        <f aca="false">INDEX('Salary Records'!$O$2:$O$201,MATCH(A47,'Salary Records'!$A$2:$A$201,0))</f>
        <v>0</v>
      </c>
      <c r="P47" s="2" t="n">
        <f aca="false">INDEX('PF Records'!$H$2:$H$201,MATCH(A47,'PF Records'!$A$2:$A$201,0))</f>
        <v>8340</v>
      </c>
      <c r="Q47" s="2" t="n">
        <f aca="false">INDEX('PF Records'!$I$2:$I$201,MATCH(A47,'PF Records'!$A$2:$A$201,0))</f>
        <v>8340</v>
      </c>
      <c r="R47" s="2" t="n">
        <f aca="false">P47+Q47</f>
        <v>16680</v>
      </c>
      <c r="S47" s="2" t="n">
        <f aca="false">INDEX('Salary Records'!$S$2:$S$201,MATCH(A47,'Salary Records'!$A$2:$A$201,0))</f>
        <v>58486.92</v>
      </c>
      <c r="T47" s="2" t="n">
        <f aca="false">INDEX('Employee Master'!$I$2:$I$201,MATCH(A47,'Employee Master'!$A$2:$A$201,0))</f>
        <v>0.2</v>
      </c>
      <c r="U47" s="2" t="n">
        <f aca="false">INDEX('Employee Master'!$H$2:$H$201,MATCH(A47,'Employee Master'!$A$2:$A$201,0))</f>
        <v>3.1</v>
      </c>
      <c r="V47" s="2" t="n">
        <f aca="false">INDEX('Employee Master'!$J$2:$J$201,MATCH(A47,'Employee Master'!$A$2:$A$201,0))</f>
        <v>3.3</v>
      </c>
    </row>
    <row r="48" customFormat="false" ht="15" hidden="false" customHeight="false" outlineLevel="0" collapsed="false">
      <c r="A48" s="2" t="s">
        <v>138</v>
      </c>
      <c r="B48" s="2" t="s">
        <v>139</v>
      </c>
      <c r="C48" s="2" t="s">
        <v>45</v>
      </c>
      <c r="D48" s="2" t="s">
        <v>657</v>
      </c>
      <c r="E48" s="2" t="n">
        <f aca="false">INDEX('Salary Records'!$F$2:$F$201,MATCH(A48,'Salary Records'!$A$2:$A$201,0))</f>
        <v>26</v>
      </c>
      <c r="F48" s="2" t="n">
        <f aca="false">INDEX('Salary Records'!$G$2:$G$201,MATCH(A48,'Salary Records'!$A$2:$A$201,0))</f>
        <v>20</v>
      </c>
      <c r="G48" s="2" t="n">
        <f aca="false">INDEX('Salary Records'!$H$2:$H$201,MATCH(A48,'Salary Records'!$A$2:$A$201,0))</f>
        <v>4</v>
      </c>
      <c r="H48" s="2" t="n">
        <f aca="false">INDEX('Salary Records'!$I$2:$I$201,MATCH(A48,'Salary Records'!$A$2:$A$201,0))</f>
        <v>0</v>
      </c>
      <c r="I48" s="2" t="n">
        <f aca="false">INDEX('Salary Records'!$J$2:$J$201,MATCH(A48,'Salary Records'!$A$2:$A$201,0))</f>
        <v>2</v>
      </c>
      <c r="J48" s="2" t="n">
        <f aca="false">ROUND(F48/E48*100,1)</f>
        <v>76.9</v>
      </c>
      <c r="K48" s="2" t="n">
        <v>2</v>
      </c>
      <c r="L48" s="2" t="n">
        <f aca="false">INDEX('Salary Records'!$K$2:$K$201,MATCH(A48,'Salary Records'!$A$2:$A$201,0))</f>
        <v>2</v>
      </c>
      <c r="M48" s="2" t="n">
        <f aca="false">INDEX('Salary Records'!$L$2:$L$201,MATCH(A48,'Salary Records'!$A$2:$A$201,0))</f>
        <v>2</v>
      </c>
      <c r="N48" s="2" t="n">
        <f aca="false">INDEX('Salary Records'!$E$2:$E$201,MATCH(A48,'Salary Records'!$A$2:$A$201,0))</f>
        <v>90500</v>
      </c>
      <c r="O48" s="2" t="n">
        <f aca="false">INDEX('Salary Records'!$O$2:$O$201,MATCH(A48,'Salary Records'!$A$2:$A$201,0))</f>
        <v>6961.54</v>
      </c>
      <c r="P48" s="2" t="n">
        <f aca="false">INDEX('PF Records'!$H$2:$H$201,MATCH(A48,'PF Records'!$A$2:$A$201,0))</f>
        <v>10860</v>
      </c>
      <c r="Q48" s="2" t="n">
        <f aca="false">INDEX('PF Records'!$I$2:$I$201,MATCH(A48,'PF Records'!$A$2:$A$201,0))</f>
        <v>10860</v>
      </c>
      <c r="R48" s="2" t="n">
        <f aca="false">P48+Q48</f>
        <v>21720</v>
      </c>
      <c r="S48" s="2" t="n">
        <f aca="false">INDEX('Salary Records'!$S$2:$S$201,MATCH(A48,'Salary Records'!$A$2:$A$201,0))</f>
        <v>69197.69</v>
      </c>
      <c r="T48" s="2" t="n">
        <f aca="false">INDEX('Employee Master'!$I$2:$I$201,MATCH(A48,'Employee Master'!$A$2:$A$201,0))</f>
        <v>0.3</v>
      </c>
      <c r="U48" s="2" t="n">
        <f aca="false">INDEX('Employee Master'!$H$2:$H$201,MATCH(A48,'Employee Master'!$A$2:$A$201,0))</f>
        <v>5.9</v>
      </c>
      <c r="V48" s="2" t="n">
        <f aca="false">INDEX('Employee Master'!$J$2:$J$201,MATCH(A48,'Employee Master'!$A$2:$A$201,0))</f>
        <v>6.2</v>
      </c>
    </row>
    <row r="49" customFormat="false" ht="15" hidden="false" customHeight="false" outlineLevel="0" collapsed="false">
      <c r="A49" s="2" t="s">
        <v>140</v>
      </c>
      <c r="B49" s="2" t="s">
        <v>141</v>
      </c>
      <c r="C49" s="2" t="s">
        <v>49</v>
      </c>
      <c r="D49" s="2" t="s">
        <v>657</v>
      </c>
      <c r="E49" s="2" t="n">
        <f aca="false">INDEX('Salary Records'!$F$2:$F$201,MATCH(A49,'Salary Records'!$A$2:$A$201,0))</f>
        <v>26</v>
      </c>
      <c r="F49" s="2" t="n">
        <f aca="false">INDEX('Salary Records'!$G$2:$G$201,MATCH(A49,'Salary Records'!$A$2:$A$201,0))</f>
        <v>20</v>
      </c>
      <c r="G49" s="2" t="n">
        <f aca="false">INDEX('Salary Records'!$H$2:$H$201,MATCH(A49,'Salary Records'!$A$2:$A$201,0))</f>
        <v>4</v>
      </c>
      <c r="H49" s="2" t="n">
        <f aca="false">INDEX('Salary Records'!$I$2:$I$201,MATCH(A49,'Salary Records'!$A$2:$A$201,0))</f>
        <v>0</v>
      </c>
      <c r="I49" s="2" t="n">
        <f aca="false">INDEX('Salary Records'!$J$2:$J$201,MATCH(A49,'Salary Records'!$A$2:$A$201,0))</f>
        <v>2</v>
      </c>
      <c r="J49" s="2" t="n">
        <f aca="false">ROUND(F49/E49*100,1)</f>
        <v>76.9</v>
      </c>
      <c r="K49" s="2" t="n">
        <v>2</v>
      </c>
      <c r="L49" s="2" t="n">
        <f aca="false">INDEX('Salary Records'!$K$2:$K$201,MATCH(A49,'Salary Records'!$A$2:$A$201,0))</f>
        <v>2</v>
      </c>
      <c r="M49" s="2" t="n">
        <f aca="false">INDEX('Salary Records'!$L$2:$L$201,MATCH(A49,'Salary Records'!$A$2:$A$201,0))</f>
        <v>2</v>
      </c>
      <c r="N49" s="2" t="n">
        <f aca="false">INDEX('Salary Records'!$E$2:$E$201,MATCH(A49,'Salary Records'!$A$2:$A$201,0))</f>
        <v>35000</v>
      </c>
      <c r="O49" s="2" t="n">
        <f aca="false">INDEX('Salary Records'!$O$2:$O$201,MATCH(A49,'Salary Records'!$A$2:$A$201,0))</f>
        <v>2692.3</v>
      </c>
      <c r="P49" s="2" t="n">
        <f aca="false">INDEX('PF Records'!$H$2:$H$201,MATCH(A49,'PF Records'!$A$2:$A$201,0))</f>
        <v>4200</v>
      </c>
      <c r="Q49" s="2" t="n">
        <f aca="false">INDEX('PF Records'!$I$2:$I$201,MATCH(A49,'PF Records'!$A$2:$A$201,0))</f>
        <v>4200</v>
      </c>
      <c r="R49" s="2" t="n">
        <f aca="false">P49+Q49</f>
        <v>8400</v>
      </c>
      <c r="S49" s="2" t="n">
        <f aca="false">INDEX('Salary Records'!$S$2:$S$201,MATCH(A49,'Salary Records'!$A$2:$A$201,0))</f>
        <v>26761.55</v>
      </c>
      <c r="T49" s="2" t="n">
        <f aca="false">INDEX('Employee Master'!$I$2:$I$201,MATCH(A49,'Employee Master'!$A$2:$A$201,0))</f>
        <v>6.2</v>
      </c>
      <c r="U49" s="2" t="n">
        <f aca="false">INDEX('Employee Master'!$H$2:$H$201,MATCH(A49,'Employee Master'!$A$2:$A$201,0))</f>
        <v>2.2</v>
      </c>
      <c r="V49" s="2" t="n">
        <f aca="false">INDEX('Employee Master'!$J$2:$J$201,MATCH(A49,'Employee Master'!$A$2:$A$201,0))</f>
        <v>8.4</v>
      </c>
    </row>
    <row r="50" customFormat="false" ht="15" hidden="false" customHeight="false" outlineLevel="0" collapsed="false">
      <c r="A50" s="2" t="s">
        <v>142</v>
      </c>
      <c r="B50" s="2" t="s">
        <v>143</v>
      </c>
      <c r="C50" s="2" t="s">
        <v>53</v>
      </c>
      <c r="D50" s="2" t="s">
        <v>657</v>
      </c>
      <c r="E50" s="2" t="n">
        <f aca="false">INDEX('Salary Records'!$F$2:$F$201,MATCH(A50,'Salary Records'!$A$2:$A$201,0))</f>
        <v>26</v>
      </c>
      <c r="F50" s="2" t="n">
        <f aca="false">INDEX('Salary Records'!$G$2:$G$201,MATCH(A50,'Salary Records'!$A$2:$A$201,0))</f>
        <v>22</v>
      </c>
      <c r="G50" s="2" t="n">
        <f aca="false">INDEX('Salary Records'!$H$2:$H$201,MATCH(A50,'Salary Records'!$A$2:$A$201,0))</f>
        <v>4</v>
      </c>
      <c r="H50" s="2" t="n">
        <f aca="false">INDEX('Salary Records'!$I$2:$I$201,MATCH(A50,'Salary Records'!$A$2:$A$201,0))</f>
        <v>0</v>
      </c>
      <c r="I50" s="2" t="n">
        <f aca="false">INDEX('Salary Records'!$J$2:$J$201,MATCH(A50,'Salary Records'!$A$2:$A$201,0))</f>
        <v>0</v>
      </c>
      <c r="J50" s="2" t="n">
        <f aca="false">ROUND(F50/E50*100,1)</f>
        <v>84.6</v>
      </c>
      <c r="K50" s="2" t="n">
        <v>2</v>
      </c>
      <c r="L50" s="2" t="n">
        <f aca="false">INDEX('Salary Records'!$K$2:$K$201,MATCH(A50,'Salary Records'!$A$2:$A$201,0))</f>
        <v>2</v>
      </c>
      <c r="M50" s="2" t="n">
        <f aca="false">INDEX('Salary Records'!$L$2:$L$201,MATCH(A50,'Salary Records'!$A$2:$A$201,0))</f>
        <v>2</v>
      </c>
      <c r="N50" s="2" t="n">
        <f aca="false">INDEX('Salary Records'!$E$2:$E$201,MATCH(A50,'Salary Records'!$A$2:$A$201,0))</f>
        <v>31000</v>
      </c>
      <c r="O50" s="2" t="n">
        <f aca="false">INDEX('Salary Records'!$O$2:$O$201,MATCH(A50,'Salary Records'!$A$2:$A$201,0))</f>
        <v>2384.62</v>
      </c>
      <c r="P50" s="2" t="n">
        <f aca="false">INDEX('PF Records'!$H$2:$H$201,MATCH(A50,'PF Records'!$A$2:$A$201,0))</f>
        <v>3720</v>
      </c>
      <c r="Q50" s="2" t="n">
        <f aca="false">INDEX('PF Records'!$I$2:$I$201,MATCH(A50,'PF Records'!$A$2:$A$201,0))</f>
        <v>3720</v>
      </c>
      <c r="R50" s="2" t="n">
        <f aca="false">P50+Q50</f>
        <v>7440</v>
      </c>
      <c r="S50" s="2" t="n">
        <f aca="false">INDEX('Salary Records'!$S$2:$S$201,MATCH(A50,'Salary Records'!$A$2:$A$201,0))</f>
        <v>24895.38</v>
      </c>
      <c r="T50" s="2" t="n">
        <f aca="false">INDEX('Employee Master'!$I$2:$I$201,MATCH(A50,'Employee Master'!$A$2:$A$201,0))</f>
        <v>1.2</v>
      </c>
      <c r="U50" s="2" t="n">
        <f aca="false">INDEX('Employee Master'!$H$2:$H$201,MATCH(A50,'Employee Master'!$A$2:$A$201,0))</f>
        <v>5.4</v>
      </c>
      <c r="V50" s="2" t="n">
        <f aca="false">INDEX('Employee Master'!$J$2:$J$201,MATCH(A50,'Employee Master'!$A$2:$A$201,0))</f>
        <v>6.6</v>
      </c>
    </row>
    <row r="51" customFormat="false" ht="15" hidden="false" customHeight="false" outlineLevel="0" collapsed="false">
      <c r="A51" s="2" t="s">
        <v>144</v>
      </c>
      <c r="B51" s="2" t="s">
        <v>145</v>
      </c>
      <c r="C51" s="2" t="s">
        <v>57</v>
      </c>
      <c r="D51" s="2" t="s">
        <v>657</v>
      </c>
      <c r="E51" s="2" t="n">
        <f aca="false">INDEX('Salary Records'!$F$2:$F$201,MATCH(A51,'Salary Records'!$A$2:$A$201,0))</f>
        <v>26</v>
      </c>
      <c r="F51" s="2" t="n">
        <f aca="false">INDEX('Salary Records'!$G$2:$G$201,MATCH(A51,'Salary Records'!$A$2:$A$201,0))</f>
        <v>22</v>
      </c>
      <c r="G51" s="2" t="n">
        <f aca="false">INDEX('Salary Records'!$H$2:$H$201,MATCH(A51,'Salary Records'!$A$2:$A$201,0))</f>
        <v>2</v>
      </c>
      <c r="H51" s="2" t="n">
        <f aca="false">INDEX('Salary Records'!$I$2:$I$201,MATCH(A51,'Salary Records'!$A$2:$A$201,0))</f>
        <v>2</v>
      </c>
      <c r="I51" s="2" t="n">
        <f aca="false">INDEX('Salary Records'!$J$2:$J$201,MATCH(A51,'Salary Records'!$A$2:$A$201,0))</f>
        <v>0</v>
      </c>
      <c r="J51" s="2" t="n">
        <f aca="false">ROUND(F51/E51*100,1)</f>
        <v>84.6</v>
      </c>
      <c r="K51" s="2" t="n">
        <v>2</v>
      </c>
      <c r="L51" s="2" t="n">
        <f aca="false">INDEX('Salary Records'!$K$2:$K$201,MATCH(A51,'Salary Records'!$A$2:$A$201,0))</f>
        <v>2</v>
      </c>
      <c r="M51" s="2" t="n">
        <f aca="false">INDEX('Salary Records'!$L$2:$L$201,MATCH(A51,'Salary Records'!$A$2:$A$201,0))</f>
        <v>0</v>
      </c>
      <c r="N51" s="2" t="n">
        <f aca="false">INDEX('Salary Records'!$E$2:$E$201,MATCH(A51,'Salary Records'!$A$2:$A$201,0))</f>
        <v>32000</v>
      </c>
      <c r="O51" s="2" t="n">
        <f aca="false">INDEX('Salary Records'!$O$2:$O$201,MATCH(A51,'Salary Records'!$A$2:$A$201,0))</f>
        <v>0</v>
      </c>
      <c r="P51" s="2" t="n">
        <f aca="false">INDEX('PF Records'!$H$2:$H$201,MATCH(A51,'PF Records'!$A$2:$A$201,0))</f>
        <v>3840</v>
      </c>
      <c r="Q51" s="2" t="n">
        <f aca="false">INDEX('PF Records'!$I$2:$I$201,MATCH(A51,'PF Records'!$A$2:$A$201,0))</f>
        <v>3840</v>
      </c>
      <c r="R51" s="2" t="n">
        <f aca="false">P51+Q51</f>
        <v>7680</v>
      </c>
      <c r="S51" s="2" t="n">
        <f aca="false">INDEX('Salary Records'!$S$2:$S$201,MATCH(A51,'Salary Records'!$A$2:$A$201,0))</f>
        <v>26929.23</v>
      </c>
      <c r="T51" s="2" t="n">
        <f aca="false">INDEX('Employee Master'!$I$2:$I$201,MATCH(A51,'Employee Master'!$A$2:$A$201,0))</f>
        <v>3.4</v>
      </c>
      <c r="U51" s="2" t="n">
        <f aca="false">INDEX('Employee Master'!$H$2:$H$201,MATCH(A51,'Employee Master'!$A$2:$A$201,0))</f>
        <v>0</v>
      </c>
      <c r="V51" s="2" t="n">
        <f aca="false">INDEX('Employee Master'!$J$2:$J$201,MATCH(A51,'Employee Master'!$A$2:$A$201,0))</f>
        <v>3.4</v>
      </c>
    </row>
    <row r="52" customFormat="false" ht="15" hidden="false" customHeight="false" outlineLevel="0" collapsed="false">
      <c r="A52" s="2" t="s">
        <v>146</v>
      </c>
      <c r="B52" s="2" t="s">
        <v>147</v>
      </c>
      <c r="C52" s="2" t="s">
        <v>17</v>
      </c>
      <c r="D52" s="2" t="s">
        <v>657</v>
      </c>
      <c r="E52" s="2" t="n">
        <f aca="false">INDEX('Salary Records'!$F$2:$F$201,MATCH(A52,'Salary Records'!$A$2:$A$201,0))</f>
        <v>26</v>
      </c>
      <c r="F52" s="2" t="n">
        <f aca="false">INDEX('Salary Records'!$G$2:$G$201,MATCH(A52,'Salary Records'!$A$2:$A$201,0))</f>
        <v>21</v>
      </c>
      <c r="G52" s="2" t="n">
        <f aca="false">INDEX('Salary Records'!$H$2:$H$201,MATCH(A52,'Salary Records'!$A$2:$A$201,0))</f>
        <v>4</v>
      </c>
      <c r="H52" s="2" t="n">
        <f aca="false">INDEX('Salary Records'!$I$2:$I$201,MATCH(A52,'Salary Records'!$A$2:$A$201,0))</f>
        <v>1</v>
      </c>
      <c r="I52" s="2" t="n">
        <f aca="false">INDEX('Salary Records'!$J$2:$J$201,MATCH(A52,'Salary Records'!$A$2:$A$201,0))</f>
        <v>0</v>
      </c>
      <c r="J52" s="2" t="n">
        <f aca="false">ROUND(F52/E52*100,1)</f>
        <v>80.8</v>
      </c>
      <c r="K52" s="2" t="n">
        <v>2</v>
      </c>
      <c r="L52" s="2" t="n">
        <f aca="false">INDEX('Salary Records'!$K$2:$K$201,MATCH(A52,'Salary Records'!$A$2:$A$201,0))</f>
        <v>2</v>
      </c>
      <c r="M52" s="2" t="n">
        <f aca="false">INDEX('Salary Records'!$L$2:$L$201,MATCH(A52,'Salary Records'!$A$2:$A$201,0))</f>
        <v>2</v>
      </c>
      <c r="N52" s="2" t="n">
        <f aca="false">INDEX('Salary Records'!$E$2:$E$201,MATCH(A52,'Salary Records'!$A$2:$A$201,0))</f>
        <v>61000</v>
      </c>
      <c r="O52" s="2" t="n">
        <f aca="false">INDEX('Salary Records'!$O$2:$O$201,MATCH(A52,'Salary Records'!$A$2:$A$201,0))</f>
        <v>4692.3</v>
      </c>
      <c r="P52" s="2" t="n">
        <f aca="false">INDEX('PF Records'!$H$2:$H$201,MATCH(A52,'PF Records'!$A$2:$A$201,0))</f>
        <v>7320</v>
      </c>
      <c r="Q52" s="2" t="n">
        <f aca="false">INDEX('PF Records'!$I$2:$I$201,MATCH(A52,'PF Records'!$A$2:$A$201,0))</f>
        <v>7320</v>
      </c>
      <c r="R52" s="2" t="n">
        <f aca="false">P52+Q52</f>
        <v>14640</v>
      </c>
      <c r="S52" s="2" t="n">
        <f aca="false">INDEX('Salary Records'!$S$2:$S$201,MATCH(A52,'Salary Records'!$A$2:$A$201,0))</f>
        <v>46641.55</v>
      </c>
      <c r="T52" s="2" t="n">
        <f aca="false">INDEX('Employee Master'!$I$2:$I$201,MATCH(A52,'Employee Master'!$A$2:$A$201,0))</f>
        <v>2</v>
      </c>
      <c r="U52" s="2" t="n">
        <f aca="false">INDEX('Employee Master'!$H$2:$H$201,MATCH(A52,'Employee Master'!$A$2:$A$201,0))</f>
        <v>4.5</v>
      </c>
      <c r="V52" s="2" t="n">
        <f aca="false">INDEX('Employee Master'!$J$2:$J$201,MATCH(A52,'Employee Master'!$A$2:$A$201,0))</f>
        <v>6.5</v>
      </c>
    </row>
    <row r="53" customFormat="false" ht="15" hidden="false" customHeight="false" outlineLevel="0" collapsed="false">
      <c r="A53" s="2" t="s">
        <v>149</v>
      </c>
      <c r="B53" s="2" t="s">
        <v>150</v>
      </c>
      <c r="C53" s="2" t="s">
        <v>24</v>
      </c>
      <c r="D53" s="2" t="s">
        <v>657</v>
      </c>
      <c r="E53" s="2" t="n">
        <f aca="false">INDEX('Salary Records'!$F$2:$F$201,MATCH(A53,'Salary Records'!$A$2:$A$201,0))</f>
        <v>26</v>
      </c>
      <c r="F53" s="2" t="n">
        <f aca="false">INDEX('Salary Records'!$G$2:$G$201,MATCH(A53,'Salary Records'!$A$2:$A$201,0))</f>
        <v>25</v>
      </c>
      <c r="G53" s="2" t="n">
        <f aca="false">INDEX('Salary Records'!$H$2:$H$201,MATCH(A53,'Salary Records'!$A$2:$A$201,0))</f>
        <v>0</v>
      </c>
      <c r="H53" s="2" t="n">
        <f aca="false">INDEX('Salary Records'!$I$2:$I$201,MATCH(A53,'Salary Records'!$A$2:$A$201,0))</f>
        <v>0</v>
      </c>
      <c r="I53" s="2" t="n">
        <f aca="false">INDEX('Salary Records'!$J$2:$J$201,MATCH(A53,'Salary Records'!$A$2:$A$201,0))</f>
        <v>1</v>
      </c>
      <c r="J53" s="2" t="n">
        <f aca="false">ROUND(F53/E53*100,1)</f>
        <v>96.2</v>
      </c>
      <c r="K53" s="2" t="n">
        <v>2</v>
      </c>
      <c r="L53" s="2" t="n">
        <f aca="false">INDEX('Salary Records'!$K$2:$K$201,MATCH(A53,'Salary Records'!$A$2:$A$201,0))</f>
        <v>0</v>
      </c>
      <c r="M53" s="2" t="n">
        <f aca="false">INDEX('Salary Records'!$L$2:$L$201,MATCH(A53,'Salary Records'!$A$2:$A$201,0))</f>
        <v>0</v>
      </c>
      <c r="N53" s="2" t="n">
        <f aca="false">INDEX('Salary Records'!$E$2:$E$201,MATCH(A53,'Salary Records'!$A$2:$A$201,0))</f>
        <v>41000</v>
      </c>
      <c r="O53" s="2" t="n">
        <f aca="false">INDEX('Salary Records'!$O$2:$O$201,MATCH(A53,'Salary Records'!$A$2:$A$201,0))</f>
        <v>0</v>
      </c>
      <c r="P53" s="2" t="n">
        <f aca="false">INDEX('PF Records'!$H$2:$H$201,MATCH(A53,'PF Records'!$A$2:$A$201,0))</f>
        <v>4920</v>
      </c>
      <c r="Q53" s="2" t="n">
        <f aca="false">INDEX('PF Records'!$I$2:$I$201,MATCH(A53,'PF Records'!$A$2:$A$201,0))</f>
        <v>4920</v>
      </c>
      <c r="R53" s="2" t="n">
        <f aca="false">P53+Q53</f>
        <v>9840</v>
      </c>
      <c r="S53" s="2" t="n">
        <f aca="false">INDEX('Salary Records'!$S$2:$S$201,MATCH(A53,'Salary Records'!$A$2:$A$201,0))</f>
        <v>35291.54</v>
      </c>
      <c r="T53" s="2" t="n">
        <f aca="false">INDEX('Employee Master'!$I$2:$I$201,MATCH(A53,'Employee Master'!$A$2:$A$201,0))</f>
        <v>3.5</v>
      </c>
      <c r="U53" s="2" t="n">
        <f aca="false">INDEX('Employee Master'!$H$2:$H$201,MATCH(A53,'Employee Master'!$A$2:$A$201,0))</f>
        <v>1.5</v>
      </c>
      <c r="V53" s="2" t="n">
        <f aca="false">INDEX('Employee Master'!$J$2:$J$201,MATCH(A53,'Employee Master'!$A$2:$A$201,0))</f>
        <v>5</v>
      </c>
    </row>
    <row r="54" customFormat="false" ht="15" hidden="false" customHeight="false" outlineLevel="0" collapsed="false">
      <c r="A54" s="2" t="s">
        <v>152</v>
      </c>
      <c r="B54" s="2" t="s">
        <v>153</v>
      </c>
      <c r="C54" s="2" t="s">
        <v>28</v>
      </c>
      <c r="D54" s="2" t="s">
        <v>657</v>
      </c>
      <c r="E54" s="2" t="n">
        <f aca="false">INDEX('Salary Records'!$F$2:$F$201,MATCH(A54,'Salary Records'!$A$2:$A$201,0))</f>
        <v>26</v>
      </c>
      <c r="F54" s="2" t="n">
        <f aca="false">INDEX('Salary Records'!$G$2:$G$201,MATCH(A54,'Salary Records'!$A$2:$A$201,0))</f>
        <v>15</v>
      </c>
      <c r="G54" s="2" t="n">
        <f aca="false">INDEX('Salary Records'!$H$2:$H$201,MATCH(A54,'Salary Records'!$A$2:$A$201,0))</f>
        <v>9</v>
      </c>
      <c r="H54" s="2" t="n">
        <f aca="false">INDEX('Salary Records'!$I$2:$I$201,MATCH(A54,'Salary Records'!$A$2:$A$201,0))</f>
        <v>2</v>
      </c>
      <c r="I54" s="2" t="n">
        <f aca="false">INDEX('Salary Records'!$J$2:$J$201,MATCH(A54,'Salary Records'!$A$2:$A$201,0))</f>
        <v>0</v>
      </c>
      <c r="J54" s="2" t="n">
        <f aca="false">ROUND(F54/E54*100,1)</f>
        <v>57.7</v>
      </c>
      <c r="K54" s="2" t="n">
        <v>2</v>
      </c>
      <c r="L54" s="2" t="n">
        <f aca="false">INDEX('Salary Records'!$K$2:$K$201,MATCH(A54,'Salary Records'!$A$2:$A$201,0))</f>
        <v>2</v>
      </c>
      <c r="M54" s="2" t="n">
        <f aca="false">INDEX('Salary Records'!$L$2:$L$201,MATCH(A54,'Salary Records'!$A$2:$A$201,0))</f>
        <v>7</v>
      </c>
      <c r="N54" s="2" t="n">
        <f aca="false">INDEX('Salary Records'!$E$2:$E$201,MATCH(A54,'Salary Records'!$A$2:$A$201,0))</f>
        <v>69000</v>
      </c>
      <c r="O54" s="2" t="n">
        <f aca="false">INDEX('Salary Records'!$O$2:$O$201,MATCH(A54,'Salary Records'!$A$2:$A$201,0))</f>
        <v>18576.95</v>
      </c>
      <c r="P54" s="2" t="n">
        <f aca="false">INDEX('PF Records'!$H$2:$H$201,MATCH(A54,'PF Records'!$A$2:$A$201,0))</f>
        <v>8280</v>
      </c>
      <c r="Q54" s="2" t="n">
        <f aca="false">INDEX('PF Records'!$I$2:$I$201,MATCH(A54,'PF Records'!$A$2:$A$201,0))</f>
        <v>8280</v>
      </c>
      <c r="R54" s="2" t="n">
        <f aca="false">P54+Q54</f>
        <v>16560</v>
      </c>
      <c r="S54" s="2" t="n">
        <f aca="false">INDEX('Salary Records'!$S$2:$S$201,MATCH(A54,'Salary Records'!$A$2:$A$201,0))</f>
        <v>42143.05</v>
      </c>
      <c r="T54" s="2" t="n">
        <f aca="false">INDEX('Employee Master'!$I$2:$I$201,MATCH(A54,'Employee Master'!$A$2:$A$201,0))</f>
        <v>3.6</v>
      </c>
      <c r="U54" s="2" t="n">
        <f aca="false">INDEX('Employee Master'!$H$2:$H$201,MATCH(A54,'Employee Master'!$A$2:$A$201,0))</f>
        <v>2.6</v>
      </c>
      <c r="V54" s="2" t="n">
        <f aca="false">INDEX('Employee Master'!$J$2:$J$201,MATCH(A54,'Employee Master'!$A$2:$A$201,0))</f>
        <v>6.2</v>
      </c>
    </row>
    <row r="55" customFormat="false" ht="15" hidden="false" customHeight="false" outlineLevel="0" collapsed="false">
      <c r="A55" s="2" t="s">
        <v>154</v>
      </c>
      <c r="B55" s="2" t="s">
        <v>155</v>
      </c>
      <c r="C55" s="2" t="s">
        <v>32</v>
      </c>
      <c r="D55" s="2" t="s">
        <v>657</v>
      </c>
      <c r="E55" s="2" t="n">
        <f aca="false">INDEX('Salary Records'!$F$2:$F$201,MATCH(A55,'Salary Records'!$A$2:$A$201,0))</f>
        <v>26</v>
      </c>
      <c r="F55" s="2" t="n">
        <f aca="false">INDEX('Salary Records'!$G$2:$G$201,MATCH(A55,'Salary Records'!$A$2:$A$201,0))</f>
        <v>24</v>
      </c>
      <c r="G55" s="2" t="n">
        <f aca="false">INDEX('Salary Records'!$H$2:$H$201,MATCH(A55,'Salary Records'!$A$2:$A$201,0))</f>
        <v>1</v>
      </c>
      <c r="H55" s="2" t="n">
        <f aca="false">INDEX('Salary Records'!$I$2:$I$201,MATCH(A55,'Salary Records'!$A$2:$A$201,0))</f>
        <v>1</v>
      </c>
      <c r="I55" s="2" t="n">
        <f aca="false">INDEX('Salary Records'!$J$2:$J$201,MATCH(A55,'Salary Records'!$A$2:$A$201,0))</f>
        <v>0</v>
      </c>
      <c r="J55" s="2" t="n">
        <f aca="false">ROUND(F55/E55*100,1)</f>
        <v>92.3</v>
      </c>
      <c r="K55" s="2" t="n">
        <v>2</v>
      </c>
      <c r="L55" s="2" t="n">
        <f aca="false">INDEX('Salary Records'!$K$2:$K$201,MATCH(A55,'Salary Records'!$A$2:$A$201,0))</f>
        <v>1</v>
      </c>
      <c r="M55" s="2" t="n">
        <f aca="false">INDEX('Salary Records'!$L$2:$L$201,MATCH(A55,'Salary Records'!$A$2:$A$201,0))</f>
        <v>0</v>
      </c>
      <c r="N55" s="2" t="n">
        <f aca="false">INDEX('Salary Records'!$E$2:$E$201,MATCH(A55,'Salary Records'!$A$2:$A$201,0))</f>
        <v>63000</v>
      </c>
      <c r="O55" s="2" t="n">
        <f aca="false">INDEX('Salary Records'!$O$2:$O$201,MATCH(A55,'Salary Records'!$A$2:$A$201,0))</f>
        <v>0</v>
      </c>
      <c r="P55" s="2" t="n">
        <f aca="false">INDEX('PF Records'!$H$2:$H$201,MATCH(A55,'PF Records'!$A$2:$A$201,0))</f>
        <v>7560</v>
      </c>
      <c r="Q55" s="2" t="n">
        <f aca="false">INDEX('PF Records'!$I$2:$I$201,MATCH(A55,'PF Records'!$A$2:$A$201,0))</f>
        <v>7560</v>
      </c>
      <c r="R55" s="2" t="n">
        <f aca="false">P55+Q55</f>
        <v>15120</v>
      </c>
      <c r="S55" s="2" t="n">
        <f aca="false">INDEX('Salary Records'!$S$2:$S$201,MATCH(A55,'Salary Records'!$A$2:$A$201,0))</f>
        <v>53016.92</v>
      </c>
      <c r="T55" s="2" t="n">
        <f aca="false">INDEX('Employee Master'!$I$2:$I$201,MATCH(A55,'Employee Master'!$A$2:$A$201,0))</f>
        <v>0.2</v>
      </c>
      <c r="U55" s="2" t="n">
        <f aca="false">INDEX('Employee Master'!$H$2:$H$201,MATCH(A55,'Employee Master'!$A$2:$A$201,0))</f>
        <v>7.6</v>
      </c>
      <c r="V55" s="2" t="n">
        <f aca="false">INDEX('Employee Master'!$J$2:$J$201,MATCH(A55,'Employee Master'!$A$2:$A$201,0))</f>
        <v>7.8</v>
      </c>
    </row>
    <row r="56" customFormat="false" ht="15" hidden="false" customHeight="false" outlineLevel="0" collapsed="false">
      <c r="A56" s="2" t="s">
        <v>156</v>
      </c>
      <c r="B56" s="2" t="s">
        <v>157</v>
      </c>
      <c r="C56" s="2" t="s">
        <v>36</v>
      </c>
      <c r="D56" s="2" t="s">
        <v>657</v>
      </c>
      <c r="E56" s="2" t="n">
        <f aca="false">INDEX('Salary Records'!$F$2:$F$201,MATCH(A56,'Salary Records'!$A$2:$A$201,0))</f>
        <v>26</v>
      </c>
      <c r="F56" s="2" t="n">
        <f aca="false">INDEX('Salary Records'!$G$2:$G$201,MATCH(A56,'Salary Records'!$A$2:$A$201,0))</f>
        <v>22</v>
      </c>
      <c r="G56" s="2" t="n">
        <f aca="false">INDEX('Salary Records'!$H$2:$H$201,MATCH(A56,'Salary Records'!$A$2:$A$201,0))</f>
        <v>1</v>
      </c>
      <c r="H56" s="2" t="n">
        <f aca="false">INDEX('Salary Records'!$I$2:$I$201,MATCH(A56,'Salary Records'!$A$2:$A$201,0))</f>
        <v>1</v>
      </c>
      <c r="I56" s="2" t="n">
        <f aca="false">INDEX('Salary Records'!$J$2:$J$201,MATCH(A56,'Salary Records'!$A$2:$A$201,0))</f>
        <v>2</v>
      </c>
      <c r="J56" s="2" t="n">
        <f aca="false">ROUND(F56/E56*100,1)</f>
        <v>84.6</v>
      </c>
      <c r="K56" s="2" t="n">
        <v>2</v>
      </c>
      <c r="L56" s="2" t="n">
        <f aca="false">INDEX('Salary Records'!$K$2:$K$201,MATCH(A56,'Salary Records'!$A$2:$A$201,0))</f>
        <v>1</v>
      </c>
      <c r="M56" s="2" t="n">
        <f aca="false">INDEX('Salary Records'!$L$2:$L$201,MATCH(A56,'Salary Records'!$A$2:$A$201,0))</f>
        <v>0</v>
      </c>
      <c r="N56" s="2" t="n">
        <f aca="false">INDEX('Salary Records'!$E$2:$E$201,MATCH(A56,'Salary Records'!$A$2:$A$201,0))</f>
        <v>37500</v>
      </c>
      <c r="O56" s="2" t="n">
        <f aca="false">INDEX('Salary Records'!$O$2:$O$201,MATCH(A56,'Salary Records'!$A$2:$A$201,0))</f>
        <v>0</v>
      </c>
      <c r="P56" s="2" t="n">
        <f aca="false">INDEX('PF Records'!$H$2:$H$201,MATCH(A56,'PF Records'!$A$2:$A$201,0))</f>
        <v>4500</v>
      </c>
      <c r="Q56" s="2" t="n">
        <f aca="false">INDEX('PF Records'!$I$2:$I$201,MATCH(A56,'PF Records'!$A$2:$A$201,0))</f>
        <v>4500</v>
      </c>
      <c r="R56" s="2" t="n">
        <f aca="false">P56+Q56</f>
        <v>9000</v>
      </c>
      <c r="S56" s="2" t="n">
        <f aca="false">INDEX('Salary Records'!$S$2:$S$201,MATCH(A56,'Salary Records'!$A$2:$A$201,0))</f>
        <v>31557.69</v>
      </c>
      <c r="T56" s="2" t="n">
        <f aca="false">INDEX('Employee Master'!$I$2:$I$201,MATCH(A56,'Employee Master'!$A$2:$A$201,0))</f>
        <v>8.4</v>
      </c>
      <c r="U56" s="2" t="n">
        <f aca="false">INDEX('Employee Master'!$H$2:$H$201,MATCH(A56,'Employee Master'!$A$2:$A$201,0))</f>
        <v>6</v>
      </c>
      <c r="V56" s="2" t="n">
        <f aca="false">INDEX('Employee Master'!$J$2:$J$201,MATCH(A56,'Employee Master'!$A$2:$A$201,0))</f>
        <v>14.4</v>
      </c>
    </row>
    <row r="57" customFormat="false" ht="15" hidden="false" customHeight="false" outlineLevel="0" collapsed="false">
      <c r="A57" s="2" t="s">
        <v>158</v>
      </c>
      <c r="B57" s="2" t="s">
        <v>159</v>
      </c>
      <c r="C57" s="2" t="s">
        <v>41</v>
      </c>
      <c r="D57" s="2" t="s">
        <v>657</v>
      </c>
      <c r="E57" s="2" t="n">
        <f aca="false">INDEX('Salary Records'!$F$2:$F$201,MATCH(A57,'Salary Records'!$A$2:$A$201,0))</f>
        <v>26</v>
      </c>
      <c r="F57" s="2" t="n">
        <f aca="false">INDEX('Salary Records'!$G$2:$G$201,MATCH(A57,'Salary Records'!$A$2:$A$201,0))</f>
        <v>16</v>
      </c>
      <c r="G57" s="2" t="n">
        <f aca="false">INDEX('Salary Records'!$H$2:$H$201,MATCH(A57,'Salary Records'!$A$2:$A$201,0))</f>
        <v>7</v>
      </c>
      <c r="H57" s="2" t="n">
        <f aca="false">INDEX('Salary Records'!$I$2:$I$201,MATCH(A57,'Salary Records'!$A$2:$A$201,0))</f>
        <v>2</v>
      </c>
      <c r="I57" s="2" t="n">
        <f aca="false">INDEX('Salary Records'!$J$2:$J$201,MATCH(A57,'Salary Records'!$A$2:$A$201,0))</f>
        <v>1</v>
      </c>
      <c r="J57" s="2" t="n">
        <f aca="false">ROUND(F57/E57*100,1)</f>
        <v>61.5</v>
      </c>
      <c r="K57" s="2" t="n">
        <v>2</v>
      </c>
      <c r="L57" s="2" t="n">
        <f aca="false">INDEX('Salary Records'!$K$2:$K$201,MATCH(A57,'Salary Records'!$A$2:$A$201,0))</f>
        <v>2</v>
      </c>
      <c r="M57" s="2" t="n">
        <f aca="false">INDEX('Salary Records'!$L$2:$L$201,MATCH(A57,'Salary Records'!$A$2:$A$201,0))</f>
        <v>5</v>
      </c>
      <c r="N57" s="2" t="n">
        <f aca="false">INDEX('Salary Records'!$E$2:$E$201,MATCH(A57,'Salary Records'!$A$2:$A$201,0))</f>
        <v>64500</v>
      </c>
      <c r="O57" s="2" t="n">
        <f aca="false">INDEX('Salary Records'!$O$2:$O$201,MATCH(A57,'Salary Records'!$A$2:$A$201,0))</f>
        <v>12403.85</v>
      </c>
      <c r="P57" s="2" t="n">
        <f aca="false">INDEX('PF Records'!$H$2:$H$201,MATCH(A57,'PF Records'!$A$2:$A$201,0))</f>
        <v>7740</v>
      </c>
      <c r="Q57" s="2" t="n">
        <f aca="false">INDEX('PF Records'!$I$2:$I$201,MATCH(A57,'PF Records'!$A$2:$A$201,0))</f>
        <v>7740</v>
      </c>
      <c r="R57" s="2" t="n">
        <f aca="false">P57+Q57</f>
        <v>15480</v>
      </c>
      <c r="S57" s="2" t="n">
        <f aca="false">INDEX('Salary Records'!$S$2:$S$201,MATCH(A57,'Salary Records'!$A$2:$A$201,0))</f>
        <v>43115.76</v>
      </c>
      <c r="T57" s="2" t="n">
        <f aca="false">INDEX('Employee Master'!$I$2:$I$201,MATCH(A57,'Employee Master'!$A$2:$A$201,0))</f>
        <v>1.4</v>
      </c>
      <c r="U57" s="2" t="n">
        <f aca="false">INDEX('Employee Master'!$H$2:$H$201,MATCH(A57,'Employee Master'!$A$2:$A$201,0))</f>
        <v>0.5</v>
      </c>
      <c r="V57" s="2" t="n">
        <f aca="false">INDEX('Employee Master'!$J$2:$J$201,MATCH(A57,'Employee Master'!$A$2:$A$201,0))</f>
        <v>1.9</v>
      </c>
    </row>
    <row r="58" customFormat="false" ht="15" hidden="false" customHeight="false" outlineLevel="0" collapsed="false">
      <c r="A58" s="2" t="s">
        <v>160</v>
      </c>
      <c r="B58" s="2" t="s">
        <v>161</v>
      </c>
      <c r="C58" s="2" t="s">
        <v>45</v>
      </c>
      <c r="D58" s="2" t="s">
        <v>657</v>
      </c>
      <c r="E58" s="2" t="n">
        <f aca="false">INDEX('Salary Records'!$F$2:$F$201,MATCH(A58,'Salary Records'!$A$2:$A$201,0))</f>
        <v>26</v>
      </c>
      <c r="F58" s="2" t="n">
        <f aca="false">INDEX('Salary Records'!$G$2:$G$201,MATCH(A58,'Salary Records'!$A$2:$A$201,0))</f>
        <v>26</v>
      </c>
      <c r="G58" s="2" t="n">
        <f aca="false">INDEX('Salary Records'!$H$2:$H$201,MATCH(A58,'Salary Records'!$A$2:$A$201,0))</f>
        <v>0</v>
      </c>
      <c r="H58" s="2" t="n">
        <f aca="false">INDEX('Salary Records'!$I$2:$I$201,MATCH(A58,'Salary Records'!$A$2:$A$201,0))</f>
        <v>0</v>
      </c>
      <c r="I58" s="2" t="n">
        <f aca="false">INDEX('Salary Records'!$J$2:$J$201,MATCH(A58,'Salary Records'!$A$2:$A$201,0))</f>
        <v>0</v>
      </c>
      <c r="J58" s="2" t="n">
        <f aca="false">ROUND(F58/E58*100,1)</f>
        <v>100</v>
      </c>
      <c r="K58" s="2" t="n">
        <v>2</v>
      </c>
      <c r="L58" s="2" t="n">
        <f aca="false">INDEX('Salary Records'!$K$2:$K$201,MATCH(A58,'Salary Records'!$A$2:$A$201,0))</f>
        <v>0</v>
      </c>
      <c r="M58" s="2" t="n">
        <f aca="false">INDEX('Salary Records'!$L$2:$L$201,MATCH(A58,'Salary Records'!$A$2:$A$201,0))</f>
        <v>0</v>
      </c>
      <c r="N58" s="2" t="n">
        <f aca="false">INDEX('Salary Records'!$E$2:$E$201,MATCH(A58,'Salary Records'!$A$2:$A$201,0))</f>
        <v>44500</v>
      </c>
      <c r="O58" s="2" t="n">
        <f aca="false">INDEX('Salary Records'!$O$2:$O$201,MATCH(A58,'Salary Records'!$A$2:$A$201,0))</f>
        <v>0</v>
      </c>
      <c r="P58" s="2" t="n">
        <f aca="false">INDEX('PF Records'!$H$2:$H$201,MATCH(A58,'PF Records'!$A$2:$A$201,0))</f>
        <v>5340</v>
      </c>
      <c r="Q58" s="2" t="n">
        <f aca="false">INDEX('PF Records'!$I$2:$I$201,MATCH(A58,'PF Records'!$A$2:$A$201,0))</f>
        <v>5340</v>
      </c>
      <c r="R58" s="2" t="n">
        <f aca="false">P58+Q58</f>
        <v>10680</v>
      </c>
      <c r="S58" s="2" t="n">
        <f aca="false">INDEX('Salary Records'!$S$2:$S$201,MATCH(A58,'Salary Records'!$A$2:$A$201,0))</f>
        <v>39160</v>
      </c>
      <c r="T58" s="2" t="n">
        <f aca="false">INDEX('Employee Master'!$I$2:$I$201,MATCH(A58,'Employee Master'!$A$2:$A$201,0))</f>
        <v>8.3</v>
      </c>
      <c r="U58" s="2" t="n">
        <f aca="false">INDEX('Employee Master'!$H$2:$H$201,MATCH(A58,'Employee Master'!$A$2:$A$201,0))</f>
        <v>0</v>
      </c>
      <c r="V58" s="2" t="n">
        <f aca="false">INDEX('Employee Master'!$J$2:$J$201,MATCH(A58,'Employee Master'!$A$2:$A$201,0))</f>
        <v>8.3</v>
      </c>
    </row>
    <row r="59" customFormat="false" ht="15" hidden="false" customHeight="false" outlineLevel="0" collapsed="false">
      <c r="A59" s="2" t="s">
        <v>162</v>
      </c>
      <c r="B59" s="2" t="s">
        <v>163</v>
      </c>
      <c r="C59" s="2" t="s">
        <v>49</v>
      </c>
      <c r="D59" s="2" t="s">
        <v>657</v>
      </c>
      <c r="E59" s="2" t="n">
        <f aca="false">INDEX('Salary Records'!$F$2:$F$201,MATCH(A59,'Salary Records'!$A$2:$A$201,0))</f>
        <v>26</v>
      </c>
      <c r="F59" s="2" t="n">
        <f aca="false">INDEX('Salary Records'!$G$2:$G$201,MATCH(A59,'Salary Records'!$A$2:$A$201,0))</f>
        <v>25</v>
      </c>
      <c r="G59" s="2" t="n">
        <f aca="false">INDEX('Salary Records'!$H$2:$H$201,MATCH(A59,'Salary Records'!$A$2:$A$201,0))</f>
        <v>1</v>
      </c>
      <c r="H59" s="2" t="n">
        <f aca="false">INDEX('Salary Records'!$I$2:$I$201,MATCH(A59,'Salary Records'!$A$2:$A$201,0))</f>
        <v>0</v>
      </c>
      <c r="I59" s="2" t="n">
        <f aca="false">INDEX('Salary Records'!$J$2:$J$201,MATCH(A59,'Salary Records'!$A$2:$A$201,0))</f>
        <v>0</v>
      </c>
      <c r="J59" s="2" t="n">
        <f aca="false">ROUND(F59/E59*100,1)</f>
        <v>96.2</v>
      </c>
      <c r="K59" s="2" t="n">
        <v>2</v>
      </c>
      <c r="L59" s="2" t="n">
        <f aca="false">INDEX('Salary Records'!$K$2:$K$201,MATCH(A59,'Salary Records'!$A$2:$A$201,0))</f>
        <v>1</v>
      </c>
      <c r="M59" s="2" t="n">
        <f aca="false">INDEX('Salary Records'!$L$2:$L$201,MATCH(A59,'Salary Records'!$A$2:$A$201,0))</f>
        <v>0</v>
      </c>
      <c r="N59" s="2" t="n">
        <f aca="false">INDEX('Salary Records'!$E$2:$E$201,MATCH(A59,'Salary Records'!$A$2:$A$201,0))</f>
        <v>39500</v>
      </c>
      <c r="O59" s="2" t="n">
        <f aca="false">INDEX('Salary Records'!$O$2:$O$201,MATCH(A59,'Salary Records'!$A$2:$A$201,0))</f>
        <v>0</v>
      </c>
      <c r="P59" s="2" t="n">
        <f aca="false">INDEX('PF Records'!$H$2:$H$201,MATCH(A59,'PF Records'!$A$2:$A$201,0))</f>
        <v>4740</v>
      </c>
      <c r="Q59" s="2" t="n">
        <f aca="false">INDEX('PF Records'!$I$2:$I$201,MATCH(A59,'PF Records'!$A$2:$A$201,0))</f>
        <v>4740</v>
      </c>
      <c r="R59" s="2" t="n">
        <f aca="false">P59+Q59</f>
        <v>9480</v>
      </c>
      <c r="S59" s="2" t="n">
        <f aca="false">INDEX('Salary Records'!$S$2:$S$201,MATCH(A59,'Salary Records'!$A$2:$A$201,0))</f>
        <v>34760</v>
      </c>
      <c r="T59" s="2" t="n">
        <f aca="false">INDEX('Employee Master'!$I$2:$I$201,MATCH(A59,'Employee Master'!$A$2:$A$201,0))</f>
        <v>7</v>
      </c>
      <c r="U59" s="2" t="n">
        <f aca="false">INDEX('Employee Master'!$H$2:$H$201,MATCH(A59,'Employee Master'!$A$2:$A$201,0))</f>
        <v>1.9</v>
      </c>
      <c r="V59" s="2" t="n">
        <f aca="false">INDEX('Employee Master'!$J$2:$J$201,MATCH(A59,'Employee Master'!$A$2:$A$201,0))</f>
        <v>8.9</v>
      </c>
    </row>
    <row r="60" customFormat="false" ht="15" hidden="false" customHeight="false" outlineLevel="0" collapsed="false">
      <c r="A60" s="2" t="s">
        <v>164</v>
      </c>
      <c r="B60" s="2" t="s">
        <v>165</v>
      </c>
      <c r="C60" s="2" t="s">
        <v>53</v>
      </c>
      <c r="D60" s="2" t="s">
        <v>657</v>
      </c>
      <c r="E60" s="2" t="n">
        <f aca="false">INDEX('Salary Records'!$F$2:$F$201,MATCH(A60,'Salary Records'!$A$2:$A$201,0))</f>
        <v>26</v>
      </c>
      <c r="F60" s="2" t="n">
        <f aca="false">INDEX('Salary Records'!$G$2:$G$201,MATCH(A60,'Salary Records'!$A$2:$A$201,0))</f>
        <v>20</v>
      </c>
      <c r="G60" s="2" t="n">
        <f aca="false">INDEX('Salary Records'!$H$2:$H$201,MATCH(A60,'Salary Records'!$A$2:$A$201,0))</f>
        <v>5</v>
      </c>
      <c r="H60" s="2" t="n">
        <f aca="false">INDEX('Salary Records'!$I$2:$I$201,MATCH(A60,'Salary Records'!$A$2:$A$201,0))</f>
        <v>1</v>
      </c>
      <c r="I60" s="2" t="n">
        <f aca="false">INDEX('Salary Records'!$J$2:$J$201,MATCH(A60,'Salary Records'!$A$2:$A$201,0))</f>
        <v>0</v>
      </c>
      <c r="J60" s="2" t="n">
        <f aca="false">ROUND(F60/E60*100,1)</f>
        <v>76.9</v>
      </c>
      <c r="K60" s="2" t="n">
        <v>2</v>
      </c>
      <c r="L60" s="2" t="n">
        <f aca="false">INDEX('Salary Records'!$K$2:$K$201,MATCH(A60,'Salary Records'!$A$2:$A$201,0))</f>
        <v>2</v>
      </c>
      <c r="M60" s="2" t="n">
        <f aca="false">INDEX('Salary Records'!$L$2:$L$201,MATCH(A60,'Salary Records'!$A$2:$A$201,0))</f>
        <v>3</v>
      </c>
      <c r="N60" s="2" t="n">
        <f aca="false">INDEX('Salary Records'!$E$2:$E$201,MATCH(A60,'Salary Records'!$A$2:$A$201,0))</f>
        <v>25000</v>
      </c>
      <c r="O60" s="2" t="n">
        <f aca="false">INDEX('Salary Records'!$O$2:$O$201,MATCH(A60,'Salary Records'!$A$2:$A$201,0))</f>
        <v>2884.62</v>
      </c>
      <c r="P60" s="2" t="n">
        <f aca="false">INDEX('PF Records'!$H$2:$H$201,MATCH(A60,'PF Records'!$A$2:$A$201,0))</f>
        <v>3000</v>
      </c>
      <c r="Q60" s="2" t="n">
        <f aca="false">INDEX('PF Records'!$I$2:$I$201,MATCH(A60,'PF Records'!$A$2:$A$201,0))</f>
        <v>3000</v>
      </c>
      <c r="R60" s="2" t="n">
        <f aca="false">P60+Q60</f>
        <v>6000</v>
      </c>
      <c r="S60" s="2" t="n">
        <f aca="false">INDEX('Salary Records'!$S$2:$S$201,MATCH(A60,'Salary Records'!$A$2:$A$201,0))</f>
        <v>18153.84</v>
      </c>
      <c r="T60" s="2" t="n">
        <f aca="false">INDEX('Employee Master'!$I$2:$I$201,MATCH(A60,'Employee Master'!$A$2:$A$201,0))</f>
        <v>3.4</v>
      </c>
      <c r="U60" s="2" t="n">
        <f aca="false">INDEX('Employee Master'!$H$2:$H$201,MATCH(A60,'Employee Master'!$A$2:$A$201,0))</f>
        <v>5.6</v>
      </c>
      <c r="V60" s="2" t="n">
        <f aca="false">INDEX('Employee Master'!$J$2:$J$201,MATCH(A60,'Employee Master'!$A$2:$A$201,0))</f>
        <v>9</v>
      </c>
    </row>
    <row r="61" customFormat="false" ht="15" hidden="false" customHeight="false" outlineLevel="0" collapsed="false">
      <c r="A61" s="2" t="s">
        <v>166</v>
      </c>
      <c r="B61" s="2" t="s">
        <v>167</v>
      </c>
      <c r="C61" s="2" t="s">
        <v>57</v>
      </c>
      <c r="D61" s="2" t="s">
        <v>657</v>
      </c>
      <c r="E61" s="2" t="n">
        <f aca="false">INDEX('Salary Records'!$F$2:$F$201,MATCH(A61,'Salary Records'!$A$2:$A$201,0))</f>
        <v>26</v>
      </c>
      <c r="F61" s="2" t="n">
        <f aca="false">INDEX('Salary Records'!$G$2:$G$201,MATCH(A61,'Salary Records'!$A$2:$A$201,0))</f>
        <v>22</v>
      </c>
      <c r="G61" s="2" t="n">
        <f aca="false">INDEX('Salary Records'!$H$2:$H$201,MATCH(A61,'Salary Records'!$A$2:$A$201,0))</f>
        <v>2</v>
      </c>
      <c r="H61" s="2" t="n">
        <f aca="false">INDEX('Salary Records'!$I$2:$I$201,MATCH(A61,'Salary Records'!$A$2:$A$201,0))</f>
        <v>2</v>
      </c>
      <c r="I61" s="2" t="n">
        <f aca="false">INDEX('Salary Records'!$J$2:$J$201,MATCH(A61,'Salary Records'!$A$2:$A$201,0))</f>
        <v>0</v>
      </c>
      <c r="J61" s="2" t="n">
        <f aca="false">ROUND(F61/E61*100,1)</f>
        <v>84.6</v>
      </c>
      <c r="K61" s="2" t="n">
        <v>2</v>
      </c>
      <c r="L61" s="2" t="n">
        <f aca="false">INDEX('Salary Records'!$K$2:$K$201,MATCH(A61,'Salary Records'!$A$2:$A$201,0))</f>
        <v>2</v>
      </c>
      <c r="M61" s="2" t="n">
        <f aca="false">INDEX('Salary Records'!$L$2:$L$201,MATCH(A61,'Salary Records'!$A$2:$A$201,0))</f>
        <v>0</v>
      </c>
      <c r="N61" s="2" t="n">
        <f aca="false">INDEX('Salary Records'!$E$2:$E$201,MATCH(A61,'Salary Records'!$A$2:$A$201,0))</f>
        <v>28000</v>
      </c>
      <c r="O61" s="2" t="n">
        <f aca="false">INDEX('Salary Records'!$O$2:$O$201,MATCH(A61,'Salary Records'!$A$2:$A$201,0))</f>
        <v>0</v>
      </c>
      <c r="P61" s="2" t="n">
        <f aca="false">INDEX('PF Records'!$H$2:$H$201,MATCH(A61,'PF Records'!$A$2:$A$201,0))</f>
        <v>3360</v>
      </c>
      <c r="Q61" s="2" t="n">
        <f aca="false">INDEX('PF Records'!$I$2:$I$201,MATCH(A61,'PF Records'!$A$2:$A$201,0))</f>
        <v>3360</v>
      </c>
      <c r="R61" s="2" t="n">
        <f aca="false">P61+Q61</f>
        <v>6720</v>
      </c>
      <c r="S61" s="2" t="n">
        <f aca="false">INDEX('Salary Records'!$S$2:$S$201,MATCH(A61,'Salary Records'!$A$2:$A$201,0))</f>
        <v>22486.16</v>
      </c>
      <c r="T61" s="2" t="n">
        <f aca="false">INDEX('Employee Master'!$I$2:$I$201,MATCH(A61,'Employee Master'!$A$2:$A$201,0))</f>
        <v>1.9</v>
      </c>
      <c r="U61" s="2" t="n">
        <f aca="false">INDEX('Employee Master'!$H$2:$H$201,MATCH(A61,'Employee Master'!$A$2:$A$201,0))</f>
        <v>7.7</v>
      </c>
      <c r="V61" s="2" t="n">
        <f aca="false">INDEX('Employee Master'!$J$2:$J$201,MATCH(A61,'Employee Master'!$A$2:$A$201,0))</f>
        <v>9.6</v>
      </c>
    </row>
    <row r="62" customFormat="false" ht="15" hidden="false" customHeight="false" outlineLevel="0" collapsed="false">
      <c r="A62" s="2" t="s">
        <v>168</v>
      </c>
      <c r="B62" s="2" t="s">
        <v>169</v>
      </c>
      <c r="C62" s="2" t="s">
        <v>17</v>
      </c>
      <c r="D62" s="2" t="s">
        <v>657</v>
      </c>
      <c r="E62" s="2" t="n">
        <f aca="false">INDEX('Salary Records'!$F$2:$F$201,MATCH(A62,'Salary Records'!$A$2:$A$201,0))</f>
        <v>26</v>
      </c>
      <c r="F62" s="2" t="n">
        <f aca="false">INDEX('Salary Records'!$G$2:$G$201,MATCH(A62,'Salary Records'!$A$2:$A$201,0))</f>
        <v>18</v>
      </c>
      <c r="G62" s="2" t="n">
        <f aca="false">INDEX('Salary Records'!$H$2:$H$201,MATCH(A62,'Salary Records'!$A$2:$A$201,0))</f>
        <v>7</v>
      </c>
      <c r="H62" s="2" t="n">
        <f aca="false">INDEX('Salary Records'!$I$2:$I$201,MATCH(A62,'Salary Records'!$A$2:$A$201,0))</f>
        <v>1</v>
      </c>
      <c r="I62" s="2" t="n">
        <f aca="false">INDEX('Salary Records'!$J$2:$J$201,MATCH(A62,'Salary Records'!$A$2:$A$201,0))</f>
        <v>0</v>
      </c>
      <c r="J62" s="2" t="n">
        <f aca="false">ROUND(F62/E62*100,1)</f>
        <v>69.2</v>
      </c>
      <c r="K62" s="2" t="n">
        <v>2</v>
      </c>
      <c r="L62" s="2" t="n">
        <f aca="false">INDEX('Salary Records'!$K$2:$K$201,MATCH(A62,'Salary Records'!$A$2:$A$201,0))</f>
        <v>2</v>
      </c>
      <c r="M62" s="2" t="n">
        <f aca="false">INDEX('Salary Records'!$L$2:$L$201,MATCH(A62,'Salary Records'!$A$2:$A$201,0))</f>
        <v>5</v>
      </c>
      <c r="N62" s="2" t="n">
        <f aca="false">INDEX('Salary Records'!$E$2:$E$201,MATCH(A62,'Salary Records'!$A$2:$A$201,0))</f>
        <v>50500</v>
      </c>
      <c r="O62" s="2" t="n">
        <f aca="false">INDEX('Salary Records'!$O$2:$O$201,MATCH(A62,'Salary Records'!$A$2:$A$201,0))</f>
        <v>9711.55</v>
      </c>
      <c r="P62" s="2" t="n">
        <f aca="false">INDEX('PF Records'!$H$2:$H$201,MATCH(A62,'PF Records'!$A$2:$A$201,0))</f>
        <v>6060</v>
      </c>
      <c r="Q62" s="2" t="n">
        <f aca="false">INDEX('PF Records'!$I$2:$I$201,MATCH(A62,'PF Records'!$A$2:$A$201,0))</f>
        <v>6060</v>
      </c>
      <c r="R62" s="2" t="n">
        <f aca="false">P62+Q62</f>
        <v>12120</v>
      </c>
      <c r="S62" s="2" t="n">
        <f aca="false">INDEX('Salary Records'!$S$2:$S$201,MATCH(A62,'Salary Records'!$A$2:$A$201,0))</f>
        <v>34728.45</v>
      </c>
      <c r="T62" s="2" t="n">
        <f aca="false">INDEX('Employee Master'!$I$2:$I$201,MATCH(A62,'Employee Master'!$A$2:$A$201,0))</f>
        <v>7.5</v>
      </c>
      <c r="U62" s="2" t="n">
        <f aca="false">INDEX('Employee Master'!$H$2:$H$201,MATCH(A62,'Employee Master'!$A$2:$A$201,0))</f>
        <v>4.6</v>
      </c>
      <c r="V62" s="2" t="n">
        <f aca="false">INDEX('Employee Master'!$J$2:$J$201,MATCH(A62,'Employee Master'!$A$2:$A$201,0))</f>
        <v>12.1</v>
      </c>
    </row>
    <row r="63" customFormat="false" ht="15" hidden="false" customHeight="false" outlineLevel="0" collapsed="false">
      <c r="A63" s="2" t="s">
        <v>170</v>
      </c>
      <c r="B63" s="2" t="s">
        <v>171</v>
      </c>
      <c r="C63" s="2" t="s">
        <v>24</v>
      </c>
      <c r="D63" s="2" t="s">
        <v>657</v>
      </c>
      <c r="E63" s="2" t="n">
        <f aca="false">INDEX('Salary Records'!$F$2:$F$201,MATCH(A63,'Salary Records'!$A$2:$A$201,0))</f>
        <v>26</v>
      </c>
      <c r="F63" s="2" t="n">
        <f aca="false">INDEX('Salary Records'!$G$2:$G$201,MATCH(A63,'Salary Records'!$A$2:$A$201,0))</f>
        <v>26</v>
      </c>
      <c r="G63" s="2" t="n">
        <f aca="false">INDEX('Salary Records'!$H$2:$H$201,MATCH(A63,'Salary Records'!$A$2:$A$201,0))</f>
        <v>0</v>
      </c>
      <c r="H63" s="2" t="n">
        <f aca="false">INDEX('Salary Records'!$I$2:$I$201,MATCH(A63,'Salary Records'!$A$2:$A$201,0))</f>
        <v>0</v>
      </c>
      <c r="I63" s="2" t="n">
        <f aca="false">INDEX('Salary Records'!$J$2:$J$201,MATCH(A63,'Salary Records'!$A$2:$A$201,0))</f>
        <v>0</v>
      </c>
      <c r="J63" s="2" t="n">
        <f aca="false">ROUND(F63/E63*100,1)</f>
        <v>100</v>
      </c>
      <c r="K63" s="2" t="n">
        <v>2</v>
      </c>
      <c r="L63" s="2" t="n">
        <f aca="false">INDEX('Salary Records'!$K$2:$K$201,MATCH(A63,'Salary Records'!$A$2:$A$201,0))</f>
        <v>0</v>
      </c>
      <c r="M63" s="2" t="n">
        <f aca="false">INDEX('Salary Records'!$L$2:$L$201,MATCH(A63,'Salary Records'!$A$2:$A$201,0))</f>
        <v>0</v>
      </c>
      <c r="N63" s="2" t="n">
        <f aca="false">INDEX('Salary Records'!$E$2:$E$201,MATCH(A63,'Salary Records'!$A$2:$A$201,0))</f>
        <v>58000</v>
      </c>
      <c r="O63" s="2" t="n">
        <f aca="false">INDEX('Salary Records'!$O$2:$O$201,MATCH(A63,'Salary Records'!$A$2:$A$201,0))</f>
        <v>0</v>
      </c>
      <c r="P63" s="2" t="n">
        <f aca="false">INDEX('PF Records'!$H$2:$H$201,MATCH(A63,'PF Records'!$A$2:$A$201,0))</f>
        <v>6960</v>
      </c>
      <c r="Q63" s="2" t="n">
        <f aca="false">INDEX('PF Records'!$I$2:$I$201,MATCH(A63,'PF Records'!$A$2:$A$201,0))</f>
        <v>6960</v>
      </c>
      <c r="R63" s="2" t="n">
        <f aca="false">P63+Q63</f>
        <v>13920</v>
      </c>
      <c r="S63" s="2" t="n">
        <f aca="false">INDEX('Salary Records'!$S$2:$S$201,MATCH(A63,'Salary Records'!$A$2:$A$201,0))</f>
        <v>51040</v>
      </c>
      <c r="T63" s="2" t="n">
        <f aca="false">INDEX('Employee Master'!$I$2:$I$201,MATCH(A63,'Employee Master'!$A$2:$A$201,0))</f>
        <v>0.6</v>
      </c>
      <c r="U63" s="2" t="n">
        <f aca="false">INDEX('Employee Master'!$H$2:$H$201,MATCH(A63,'Employee Master'!$A$2:$A$201,0))</f>
        <v>1.6</v>
      </c>
      <c r="V63" s="2" t="n">
        <f aca="false">INDEX('Employee Master'!$J$2:$J$201,MATCH(A63,'Employee Master'!$A$2:$A$201,0))</f>
        <v>2.2</v>
      </c>
    </row>
    <row r="64" customFormat="false" ht="15" hidden="false" customHeight="false" outlineLevel="0" collapsed="false">
      <c r="A64" s="2" t="s">
        <v>172</v>
      </c>
      <c r="B64" s="2" t="s">
        <v>173</v>
      </c>
      <c r="C64" s="2" t="s">
        <v>28</v>
      </c>
      <c r="D64" s="2" t="s">
        <v>657</v>
      </c>
      <c r="E64" s="2" t="n">
        <f aca="false">INDEX('Salary Records'!$F$2:$F$201,MATCH(A64,'Salary Records'!$A$2:$A$201,0))</f>
        <v>26</v>
      </c>
      <c r="F64" s="2" t="n">
        <f aca="false">INDEX('Salary Records'!$G$2:$G$201,MATCH(A64,'Salary Records'!$A$2:$A$201,0))</f>
        <v>14</v>
      </c>
      <c r="G64" s="2" t="n">
        <f aca="false">INDEX('Salary Records'!$H$2:$H$201,MATCH(A64,'Salary Records'!$A$2:$A$201,0))</f>
        <v>9</v>
      </c>
      <c r="H64" s="2" t="n">
        <f aca="false">INDEX('Salary Records'!$I$2:$I$201,MATCH(A64,'Salary Records'!$A$2:$A$201,0))</f>
        <v>1</v>
      </c>
      <c r="I64" s="2" t="n">
        <f aca="false">INDEX('Salary Records'!$J$2:$J$201,MATCH(A64,'Salary Records'!$A$2:$A$201,0))</f>
        <v>2</v>
      </c>
      <c r="J64" s="2" t="n">
        <f aca="false">ROUND(F64/E64*100,1)</f>
        <v>53.8</v>
      </c>
      <c r="K64" s="2" t="n">
        <v>2</v>
      </c>
      <c r="L64" s="2" t="n">
        <f aca="false">INDEX('Salary Records'!$K$2:$K$201,MATCH(A64,'Salary Records'!$A$2:$A$201,0))</f>
        <v>2</v>
      </c>
      <c r="M64" s="2" t="n">
        <f aca="false">INDEX('Salary Records'!$L$2:$L$201,MATCH(A64,'Salary Records'!$A$2:$A$201,0))</f>
        <v>7</v>
      </c>
      <c r="N64" s="2" t="n">
        <f aca="false">INDEX('Salary Records'!$E$2:$E$201,MATCH(A64,'Salary Records'!$A$2:$A$201,0))</f>
        <v>23500</v>
      </c>
      <c r="O64" s="2" t="n">
        <f aca="false">INDEX('Salary Records'!$O$2:$O$201,MATCH(A64,'Salary Records'!$A$2:$A$201,0))</f>
        <v>6326.95</v>
      </c>
      <c r="P64" s="2" t="n">
        <f aca="false">INDEX('PF Records'!$H$2:$H$201,MATCH(A64,'PF Records'!$A$2:$A$201,0))</f>
        <v>2820</v>
      </c>
      <c r="Q64" s="2" t="n">
        <f aca="false">INDEX('PF Records'!$I$2:$I$201,MATCH(A64,'PF Records'!$A$2:$A$201,0))</f>
        <v>2820</v>
      </c>
      <c r="R64" s="2" t="n">
        <f aca="false">P64+Q64</f>
        <v>5640</v>
      </c>
      <c r="S64" s="2" t="n">
        <f aca="false">INDEX('Salary Records'!$S$2:$S$201,MATCH(A64,'Salary Records'!$A$2:$A$201,0))</f>
        <v>13449.2</v>
      </c>
      <c r="T64" s="2" t="n">
        <f aca="false">INDEX('Employee Master'!$I$2:$I$201,MATCH(A64,'Employee Master'!$A$2:$A$201,0))</f>
        <v>0.8</v>
      </c>
      <c r="U64" s="2" t="n">
        <f aca="false">INDEX('Employee Master'!$H$2:$H$201,MATCH(A64,'Employee Master'!$A$2:$A$201,0))</f>
        <v>6.2</v>
      </c>
      <c r="V64" s="2" t="n">
        <f aca="false">INDEX('Employee Master'!$J$2:$J$201,MATCH(A64,'Employee Master'!$A$2:$A$201,0))</f>
        <v>7</v>
      </c>
    </row>
    <row r="65" customFormat="false" ht="15" hidden="false" customHeight="false" outlineLevel="0" collapsed="false">
      <c r="A65" s="2" t="s">
        <v>174</v>
      </c>
      <c r="B65" s="2" t="s">
        <v>175</v>
      </c>
      <c r="C65" s="2" t="s">
        <v>32</v>
      </c>
      <c r="D65" s="2" t="s">
        <v>657</v>
      </c>
      <c r="E65" s="2" t="n">
        <f aca="false">INDEX('Salary Records'!$F$2:$F$201,MATCH(A65,'Salary Records'!$A$2:$A$201,0))</f>
        <v>26</v>
      </c>
      <c r="F65" s="2" t="n">
        <f aca="false">INDEX('Salary Records'!$G$2:$G$201,MATCH(A65,'Salary Records'!$A$2:$A$201,0))</f>
        <v>23</v>
      </c>
      <c r="G65" s="2" t="n">
        <f aca="false">INDEX('Salary Records'!$H$2:$H$201,MATCH(A65,'Salary Records'!$A$2:$A$201,0))</f>
        <v>2</v>
      </c>
      <c r="H65" s="2" t="n">
        <f aca="false">INDEX('Salary Records'!$I$2:$I$201,MATCH(A65,'Salary Records'!$A$2:$A$201,0))</f>
        <v>1</v>
      </c>
      <c r="I65" s="2" t="n">
        <f aca="false">INDEX('Salary Records'!$J$2:$J$201,MATCH(A65,'Salary Records'!$A$2:$A$201,0))</f>
        <v>0</v>
      </c>
      <c r="J65" s="2" t="n">
        <f aca="false">ROUND(F65/E65*100,1)</f>
        <v>88.5</v>
      </c>
      <c r="K65" s="2" t="n">
        <v>2</v>
      </c>
      <c r="L65" s="2" t="n">
        <f aca="false">INDEX('Salary Records'!$K$2:$K$201,MATCH(A65,'Salary Records'!$A$2:$A$201,0))</f>
        <v>2</v>
      </c>
      <c r="M65" s="2" t="n">
        <f aca="false">INDEX('Salary Records'!$L$2:$L$201,MATCH(A65,'Salary Records'!$A$2:$A$201,0))</f>
        <v>0</v>
      </c>
      <c r="N65" s="2" t="n">
        <f aca="false">INDEX('Salary Records'!$E$2:$E$201,MATCH(A65,'Salary Records'!$A$2:$A$201,0))</f>
        <v>51500</v>
      </c>
      <c r="O65" s="2" t="n">
        <f aca="false">INDEX('Salary Records'!$O$2:$O$201,MATCH(A65,'Salary Records'!$A$2:$A$201,0))</f>
        <v>0</v>
      </c>
      <c r="P65" s="2" t="n">
        <f aca="false">INDEX('PF Records'!$H$2:$H$201,MATCH(A65,'PF Records'!$A$2:$A$201,0))</f>
        <v>6180</v>
      </c>
      <c r="Q65" s="2" t="n">
        <f aca="false">INDEX('PF Records'!$I$2:$I$201,MATCH(A65,'PF Records'!$A$2:$A$201,0))</f>
        <v>6180</v>
      </c>
      <c r="R65" s="2" t="n">
        <f aca="false">P65+Q65</f>
        <v>12360</v>
      </c>
      <c r="S65" s="2" t="n">
        <f aca="false">INDEX('Salary Records'!$S$2:$S$201,MATCH(A65,'Salary Records'!$A$2:$A$201,0))</f>
        <v>45320</v>
      </c>
      <c r="T65" s="2" t="n">
        <f aca="false">INDEX('Employee Master'!$I$2:$I$201,MATCH(A65,'Employee Master'!$A$2:$A$201,0))</f>
        <v>7.3</v>
      </c>
      <c r="U65" s="2" t="n">
        <f aca="false">INDEX('Employee Master'!$H$2:$H$201,MATCH(A65,'Employee Master'!$A$2:$A$201,0))</f>
        <v>0</v>
      </c>
      <c r="V65" s="2" t="n">
        <f aca="false">INDEX('Employee Master'!$J$2:$J$201,MATCH(A65,'Employee Master'!$A$2:$A$201,0))</f>
        <v>7.3</v>
      </c>
    </row>
    <row r="66" customFormat="false" ht="15" hidden="false" customHeight="false" outlineLevel="0" collapsed="false">
      <c r="A66" s="2" t="s">
        <v>176</v>
      </c>
      <c r="B66" s="2" t="s">
        <v>177</v>
      </c>
      <c r="C66" s="2" t="s">
        <v>36</v>
      </c>
      <c r="D66" s="2" t="s">
        <v>657</v>
      </c>
      <c r="E66" s="2" t="n">
        <f aca="false">INDEX('Salary Records'!$F$2:$F$201,MATCH(A66,'Salary Records'!$A$2:$A$201,0))</f>
        <v>26</v>
      </c>
      <c r="F66" s="2" t="n">
        <f aca="false">INDEX('Salary Records'!$G$2:$G$201,MATCH(A66,'Salary Records'!$A$2:$A$201,0))</f>
        <v>15</v>
      </c>
      <c r="G66" s="2" t="n">
        <f aca="false">INDEX('Salary Records'!$H$2:$H$201,MATCH(A66,'Salary Records'!$A$2:$A$201,0))</f>
        <v>8</v>
      </c>
      <c r="H66" s="2" t="n">
        <f aca="false">INDEX('Salary Records'!$I$2:$I$201,MATCH(A66,'Salary Records'!$A$2:$A$201,0))</f>
        <v>2</v>
      </c>
      <c r="I66" s="2" t="n">
        <f aca="false">INDEX('Salary Records'!$J$2:$J$201,MATCH(A66,'Salary Records'!$A$2:$A$201,0))</f>
        <v>1</v>
      </c>
      <c r="J66" s="2" t="n">
        <f aca="false">ROUND(F66/E66*100,1)</f>
        <v>57.7</v>
      </c>
      <c r="K66" s="2" t="n">
        <v>2</v>
      </c>
      <c r="L66" s="2" t="n">
        <f aca="false">INDEX('Salary Records'!$K$2:$K$201,MATCH(A66,'Salary Records'!$A$2:$A$201,0))</f>
        <v>2</v>
      </c>
      <c r="M66" s="2" t="n">
        <f aca="false">INDEX('Salary Records'!$L$2:$L$201,MATCH(A66,'Salary Records'!$A$2:$A$201,0))</f>
        <v>6</v>
      </c>
      <c r="N66" s="2" t="n">
        <f aca="false">INDEX('Salary Records'!$E$2:$E$201,MATCH(A66,'Salary Records'!$A$2:$A$201,0))</f>
        <v>33500</v>
      </c>
      <c r="O66" s="2" t="n">
        <f aca="false">INDEX('Salary Records'!$O$2:$O$201,MATCH(A66,'Salary Records'!$A$2:$A$201,0))</f>
        <v>7730.76</v>
      </c>
      <c r="P66" s="2" t="n">
        <f aca="false">INDEX('PF Records'!$H$2:$H$201,MATCH(A66,'PF Records'!$A$2:$A$201,0))</f>
        <v>4020</v>
      </c>
      <c r="Q66" s="2" t="n">
        <f aca="false">INDEX('PF Records'!$I$2:$I$201,MATCH(A66,'PF Records'!$A$2:$A$201,0))</f>
        <v>4020</v>
      </c>
      <c r="R66" s="2" t="n">
        <f aca="false">P66+Q66</f>
        <v>8040</v>
      </c>
      <c r="S66" s="2" t="n">
        <f aca="false">INDEX('Salary Records'!$S$2:$S$201,MATCH(A66,'Salary Records'!$A$2:$A$201,0))</f>
        <v>21105.01</v>
      </c>
      <c r="T66" s="2" t="n">
        <f aca="false">INDEX('Employee Master'!$I$2:$I$201,MATCH(A66,'Employee Master'!$A$2:$A$201,0))</f>
        <v>2.7</v>
      </c>
      <c r="U66" s="2" t="n">
        <f aca="false">INDEX('Employee Master'!$H$2:$H$201,MATCH(A66,'Employee Master'!$A$2:$A$201,0))</f>
        <v>3.4</v>
      </c>
      <c r="V66" s="2" t="n">
        <f aca="false">INDEX('Employee Master'!$J$2:$J$201,MATCH(A66,'Employee Master'!$A$2:$A$201,0))</f>
        <v>6.1</v>
      </c>
    </row>
    <row r="67" customFormat="false" ht="15" hidden="false" customHeight="false" outlineLevel="0" collapsed="false">
      <c r="A67" s="2" t="s">
        <v>178</v>
      </c>
      <c r="B67" s="2" t="s">
        <v>179</v>
      </c>
      <c r="C67" s="2" t="s">
        <v>41</v>
      </c>
      <c r="D67" s="2" t="s">
        <v>657</v>
      </c>
      <c r="E67" s="2" t="n">
        <f aca="false">INDEX('Salary Records'!$F$2:$F$201,MATCH(A67,'Salary Records'!$A$2:$A$201,0))</f>
        <v>26</v>
      </c>
      <c r="F67" s="2" t="n">
        <f aca="false">INDEX('Salary Records'!$G$2:$G$201,MATCH(A67,'Salary Records'!$A$2:$A$201,0))</f>
        <v>22</v>
      </c>
      <c r="G67" s="2" t="n">
        <f aca="false">INDEX('Salary Records'!$H$2:$H$201,MATCH(A67,'Salary Records'!$A$2:$A$201,0))</f>
        <v>1</v>
      </c>
      <c r="H67" s="2" t="n">
        <f aca="false">INDEX('Salary Records'!$I$2:$I$201,MATCH(A67,'Salary Records'!$A$2:$A$201,0))</f>
        <v>2</v>
      </c>
      <c r="I67" s="2" t="n">
        <f aca="false">INDEX('Salary Records'!$J$2:$J$201,MATCH(A67,'Salary Records'!$A$2:$A$201,0))</f>
        <v>1</v>
      </c>
      <c r="J67" s="2" t="n">
        <f aca="false">ROUND(F67/E67*100,1)</f>
        <v>84.6</v>
      </c>
      <c r="K67" s="2" t="n">
        <v>2</v>
      </c>
      <c r="L67" s="2" t="n">
        <f aca="false">INDEX('Salary Records'!$K$2:$K$201,MATCH(A67,'Salary Records'!$A$2:$A$201,0))</f>
        <v>1</v>
      </c>
      <c r="M67" s="2" t="n">
        <f aca="false">INDEX('Salary Records'!$L$2:$L$201,MATCH(A67,'Salary Records'!$A$2:$A$201,0))</f>
        <v>0</v>
      </c>
      <c r="N67" s="2" t="n">
        <f aca="false">INDEX('Salary Records'!$E$2:$E$201,MATCH(A67,'Salary Records'!$A$2:$A$201,0))</f>
        <v>51000</v>
      </c>
      <c r="O67" s="2" t="n">
        <f aca="false">INDEX('Salary Records'!$O$2:$O$201,MATCH(A67,'Salary Records'!$A$2:$A$201,0))</f>
        <v>0</v>
      </c>
      <c r="P67" s="2" t="n">
        <f aca="false">INDEX('PF Records'!$H$2:$H$201,MATCH(A67,'PF Records'!$A$2:$A$201,0))</f>
        <v>6120</v>
      </c>
      <c r="Q67" s="2" t="n">
        <f aca="false">INDEX('PF Records'!$I$2:$I$201,MATCH(A67,'PF Records'!$A$2:$A$201,0))</f>
        <v>6120</v>
      </c>
      <c r="R67" s="2" t="n">
        <f aca="false">P67+Q67</f>
        <v>12240</v>
      </c>
      <c r="S67" s="2" t="n">
        <f aca="false">INDEX('Salary Records'!$S$2:$S$201,MATCH(A67,'Salary Records'!$A$2:$A$201,0))</f>
        <v>43899.23</v>
      </c>
      <c r="T67" s="2" t="n">
        <f aca="false">INDEX('Employee Master'!$I$2:$I$201,MATCH(A67,'Employee Master'!$A$2:$A$201,0))</f>
        <v>4</v>
      </c>
      <c r="U67" s="2" t="n">
        <f aca="false">INDEX('Employee Master'!$H$2:$H$201,MATCH(A67,'Employee Master'!$A$2:$A$201,0))</f>
        <v>6.6</v>
      </c>
      <c r="V67" s="2" t="n">
        <f aca="false">INDEX('Employee Master'!$J$2:$J$201,MATCH(A67,'Employee Master'!$A$2:$A$201,0))</f>
        <v>10.6</v>
      </c>
    </row>
    <row r="68" customFormat="false" ht="15" hidden="false" customHeight="false" outlineLevel="0" collapsed="false">
      <c r="A68" s="2" t="s">
        <v>180</v>
      </c>
      <c r="B68" s="2" t="s">
        <v>181</v>
      </c>
      <c r="C68" s="2" t="s">
        <v>45</v>
      </c>
      <c r="D68" s="2" t="s">
        <v>657</v>
      </c>
      <c r="E68" s="2" t="n">
        <f aca="false">INDEX('Salary Records'!$F$2:$F$201,MATCH(A68,'Salary Records'!$A$2:$A$201,0))</f>
        <v>26</v>
      </c>
      <c r="F68" s="2" t="n">
        <f aca="false">INDEX('Salary Records'!$G$2:$G$201,MATCH(A68,'Salary Records'!$A$2:$A$201,0))</f>
        <v>24</v>
      </c>
      <c r="G68" s="2" t="n">
        <f aca="false">INDEX('Salary Records'!$H$2:$H$201,MATCH(A68,'Salary Records'!$A$2:$A$201,0))</f>
        <v>0</v>
      </c>
      <c r="H68" s="2" t="n">
        <f aca="false">INDEX('Salary Records'!$I$2:$I$201,MATCH(A68,'Salary Records'!$A$2:$A$201,0))</f>
        <v>0</v>
      </c>
      <c r="I68" s="2" t="n">
        <f aca="false">INDEX('Salary Records'!$J$2:$J$201,MATCH(A68,'Salary Records'!$A$2:$A$201,0))</f>
        <v>2</v>
      </c>
      <c r="J68" s="2" t="n">
        <f aca="false">ROUND(F68/E68*100,1)</f>
        <v>92.3</v>
      </c>
      <c r="K68" s="2" t="n">
        <v>2</v>
      </c>
      <c r="L68" s="2" t="n">
        <f aca="false">INDEX('Salary Records'!$K$2:$K$201,MATCH(A68,'Salary Records'!$A$2:$A$201,0))</f>
        <v>0</v>
      </c>
      <c r="M68" s="2" t="n">
        <f aca="false">INDEX('Salary Records'!$L$2:$L$201,MATCH(A68,'Salary Records'!$A$2:$A$201,0))</f>
        <v>0</v>
      </c>
      <c r="N68" s="2" t="n">
        <f aca="false">INDEX('Salary Records'!$E$2:$E$201,MATCH(A68,'Salary Records'!$A$2:$A$201,0))</f>
        <v>96500</v>
      </c>
      <c r="O68" s="2" t="n">
        <f aca="false">INDEX('Salary Records'!$O$2:$O$201,MATCH(A68,'Salary Records'!$A$2:$A$201,0))</f>
        <v>0</v>
      </c>
      <c r="P68" s="2" t="n">
        <f aca="false">INDEX('PF Records'!$H$2:$H$201,MATCH(A68,'PF Records'!$A$2:$A$201,0))</f>
        <v>11580</v>
      </c>
      <c r="Q68" s="2" t="n">
        <f aca="false">INDEX('PF Records'!$I$2:$I$201,MATCH(A68,'PF Records'!$A$2:$A$201,0))</f>
        <v>11580</v>
      </c>
      <c r="R68" s="2" t="n">
        <f aca="false">P68+Q68</f>
        <v>23160</v>
      </c>
      <c r="S68" s="2" t="n">
        <f aca="false">INDEX('Salary Records'!$S$2:$S$201,MATCH(A68,'Salary Records'!$A$2:$A$201,0))</f>
        <v>81208.46</v>
      </c>
      <c r="T68" s="2" t="n">
        <f aca="false">INDEX('Employee Master'!$I$2:$I$201,MATCH(A68,'Employee Master'!$A$2:$A$201,0))</f>
        <v>3.5</v>
      </c>
      <c r="U68" s="2" t="n">
        <f aca="false">INDEX('Employee Master'!$H$2:$H$201,MATCH(A68,'Employee Master'!$A$2:$A$201,0))</f>
        <v>5.7</v>
      </c>
      <c r="V68" s="2" t="n">
        <f aca="false">INDEX('Employee Master'!$J$2:$J$201,MATCH(A68,'Employee Master'!$A$2:$A$201,0))</f>
        <v>9.2</v>
      </c>
    </row>
    <row r="69" customFormat="false" ht="15" hidden="false" customHeight="false" outlineLevel="0" collapsed="false">
      <c r="A69" s="2" t="s">
        <v>182</v>
      </c>
      <c r="B69" s="2" t="s">
        <v>183</v>
      </c>
      <c r="C69" s="2" t="s">
        <v>49</v>
      </c>
      <c r="D69" s="2" t="s">
        <v>657</v>
      </c>
      <c r="E69" s="2" t="n">
        <f aca="false">INDEX('Salary Records'!$F$2:$F$201,MATCH(A69,'Salary Records'!$A$2:$A$201,0))</f>
        <v>26</v>
      </c>
      <c r="F69" s="2" t="n">
        <f aca="false">INDEX('Salary Records'!$G$2:$G$201,MATCH(A69,'Salary Records'!$A$2:$A$201,0))</f>
        <v>25</v>
      </c>
      <c r="G69" s="2" t="n">
        <f aca="false">INDEX('Salary Records'!$H$2:$H$201,MATCH(A69,'Salary Records'!$A$2:$A$201,0))</f>
        <v>1</v>
      </c>
      <c r="H69" s="2" t="n">
        <f aca="false">INDEX('Salary Records'!$I$2:$I$201,MATCH(A69,'Salary Records'!$A$2:$A$201,0))</f>
        <v>0</v>
      </c>
      <c r="I69" s="2" t="n">
        <f aca="false">INDEX('Salary Records'!$J$2:$J$201,MATCH(A69,'Salary Records'!$A$2:$A$201,0))</f>
        <v>0</v>
      </c>
      <c r="J69" s="2" t="n">
        <f aca="false">ROUND(F69/E69*100,1)</f>
        <v>96.2</v>
      </c>
      <c r="K69" s="2" t="n">
        <v>2</v>
      </c>
      <c r="L69" s="2" t="n">
        <f aca="false">INDEX('Salary Records'!$K$2:$K$201,MATCH(A69,'Salary Records'!$A$2:$A$201,0))</f>
        <v>1</v>
      </c>
      <c r="M69" s="2" t="n">
        <f aca="false">INDEX('Salary Records'!$L$2:$L$201,MATCH(A69,'Salary Records'!$A$2:$A$201,0))</f>
        <v>0</v>
      </c>
      <c r="N69" s="2" t="n">
        <f aca="false">INDEX('Salary Records'!$E$2:$E$201,MATCH(A69,'Salary Records'!$A$2:$A$201,0))</f>
        <v>143500</v>
      </c>
      <c r="O69" s="2" t="n">
        <f aca="false">INDEX('Salary Records'!$O$2:$O$201,MATCH(A69,'Salary Records'!$A$2:$A$201,0))</f>
        <v>0</v>
      </c>
      <c r="P69" s="2" t="n">
        <f aca="false">INDEX('PF Records'!$H$2:$H$201,MATCH(A69,'PF Records'!$A$2:$A$201,0))</f>
        <v>17220</v>
      </c>
      <c r="Q69" s="2" t="n">
        <f aca="false">INDEX('PF Records'!$I$2:$I$201,MATCH(A69,'PF Records'!$A$2:$A$201,0))</f>
        <v>17220</v>
      </c>
      <c r="R69" s="2" t="n">
        <f aca="false">P69+Q69</f>
        <v>34440</v>
      </c>
      <c r="S69" s="2" t="n">
        <f aca="false">INDEX('Salary Records'!$S$2:$S$201,MATCH(A69,'Salary Records'!$A$2:$A$201,0))</f>
        <v>126280</v>
      </c>
      <c r="T69" s="2" t="n">
        <f aca="false">INDEX('Employee Master'!$I$2:$I$201,MATCH(A69,'Employee Master'!$A$2:$A$201,0))</f>
        <v>3.4</v>
      </c>
      <c r="U69" s="2" t="n">
        <f aca="false">INDEX('Employee Master'!$H$2:$H$201,MATCH(A69,'Employee Master'!$A$2:$A$201,0))</f>
        <v>3.5</v>
      </c>
      <c r="V69" s="2" t="n">
        <f aca="false">INDEX('Employee Master'!$J$2:$J$201,MATCH(A69,'Employee Master'!$A$2:$A$201,0))</f>
        <v>6.9</v>
      </c>
    </row>
    <row r="70" customFormat="false" ht="15" hidden="false" customHeight="false" outlineLevel="0" collapsed="false">
      <c r="A70" s="2" t="s">
        <v>184</v>
      </c>
      <c r="B70" s="2" t="s">
        <v>185</v>
      </c>
      <c r="C70" s="2" t="s">
        <v>53</v>
      </c>
      <c r="D70" s="2" t="s">
        <v>657</v>
      </c>
      <c r="E70" s="2" t="n">
        <f aca="false">INDEX('Salary Records'!$F$2:$F$201,MATCH(A70,'Salary Records'!$A$2:$A$201,0))</f>
        <v>26</v>
      </c>
      <c r="F70" s="2" t="n">
        <f aca="false">INDEX('Salary Records'!$G$2:$G$201,MATCH(A70,'Salary Records'!$A$2:$A$201,0))</f>
        <v>23</v>
      </c>
      <c r="G70" s="2" t="n">
        <f aca="false">INDEX('Salary Records'!$H$2:$H$201,MATCH(A70,'Salary Records'!$A$2:$A$201,0))</f>
        <v>2</v>
      </c>
      <c r="H70" s="2" t="n">
        <f aca="false">INDEX('Salary Records'!$I$2:$I$201,MATCH(A70,'Salary Records'!$A$2:$A$201,0))</f>
        <v>1</v>
      </c>
      <c r="I70" s="2" t="n">
        <f aca="false">INDEX('Salary Records'!$J$2:$J$201,MATCH(A70,'Salary Records'!$A$2:$A$201,0))</f>
        <v>0</v>
      </c>
      <c r="J70" s="2" t="n">
        <f aca="false">ROUND(F70/E70*100,1)</f>
        <v>88.5</v>
      </c>
      <c r="K70" s="2" t="n">
        <v>2</v>
      </c>
      <c r="L70" s="2" t="n">
        <f aca="false">INDEX('Salary Records'!$K$2:$K$201,MATCH(A70,'Salary Records'!$A$2:$A$201,0))</f>
        <v>2</v>
      </c>
      <c r="M70" s="2" t="n">
        <f aca="false">INDEX('Salary Records'!$L$2:$L$201,MATCH(A70,'Salary Records'!$A$2:$A$201,0))</f>
        <v>0</v>
      </c>
      <c r="N70" s="2" t="n">
        <f aca="false">INDEX('Salary Records'!$E$2:$E$201,MATCH(A70,'Salary Records'!$A$2:$A$201,0))</f>
        <v>30500</v>
      </c>
      <c r="O70" s="2" t="n">
        <f aca="false">INDEX('Salary Records'!$O$2:$O$201,MATCH(A70,'Salary Records'!$A$2:$A$201,0))</f>
        <v>0</v>
      </c>
      <c r="P70" s="2" t="n">
        <f aca="false">INDEX('PF Records'!$H$2:$H$201,MATCH(A70,'PF Records'!$A$2:$A$201,0))</f>
        <v>3660</v>
      </c>
      <c r="Q70" s="2" t="n">
        <f aca="false">INDEX('PF Records'!$I$2:$I$201,MATCH(A70,'PF Records'!$A$2:$A$201,0))</f>
        <v>3660</v>
      </c>
      <c r="R70" s="2" t="n">
        <f aca="false">P70+Q70</f>
        <v>7320</v>
      </c>
      <c r="S70" s="2" t="n">
        <f aca="false">INDEX('Salary Records'!$S$2:$S$201,MATCH(A70,'Salary Records'!$A$2:$A$201,0))</f>
        <v>26840</v>
      </c>
      <c r="T70" s="2" t="n">
        <f aca="false">INDEX('Employee Master'!$I$2:$I$201,MATCH(A70,'Employee Master'!$A$2:$A$201,0))</f>
        <v>5.9</v>
      </c>
      <c r="U70" s="2" t="n">
        <f aca="false">INDEX('Employee Master'!$H$2:$H$201,MATCH(A70,'Employee Master'!$A$2:$A$201,0))</f>
        <v>6.6</v>
      </c>
      <c r="V70" s="2" t="n">
        <f aca="false">INDEX('Employee Master'!$J$2:$J$201,MATCH(A70,'Employee Master'!$A$2:$A$201,0))</f>
        <v>12.5</v>
      </c>
    </row>
    <row r="71" customFormat="false" ht="15" hidden="false" customHeight="false" outlineLevel="0" collapsed="false">
      <c r="A71" s="2" t="s">
        <v>186</v>
      </c>
      <c r="B71" s="2" t="s">
        <v>187</v>
      </c>
      <c r="C71" s="2" t="s">
        <v>57</v>
      </c>
      <c r="D71" s="2" t="s">
        <v>657</v>
      </c>
      <c r="E71" s="2" t="n">
        <f aca="false">INDEX('Salary Records'!$F$2:$F$201,MATCH(A71,'Salary Records'!$A$2:$A$201,0))</f>
        <v>26</v>
      </c>
      <c r="F71" s="2" t="n">
        <f aca="false">INDEX('Salary Records'!$G$2:$G$201,MATCH(A71,'Salary Records'!$A$2:$A$201,0))</f>
        <v>20</v>
      </c>
      <c r="G71" s="2" t="n">
        <f aca="false">INDEX('Salary Records'!$H$2:$H$201,MATCH(A71,'Salary Records'!$A$2:$A$201,0))</f>
        <v>4</v>
      </c>
      <c r="H71" s="2" t="n">
        <f aca="false">INDEX('Salary Records'!$I$2:$I$201,MATCH(A71,'Salary Records'!$A$2:$A$201,0))</f>
        <v>1</v>
      </c>
      <c r="I71" s="2" t="n">
        <f aca="false">INDEX('Salary Records'!$J$2:$J$201,MATCH(A71,'Salary Records'!$A$2:$A$201,0))</f>
        <v>1</v>
      </c>
      <c r="J71" s="2" t="n">
        <f aca="false">ROUND(F71/E71*100,1)</f>
        <v>76.9</v>
      </c>
      <c r="K71" s="2" t="n">
        <v>2</v>
      </c>
      <c r="L71" s="2" t="n">
        <f aca="false">INDEX('Salary Records'!$K$2:$K$201,MATCH(A71,'Salary Records'!$A$2:$A$201,0))</f>
        <v>2</v>
      </c>
      <c r="M71" s="2" t="n">
        <f aca="false">INDEX('Salary Records'!$L$2:$L$201,MATCH(A71,'Salary Records'!$A$2:$A$201,0))</f>
        <v>2</v>
      </c>
      <c r="N71" s="2" t="n">
        <f aca="false">INDEX('Salary Records'!$E$2:$E$201,MATCH(A71,'Salary Records'!$A$2:$A$201,0))</f>
        <v>51000</v>
      </c>
      <c r="O71" s="2" t="n">
        <f aca="false">INDEX('Salary Records'!$O$2:$O$201,MATCH(A71,'Salary Records'!$A$2:$A$201,0))</f>
        <v>3923.08</v>
      </c>
      <c r="P71" s="2" t="n">
        <f aca="false">INDEX('PF Records'!$H$2:$H$201,MATCH(A71,'PF Records'!$A$2:$A$201,0))</f>
        <v>6120</v>
      </c>
      <c r="Q71" s="2" t="n">
        <f aca="false">INDEX('PF Records'!$I$2:$I$201,MATCH(A71,'PF Records'!$A$2:$A$201,0))</f>
        <v>6120</v>
      </c>
      <c r="R71" s="2" t="n">
        <f aca="false">P71+Q71</f>
        <v>12240</v>
      </c>
      <c r="S71" s="2" t="n">
        <f aca="false">INDEX('Salary Records'!$S$2:$S$201,MATCH(A71,'Salary Records'!$A$2:$A$201,0))</f>
        <v>38014.61</v>
      </c>
      <c r="T71" s="2" t="n">
        <f aca="false">INDEX('Employee Master'!$I$2:$I$201,MATCH(A71,'Employee Master'!$A$2:$A$201,0))</f>
        <v>0.2</v>
      </c>
      <c r="U71" s="2" t="n">
        <f aca="false">INDEX('Employee Master'!$H$2:$H$201,MATCH(A71,'Employee Master'!$A$2:$A$201,0))</f>
        <v>3.7</v>
      </c>
      <c r="V71" s="2" t="n">
        <f aca="false">INDEX('Employee Master'!$J$2:$J$201,MATCH(A71,'Employee Master'!$A$2:$A$201,0))</f>
        <v>3.9</v>
      </c>
    </row>
    <row r="72" customFormat="false" ht="15" hidden="false" customHeight="false" outlineLevel="0" collapsed="false">
      <c r="A72" s="2" t="s">
        <v>188</v>
      </c>
      <c r="B72" s="2" t="s">
        <v>189</v>
      </c>
      <c r="C72" s="2" t="s">
        <v>17</v>
      </c>
      <c r="D72" s="2" t="s">
        <v>657</v>
      </c>
      <c r="E72" s="2" t="n">
        <f aca="false">INDEX('Salary Records'!$F$2:$F$201,MATCH(A72,'Salary Records'!$A$2:$A$201,0))</f>
        <v>26</v>
      </c>
      <c r="F72" s="2" t="n">
        <f aca="false">INDEX('Salary Records'!$G$2:$G$201,MATCH(A72,'Salary Records'!$A$2:$A$201,0))</f>
        <v>21</v>
      </c>
      <c r="G72" s="2" t="n">
        <f aca="false">INDEX('Salary Records'!$H$2:$H$201,MATCH(A72,'Salary Records'!$A$2:$A$201,0))</f>
        <v>2</v>
      </c>
      <c r="H72" s="2" t="n">
        <f aca="false">INDEX('Salary Records'!$I$2:$I$201,MATCH(A72,'Salary Records'!$A$2:$A$201,0))</f>
        <v>1</v>
      </c>
      <c r="I72" s="2" t="n">
        <f aca="false">INDEX('Salary Records'!$J$2:$J$201,MATCH(A72,'Salary Records'!$A$2:$A$201,0))</f>
        <v>2</v>
      </c>
      <c r="J72" s="2" t="n">
        <f aca="false">ROUND(F72/E72*100,1)</f>
        <v>80.8</v>
      </c>
      <c r="K72" s="2" t="n">
        <v>2</v>
      </c>
      <c r="L72" s="2" t="n">
        <f aca="false">INDEX('Salary Records'!$K$2:$K$201,MATCH(A72,'Salary Records'!$A$2:$A$201,0))</f>
        <v>2</v>
      </c>
      <c r="M72" s="2" t="n">
        <f aca="false">INDEX('Salary Records'!$L$2:$L$201,MATCH(A72,'Salary Records'!$A$2:$A$201,0))</f>
        <v>0</v>
      </c>
      <c r="N72" s="2" t="n">
        <f aca="false">INDEX('Salary Records'!$E$2:$E$201,MATCH(A72,'Salary Records'!$A$2:$A$201,0))</f>
        <v>50000</v>
      </c>
      <c r="O72" s="2" t="n">
        <f aca="false">INDEX('Salary Records'!$O$2:$O$201,MATCH(A72,'Salary Records'!$A$2:$A$201,0))</f>
        <v>0</v>
      </c>
      <c r="P72" s="2" t="n">
        <f aca="false">INDEX('PF Records'!$H$2:$H$201,MATCH(A72,'PF Records'!$A$2:$A$201,0))</f>
        <v>6000</v>
      </c>
      <c r="Q72" s="2" t="n">
        <f aca="false">INDEX('PF Records'!$I$2:$I$201,MATCH(A72,'PF Records'!$A$2:$A$201,0))</f>
        <v>6000</v>
      </c>
      <c r="R72" s="2" t="n">
        <f aca="false">P72+Q72</f>
        <v>12000</v>
      </c>
      <c r="S72" s="2" t="n">
        <f aca="false">INDEX('Salary Records'!$S$2:$S$201,MATCH(A72,'Salary Records'!$A$2:$A$201,0))</f>
        <v>42076.92</v>
      </c>
      <c r="T72" s="2" t="n">
        <f aca="false">INDEX('Employee Master'!$I$2:$I$201,MATCH(A72,'Employee Master'!$A$2:$A$201,0))</f>
        <v>8.3</v>
      </c>
      <c r="U72" s="2" t="n">
        <f aca="false">INDEX('Employee Master'!$H$2:$H$201,MATCH(A72,'Employee Master'!$A$2:$A$201,0))</f>
        <v>0</v>
      </c>
      <c r="V72" s="2" t="n">
        <f aca="false">INDEX('Employee Master'!$J$2:$J$201,MATCH(A72,'Employee Master'!$A$2:$A$201,0))</f>
        <v>8.3</v>
      </c>
    </row>
    <row r="73" customFormat="false" ht="15" hidden="false" customHeight="false" outlineLevel="0" collapsed="false">
      <c r="A73" s="2" t="s">
        <v>191</v>
      </c>
      <c r="B73" s="2" t="s">
        <v>192</v>
      </c>
      <c r="C73" s="2" t="s">
        <v>24</v>
      </c>
      <c r="D73" s="2" t="s">
        <v>657</v>
      </c>
      <c r="E73" s="2" t="n">
        <f aca="false">INDEX('Salary Records'!$F$2:$F$201,MATCH(A73,'Salary Records'!$A$2:$A$201,0))</f>
        <v>26</v>
      </c>
      <c r="F73" s="2" t="n">
        <f aca="false">INDEX('Salary Records'!$G$2:$G$201,MATCH(A73,'Salary Records'!$A$2:$A$201,0))</f>
        <v>16</v>
      </c>
      <c r="G73" s="2" t="n">
        <f aca="false">INDEX('Salary Records'!$H$2:$H$201,MATCH(A73,'Salary Records'!$A$2:$A$201,0))</f>
        <v>9</v>
      </c>
      <c r="H73" s="2" t="n">
        <f aca="false">INDEX('Salary Records'!$I$2:$I$201,MATCH(A73,'Salary Records'!$A$2:$A$201,0))</f>
        <v>1</v>
      </c>
      <c r="I73" s="2" t="n">
        <f aca="false">INDEX('Salary Records'!$J$2:$J$201,MATCH(A73,'Salary Records'!$A$2:$A$201,0))</f>
        <v>0</v>
      </c>
      <c r="J73" s="2" t="n">
        <f aca="false">ROUND(F73/E73*100,1)</f>
        <v>61.5</v>
      </c>
      <c r="K73" s="2" t="n">
        <v>2</v>
      </c>
      <c r="L73" s="2" t="n">
        <f aca="false">INDEX('Salary Records'!$K$2:$K$201,MATCH(A73,'Salary Records'!$A$2:$A$201,0))</f>
        <v>2</v>
      </c>
      <c r="M73" s="2" t="n">
        <f aca="false">INDEX('Salary Records'!$L$2:$L$201,MATCH(A73,'Salary Records'!$A$2:$A$201,0))</f>
        <v>7</v>
      </c>
      <c r="N73" s="2" t="n">
        <f aca="false">INDEX('Salary Records'!$E$2:$E$201,MATCH(A73,'Salary Records'!$A$2:$A$201,0))</f>
        <v>46000</v>
      </c>
      <c r="O73" s="2" t="n">
        <f aca="false">INDEX('Salary Records'!$O$2:$O$201,MATCH(A73,'Salary Records'!$A$2:$A$201,0))</f>
        <v>12384.61</v>
      </c>
      <c r="P73" s="2" t="n">
        <f aca="false">INDEX('PF Records'!$H$2:$H$201,MATCH(A73,'PF Records'!$A$2:$A$201,0))</f>
        <v>5520</v>
      </c>
      <c r="Q73" s="2" t="n">
        <f aca="false">INDEX('PF Records'!$I$2:$I$201,MATCH(A73,'PF Records'!$A$2:$A$201,0))</f>
        <v>5520</v>
      </c>
      <c r="R73" s="2" t="n">
        <f aca="false">P73+Q73</f>
        <v>11040</v>
      </c>
      <c r="S73" s="2" t="n">
        <f aca="false">INDEX('Salary Records'!$S$2:$S$201,MATCH(A73,'Salary Records'!$A$2:$A$201,0))</f>
        <v>28095.39</v>
      </c>
      <c r="T73" s="2" t="n">
        <f aca="false">INDEX('Employee Master'!$I$2:$I$201,MATCH(A73,'Employee Master'!$A$2:$A$201,0))</f>
        <v>4.7</v>
      </c>
      <c r="U73" s="2" t="n">
        <f aca="false">INDEX('Employee Master'!$H$2:$H$201,MATCH(A73,'Employee Master'!$A$2:$A$201,0))</f>
        <v>6.4</v>
      </c>
      <c r="V73" s="2" t="n">
        <f aca="false">INDEX('Employee Master'!$J$2:$J$201,MATCH(A73,'Employee Master'!$A$2:$A$201,0))</f>
        <v>11.1</v>
      </c>
    </row>
    <row r="74" customFormat="false" ht="15" hidden="false" customHeight="false" outlineLevel="0" collapsed="false">
      <c r="A74" s="2" t="s">
        <v>193</v>
      </c>
      <c r="B74" s="2" t="s">
        <v>194</v>
      </c>
      <c r="C74" s="2" t="s">
        <v>28</v>
      </c>
      <c r="D74" s="2" t="s">
        <v>657</v>
      </c>
      <c r="E74" s="2" t="n">
        <f aca="false">INDEX('Salary Records'!$F$2:$F$201,MATCH(A74,'Salary Records'!$A$2:$A$201,0))</f>
        <v>26</v>
      </c>
      <c r="F74" s="2" t="n">
        <f aca="false">INDEX('Salary Records'!$G$2:$G$201,MATCH(A74,'Salary Records'!$A$2:$A$201,0))</f>
        <v>26</v>
      </c>
      <c r="G74" s="2" t="n">
        <f aca="false">INDEX('Salary Records'!$H$2:$H$201,MATCH(A74,'Salary Records'!$A$2:$A$201,0))</f>
        <v>0</v>
      </c>
      <c r="H74" s="2" t="n">
        <f aca="false">INDEX('Salary Records'!$I$2:$I$201,MATCH(A74,'Salary Records'!$A$2:$A$201,0))</f>
        <v>0</v>
      </c>
      <c r="I74" s="2" t="n">
        <f aca="false">INDEX('Salary Records'!$J$2:$J$201,MATCH(A74,'Salary Records'!$A$2:$A$201,0))</f>
        <v>0</v>
      </c>
      <c r="J74" s="2" t="n">
        <f aca="false">ROUND(F74/E74*100,1)</f>
        <v>100</v>
      </c>
      <c r="K74" s="2" t="n">
        <v>2</v>
      </c>
      <c r="L74" s="2" t="n">
        <f aca="false">INDEX('Salary Records'!$K$2:$K$201,MATCH(A74,'Salary Records'!$A$2:$A$201,0))</f>
        <v>0</v>
      </c>
      <c r="M74" s="2" t="n">
        <f aca="false">INDEX('Salary Records'!$L$2:$L$201,MATCH(A74,'Salary Records'!$A$2:$A$201,0))</f>
        <v>0</v>
      </c>
      <c r="N74" s="2" t="n">
        <f aca="false">INDEX('Salary Records'!$E$2:$E$201,MATCH(A74,'Salary Records'!$A$2:$A$201,0))</f>
        <v>91500</v>
      </c>
      <c r="O74" s="2" t="n">
        <f aca="false">INDEX('Salary Records'!$O$2:$O$201,MATCH(A74,'Salary Records'!$A$2:$A$201,0))</f>
        <v>0</v>
      </c>
      <c r="P74" s="2" t="n">
        <f aca="false">INDEX('PF Records'!$H$2:$H$201,MATCH(A74,'PF Records'!$A$2:$A$201,0))</f>
        <v>10980</v>
      </c>
      <c r="Q74" s="2" t="n">
        <f aca="false">INDEX('PF Records'!$I$2:$I$201,MATCH(A74,'PF Records'!$A$2:$A$201,0))</f>
        <v>10980</v>
      </c>
      <c r="R74" s="2" t="n">
        <f aca="false">P74+Q74</f>
        <v>21960</v>
      </c>
      <c r="S74" s="2" t="n">
        <f aca="false">INDEX('Salary Records'!$S$2:$S$201,MATCH(A74,'Salary Records'!$A$2:$A$201,0))</f>
        <v>80520</v>
      </c>
      <c r="T74" s="2" t="n">
        <f aca="false">INDEX('Employee Master'!$I$2:$I$201,MATCH(A74,'Employee Master'!$A$2:$A$201,0))</f>
        <v>8.6</v>
      </c>
      <c r="U74" s="2" t="n">
        <f aca="false">INDEX('Employee Master'!$H$2:$H$201,MATCH(A74,'Employee Master'!$A$2:$A$201,0))</f>
        <v>4.1</v>
      </c>
      <c r="V74" s="2" t="n">
        <f aca="false">INDEX('Employee Master'!$J$2:$J$201,MATCH(A74,'Employee Master'!$A$2:$A$201,0))</f>
        <v>12.7</v>
      </c>
    </row>
    <row r="75" customFormat="false" ht="15" hidden="false" customHeight="false" outlineLevel="0" collapsed="false">
      <c r="A75" s="2" t="s">
        <v>195</v>
      </c>
      <c r="B75" s="2" t="s">
        <v>196</v>
      </c>
      <c r="C75" s="2" t="s">
        <v>32</v>
      </c>
      <c r="D75" s="2" t="s">
        <v>657</v>
      </c>
      <c r="E75" s="2" t="n">
        <f aca="false">INDEX('Salary Records'!$F$2:$F$201,MATCH(A75,'Salary Records'!$A$2:$A$201,0))</f>
        <v>26</v>
      </c>
      <c r="F75" s="2" t="n">
        <f aca="false">INDEX('Salary Records'!$G$2:$G$201,MATCH(A75,'Salary Records'!$A$2:$A$201,0))</f>
        <v>20</v>
      </c>
      <c r="G75" s="2" t="n">
        <f aca="false">INDEX('Salary Records'!$H$2:$H$201,MATCH(A75,'Salary Records'!$A$2:$A$201,0))</f>
        <v>5</v>
      </c>
      <c r="H75" s="2" t="n">
        <f aca="false">INDEX('Salary Records'!$I$2:$I$201,MATCH(A75,'Salary Records'!$A$2:$A$201,0))</f>
        <v>1</v>
      </c>
      <c r="I75" s="2" t="n">
        <f aca="false">INDEX('Salary Records'!$J$2:$J$201,MATCH(A75,'Salary Records'!$A$2:$A$201,0))</f>
        <v>0</v>
      </c>
      <c r="J75" s="2" t="n">
        <f aca="false">ROUND(F75/E75*100,1)</f>
        <v>76.9</v>
      </c>
      <c r="K75" s="2" t="n">
        <v>2</v>
      </c>
      <c r="L75" s="2" t="n">
        <f aca="false">INDEX('Salary Records'!$K$2:$K$201,MATCH(A75,'Salary Records'!$A$2:$A$201,0))</f>
        <v>2</v>
      </c>
      <c r="M75" s="2" t="n">
        <f aca="false">INDEX('Salary Records'!$L$2:$L$201,MATCH(A75,'Salary Records'!$A$2:$A$201,0))</f>
        <v>3</v>
      </c>
      <c r="N75" s="2" t="n">
        <f aca="false">INDEX('Salary Records'!$E$2:$E$201,MATCH(A75,'Salary Records'!$A$2:$A$201,0))</f>
        <v>45500</v>
      </c>
      <c r="O75" s="2" t="n">
        <f aca="false">INDEX('Salary Records'!$O$2:$O$201,MATCH(A75,'Salary Records'!$A$2:$A$201,0))</f>
        <v>5250</v>
      </c>
      <c r="P75" s="2" t="n">
        <f aca="false">INDEX('PF Records'!$H$2:$H$201,MATCH(A75,'PF Records'!$A$2:$A$201,0))</f>
        <v>5460</v>
      </c>
      <c r="Q75" s="2" t="n">
        <f aca="false">INDEX('PF Records'!$I$2:$I$201,MATCH(A75,'PF Records'!$A$2:$A$201,0))</f>
        <v>5460</v>
      </c>
      <c r="R75" s="2" t="n">
        <f aca="false">P75+Q75</f>
        <v>10920</v>
      </c>
      <c r="S75" s="2" t="n">
        <f aca="false">INDEX('Salary Records'!$S$2:$S$201,MATCH(A75,'Salary Records'!$A$2:$A$201,0))</f>
        <v>33040</v>
      </c>
      <c r="T75" s="2" t="n">
        <f aca="false">INDEX('Employee Master'!$I$2:$I$201,MATCH(A75,'Employee Master'!$A$2:$A$201,0))</f>
        <v>4.1</v>
      </c>
      <c r="U75" s="2" t="n">
        <f aca="false">INDEX('Employee Master'!$H$2:$H$201,MATCH(A75,'Employee Master'!$A$2:$A$201,0))</f>
        <v>3.9</v>
      </c>
      <c r="V75" s="2" t="n">
        <f aca="false">INDEX('Employee Master'!$J$2:$J$201,MATCH(A75,'Employee Master'!$A$2:$A$201,0))</f>
        <v>8</v>
      </c>
    </row>
    <row r="76" customFormat="false" ht="15" hidden="false" customHeight="false" outlineLevel="0" collapsed="false">
      <c r="A76" s="2" t="s">
        <v>197</v>
      </c>
      <c r="B76" s="2" t="s">
        <v>198</v>
      </c>
      <c r="C76" s="2" t="s">
        <v>36</v>
      </c>
      <c r="D76" s="2" t="s">
        <v>657</v>
      </c>
      <c r="E76" s="2" t="n">
        <f aca="false">INDEX('Salary Records'!$F$2:$F$201,MATCH(A76,'Salary Records'!$A$2:$A$201,0))</f>
        <v>26</v>
      </c>
      <c r="F76" s="2" t="n">
        <f aca="false">INDEX('Salary Records'!$G$2:$G$201,MATCH(A76,'Salary Records'!$A$2:$A$201,0))</f>
        <v>25</v>
      </c>
      <c r="G76" s="2" t="n">
        <f aca="false">INDEX('Salary Records'!$H$2:$H$201,MATCH(A76,'Salary Records'!$A$2:$A$201,0))</f>
        <v>1</v>
      </c>
      <c r="H76" s="2" t="n">
        <f aca="false">INDEX('Salary Records'!$I$2:$I$201,MATCH(A76,'Salary Records'!$A$2:$A$201,0))</f>
        <v>0</v>
      </c>
      <c r="I76" s="2" t="n">
        <f aca="false">INDEX('Salary Records'!$J$2:$J$201,MATCH(A76,'Salary Records'!$A$2:$A$201,0))</f>
        <v>0</v>
      </c>
      <c r="J76" s="2" t="n">
        <f aca="false">ROUND(F76/E76*100,1)</f>
        <v>96.2</v>
      </c>
      <c r="K76" s="2" t="n">
        <v>2</v>
      </c>
      <c r="L76" s="2" t="n">
        <f aca="false">INDEX('Salary Records'!$K$2:$K$201,MATCH(A76,'Salary Records'!$A$2:$A$201,0))</f>
        <v>1</v>
      </c>
      <c r="M76" s="2" t="n">
        <f aca="false">INDEX('Salary Records'!$L$2:$L$201,MATCH(A76,'Salary Records'!$A$2:$A$201,0))</f>
        <v>0</v>
      </c>
      <c r="N76" s="2" t="n">
        <f aca="false">INDEX('Salary Records'!$E$2:$E$201,MATCH(A76,'Salary Records'!$A$2:$A$201,0))</f>
        <v>87500</v>
      </c>
      <c r="O76" s="2" t="n">
        <f aca="false">INDEX('Salary Records'!$O$2:$O$201,MATCH(A76,'Salary Records'!$A$2:$A$201,0))</f>
        <v>0</v>
      </c>
      <c r="P76" s="2" t="n">
        <f aca="false">INDEX('PF Records'!$H$2:$H$201,MATCH(A76,'PF Records'!$A$2:$A$201,0))</f>
        <v>10500</v>
      </c>
      <c r="Q76" s="2" t="n">
        <f aca="false">INDEX('PF Records'!$I$2:$I$201,MATCH(A76,'PF Records'!$A$2:$A$201,0))</f>
        <v>10500</v>
      </c>
      <c r="R76" s="2" t="n">
        <f aca="false">P76+Q76</f>
        <v>21000</v>
      </c>
      <c r="S76" s="2" t="n">
        <f aca="false">INDEX('Salary Records'!$S$2:$S$201,MATCH(A76,'Salary Records'!$A$2:$A$201,0))</f>
        <v>77000</v>
      </c>
      <c r="T76" s="2" t="n">
        <f aca="false">INDEX('Employee Master'!$I$2:$I$201,MATCH(A76,'Employee Master'!$A$2:$A$201,0))</f>
        <v>0.7</v>
      </c>
      <c r="U76" s="2" t="n">
        <f aca="false">INDEX('Employee Master'!$H$2:$H$201,MATCH(A76,'Employee Master'!$A$2:$A$201,0))</f>
        <v>3.9</v>
      </c>
      <c r="V76" s="2" t="n">
        <f aca="false">INDEX('Employee Master'!$J$2:$J$201,MATCH(A76,'Employee Master'!$A$2:$A$201,0))</f>
        <v>4.6</v>
      </c>
    </row>
    <row r="77" customFormat="false" ht="15" hidden="false" customHeight="false" outlineLevel="0" collapsed="false">
      <c r="A77" s="2" t="s">
        <v>199</v>
      </c>
      <c r="B77" s="2" t="s">
        <v>200</v>
      </c>
      <c r="C77" s="2" t="s">
        <v>41</v>
      </c>
      <c r="D77" s="2" t="s">
        <v>657</v>
      </c>
      <c r="E77" s="2" t="n">
        <f aca="false">INDEX('Salary Records'!$F$2:$F$201,MATCH(A77,'Salary Records'!$A$2:$A$201,0))</f>
        <v>26</v>
      </c>
      <c r="F77" s="2" t="n">
        <f aca="false">INDEX('Salary Records'!$G$2:$G$201,MATCH(A77,'Salary Records'!$A$2:$A$201,0))</f>
        <v>21</v>
      </c>
      <c r="G77" s="2" t="n">
        <f aca="false">INDEX('Salary Records'!$H$2:$H$201,MATCH(A77,'Salary Records'!$A$2:$A$201,0))</f>
        <v>2</v>
      </c>
      <c r="H77" s="2" t="n">
        <f aca="false">INDEX('Salary Records'!$I$2:$I$201,MATCH(A77,'Salary Records'!$A$2:$A$201,0))</f>
        <v>1</v>
      </c>
      <c r="I77" s="2" t="n">
        <f aca="false">INDEX('Salary Records'!$J$2:$J$201,MATCH(A77,'Salary Records'!$A$2:$A$201,0))</f>
        <v>2</v>
      </c>
      <c r="J77" s="2" t="n">
        <f aca="false">ROUND(F77/E77*100,1)</f>
        <v>80.8</v>
      </c>
      <c r="K77" s="2" t="n">
        <v>2</v>
      </c>
      <c r="L77" s="2" t="n">
        <f aca="false">INDEX('Salary Records'!$K$2:$K$201,MATCH(A77,'Salary Records'!$A$2:$A$201,0))</f>
        <v>2</v>
      </c>
      <c r="M77" s="2" t="n">
        <f aca="false">INDEX('Salary Records'!$L$2:$L$201,MATCH(A77,'Salary Records'!$A$2:$A$201,0))</f>
        <v>0</v>
      </c>
      <c r="N77" s="2" t="n">
        <f aca="false">INDEX('Salary Records'!$E$2:$E$201,MATCH(A77,'Salary Records'!$A$2:$A$201,0))</f>
        <v>27500</v>
      </c>
      <c r="O77" s="2" t="n">
        <f aca="false">INDEX('Salary Records'!$O$2:$O$201,MATCH(A77,'Salary Records'!$A$2:$A$201,0))</f>
        <v>0</v>
      </c>
      <c r="P77" s="2" t="n">
        <f aca="false">INDEX('PF Records'!$H$2:$H$201,MATCH(A77,'PF Records'!$A$2:$A$201,0))</f>
        <v>3300</v>
      </c>
      <c r="Q77" s="2" t="n">
        <f aca="false">INDEX('PF Records'!$I$2:$I$201,MATCH(A77,'PF Records'!$A$2:$A$201,0))</f>
        <v>3300</v>
      </c>
      <c r="R77" s="2" t="n">
        <f aca="false">P77+Q77</f>
        <v>6600</v>
      </c>
      <c r="S77" s="2" t="n">
        <f aca="false">INDEX('Salary Records'!$S$2:$S$201,MATCH(A77,'Salary Records'!$A$2:$A$201,0))</f>
        <v>23142.31</v>
      </c>
      <c r="T77" s="2" t="n">
        <f aca="false">INDEX('Employee Master'!$I$2:$I$201,MATCH(A77,'Employee Master'!$A$2:$A$201,0))</f>
        <v>6.2</v>
      </c>
      <c r="U77" s="2" t="n">
        <f aca="false">INDEX('Employee Master'!$H$2:$H$201,MATCH(A77,'Employee Master'!$A$2:$A$201,0))</f>
        <v>3.2</v>
      </c>
      <c r="V77" s="2" t="n">
        <f aca="false">INDEX('Employee Master'!$J$2:$J$201,MATCH(A77,'Employee Master'!$A$2:$A$201,0))</f>
        <v>9.4</v>
      </c>
    </row>
    <row r="78" customFormat="false" ht="15" hidden="false" customHeight="false" outlineLevel="0" collapsed="false">
      <c r="A78" s="2" t="s">
        <v>201</v>
      </c>
      <c r="B78" s="2" t="s">
        <v>202</v>
      </c>
      <c r="C78" s="2" t="s">
        <v>45</v>
      </c>
      <c r="D78" s="2" t="s">
        <v>657</v>
      </c>
      <c r="E78" s="2" t="n">
        <f aca="false">INDEX('Salary Records'!$F$2:$F$201,MATCH(A78,'Salary Records'!$A$2:$A$201,0))</f>
        <v>26</v>
      </c>
      <c r="F78" s="2" t="n">
        <f aca="false">INDEX('Salary Records'!$G$2:$G$201,MATCH(A78,'Salary Records'!$A$2:$A$201,0))</f>
        <v>26</v>
      </c>
      <c r="G78" s="2" t="n">
        <f aca="false">INDEX('Salary Records'!$H$2:$H$201,MATCH(A78,'Salary Records'!$A$2:$A$201,0))</f>
        <v>0</v>
      </c>
      <c r="H78" s="2" t="n">
        <f aca="false">INDEX('Salary Records'!$I$2:$I$201,MATCH(A78,'Salary Records'!$A$2:$A$201,0))</f>
        <v>0</v>
      </c>
      <c r="I78" s="2" t="n">
        <f aca="false">INDEX('Salary Records'!$J$2:$J$201,MATCH(A78,'Salary Records'!$A$2:$A$201,0))</f>
        <v>0</v>
      </c>
      <c r="J78" s="2" t="n">
        <f aca="false">ROUND(F78/E78*100,1)</f>
        <v>100</v>
      </c>
      <c r="K78" s="2" t="n">
        <v>2</v>
      </c>
      <c r="L78" s="2" t="n">
        <f aca="false">INDEX('Salary Records'!$K$2:$K$201,MATCH(A78,'Salary Records'!$A$2:$A$201,0))</f>
        <v>0</v>
      </c>
      <c r="M78" s="2" t="n">
        <f aca="false">INDEX('Salary Records'!$L$2:$L$201,MATCH(A78,'Salary Records'!$A$2:$A$201,0))</f>
        <v>0</v>
      </c>
      <c r="N78" s="2" t="n">
        <f aca="false">INDEX('Salary Records'!$E$2:$E$201,MATCH(A78,'Salary Records'!$A$2:$A$201,0))</f>
        <v>86000</v>
      </c>
      <c r="O78" s="2" t="n">
        <f aca="false">INDEX('Salary Records'!$O$2:$O$201,MATCH(A78,'Salary Records'!$A$2:$A$201,0))</f>
        <v>0</v>
      </c>
      <c r="P78" s="2" t="n">
        <f aca="false">INDEX('PF Records'!$H$2:$H$201,MATCH(A78,'PF Records'!$A$2:$A$201,0))</f>
        <v>10320</v>
      </c>
      <c r="Q78" s="2" t="n">
        <f aca="false">INDEX('PF Records'!$I$2:$I$201,MATCH(A78,'PF Records'!$A$2:$A$201,0))</f>
        <v>10320</v>
      </c>
      <c r="R78" s="2" t="n">
        <f aca="false">P78+Q78</f>
        <v>20640</v>
      </c>
      <c r="S78" s="2" t="n">
        <f aca="false">INDEX('Salary Records'!$S$2:$S$201,MATCH(A78,'Salary Records'!$A$2:$A$201,0))</f>
        <v>75680</v>
      </c>
      <c r="T78" s="2" t="n">
        <f aca="false">INDEX('Employee Master'!$I$2:$I$201,MATCH(A78,'Employee Master'!$A$2:$A$201,0))</f>
        <v>2.5</v>
      </c>
      <c r="U78" s="2" t="n">
        <f aca="false">INDEX('Employee Master'!$H$2:$H$201,MATCH(A78,'Employee Master'!$A$2:$A$201,0))</f>
        <v>4.2</v>
      </c>
      <c r="V78" s="2" t="n">
        <f aca="false">INDEX('Employee Master'!$J$2:$J$201,MATCH(A78,'Employee Master'!$A$2:$A$201,0))</f>
        <v>6.7</v>
      </c>
    </row>
    <row r="79" customFormat="false" ht="15" hidden="false" customHeight="false" outlineLevel="0" collapsed="false">
      <c r="A79" s="2" t="s">
        <v>203</v>
      </c>
      <c r="B79" s="2" t="s">
        <v>204</v>
      </c>
      <c r="C79" s="2" t="s">
        <v>49</v>
      </c>
      <c r="D79" s="2" t="s">
        <v>657</v>
      </c>
      <c r="E79" s="2" t="n">
        <f aca="false">INDEX('Salary Records'!$F$2:$F$201,MATCH(A79,'Salary Records'!$A$2:$A$201,0))</f>
        <v>26</v>
      </c>
      <c r="F79" s="2" t="n">
        <f aca="false">INDEX('Salary Records'!$G$2:$G$201,MATCH(A79,'Salary Records'!$A$2:$A$201,0))</f>
        <v>21</v>
      </c>
      <c r="G79" s="2" t="n">
        <f aca="false">INDEX('Salary Records'!$H$2:$H$201,MATCH(A79,'Salary Records'!$A$2:$A$201,0))</f>
        <v>2</v>
      </c>
      <c r="H79" s="2" t="n">
        <f aca="false">INDEX('Salary Records'!$I$2:$I$201,MATCH(A79,'Salary Records'!$A$2:$A$201,0))</f>
        <v>2</v>
      </c>
      <c r="I79" s="2" t="n">
        <f aca="false">INDEX('Salary Records'!$J$2:$J$201,MATCH(A79,'Salary Records'!$A$2:$A$201,0))</f>
        <v>1</v>
      </c>
      <c r="J79" s="2" t="n">
        <f aca="false">ROUND(F79/E79*100,1)</f>
        <v>80.8</v>
      </c>
      <c r="K79" s="2" t="n">
        <v>2</v>
      </c>
      <c r="L79" s="2" t="n">
        <f aca="false">INDEX('Salary Records'!$K$2:$K$201,MATCH(A79,'Salary Records'!$A$2:$A$201,0))</f>
        <v>2</v>
      </c>
      <c r="M79" s="2" t="n">
        <f aca="false">INDEX('Salary Records'!$L$2:$L$201,MATCH(A79,'Salary Records'!$A$2:$A$201,0))</f>
        <v>0</v>
      </c>
      <c r="N79" s="2" t="n">
        <f aca="false">INDEX('Salary Records'!$E$2:$E$201,MATCH(A79,'Salary Records'!$A$2:$A$201,0))</f>
        <v>126000</v>
      </c>
      <c r="O79" s="2" t="n">
        <f aca="false">INDEX('Salary Records'!$O$2:$O$201,MATCH(A79,'Salary Records'!$A$2:$A$201,0))</f>
        <v>0</v>
      </c>
      <c r="P79" s="2" t="n">
        <f aca="false">INDEX('PF Records'!$H$2:$H$201,MATCH(A79,'PF Records'!$A$2:$A$201,0))</f>
        <v>15120</v>
      </c>
      <c r="Q79" s="2" t="n">
        <f aca="false">INDEX('PF Records'!$I$2:$I$201,MATCH(A79,'PF Records'!$A$2:$A$201,0))</f>
        <v>15120</v>
      </c>
      <c r="R79" s="2" t="n">
        <f aca="false">P79+Q79</f>
        <v>30240</v>
      </c>
      <c r="S79" s="2" t="n">
        <f aca="false">INDEX('Salary Records'!$S$2:$S$201,MATCH(A79,'Salary Records'!$A$2:$A$201,0))</f>
        <v>108456.92</v>
      </c>
      <c r="T79" s="2" t="n">
        <f aca="false">INDEX('Employee Master'!$I$2:$I$201,MATCH(A79,'Employee Master'!$A$2:$A$201,0))</f>
        <v>0.8</v>
      </c>
      <c r="U79" s="2" t="n">
        <f aca="false">INDEX('Employee Master'!$H$2:$H$201,MATCH(A79,'Employee Master'!$A$2:$A$201,0))</f>
        <v>0</v>
      </c>
      <c r="V79" s="2" t="n">
        <f aca="false">INDEX('Employee Master'!$J$2:$J$201,MATCH(A79,'Employee Master'!$A$2:$A$201,0))</f>
        <v>0.8</v>
      </c>
    </row>
    <row r="80" customFormat="false" ht="15" hidden="false" customHeight="false" outlineLevel="0" collapsed="false">
      <c r="A80" s="2" t="s">
        <v>205</v>
      </c>
      <c r="B80" s="2" t="s">
        <v>206</v>
      </c>
      <c r="C80" s="2" t="s">
        <v>53</v>
      </c>
      <c r="D80" s="2" t="s">
        <v>657</v>
      </c>
      <c r="E80" s="2" t="n">
        <f aca="false">INDEX('Salary Records'!$F$2:$F$201,MATCH(A80,'Salary Records'!$A$2:$A$201,0))</f>
        <v>26</v>
      </c>
      <c r="F80" s="2" t="n">
        <f aca="false">INDEX('Salary Records'!$G$2:$G$201,MATCH(A80,'Salary Records'!$A$2:$A$201,0))</f>
        <v>16</v>
      </c>
      <c r="G80" s="2" t="n">
        <f aca="false">INDEX('Salary Records'!$H$2:$H$201,MATCH(A80,'Salary Records'!$A$2:$A$201,0))</f>
        <v>8</v>
      </c>
      <c r="H80" s="2" t="n">
        <f aca="false">INDEX('Salary Records'!$I$2:$I$201,MATCH(A80,'Salary Records'!$A$2:$A$201,0))</f>
        <v>2</v>
      </c>
      <c r="I80" s="2" t="n">
        <f aca="false">INDEX('Salary Records'!$J$2:$J$201,MATCH(A80,'Salary Records'!$A$2:$A$201,0))</f>
        <v>0</v>
      </c>
      <c r="J80" s="2" t="n">
        <f aca="false">ROUND(F80/E80*100,1)</f>
        <v>61.5</v>
      </c>
      <c r="K80" s="2" t="n">
        <v>2</v>
      </c>
      <c r="L80" s="2" t="n">
        <f aca="false">INDEX('Salary Records'!$K$2:$K$201,MATCH(A80,'Salary Records'!$A$2:$A$201,0))</f>
        <v>2</v>
      </c>
      <c r="M80" s="2" t="n">
        <f aca="false">INDEX('Salary Records'!$L$2:$L$201,MATCH(A80,'Salary Records'!$A$2:$A$201,0))</f>
        <v>6</v>
      </c>
      <c r="N80" s="2" t="n">
        <f aca="false">INDEX('Salary Records'!$E$2:$E$201,MATCH(A80,'Salary Records'!$A$2:$A$201,0))</f>
        <v>22000</v>
      </c>
      <c r="O80" s="2" t="n">
        <f aca="false">INDEX('Salary Records'!$O$2:$O$201,MATCH(A80,'Salary Records'!$A$2:$A$201,0))</f>
        <v>5076.9</v>
      </c>
      <c r="P80" s="2" t="n">
        <f aca="false">INDEX('PF Records'!$H$2:$H$201,MATCH(A80,'PF Records'!$A$2:$A$201,0))</f>
        <v>2640</v>
      </c>
      <c r="Q80" s="2" t="n">
        <f aca="false">INDEX('PF Records'!$I$2:$I$201,MATCH(A80,'PF Records'!$A$2:$A$201,0))</f>
        <v>2640</v>
      </c>
      <c r="R80" s="2" t="n">
        <f aca="false">P80+Q80</f>
        <v>5280</v>
      </c>
      <c r="S80" s="2" t="n">
        <f aca="false">INDEX('Salary Records'!$S$2:$S$201,MATCH(A80,'Salary Records'!$A$2:$A$201,0))</f>
        <v>13436.95</v>
      </c>
      <c r="T80" s="2" t="n">
        <f aca="false">INDEX('Employee Master'!$I$2:$I$201,MATCH(A80,'Employee Master'!$A$2:$A$201,0))</f>
        <v>0.6</v>
      </c>
      <c r="U80" s="2" t="n">
        <f aca="false">INDEX('Employee Master'!$H$2:$H$201,MATCH(A80,'Employee Master'!$A$2:$A$201,0))</f>
        <v>1.5</v>
      </c>
      <c r="V80" s="2" t="n">
        <f aca="false">INDEX('Employee Master'!$J$2:$J$201,MATCH(A80,'Employee Master'!$A$2:$A$201,0))</f>
        <v>2.1</v>
      </c>
    </row>
    <row r="81" customFormat="false" ht="15" hidden="false" customHeight="false" outlineLevel="0" collapsed="false">
      <c r="A81" s="2" t="s">
        <v>207</v>
      </c>
      <c r="B81" s="2" t="s">
        <v>208</v>
      </c>
      <c r="C81" s="2" t="s">
        <v>57</v>
      </c>
      <c r="D81" s="2" t="s">
        <v>657</v>
      </c>
      <c r="E81" s="2" t="n">
        <f aca="false">INDEX('Salary Records'!$F$2:$F$201,MATCH(A81,'Salary Records'!$A$2:$A$201,0))</f>
        <v>26</v>
      </c>
      <c r="F81" s="2" t="n">
        <f aca="false">INDEX('Salary Records'!$G$2:$G$201,MATCH(A81,'Salary Records'!$A$2:$A$201,0))</f>
        <v>26</v>
      </c>
      <c r="G81" s="2" t="n">
        <f aca="false">INDEX('Salary Records'!$H$2:$H$201,MATCH(A81,'Salary Records'!$A$2:$A$201,0))</f>
        <v>0</v>
      </c>
      <c r="H81" s="2" t="n">
        <f aca="false">INDEX('Salary Records'!$I$2:$I$201,MATCH(A81,'Salary Records'!$A$2:$A$201,0))</f>
        <v>0</v>
      </c>
      <c r="I81" s="2" t="n">
        <f aca="false">INDEX('Salary Records'!$J$2:$J$201,MATCH(A81,'Salary Records'!$A$2:$A$201,0))</f>
        <v>0</v>
      </c>
      <c r="J81" s="2" t="n">
        <f aca="false">ROUND(F81/E81*100,1)</f>
        <v>100</v>
      </c>
      <c r="K81" s="2" t="n">
        <v>2</v>
      </c>
      <c r="L81" s="2" t="n">
        <f aca="false">INDEX('Salary Records'!$K$2:$K$201,MATCH(A81,'Salary Records'!$A$2:$A$201,0))</f>
        <v>0</v>
      </c>
      <c r="M81" s="2" t="n">
        <f aca="false">INDEX('Salary Records'!$L$2:$L$201,MATCH(A81,'Salary Records'!$A$2:$A$201,0))</f>
        <v>0</v>
      </c>
      <c r="N81" s="2" t="n">
        <f aca="false">INDEX('Salary Records'!$E$2:$E$201,MATCH(A81,'Salary Records'!$A$2:$A$201,0))</f>
        <v>21000</v>
      </c>
      <c r="O81" s="2" t="n">
        <f aca="false">INDEX('Salary Records'!$O$2:$O$201,MATCH(A81,'Salary Records'!$A$2:$A$201,0))</f>
        <v>0</v>
      </c>
      <c r="P81" s="2" t="n">
        <f aca="false">INDEX('PF Records'!$H$2:$H$201,MATCH(A81,'PF Records'!$A$2:$A$201,0))</f>
        <v>2520</v>
      </c>
      <c r="Q81" s="2" t="n">
        <f aca="false">INDEX('PF Records'!$I$2:$I$201,MATCH(A81,'PF Records'!$A$2:$A$201,0))</f>
        <v>2520</v>
      </c>
      <c r="R81" s="2" t="n">
        <f aca="false">P81+Q81</f>
        <v>5040</v>
      </c>
      <c r="S81" s="2" t="n">
        <f aca="false">INDEX('Salary Records'!$S$2:$S$201,MATCH(A81,'Salary Records'!$A$2:$A$201,0))</f>
        <v>18480</v>
      </c>
      <c r="T81" s="2" t="n">
        <f aca="false">INDEX('Employee Master'!$I$2:$I$201,MATCH(A81,'Employee Master'!$A$2:$A$201,0))</f>
        <v>6.2</v>
      </c>
      <c r="U81" s="2" t="n">
        <f aca="false">INDEX('Employee Master'!$H$2:$H$201,MATCH(A81,'Employee Master'!$A$2:$A$201,0))</f>
        <v>5.9</v>
      </c>
      <c r="V81" s="2" t="n">
        <f aca="false">INDEX('Employee Master'!$J$2:$J$201,MATCH(A81,'Employee Master'!$A$2:$A$201,0))</f>
        <v>12.1</v>
      </c>
    </row>
    <row r="82" customFormat="false" ht="15" hidden="false" customHeight="false" outlineLevel="0" collapsed="false">
      <c r="A82" s="2" t="s">
        <v>209</v>
      </c>
      <c r="B82" s="2" t="s">
        <v>210</v>
      </c>
      <c r="C82" s="2" t="s">
        <v>17</v>
      </c>
      <c r="D82" s="2" t="s">
        <v>657</v>
      </c>
      <c r="E82" s="2" t="n">
        <f aca="false">INDEX('Salary Records'!$F$2:$F$201,MATCH(A82,'Salary Records'!$A$2:$A$201,0))</f>
        <v>26</v>
      </c>
      <c r="F82" s="2" t="n">
        <f aca="false">INDEX('Salary Records'!$G$2:$G$201,MATCH(A82,'Salary Records'!$A$2:$A$201,0))</f>
        <v>22</v>
      </c>
      <c r="G82" s="2" t="n">
        <f aca="false">INDEX('Salary Records'!$H$2:$H$201,MATCH(A82,'Salary Records'!$A$2:$A$201,0))</f>
        <v>3</v>
      </c>
      <c r="H82" s="2" t="n">
        <f aca="false">INDEX('Salary Records'!$I$2:$I$201,MATCH(A82,'Salary Records'!$A$2:$A$201,0))</f>
        <v>1</v>
      </c>
      <c r="I82" s="2" t="n">
        <f aca="false">INDEX('Salary Records'!$J$2:$J$201,MATCH(A82,'Salary Records'!$A$2:$A$201,0))</f>
        <v>0</v>
      </c>
      <c r="J82" s="2" t="n">
        <f aca="false">ROUND(F82/E82*100,1)</f>
        <v>84.6</v>
      </c>
      <c r="K82" s="2" t="n">
        <v>2</v>
      </c>
      <c r="L82" s="2" t="n">
        <f aca="false">INDEX('Salary Records'!$K$2:$K$201,MATCH(A82,'Salary Records'!$A$2:$A$201,0))</f>
        <v>2</v>
      </c>
      <c r="M82" s="2" t="n">
        <f aca="false">INDEX('Salary Records'!$L$2:$L$201,MATCH(A82,'Salary Records'!$A$2:$A$201,0))</f>
        <v>1</v>
      </c>
      <c r="N82" s="2" t="n">
        <f aca="false">INDEX('Salary Records'!$E$2:$E$201,MATCH(A82,'Salary Records'!$A$2:$A$201,0))</f>
        <v>83000</v>
      </c>
      <c r="O82" s="2" t="n">
        <f aca="false">INDEX('Salary Records'!$O$2:$O$201,MATCH(A82,'Salary Records'!$A$2:$A$201,0))</f>
        <v>3192.31</v>
      </c>
      <c r="P82" s="2" t="n">
        <f aca="false">INDEX('PF Records'!$H$2:$H$201,MATCH(A82,'PF Records'!$A$2:$A$201,0))</f>
        <v>9960</v>
      </c>
      <c r="Q82" s="2" t="n">
        <f aca="false">INDEX('PF Records'!$I$2:$I$201,MATCH(A82,'PF Records'!$A$2:$A$201,0))</f>
        <v>9960</v>
      </c>
      <c r="R82" s="2" t="n">
        <f aca="false">P82+Q82</f>
        <v>19920</v>
      </c>
      <c r="S82" s="2" t="n">
        <f aca="false">INDEX('Salary Records'!$S$2:$S$201,MATCH(A82,'Salary Records'!$A$2:$A$201,0))</f>
        <v>69847.69</v>
      </c>
      <c r="T82" s="2" t="n">
        <f aca="false">INDEX('Employee Master'!$I$2:$I$201,MATCH(A82,'Employee Master'!$A$2:$A$201,0))</f>
        <v>6.5</v>
      </c>
      <c r="U82" s="2" t="n">
        <f aca="false">INDEX('Employee Master'!$H$2:$H$201,MATCH(A82,'Employee Master'!$A$2:$A$201,0))</f>
        <v>2.4</v>
      </c>
      <c r="V82" s="2" t="n">
        <f aca="false">INDEX('Employee Master'!$J$2:$J$201,MATCH(A82,'Employee Master'!$A$2:$A$201,0))</f>
        <v>8.9</v>
      </c>
    </row>
    <row r="83" customFormat="false" ht="15" hidden="false" customHeight="false" outlineLevel="0" collapsed="false">
      <c r="A83" s="2" t="s">
        <v>211</v>
      </c>
      <c r="B83" s="2" t="s">
        <v>212</v>
      </c>
      <c r="C83" s="2" t="s">
        <v>24</v>
      </c>
      <c r="D83" s="2" t="s">
        <v>657</v>
      </c>
      <c r="E83" s="2" t="n">
        <f aca="false">INDEX('Salary Records'!$F$2:$F$201,MATCH(A83,'Salary Records'!$A$2:$A$201,0))</f>
        <v>26</v>
      </c>
      <c r="F83" s="2" t="n">
        <f aca="false">INDEX('Salary Records'!$G$2:$G$201,MATCH(A83,'Salary Records'!$A$2:$A$201,0))</f>
        <v>24</v>
      </c>
      <c r="G83" s="2" t="n">
        <f aca="false">INDEX('Salary Records'!$H$2:$H$201,MATCH(A83,'Salary Records'!$A$2:$A$201,0))</f>
        <v>2</v>
      </c>
      <c r="H83" s="2" t="n">
        <f aca="false">INDEX('Salary Records'!$I$2:$I$201,MATCH(A83,'Salary Records'!$A$2:$A$201,0))</f>
        <v>0</v>
      </c>
      <c r="I83" s="2" t="n">
        <f aca="false">INDEX('Salary Records'!$J$2:$J$201,MATCH(A83,'Salary Records'!$A$2:$A$201,0))</f>
        <v>0</v>
      </c>
      <c r="J83" s="2" t="n">
        <f aca="false">ROUND(F83/E83*100,1)</f>
        <v>92.3</v>
      </c>
      <c r="K83" s="2" t="n">
        <v>2</v>
      </c>
      <c r="L83" s="2" t="n">
        <f aca="false">INDEX('Salary Records'!$K$2:$K$201,MATCH(A83,'Salary Records'!$A$2:$A$201,0))</f>
        <v>2</v>
      </c>
      <c r="M83" s="2" t="n">
        <f aca="false">INDEX('Salary Records'!$L$2:$L$201,MATCH(A83,'Salary Records'!$A$2:$A$201,0))</f>
        <v>0</v>
      </c>
      <c r="N83" s="2" t="n">
        <f aca="false">INDEX('Salary Records'!$E$2:$E$201,MATCH(A83,'Salary Records'!$A$2:$A$201,0))</f>
        <v>82000</v>
      </c>
      <c r="O83" s="2" t="n">
        <f aca="false">INDEX('Salary Records'!$O$2:$O$201,MATCH(A83,'Salary Records'!$A$2:$A$201,0))</f>
        <v>0</v>
      </c>
      <c r="P83" s="2" t="n">
        <f aca="false">INDEX('PF Records'!$H$2:$H$201,MATCH(A83,'PF Records'!$A$2:$A$201,0))</f>
        <v>9840</v>
      </c>
      <c r="Q83" s="2" t="n">
        <f aca="false">INDEX('PF Records'!$I$2:$I$201,MATCH(A83,'PF Records'!$A$2:$A$201,0))</f>
        <v>9840</v>
      </c>
      <c r="R83" s="2" t="n">
        <f aca="false">P83+Q83</f>
        <v>19680</v>
      </c>
      <c r="S83" s="2" t="n">
        <f aca="false">INDEX('Salary Records'!$S$2:$S$201,MATCH(A83,'Salary Records'!$A$2:$A$201,0))</f>
        <v>72160</v>
      </c>
      <c r="T83" s="2" t="n">
        <f aca="false">INDEX('Employee Master'!$I$2:$I$201,MATCH(A83,'Employee Master'!$A$2:$A$201,0))</f>
        <v>0.7</v>
      </c>
      <c r="U83" s="2" t="n">
        <f aca="false">INDEX('Employee Master'!$H$2:$H$201,MATCH(A83,'Employee Master'!$A$2:$A$201,0))</f>
        <v>4.3</v>
      </c>
      <c r="V83" s="2" t="n">
        <f aca="false">INDEX('Employee Master'!$J$2:$J$201,MATCH(A83,'Employee Master'!$A$2:$A$201,0))</f>
        <v>5</v>
      </c>
    </row>
    <row r="84" customFormat="false" ht="15" hidden="false" customHeight="false" outlineLevel="0" collapsed="false">
      <c r="A84" s="2" t="s">
        <v>213</v>
      </c>
      <c r="B84" s="2" t="s">
        <v>214</v>
      </c>
      <c r="C84" s="2" t="s">
        <v>28</v>
      </c>
      <c r="D84" s="2" t="s">
        <v>657</v>
      </c>
      <c r="E84" s="2" t="n">
        <f aca="false">INDEX('Salary Records'!$F$2:$F$201,MATCH(A84,'Salary Records'!$A$2:$A$201,0))</f>
        <v>26</v>
      </c>
      <c r="F84" s="2" t="n">
        <f aca="false">INDEX('Salary Records'!$G$2:$G$201,MATCH(A84,'Salary Records'!$A$2:$A$201,0))</f>
        <v>21</v>
      </c>
      <c r="G84" s="2" t="n">
        <f aca="false">INDEX('Salary Records'!$H$2:$H$201,MATCH(A84,'Salary Records'!$A$2:$A$201,0))</f>
        <v>2</v>
      </c>
      <c r="H84" s="2" t="n">
        <f aca="false">INDEX('Salary Records'!$I$2:$I$201,MATCH(A84,'Salary Records'!$A$2:$A$201,0))</f>
        <v>1</v>
      </c>
      <c r="I84" s="2" t="n">
        <f aca="false">INDEX('Salary Records'!$J$2:$J$201,MATCH(A84,'Salary Records'!$A$2:$A$201,0))</f>
        <v>2</v>
      </c>
      <c r="J84" s="2" t="n">
        <f aca="false">ROUND(F84/E84*100,1)</f>
        <v>80.8</v>
      </c>
      <c r="K84" s="2" t="n">
        <v>2</v>
      </c>
      <c r="L84" s="2" t="n">
        <f aca="false">INDEX('Salary Records'!$K$2:$K$201,MATCH(A84,'Salary Records'!$A$2:$A$201,0))</f>
        <v>2</v>
      </c>
      <c r="M84" s="2" t="n">
        <f aca="false">INDEX('Salary Records'!$L$2:$L$201,MATCH(A84,'Salary Records'!$A$2:$A$201,0))</f>
        <v>0</v>
      </c>
      <c r="N84" s="2" t="n">
        <f aca="false">INDEX('Salary Records'!$E$2:$E$201,MATCH(A84,'Salary Records'!$A$2:$A$201,0))</f>
        <v>38000</v>
      </c>
      <c r="O84" s="2" t="n">
        <f aca="false">INDEX('Salary Records'!$O$2:$O$201,MATCH(A84,'Salary Records'!$A$2:$A$201,0))</f>
        <v>0</v>
      </c>
      <c r="P84" s="2" t="n">
        <f aca="false">INDEX('PF Records'!$H$2:$H$201,MATCH(A84,'PF Records'!$A$2:$A$201,0))</f>
        <v>4560</v>
      </c>
      <c r="Q84" s="2" t="n">
        <f aca="false">INDEX('PF Records'!$I$2:$I$201,MATCH(A84,'PF Records'!$A$2:$A$201,0))</f>
        <v>4560</v>
      </c>
      <c r="R84" s="2" t="n">
        <f aca="false">P84+Q84</f>
        <v>9120</v>
      </c>
      <c r="S84" s="2" t="n">
        <f aca="false">INDEX('Salary Records'!$S$2:$S$201,MATCH(A84,'Salary Records'!$A$2:$A$201,0))</f>
        <v>31978.46</v>
      </c>
      <c r="T84" s="2" t="n">
        <f aca="false">INDEX('Employee Master'!$I$2:$I$201,MATCH(A84,'Employee Master'!$A$2:$A$201,0))</f>
        <v>5.4</v>
      </c>
      <c r="U84" s="2" t="n">
        <f aca="false">INDEX('Employee Master'!$H$2:$H$201,MATCH(A84,'Employee Master'!$A$2:$A$201,0))</f>
        <v>5.6</v>
      </c>
      <c r="V84" s="2" t="n">
        <f aca="false">INDEX('Employee Master'!$J$2:$J$201,MATCH(A84,'Employee Master'!$A$2:$A$201,0))</f>
        <v>11</v>
      </c>
    </row>
    <row r="85" customFormat="false" ht="15" hidden="false" customHeight="false" outlineLevel="0" collapsed="false">
      <c r="A85" s="2" t="s">
        <v>215</v>
      </c>
      <c r="B85" s="2" t="s">
        <v>216</v>
      </c>
      <c r="C85" s="2" t="s">
        <v>32</v>
      </c>
      <c r="D85" s="2" t="s">
        <v>657</v>
      </c>
      <c r="E85" s="2" t="n">
        <f aca="false">INDEX('Salary Records'!$F$2:$F$201,MATCH(A85,'Salary Records'!$A$2:$A$201,0))</f>
        <v>26</v>
      </c>
      <c r="F85" s="2" t="n">
        <f aca="false">INDEX('Salary Records'!$G$2:$G$201,MATCH(A85,'Salary Records'!$A$2:$A$201,0))</f>
        <v>26</v>
      </c>
      <c r="G85" s="2" t="n">
        <f aca="false">INDEX('Salary Records'!$H$2:$H$201,MATCH(A85,'Salary Records'!$A$2:$A$201,0))</f>
        <v>0</v>
      </c>
      <c r="H85" s="2" t="n">
        <f aca="false">INDEX('Salary Records'!$I$2:$I$201,MATCH(A85,'Salary Records'!$A$2:$A$201,0))</f>
        <v>0</v>
      </c>
      <c r="I85" s="2" t="n">
        <f aca="false">INDEX('Salary Records'!$J$2:$J$201,MATCH(A85,'Salary Records'!$A$2:$A$201,0))</f>
        <v>0</v>
      </c>
      <c r="J85" s="2" t="n">
        <f aca="false">ROUND(F85/E85*100,1)</f>
        <v>100</v>
      </c>
      <c r="K85" s="2" t="n">
        <v>2</v>
      </c>
      <c r="L85" s="2" t="n">
        <f aca="false">INDEX('Salary Records'!$K$2:$K$201,MATCH(A85,'Salary Records'!$A$2:$A$201,0))</f>
        <v>0</v>
      </c>
      <c r="M85" s="2" t="n">
        <f aca="false">INDEX('Salary Records'!$L$2:$L$201,MATCH(A85,'Salary Records'!$A$2:$A$201,0))</f>
        <v>0</v>
      </c>
      <c r="N85" s="2" t="n">
        <f aca="false">INDEX('Salary Records'!$E$2:$E$201,MATCH(A85,'Salary Records'!$A$2:$A$201,0))</f>
        <v>51500</v>
      </c>
      <c r="O85" s="2" t="n">
        <f aca="false">INDEX('Salary Records'!$O$2:$O$201,MATCH(A85,'Salary Records'!$A$2:$A$201,0))</f>
        <v>0</v>
      </c>
      <c r="P85" s="2" t="n">
        <f aca="false">INDEX('PF Records'!$H$2:$H$201,MATCH(A85,'PF Records'!$A$2:$A$201,0))</f>
        <v>6180</v>
      </c>
      <c r="Q85" s="2" t="n">
        <f aca="false">INDEX('PF Records'!$I$2:$I$201,MATCH(A85,'PF Records'!$A$2:$A$201,0))</f>
        <v>6180</v>
      </c>
      <c r="R85" s="2" t="n">
        <f aca="false">P85+Q85</f>
        <v>12360</v>
      </c>
      <c r="S85" s="2" t="n">
        <f aca="false">INDEX('Salary Records'!$S$2:$S$201,MATCH(A85,'Salary Records'!$A$2:$A$201,0))</f>
        <v>45320</v>
      </c>
      <c r="T85" s="2" t="n">
        <f aca="false">INDEX('Employee Master'!$I$2:$I$201,MATCH(A85,'Employee Master'!$A$2:$A$201,0))</f>
        <v>8.5</v>
      </c>
      <c r="U85" s="2" t="n">
        <f aca="false">INDEX('Employee Master'!$H$2:$H$201,MATCH(A85,'Employee Master'!$A$2:$A$201,0))</f>
        <v>4.6</v>
      </c>
      <c r="V85" s="2" t="n">
        <f aca="false">INDEX('Employee Master'!$J$2:$J$201,MATCH(A85,'Employee Master'!$A$2:$A$201,0))</f>
        <v>13.1</v>
      </c>
    </row>
    <row r="86" customFormat="false" ht="15" hidden="false" customHeight="false" outlineLevel="0" collapsed="false">
      <c r="A86" s="2" t="s">
        <v>217</v>
      </c>
      <c r="B86" s="2" t="s">
        <v>218</v>
      </c>
      <c r="C86" s="2" t="s">
        <v>36</v>
      </c>
      <c r="D86" s="2" t="s">
        <v>657</v>
      </c>
      <c r="E86" s="2" t="n">
        <f aca="false">INDEX('Salary Records'!$F$2:$F$201,MATCH(A86,'Salary Records'!$A$2:$A$201,0))</f>
        <v>26</v>
      </c>
      <c r="F86" s="2" t="n">
        <f aca="false">INDEX('Salary Records'!$G$2:$G$201,MATCH(A86,'Salary Records'!$A$2:$A$201,0))</f>
        <v>21</v>
      </c>
      <c r="G86" s="2" t="n">
        <f aca="false">INDEX('Salary Records'!$H$2:$H$201,MATCH(A86,'Salary Records'!$A$2:$A$201,0))</f>
        <v>5</v>
      </c>
      <c r="H86" s="2" t="n">
        <f aca="false">INDEX('Salary Records'!$I$2:$I$201,MATCH(A86,'Salary Records'!$A$2:$A$201,0))</f>
        <v>0</v>
      </c>
      <c r="I86" s="2" t="n">
        <f aca="false">INDEX('Salary Records'!$J$2:$J$201,MATCH(A86,'Salary Records'!$A$2:$A$201,0))</f>
        <v>0</v>
      </c>
      <c r="J86" s="2" t="n">
        <f aca="false">ROUND(F86/E86*100,1)</f>
        <v>80.8</v>
      </c>
      <c r="K86" s="2" t="n">
        <v>2</v>
      </c>
      <c r="L86" s="2" t="n">
        <f aca="false">INDEX('Salary Records'!$K$2:$K$201,MATCH(A86,'Salary Records'!$A$2:$A$201,0))</f>
        <v>2</v>
      </c>
      <c r="M86" s="2" t="n">
        <f aca="false">INDEX('Salary Records'!$L$2:$L$201,MATCH(A86,'Salary Records'!$A$2:$A$201,0))</f>
        <v>3</v>
      </c>
      <c r="N86" s="2" t="n">
        <f aca="false">INDEX('Salary Records'!$E$2:$E$201,MATCH(A86,'Salary Records'!$A$2:$A$201,0))</f>
        <v>67500</v>
      </c>
      <c r="O86" s="2" t="n">
        <f aca="false">INDEX('Salary Records'!$O$2:$O$201,MATCH(A86,'Salary Records'!$A$2:$A$201,0))</f>
        <v>7788.45</v>
      </c>
      <c r="P86" s="2" t="n">
        <f aca="false">INDEX('PF Records'!$H$2:$H$201,MATCH(A86,'PF Records'!$A$2:$A$201,0))</f>
        <v>8100</v>
      </c>
      <c r="Q86" s="2" t="n">
        <f aca="false">INDEX('PF Records'!$I$2:$I$201,MATCH(A86,'PF Records'!$A$2:$A$201,0))</f>
        <v>8100</v>
      </c>
      <c r="R86" s="2" t="n">
        <f aca="false">P86+Q86</f>
        <v>16200</v>
      </c>
      <c r="S86" s="2" t="n">
        <f aca="false">INDEX('Salary Records'!$S$2:$S$201,MATCH(A86,'Salary Records'!$A$2:$A$201,0))</f>
        <v>51611.55</v>
      </c>
      <c r="T86" s="2" t="n">
        <f aca="false">INDEX('Employee Master'!$I$2:$I$201,MATCH(A86,'Employee Master'!$A$2:$A$201,0))</f>
        <v>6.6</v>
      </c>
      <c r="U86" s="2" t="n">
        <f aca="false">INDEX('Employee Master'!$H$2:$H$201,MATCH(A86,'Employee Master'!$A$2:$A$201,0))</f>
        <v>0</v>
      </c>
      <c r="V86" s="2" t="n">
        <f aca="false">INDEX('Employee Master'!$J$2:$J$201,MATCH(A86,'Employee Master'!$A$2:$A$201,0))</f>
        <v>6.6</v>
      </c>
    </row>
    <row r="87" customFormat="false" ht="15" hidden="false" customHeight="false" outlineLevel="0" collapsed="false">
      <c r="A87" s="2" t="s">
        <v>219</v>
      </c>
      <c r="B87" s="2" t="s">
        <v>220</v>
      </c>
      <c r="C87" s="2" t="s">
        <v>41</v>
      </c>
      <c r="D87" s="2" t="s">
        <v>657</v>
      </c>
      <c r="E87" s="2" t="n">
        <f aca="false">INDEX('Salary Records'!$F$2:$F$201,MATCH(A87,'Salary Records'!$A$2:$A$201,0))</f>
        <v>26</v>
      </c>
      <c r="F87" s="2" t="n">
        <f aca="false">INDEX('Salary Records'!$G$2:$G$201,MATCH(A87,'Salary Records'!$A$2:$A$201,0))</f>
        <v>18</v>
      </c>
      <c r="G87" s="2" t="n">
        <f aca="false">INDEX('Salary Records'!$H$2:$H$201,MATCH(A87,'Salary Records'!$A$2:$A$201,0))</f>
        <v>4</v>
      </c>
      <c r="H87" s="2" t="n">
        <f aca="false">INDEX('Salary Records'!$I$2:$I$201,MATCH(A87,'Salary Records'!$A$2:$A$201,0))</f>
        <v>2</v>
      </c>
      <c r="I87" s="2" t="n">
        <f aca="false">INDEX('Salary Records'!$J$2:$J$201,MATCH(A87,'Salary Records'!$A$2:$A$201,0))</f>
        <v>2</v>
      </c>
      <c r="J87" s="2" t="n">
        <f aca="false">ROUND(F87/E87*100,1)</f>
        <v>69.2</v>
      </c>
      <c r="K87" s="2" t="n">
        <v>2</v>
      </c>
      <c r="L87" s="2" t="n">
        <f aca="false">INDEX('Salary Records'!$K$2:$K$201,MATCH(A87,'Salary Records'!$A$2:$A$201,0))</f>
        <v>2</v>
      </c>
      <c r="M87" s="2" t="n">
        <f aca="false">INDEX('Salary Records'!$L$2:$L$201,MATCH(A87,'Salary Records'!$A$2:$A$201,0))</f>
        <v>2</v>
      </c>
      <c r="N87" s="2" t="n">
        <f aca="false">INDEX('Salary Records'!$E$2:$E$201,MATCH(A87,'Salary Records'!$A$2:$A$201,0))</f>
        <v>57500</v>
      </c>
      <c r="O87" s="2" t="n">
        <f aca="false">INDEX('Salary Records'!$O$2:$O$201,MATCH(A87,'Salary Records'!$A$2:$A$201,0))</f>
        <v>4423.08</v>
      </c>
      <c r="P87" s="2" t="n">
        <f aca="false">INDEX('PF Records'!$H$2:$H$201,MATCH(A87,'PF Records'!$A$2:$A$201,0))</f>
        <v>6900</v>
      </c>
      <c r="Q87" s="2" t="n">
        <f aca="false">INDEX('PF Records'!$I$2:$I$201,MATCH(A87,'PF Records'!$A$2:$A$201,0))</f>
        <v>6900</v>
      </c>
      <c r="R87" s="2" t="n">
        <f aca="false">P87+Q87</f>
        <v>13800</v>
      </c>
      <c r="S87" s="2" t="n">
        <f aca="false">INDEX('Salary Records'!$S$2:$S$201,MATCH(A87,'Salary Records'!$A$2:$A$201,0))</f>
        <v>43965.38</v>
      </c>
      <c r="T87" s="2" t="n">
        <f aca="false">INDEX('Employee Master'!$I$2:$I$201,MATCH(A87,'Employee Master'!$A$2:$A$201,0))</f>
        <v>7.9</v>
      </c>
      <c r="U87" s="2" t="n">
        <f aca="false">INDEX('Employee Master'!$H$2:$H$201,MATCH(A87,'Employee Master'!$A$2:$A$201,0))</f>
        <v>3.2</v>
      </c>
      <c r="V87" s="2" t="n">
        <f aca="false">INDEX('Employee Master'!$J$2:$J$201,MATCH(A87,'Employee Master'!$A$2:$A$201,0))</f>
        <v>11.1</v>
      </c>
    </row>
    <row r="88" customFormat="false" ht="15" hidden="false" customHeight="false" outlineLevel="0" collapsed="false">
      <c r="A88" s="2" t="s">
        <v>221</v>
      </c>
      <c r="B88" s="2" t="s">
        <v>222</v>
      </c>
      <c r="C88" s="2" t="s">
        <v>45</v>
      </c>
      <c r="D88" s="2" t="s">
        <v>657</v>
      </c>
      <c r="E88" s="2" t="n">
        <f aca="false">INDEX('Salary Records'!$F$2:$F$201,MATCH(A88,'Salary Records'!$A$2:$A$201,0))</f>
        <v>26</v>
      </c>
      <c r="F88" s="2" t="n">
        <f aca="false">INDEX('Salary Records'!$G$2:$G$201,MATCH(A88,'Salary Records'!$A$2:$A$201,0))</f>
        <v>22</v>
      </c>
      <c r="G88" s="2" t="n">
        <f aca="false">INDEX('Salary Records'!$H$2:$H$201,MATCH(A88,'Salary Records'!$A$2:$A$201,0))</f>
        <v>2</v>
      </c>
      <c r="H88" s="2" t="n">
        <f aca="false">INDEX('Salary Records'!$I$2:$I$201,MATCH(A88,'Salary Records'!$A$2:$A$201,0))</f>
        <v>1</v>
      </c>
      <c r="I88" s="2" t="n">
        <f aca="false">INDEX('Salary Records'!$J$2:$J$201,MATCH(A88,'Salary Records'!$A$2:$A$201,0))</f>
        <v>1</v>
      </c>
      <c r="J88" s="2" t="n">
        <f aca="false">ROUND(F88/E88*100,1)</f>
        <v>84.6</v>
      </c>
      <c r="K88" s="2" t="n">
        <v>2</v>
      </c>
      <c r="L88" s="2" t="n">
        <f aca="false">INDEX('Salary Records'!$K$2:$K$201,MATCH(A88,'Salary Records'!$A$2:$A$201,0))</f>
        <v>2</v>
      </c>
      <c r="M88" s="2" t="n">
        <f aca="false">INDEX('Salary Records'!$L$2:$L$201,MATCH(A88,'Salary Records'!$A$2:$A$201,0))</f>
        <v>0</v>
      </c>
      <c r="N88" s="2" t="n">
        <f aca="false">INDEX('Salary Records'!$E$2:$E$201,MATCH(A88,'Salary Records'!$A$2:$A$201,0))</f>
        <v>25000</v>
      </c>
      <c r="O88" s="2" t="n">
        <f aca="false">INDEX('Salary Records'!$O$2:$O$201,MATCH(A88,'Salary Records'!$A$2:$A$201,0))</f>
        <v>0</v>
      </c>
      <c r="P88" s="2" t="n">
        <f aca="false">INDEX('PF Records'!$H$2:$H$201,MATCH(A88,'PF Records'!$A$2:$A$201,0))</f>
        <v>3000</v>
      </c>
      <c r="Q88" s="2" t="n">
        <f aca="false">INDEX('PF Records'!$I$2:$I$201,MATCH(A88,'PF Records'!$A$2:$A$201,0))</f>
        <v>3000</v>
      </c>
      <c r="R88" s="2" t="n">
        <f aca="false">P88+Q88</f>
        <v>6000</v>
      </c>
      <c r="S88" s="2" t="n">
        <f aca="false">INDEX('Salary Records'!$S$2:$S$201,MATCH(A88,'Salary Records'!$A$2:$A$201,0))</f>
        <v>21519.23</v>
      </c>
      <c r="T88" s="2" t="n">
        <f aca="false">INDEX('Employee Master'!$I$2:$I$201,MATCH(A88,'Employee Master'!$A$2:$A$201,0))</f>
        <v>7</v>
      </c>
      <c r="U88" s="2" t="n">
        <f aca="false">INDEX('Employee Master'!$H$2:$H$201,MATCH(A88,'Employee Master'!$A$2:$A$201,0))</f>
        <v>6.5</v>
      </c>
      <c r="V88" s="2" t="n">
        <f aca="false">INDEX('Employee Master'!$J$2:$J$201,MATCH(A88,'Employee Master'!$A$2:$A$201,0))</f>
        <v>13.5</v>
      </c>
    </row>
    <row r="89" customFormat="false" ht="15" hidden="false" customHeight="false" outlineLevel="0" collapsed="false">
      <c r="A89" s="2" t="s">
        <v>223</v>
      </c>
      <c r="B89" s="2" t="s">
        <v>224</v>
      </c>
      <c r="C89" s="2" t="s">
        <v>49</v>
      </c>
      <c r="D89" s="2" t="s">
        <v>657</v>
      </c>
      <c r="E89" s="2" t="n">
        <f aca="false">INDEX('Salary Records'!$F$2:$F$201,MATCH(A89,'Salary Records'!$A$2:$A$201,0))</f>
        <v>26</v>
      </c>
      <c r="F89" s="2" t="n">
        <f aca="false">INDEX('Salary Records'!$G$2:$G$201,MATCH(A89,'Salary Records'!$A$2:$A$201,0))</f>
        <v>21</v>
      </c>
      <c r="G89" s="2" t="n">
        <f aca="false">INDEX('Salary Records'!$H$2:$H$201,MATCH(A89,'Salary Records'!$A$2:$A$201,0))</f>
        <v>3</v>
      </c>
      <c r="H89" s="2" t="n">
        <f aca="false">INDEX('Salary Records'!$I$2:$I$201,MATCH(A89,'Salary Records'!$A$2:$A$201,0))</f>
        <v>1</v>
      </c>
      <c r="I89" s="2" t="n">
        <f aca="false">INDEX('Salary Records'!$J$2:$J$201,MATCH(A89,'Salary Records'!$A$2:$A$201,0))</f>
        <v>1</v>
      </c>
      <c r="J89" s="2" t="n">
        <f aca="false">ROUND(F89/E89*100,1)</f>
        <v>80.8</v>
      </c>
      <c r="K89" s="2" t="n">
        <v>2</v>
      </c>
      <c r="L89" s="2" t="n">
        <f aca="false">INDEX('Salary Records'!$K$2:$K$201,MATCH(A89,'Salary Records'!$A$2:$A$201,0))</f>
        <v>2</v>
      </c>
      <c r="M89" s="2" t="n">
        <f aca="false">INDEX('Salary Records'!$L$2:$L$201,MATCH(A89,'Salary Records'!$A$2:$A$201,0))</f>
        <v>1</v>
      </c>
      <c r="N89" s="2" t="n">
        <f aca="false">INDEX('Salary Records'!$E$2:$E$201,MATCH(A89,'Salary Records'!$A$2:$A$201,0))</f>
        <v>27000</v>
      </c>
      <c r="O89" s="2" t="n">
        <f aca="false">INDEX('Salary Records'!$O$2:$O$201,MATCH(A89,'Salary Records'!$A$2:$A$201,0))</f>
        <v>1038.46</v>
      </c>
      <c r="P89" s="2" t="n">
        <f aca="false">INDEX('PF Records'!$H$2:$H$201,MATCH(A89,'PF Records'!$A$2:$A$201,0))</f>
        <v>3240</v>
      </c>
      <c r="Q89" s="2" t="n">
        <f aca="false">INDEX('PF Records'!$I$2:$I$201,MATCH(A89,'PF Records'!$A$2:$A$201,0))</f>
        <v>3240</v>
      </c>
      <c r="R89" s="2" t="n">
        <f aca="false">P89+Q89</f>
        <v>6480</v>
      </c>
      <c r="S89" s="2" t="n">
        <f aca="false">INDEX('Salary Records'!$S$2:$S$201,MATCH(A89,'Salary Records'!$A$2:$A$201,0))</f>
        <v>21163.85</v>
      </c>
      <c r="T89" s="2" t="n">
        <f aca="false">INDEX('Employee Master'!$I$2:$I$201,MATCH(A89,'Employee Master'!$A$2:$A$201,0))</f>
        <v>7.3</v>
      </c>
      <c r="U89" s="2" t="n">
        <f aca="false">INDEX('Employee Master'!$H$2:$H$201,MATCH(A89,'Employee Master'!$A$2:$A$201,0))</f>
        <v>4.5</v>
      </c>
      <c r="V89" s="2" t="n">
        <f aca="false">INDEX('Employee Master'!$J$2:$J$201,MATCH(A89,'Employee Master'!$A$2:$A$201,0))</f>
        <v>11.8</v>
      </c>
    </row>
    <row r="90" customFormat="false" ht="15" hidden="false" customHeight="false" outlineLevel="0" collapsed="false">
      <c r="A90" s="2" t="s">
        <v>225</v>
      </c>
      <c r="B90" s="2" t="s">
        <v>226</v>
      </c>
      <c r="C90" s="2" t="s">
        <v>53</v>
      </c>
      <c r="D90" s="2" t="s">
        <v>657</v>
      </c>
      <c r="E90" s="2" t="n">
        <f aca="false">INDEX('Salary Records'!$F$2:$F$201,MATCH(A90,'Salary Records'!$A$2:$A$201,0))</f>
        <v>26</v>
      </c>
      <c r="F90" s="2" t="n">
        <f aca="false">INDEX('Salary Records'!$G$2:$G$201,MATCH(A90,'Salary Records'!$A$2:$A$201,0))</f>
        <v>24</v>
      </c>
      <c r="G90" s="2" t="n">
        <f aca="false">INDEX('Salary Records'!$H$2:$H$201,MATCH(A90,'Salary Records'!$A$2:$A$201,0))</f>
        <v>2</v>
      </c>
      <c r="H90" s="2" t="n">
        <f aca="false">INDEX('Salary Records'!$I$2:$I$201,MATCH(A90,'Salary Records'!$A$2:$A$201,0))</f>
        <v>0</v>
      </c>
      <c r="I90" s="2" t="n">
        <f aca="false">INDEX('Salary Records'!$J$2:$J$201,MATCH(A90,'Salary Records'!$A$2:$A$201,0))</f>
        <v>0</v>
      </c>
      <c r="J90" s="2" t="n">
        <f aca="false">ROUND(F90/E90*100,1)</f>
        <v>92.3</v>
      </c>
      <c r="K90" s="2" t="n">
        <v>2</v>
      </c>
      <c r="L90" s="2" t="n">
        <f aca="false">INDEX('Salary Records'!$K$2:$K$201,MATCH(A90,'Salary Records'!$A$2:$A$201,0))</f>
        <v>2</v>
      </c>
      <c r="M90" s="2" t="n">
        <f aca="false">INDEX('Salary Records'!$L$2:$L$201,MATCH(A90,'Salary Records'!$A$2:$A$201,0))</f>
        <v>0</v>
      </c>
      <c r="N90" s="2" t="n">
        <f aca="false">INDEX('Salary Records'!$E$2:$E$201,MATCH(A90,'Salary Records'!$A$2:$A$201,0))</f>
        <v>30500</v>
      </c>
      <c r="O90" s="2" t="n">
        <f aca="false">INDEX('Salary Records'!$O$2:$O$201,MATCH(A90,'Salary Records'!$A$2:$A$201,0))</f>
        <v>0</v>
      </c>
      <c r="P90" s="2" t="n">
        <f aca="false">INDEX('PF Records'!$H$2:$H$201,MATCH(A90,'PF Records'!$A$2:$A$201,0))</f>
        <v>3660</v>
      </c>
      <c r="Q90" s="2" t="n">
        <f aca="false">INDEX('PF Records'!$I$2:$I$201,MATCH(A90,'PF Records'!$A$2:$A$201,0))</f>
        <v>3660</v>
      </c>
      <c r="R90" s="2" t="n">
        <f aca="false">P90+Q90</f>
        <v>7320</v>
      </c>
      <c r="S90" s="2" t="n">
        <f aca="false">INDEX('Salary Records'!$S$2:$S$201,MATCH(A90,'Salary Records'!$A$2:$A$201,0))</f>
        <v>26840</v>
      </c>
      <c r="T90" s="2" t="n">
        <f aca="false">INDEX('Employee Master'!$I$2:$I$201,MATCH(A90,'Employee Master'!$A$2:$A$201,0))</f>
        <v>3.6</v>
      </c>
      <c r="U90" s="2" t="n">
        <f aca="false">INDEX('Employee Master'!$H$2:$H$201,MATCH(A90,'Employee Master'!$A$2:$A$201,0))</f>
        <v>7.3</v>
      </c>
      <c r="V90" s="2" t="n">
        <f aca="false">INDEX('Employee Master'!$J$2:$J$201,MATCH(A90,'Employee Master'!$A$2:$A$201,0))</f>
        <v>10.9</v>
      </c>
    </row>
    <row r="91" customFormat="false" ht="15" hidden="false" customHeight="false" outlineLevel="0" collapsed="false">
      <c r="A91" s="2" t="s">
        <v>227</v>
      </c>
      <c r="B91" s="2" t="s">
        <v>228</v>
      </c>
      <c r="C91" s="2" t="s">
        <v>57</v>
      </c>
      <c r="D91" s="2" t="s">
        <v>657</v>
      </c>
      <c r="E91" s="2" t="n">
        <f aca="false">INDEX('Salary Records'!$F$2:$F$201,MATCH(A91,'Salary Records'!$A$2:$A$201,0))</f>
        <v>26</v>
      </c>
      <c r="F91" s="2" t="n">
        <f aca="false">INDEX('Salary Records'!$G$2:$G$201,MATCH(A91,'Salary Records'!$A$2:$A$201,0))</f>
        <v>21</v>
      </c>
      <c r="G91" s="2" t="n">
        <f aca="false">INDEX('Salary Records'!$H$2:$H$201,MATCH(A91,'Salary Records'!$A$2:$A$201,0))</f>
        <v>4</v>
      </c>
      <c r="H91" s="2" t="n">
        <f aca="false">INDEX('Salary Records'!$I$2:$I$201,MATCH(A91,'Salary Records'!$A$2:$A$201,0))</f>
        <v>1</v>
      </c>
      <c r="I91" s="2" t="n">
        <f aca="false">INDEX('Salary Records'!$J$2:$J$201,MATCH(A91,'Salary Records'!$A$2:$A$201,0))</f>
        <v>0</v>
      </c>
      <c r="J91" s="2" t="n">
        <f aca="false">ROUND(F91/E91*100,1)</f>
        <v>80.8</v>
      </c>
      <c r="K91" s="2" t="n">
        <v>2</v>
      </c>
      <c r="L91" s="2" t="n">
        <f aca="false">INDEX('Salary Records'!$K$2:$K$201,MATCH(A91,'Salary Records'!$A$2:$A$201,0))</f>
        <v>2</v>
      </c>
      <c r="M91" s="2" t="n">
        <f aca="false">INDEX('Salary Records'!$L$2:$L$201,MATCH(A91,'Salary Records'!$A$2:$A$201,0))</f>
        <v>2</v>
      </c>
      <c r="N91" s="2" t="n">
        <f aca="false">INDEX('Salary Records'!$E$2:$E$201,MATCH(A91,'Salary Records'!$A$2:$A$201,0))</f>
        <v>55000</v>
      </c>
      <c r="O91" s="2" t="n">
        <f aca="false">INDEX('Salary Records'!$O$2:$O$201,MATCH(A91,'Salary Records'!$A$2:$A$201,0))</f>
        <v>4230.76</v>
      </c>
      <c r="P91" s="2" t="n">
        <f aca="false">INDEX('PF Records'!$H$2:$H$201,MATCH(A91,'PF Records'!$A$2:$A$201,0))</f>
        <v>6600</v>
      </c>
      <c r="Q91" s="2" t="n">
        <f aca="false">INDEX('PF Records'!$I$2:$I$201,MATCH(A91,'PF Records'!$A$2:$A$201,0))</f>
        <v>6600</v>
      </c>
      <c r="R91" s="2" t="n">
        <f aca="false">P91+Q91</f>
        <v>13200</v>
      </c>
      <c r="S91" s="2" t="n">
        <f aca="false">INDEX('Salary Records'!$S$2:$S$201,MATCH(A91,'Salary Records'!$A$2:$A$201,0))</f>
        <v>44169.24</v>
      </c>
      <c r="T91" s="2" t="n">
        <f aca="false">INDEX('Employee Master'!$I$2:$I$201,MATCH(A91,'Employee Master'!$A$2:$A$201,0))</f>
        <v>2.3</v>
      </c>
      <c r="U91" s="2" t="n">
        <f aca="false">INDEX('Employee Master'!$H$2:$H$201,MATCH(A91,'Employee Master'!$A$2:$A$201,0))</f>
        <v>5</v>
      </c>
      <c r="V91" s="2" t="n">
        <f aca="false">INDEX('Employee Master'!$J$2:$J$201,MATCH(A91,'Employee Master'!$A$2:$A$201,0))</f>
        <v>7.3</v>
      </c>
    </row>
    <row r="92" customFormat="false" ht="15" hidden="false" customHeight="false" outlineLevel="0" collapsed="false">
      <c r="A92" s="2" t="s">
        <v>229</v>
      </c>
      <c r="B92" s="2" t="s">
        <v>230</v>
      </c>
      <c r="C92" s="2" t="s">
        <v>17</v>
      </c>
      <c r="D92" s="2" t="s">
        <v>657</v>
      </c>
      <c r="E92" s="2" t="n">
        <f aca="false">INDEX('Salary Records'!$F$2:$F$201,MATCH(A92,'Salary Records'!$A$2:$A$201,0))</f>
        <v>26</v>
      </c>
      <c r="F92" s="2" t="n">
        <f aca="false">INDEX('Salary Records'!$G$2:$G$201,MATCH(A92,'Salary Records'!$A$2:$A$201,0))</f>
        <v>23</v>
      </c>
      <c r="G92" s="2" t="n">
        <f aca="false">INDEX('Salary Records'!$H$2:$H$201,MATCH(A92,'Salary Records'!$A$2:$A$201,0))</f>
        <v>2</v>
      </c>
      <c r="H92" s="2" t="n">
        <f aca="false">INDEX('Salary Records'!$I$2:$I$201,MATCH(A92,'Salary Records'!$A$2:$A$201,0))</f>
        <v>1</v>
      </c>
      <c r="I92" s="2" t="n">
        <f aca="false">INDEX('Salary Records'!$J$2:$J$201,MATCH(A92,'Salary Records'!$A$2:$A$201,0))</f>
        <v>0</v>
      </c>
      <c r="J92" s="2" t="n">
        <f aca="false">ROUND(F92/E92*100,1)</f>
        <v>88.5</v>
      </c>
      <c r="K92" s="2" t="n">
        <v>2</v>
      </c>
      <c r="L92" s="2" t="n">
        <f aca="false">INDEX('Salary Records'!$K$2:$K$201,MATCH(A92,'Salary Records'!$A$2:$A$201,0))</f>
        <v>2</v>
      </c>
      <c r="M92" s="2" t="n">
        <f aca="false">INDEX('Salary Records'!$L$2:$L$201,MATCH(A92,'Salary Records'!$A$2:$A$201,0))</f>
        <v>0</v>
      </c>
      <c r="N92" s="2" t="n">
        <f aca="false">INDEX('Salary Records'!$E$2:$E$201,MATCH(A92,'Salary Records'!$A$2:$A$201,0))</f>
        <v>85000</v>
      </c>
      <c r="O92" s="2" t="n">
        <f aca="false">INDEX('Salary Records'!$O$2:$O$201,MATCH(A92,'Salary Records'!$A$2:$A$201,0))</f>
        <v>0</v>
      </c>
      <c r="P92" s="2" t="n">
        <f aca="false">INDEX('PF Records'!$H$2:$H$201,MATCH(A92,'PF Records'!$A$2:$A$201,0))</f>
        <v>10200</v>
      </c>
      <c r="Q92" s="2" t="n">
        <f aca="false">INDEX('PF Records'!$I$2:$I$201,MATCH(A92,'PF Records'!$A$2:$A$201,0))</f>
        <v>10200</v>
      </c>
      <c r="R92" s="2" t="n">
        <f aca="false">P92+Q92</f>
        <v>20400</v>
      </c>
      <c r="S92" s="2" t="n">
        <f aca="false">INDEX('Salary Records'!$S$2:$S$201,MATCH(A92,'Salary Records'!$A$2:$A$201,0))</f>
        <v>74800</v>
      </c>
      <c r="T92" s="2" t="n">
        <f aca="false">INDEX('Employee Master'!$I$2:$I$201,MATCH(A92,'Employee Master'!$A$2:$A$201,0))</f>
        <v>6.3</v>
      </c>
      <c r="U92" s="2" t="n">
        <f aca="false">INDEX('Employee Master'!$H$2:$H$201,MATCH(A92,'Employee Master'!$A$2:$A$201,0))</f>
        <v>5</v>
      </c>
      <c r="V92" s="2" t="n">
        <f aca="false">INDEX('Employee Master'!$J$2:$J$201,MATCH(A92,'Employee Master'!$A$2:$A$201,0))</f>
        <v>11.3</v>
      </c>
    </row>
    <row r="93" customFormat="false" ht="15" hidden="false" customHeight="false" outlineLevel="0" collapsed="false">
      <c r="A93" s="2" t="s">
        <v>231</v>
      </c>
      <c r="B93" s="2" t="s">
        <v>232</v>
      </c>
      <c r="C93" s="2" t="s">
        <v>24</v>
      </c>
      <c r="D93" s="2" t="s">
        <v>657</v>
      </c>
      <c r="E93" s="2" t="n">
        <f aca="false">INDEX('Salary Records'!$F$2:$F$201,MATCH(A93,'Salary Records'!$A$2:$A$201,0))</f>
        <v>26</v>
      </c>
      <c r="F93" s="2" t="n">
        <f aca="false">INDEX('Salary Records'!$G$2:$G$201,MATCH(A93,'Salary Records'!$A$2:$A$201,0))</f>
        <v>23</v>
      </c>
      <c r="G93" s="2" t="n">
        <f aca="false">INDEX('Salary Records'!$H$2:$H$201,MATCH(A93,'Salary Records'!$A$2:$A$201,0))</f>
        <v>3</v>
      </c>
      <c r="H93" s="2" t="n">
        <f aca="false">INDEX('Salary Records'!$I$2:$I$201,MATCH(A93,'Salary Records'!$A$2:$A$201,0))</f>
        <v>0</v>
      </c>
      <c r="I93" s="2" t="n">
        <f aca="false">INDEX('Salary Records'!$J$2:$J$201,MATCH(A93,'Salary Records'!$A$2:$A$201,0))</f>
        <v>0</v>
      </c>
      <c r="J93" s="2" t="n">
        <f aca="false">ROUND(F93/E93*100,1)</f>
        <v>88.5</v>
      </c>
      <c r="K93" s="2" t="n">
        <v>2</v>
      </c>
      <c r="L93" s="2" t="n">
        <f aca="false">INDEX('Salary Records'!$K$2:$K$201,MATCH(A93,'Salary Records'!$A$2:$A$201,0))</f>
        <v>2</v>
      </c>
      <c r="M93" s="2" t="n">
        <f aca="false">INDEX('Salary Records'!$L$2:$L$201,MATCH(A93,'Salary Records'!$A$2:$A$201,0))</f>
        <v>1</v>
      </c>
      <c r="N93" s="2" t="n">
        <f aca="false">INDEX('Salary Records'!$E$2:$E$201,MATCH(A93,'Salary Records'!$A$2:$A$201,0))</f>
        <v>40500</v>
      </c>
      <c r="O93" s="2" t="n">
        <f aca="false">INDEX('Salary Records'!$O$2:$O$201,MATCH(A93,'Salary Records'!$A$2:$A$201,0))</f>
        <v>1557.69</v>
      </c>
      <c r="P93" s="2" t="n">
        <f aca="false">INDEX('PF Records'!$H$2:$H$201,MATCH(A93,'PF Records'!$A$2:$A$201,0))</f>
        <v>4860</v>
      </c>
      <c r="Q93" s="2" t="n">
        <f aca="false">INDEX('PF Records'!$I$2:$I$201,MATCH(A93,'PF Records'!$A$2:$A$201,0))</f>
        <v>4860</v>
      </c>
      <c r="R93" s="2" t="n">
        <f aca="false">P93+Q93</f>
        <v>9720</v>
      </c>
      <c r="S93" s="2" t="n">
        <f aca="false">INDEX('Salary Records'!$S$2:$S$201,MATCH(A93,'Salary Records'!$A$2:$A$201,0))</f>
        <v>34082.31</v>
      </c>
      <c r="T93" s="2" t="n">
        <f aca="false">INDEX('Employee Master'!$I$2:$I$201,MATCH(A93,'Employee Master'!$A$2:$A$201,0))</f>
        <v>6</v>
      </c>
      <c r="U93" s="2" t="n">
        <f aca="false">INDEX('Employee Master'!$H$2:$H$201,MATCH(A93,'Employee Master'!$A$2:$A$201,0))</f>
        <v>0</v>
      </c>
      <c r="V93" s="2" t="n">
        <f aca="false">INDEX('Employee Master'!$J$2:$J$201,MATCH(A93,'Employee Master'!$A$2:$A$201,0))</f>
        <v>6</v>
      </c>
    </row>
    <row r="94" customFormat="false" ht="15" hidden="false" customHeight="false" outlineLevel="0" collapsed="false">
      <c r="A94" s="2" t="s">
        <v>233</v>
      </c>
      <c r="B94" s="2" t="s">
        <v>234</v>
      </c>
      <c r="C94" s="2" t="s">
        <v>28</v>
      </c>
      <c r="D94" s="2" t="s">
        <v>657</v>
      </c>
      <c r="E94" s="2" t="n">
        <f aca="false">INDEX('Salary Records'!$F$2:$F$201,MATCH(A94,'Salary Records'!$A$2:$A$201,0))</f>
        <v>26</v>
      </c>
      <c r="F94" s="2" t="n">
        <f aca="false">INDEX('Salary Records'!$G$2:$G$201,MATCH(A94,'Salary Records'!$A$2:$A$201,0))</f>
        <v>22</v>
      </c>
      <c r="G94" s="2" t="n">
        <f aca="false">INDEX('Salary Records'!$H$2:$H$201,MATCH(A94,'Salary Records'!$A$2:$A$201,0))</f>
        <v>3</v>
      </c>
      <c r="H94" s="2" t="n">
        <f aca="false">INDEX('Salary Records'!$I$2:$I$201,MATCH(A94,'Salary Records'!$A$2:$A$201,0))</f>
        <v>1</v>
      </c>
      <c r="I94" s="2" t="n">
        <f aca="false">INDEX('Salary Records'!$J$2:$J$201,MATCH(A94,'Salary Records'!$A$2:$A$201,0))</f>
        <v>0</v>
      </c>
      <c r="J94" s="2" t="n">
        <f aca="false">ROUND(F94/E94*100,1)</f>
        <v>84.6</v>
      </c>
      <c r="K94" s="2" t="n">
        <v>2</v>
      </c>
      <c r="L94" s="2" t="n">
        <f aca="false">INDEX('Salary Records'!$K$2:$K$201,MATCH(A94,'Salary Records'!$A$2:$A$201,0))</f>
        <v>2</v>
      </c>
      <c r="M94" s="2" t="n">
        <f aca="false">INDEX('Salary Records'!$L$2:$L$201,MATCH(A94,'Salary Records'!$A$2:$A$201,0))</f>
        <v>1</v>
      </c>
      <c r="N94" s="2" t="n">
        <f aca="false">INDEX('Salary Records'!$E$2:$E$201,MATCH(A94,'Salary Records'!$A$2:$A$201,0))</f>
        <v>33500</v>
      </c>
      <c r="O94" s="2" t="n">
        <f aca="false">INDEX('Salary Records'!$O$2:$O$201,MATCH(A94,'Salary Records'!$A$2:$A$201,0))</f>
        <v>1288.46</v>
      </c>
      <c r="P94" s="2" t="n">
        <f aca="false">INDEX('PF Records'!$H$2:$H$201,MATCH(A94,'PF Records'!$A$2:$A$201,0))</f>
        <v>4020</v>
      </c>
      <c r="Q94" s="2" t="n">
        <f aca="false">INDEX('PF Records'!$I$2:$I$201,MATCH(A94,'PF Records'!$A$2:$A$201,0))</f>
        <v>4020</v>
      </c>
      <c r="R94" s="2" t="n">
        <f aca="false">P94+Q94</f>
        <v>8040</v>
      </c>
      <c r="S94" s="2" t="n">
        <f aca="false">INDEX('Salary Records'!$S$2:$S$201,MATCH(A94,'Salary Records'!$A$2:$A$201,0))</f>
        <v>28191.54</v>
      </c>
      <c r="T94" s="2" t="n">
        <f aca="false">INDEX('Employee Master'!$I$2:$I$201,MATCH(A94,'Employee Master'!$A$2:$A$201,0))</f>
        <v>3.6</v>
      </c>
      <c r="U94" s="2" t="n">
        <f aca="false">INDEX('Employee Master'!$H$2:$H$201,MATCH(A94,'Employee Master'!$A$2:$A$201,0))</f>
        <v>5.5</v>
      </c>
      <c r="V94" s="2" t="n">
        <f aca="false">INDEX('Employee Master'!$J$2:$J$201,MATCH(A94,'Employee Master'!$A$2:$A$201,0))</f>
        <v>9.1</v>
      </c>
    </row>
    <row r="95" customFormat="false" ht="15" hidden="false" customHeight="false" outlineLevel="0" collapsed="false">
      <c r="A95" s="2" t="s">
        <v>235</v>
      </c>
      <c r="B95" s="2" t="s">
        <v>236</v>
      </c>
      <c r="C95" s="2" t="s">
        <v>32</v>
      </c>
      <c r="D95" s="2" t="s">
        <v>657</v>
      </c>
      <c r="E95" s="2" t="n">
        <f aca="false">INDEX('Salary Records'!$F$2:$F$201,MATCH(A95,'Salary Records'!$A$2:$A$201,0))</f>
        <v>26</v>
      </c>
      <c r="F95" s="2" t="n">
        <f aca="false">INDEX('Salary Records'!$G$2:$G$201,MATCH(A95,'Salary Records'!$A$2:$A$201,0))</f>
        <v>24</v>
      </c>
      <c r="G95" s="2" t="n">
        <f aca="false">INDEX('Salary Records'!$H$2:$H$201,MATCH(A95,'Salary Records'!$A$2:$A$201,0))</f>
        <v>1</v>
      </c>
      <c r="H95" s="2" t="n">
        <f aca="false">INDEX('Salary Records'!$I$2:$I$201,MATCH(A95,'Salary Records'!$A$2:$A$201,0))</f>
        <v>1</v>
      </c>
      <c r="I95" s="2" t="n">
        <f aca="false">INDEX('Salary Records'!$J$2:$J$201,MATCH(A95,'Salary Records'!$A$2:$A$201,0))</f>
        <v>0</v>
      </c>
      <c r="J95" s="2" t="n">
        <f aca="false">ROUND(F95/E95*100,1)</f>
        <v>92.3</v>
      </c>
      <c r="K95" s="2" t="n">
        <v>2</v>
      </c>
      <c r="L95" s="2" t="n">
        <f aca="false">INDEX('Salary Records'!$K$2:$K$201,MATCH(A95,'Salary Records'!$A$2:$A$201,0))</f>
        <v>1</v>
      </c>
      <c r="M95" s="2" t="n">
        <f aca="false">INDEX('Salary Records'!$L$2:$L$201,MATCH(A95,'Salary Records'!$A$2:$A$201,0))</f>
        <v>0</v>
      </c>
      <c r="N95" s="2" t="n">
        <f aca="false">INDEX('Salary Records'!$E$2:$E$201,MATCH(A95,'Salary Records'!$A$2:$A$201,0))</f>
        <v>29500</v>
      </c>
      <c r="O95" s="2" t="n">
        <f aca="false">INDEX('Salary Records'!$O$2:$O$201,MATCH(A95,'Salary Records'!$A$2:$A$201,0))</f>
        <v>0</v>
      </c>
      <c r="P95" s="2" t="n">
        <f aca="false">INDEX('PF Records'!$H$2:$H$201,MATCH(A95,'PF Records'!$A$2:$A$201,0))</f>
        <v>3540</v>
      </c>
      <c r="Q95" s="2" t="n">
        <f aca="false">INDEX('PF Records'!$I$2:$I$201,MATCH(A95,'PF Records'!$A$2:$A$201,0))</f>
        <v>3540</v>
      </c>
      <c r="R95" s="2" t="n">
        <f aca="false">P95+Q95</f>
        <v>7080</v>
      </c>
      <c r="S95" s="2" t="n">
        <f aca="false">INDEX('Salary Records'!$S$2:$S$201,MATCH(A95,'Salary Records'!$A$2:$A$201,0))</f>
        <v>25960</v>
      </c>
      <c r="T95" s="2" t="n">
        <f aca="false">INDEX('Employee Master'!$I$2:$I$201,MATCH(A95,'Employee Master'!$A$2:$A$201,0))</f>
        <v>5.4</v>
      </c>
      <c r="U95" s="2" t="n">
        <f aca="false">INDEX('Employee Master'!$H$2:$H$201,MATCH(A95,'Employee Master'!$A$2:$A$201,0))</f>
        <v>5.7</v>
      </c>
      <c r="V95" s="2" t="n">
        <f aca="false">INDEX('Employee Master'!$J$2:$J$201,MATCH(A95,'Employee Master'!$A$2:$A$201,0))</f>
        <v>11.1</v>
      </c>
    </row>
    <row r="96" customFormat="false" ht="15" hidden="false" customHeight="false" outlineLevel="0" collapsed="false">
      <c r="A96" s="2" t="s">
        <v>237</v>
      </c>
      <c r="B96" s="2" t="s">
        <v>238</v>
      </c>
      <c r="C96" s="2" t="s">
        <v>36</v>
      </c>
      <c r="D96" s="2" t="s">
        <v>657</v>
      </c>
      <c r="E96" s="2" t="n">
        <f aca="false">INDEX('Salary Records'!$F$2:$F$201,MATCH(A96,'Salary Records'!$A$2:$A$201,0))</f>
        <v>26</v>
      </c>
      <c r="F96" s="2" t="n">
        <f aca="false">INDEX('Salary Records'!$G$2:$G$201,MATCH(A96,'Salary Records'!$A$2:$A$201,0))</f>
        <v>24</v>
      </c>
      <c r="G96" s="2" t="n">
        <f aca="false">INDEX('Salary Records'!$H$2:$H$201,MATCH(A96,'Salary Records'!$A$2:$A$201,0))</f>
        <v>1</v>
      </c>
      <c r="H96" s="2" t="n">
        <f aca="false">INDEX('Salary Records'!$I$2:$I$201,MATCH(A96,'Salary Records'!$A$2:$A$201,0))</f>
        <v>0</v>
      </c>
      <c r="I96" s="2" t="n">
        <f aca="false">INDEX('Salary Records'!$J$2:$J$201,MATCH(A96,'Salary Records'!$A$2:$A$201,0))</f>
        <v>1</v>
      </c>
      <c r="J96" s="2" t="n">
        <f aca="false">ROUND(F96/E96*100,1)</f>
        <v>92.3</v>
      </c>
      <c r="K96" s="2" t="n">
        <v>2</v>
      </c>
      <c r="L96" s="2" t="n">
        <f aca="false">INDEX('Salary Records'!$K$2:$K$201,MATCH(A96,'Salary Records'!$A$2:$A$201,0))</f>
        <v>1</v>
      </c>
      <c r="M96" s="2" t="n">
        <f aca="false">INDEX('Salary Records'!$L$2:$L$201,MATCH(A96,'Salary Records'!$A$2:$A$201,0))</f>
        <v>0</v>
      </c>
      <c r="N96" s="2" t="n">
        <f aca="false">INDEX('Salary Records'!$E$2:$E$201,MATCH(A96,'Salary Records'!$A$2:$A$201,0))</f>
        <v>49500</v>
      </c>
      <c r="O96" s="2" t="n">
        <f aca="false">INDEX('Salary Records'!$O$2:$O$201,MATCH(A96,'Salary Records'!$A$2:$A$201,0))</f>
        <v>0</v>
      </c>
      <c r="P96" s="2" t="n">
        <f aca="false">INDEX('PF Records'!$H$2:$H$201,MATCH(A96,'PF Records'!$A$2:$A$201,0))</f>
        <v>5940</v>
      </c>
      <c r="Q96" s="2" t="n">
        <f aca="false">INDEX('PF Records'!$I$2:$I$201,MATCH(A96,'PF Records'!$A$2:$A$201,0))</f>
        <v>5940</v>
      </c>
      <c r="R96" s="2" t="n">
        <f aca="false">P96+Q96</f>
        <v>11880</v>
      </c>
      <c r="S96" s="2" t="n">
        <f aca="false">INDEX('Salary Records'!$S$2:$S$201,MATCH(A96,'Salary Records'!$A$2:$A$201,0))</f>
        <v>42608.07</v>
      </c>
      <c r="T96" s="2" t="n">
        <f aca="false">INDEX('Employee Master'!$I$2:$I$201,MATCH(A96,'Employee Master'!$A$2:$A$201,0))</f>
        <v>1</v>
      </c>
      <c r="U96" s="2" t="n">
        <f aca="false">INDEX('Employee Master'!$H$2:$H$201,MATCH(A96,'Employee Master'!$A$2:$A$201,0))</f>
        <v>1.9</v>
      </c>
      <c r="V96" s="2" t="n">
        <f aca="false">INDEX('Employee Master'!$J$2:$J$201,MATCH(A96,'Employee Master'!$A$2:$A$201,0))</f>
        <v>2.9</v>
      </c>
    </row>
    <row r="97" customFormat="false" ht="15" hidden="false" customHeight="false" outlineLevel="0" collapsed="false">
      <c r="A97" s="2" t="s">
        <v>239</v>
      </c>
      <c r="B97" s="2" t="s">
        <v>240</v>
      </c>
      <c r="C97" s="2" t="s">
        <v>41</v>
      </c>
      <c r="D97" s="2" t="s">
        <v>657</v>
      </c>
      <c r="E97" s="2" t="n">
        <f aca="false">INDEX('Salary Records'!$F$2:$F$201,MATCH(A97,'Salary Records'!$A$2:$A$201,0))</f>
        <v>26</v>
      </c>
      <c r="F97" s="2" t="n">
        <f aca="false">INDEX('Salary Records'!$G$2:$G$201,MATCH(A97,'Salary Records'!$A$2:$A$201,0))</f>
        <v>21</v>
      </c>
      <c r="G97" s="2" t="n">
        <f aca="false">INDEX('Salary Records'!$H$2:$H$201,MATCH(A97,'Salary Records'!$A$2:$A$201,0))</f>
        <v>4</v>
      </c>
      <c r="H97" s="2" t="n">
        <f aca="false">INDEX('Salary Records'!$I$2:$I$201,MATCH(A97,'Salary Records'!$A$2:$A$201,0))</f>
        <v>1</v>
      </c>
      <c r="I97" s="2" t="n">
        <f aca="false">INDEX('Salary Records'!$J$2:$J$201,MATCH(A97,'Salary Records'!$A$2:$A$201,0))</f>
        <v>0</v>
      </c>
      <c r="J97" s="2" t="n">
        <f aca="false">ROUND(F97/E97*100,1)</f>
        <v>80.8</v>
      </c>
      <c r="K97" s="2" t="n">
        <v>2</v>
      </c>
      <c r="L97" s="2" t="n">
        <f aca="false">INDEX('Salary Records'!$K$2:$K$201,MATCH(A97,'Salary Records'!$A$2:$A$201,0))</f>
        <v>2</v>
      </c>
      <c r="M97" s="2" t="n">
        <f aca="false">INDEX('Salary Records'!$L$2:$L$201,MATCH(A97,'Salary Records'!$A$2:$A$201,0))</f>
        <v>2</v>
      </c>
      <c r="N97" s="2" t="n">
        <f aca="false">INDEX('Salary Records'!$E$2:$E$201,MATCH(A97,'Salary Records'!$A$2:$A$201,0))</f>
        <v>32000</v>
      </c>
      <c r="O97" s="2" t="n">
        <f aca="false">INDEX('Salary Records'!$O$2:$O$201,MATCH(A97,'Salary Records'!$A$2:$A$201,0))</f>
        <v>2461.54</v>
      </c>
      <c r="P97" s="2" t="n">
        <f aca="false">INDEX('PF Records'!$H$2:$H$201,MATCH(A97,'PF Records'!$A$2:$A$201,0))</f>
        <v>3840</v>
      </c>
      <c r="Q97" s="2" t="n">
        <f aca="false">INDEX('PF Records'!$I$2:$I$201,MATCH(A97,'PF Records'!$A$2:$A$201,0))</f>
        <v>3840</v>
      </c>
      <c r="R97" s="2" t="n">
        <f aca="false">P97+Q97</f>
        <v>7680</v>
      </c>
      <c r="S97" s="2" t="n">
        <f aca="false">INDEX('Salary Records'!$S$2:$S$201,MATCH(A97,'Salary Records'!$A$2:$A$201,0))</f>
        <v>25698.46</v>
      </c>
      <c r="T97" s="2" t="n">
        <f aca="false">INDEX('Employee Master'!$I$2:$I$201,MATCH(A97,'Employee Master'!$A$2:$A$201,0))</f>
        <v>7.4</v>
      </c>
      <c r="U97" s="2" t="n">
        <f aca="false">INDEX('Employee Master'!$H$2:$H$201,MATCH(A97,'Employee Master'!$A$2:$A$201,0))</f>
        <v>4.4</v>
      </c>
      <c r="V97" s="2" t="n">
        <f aca="false">INDEX('Employee Master'!$J$2:$J$201,MATCH(A97,'Employee Master'!$A$2:$A$201,0))</f>
        <v>11.8</v>
      </c>
    </row>
    <row r="98" customFormat="false" ht="15" hidden="false" customHeight="false" outlineLevel="0" collapsed="false">
      <c r="A98" s="2" t="s">
        <v>241</v>
      </c>
      <c r="B98" s="2" t="s">
        <v>242</v>
      </c>
      <c r="C98" s="2" t="s">
        <v>45</v>
      </c>
      <c r="D98" s="2" t="s">
        <v>657</v>
      </c>
      <c r="E98" s="2" t="n">
        <f aca="false">INDEX('Salary Records'!$F$2:$F$201,MATCH(A98,'Salary Records'!$A$2:$A$201,0))</f>
        <v>26</v>
      </c>
      <c r="F98" s="2" t="n">
        <f aca="false">INDEX('Salary Records'!$G$2:$G$201,MATCH(A98,'Salary Records'!$A$2:$A$201,0))</f>
        <v>16</v>
      </c>
      <c r="G98" s="2" t="n">
        <f aca="false">INDEX('Salary Records'!$H$2:$H$201,MATCH(A98,'Salary Records'!$A$2:$A$201,0))</f>
        <v>7</v>
      </c>
      <c r="H98" s="2" t="n">
        <f aca="false">INDEX('Salary Records'!$I$2:$I$201,MATCH(A98,'Salary Records'!$A$2:$A$201,0))</f>
        <v>2</v>
      </c>
      <c r="I98" s="2" t="n">
        <f aca="false">INDEX('Salary Records'!$J$2:$J$201,MATCH(A98,'Salary Records'!$A$2:$A$201,0))</f>
        <v>1</v>
      </c>
      <c r="J98" s="2" t="n">
        <f aca="false">ROUND(F98/E98*100,1)</f>
        <v>61.5</v>
      </c>
      <c r="K98" s="2" t="n">
        <v>2</v>
      </c>
      <c r="L98" s="2" t="n">
        <f aca="false">INDEX('Salary Records'!$K$2:$K$201,MATCH(A98,'Salary Records'!$A$2:$A$201,0))</f>
        <v>2</v>
      </c>
      <c r="M98" s="2" t="n">
        <f aca="false">INDEX('Salary Records'!$L$2:$L$201,MATCH(A98,'Salary Records'!$A$2:$A$201,0))</f>
        <v>5</v>
      </c>
      <c r="N98" s="2" t="n">
        <f aca="false">INDEX('Salary Records'!$E$2:$E$201,MATCH(A98,'Salary Records'!$A$2:$A$201,0))</f>
        <v>64500</v>
      </c>
      <c r="O98" s="2" t="n">
        <f aca="false">INDEX('Salary Records'!$O$2:$O$201,MATCH(A98,'Salary Records'!$A$2:$A$201,0))</f>
        <v>12403.85</v>
      </c>
      <c r="P98" s="2" t="n">
        <f aca="false">INDEX('PF Records'!$H$2:$H$201,MATCH(A98,'PF Records'!$A$2:$A$201,0))</f>
        <v>7740</v>
      </c>
      <c r="Q98" s="2" t="n">
        <f aca="false">INDEX('PF Records'!$I$2:$I$201,MATCH(A98,'PF Records'!$A$2:$A$201,0))</f>
        <v>7740</v>
      </c>
      <c r="R98" s="2" t="n">
        <f aca="false">P98+Q98</f>
        <v>15480</v>
      </c>
      <c r="S98" s="2" t="n">
        <f aca="false">INDEX('Salary Records'!$S$2:$S$201,MATCH(A98,'Salary Records'!$A$2:$A$201,0))</f>
        <v>43115.76</v>
      </c>
      <c r="T98" s="2" t="n">
        <f aca="false">INDEX('Employee Master'!$I$2:$I$201,MATCH(A98,'Employee Master'!$A$2:$A$201,0))</f>
        <v>7.9</v>
      </c>
      <c r="U98" s="2" t="n">
        <f aca="false">INDEX('Employee Master'!$H$2:$H$201,MATCH(A98,'Employee Master'!$A$2:$A$201,0))</f>
        <v>0.5</v>
      </c>
      <c r="V98" s="2" t="n">
        <f aca="false">INDEX('Employee Master'!$J$2:$J$201,MATCH(A98,'Employee Master'!$A$2:$A$201,0))</f>
        <v>8.4</v>
      </c>
    </row>
    <row r="99" customFormat="false" ht="15" hidden="false" customHeight="false" outlineLevel="0" collapsed="false">
      <c r="A99" s="2" t="s">
        <v>243</v>
      </c>
      <c r="B99" s="2" t="s">
        <v>244</v>
      </c>
      <c r="C99" s="2" t="s">
        <v>49</v>
      </c>
      <c r="D99" s="2" t="s">
        <v>657</v>
      </c>
      <c r="E99" s="2" t="n">
        <f aca="false">INDEX('Salary Records'!$F$2:$F$201,MATCH(A99,'Salary Records'!$A$2:$A$201,0))</f>
        <v>26</v>
      </c>
      <c r="F99" s="2" t="n">
        <f aca="false">INDEX('Salary Records'!$G$2:$G$201,MATCH(A99,'Salary Records'!$A$2:$A$201,0))</f>
        <v>24</v>
      </c>
      <c r="G99" s="2" t="n">
        <f aca="false">INDEX('Salary Records'!$H$2:$H$201,MATCH(A99,'Salary Records'!$A$2:$A$201,0))</f>
        <v>1</v>
      </c>
      <c r="H99" s="2" t="n">
        <f aca="false">INDEX('Salary Records'!$I$2:$I$201,MATCH(A99,'Salary Records'!$A$2:$A$201,0))</f>
        <v>0</v>
      </c>
      <c r="I99" s="2" t="n">
        <f aca="false">INDEX('Salary Records'!$J$2:$J$201,MATCH(A99,'Salary Records'!$A$2:$A$201,0))</f>
        <v>1</v>
      </c>
      <c r="J99" s="2" t="n">
        <f aca="false">ROUND(F99/E99*100,1)</f>
        <v>92.3</v>
      </c>
      <c r="K99" s="2" t="n">
        <v>2</v>
      </c>
      <c r="L99" s="2" t="n">
        <f aca="false">INDEX('Salary Records'!$K$2:$K$201,MATCH(A99,'Salary Records'!$A$2:$A$201,0))</f>
        <v>1</v>
      </c>
      <c r="M99" s="2" t="n">
        <f aca="false">INDEX('Salary Records'!$L$2:$L$201,MATCH(A99,'Salary Records'!$A$2:$A$201,0))</f>
        <v>0</v>
      </c>
      <c r="N99" s="2" t="n">
        <f aca="false">INDEX('Salary Records'!$E$2:$E$201,MATCH(A99,'Salary Records'!$A$2:$A$201,0))</f>
        <v>137500</v>
      </c>
      <c r="O99" s="2" t="n">
        <f aca="false">INDEX('Salary Records'!$O$2:$O$201,MATCH(A99,'Salary Records'!$A$2:$A$201,0))</f>
        <v>0</v>
      </c>
      <c r="P99" s="2" t="n">
        <f aca="false">INDEX('PF Records'!$H$2:$H$201,MATCH(A99,'PF Records'!$A$2:$A$201,0))</f>
        <v>16500</v>
      </c>
      <c r="Q99" s="2" t="n">
        <f aca="false">INDEX('PF Records'!$I$2:$I$201,MATCH(A99,'PF Records'!$A$2:$A$201,0))</f>
        <v>16500</v>
      </c>
      <c r="R99" s="2" t="n">
        <f aca="false">P99+Q99</f>
        <v>33000</v>
      </c>
      <c r="S99" s="2" t="n">
        <f aca="false">INDEX('Salary Records'!$S$2:$S$201,MATCH(A99,'Salary Records'!$A$2:$A$201,0))</f>
        <v>118355.77</v>
      </c>
      <c r="T99" s="2" t="n">
        <f aca="false">INDEX('Employee Master'!$I$2:$I$201,MATCH(A99,'Employee Master'!$A$2:$A$201,0))</f>
        <v>7.3</v>
      </c>
      <c r="U99" s="2" t="n">
        <f aca="false">INDEX('Employee Master'!$H$2:$H$201,MATCH(A99,'Employee Master'!$A$2:$A$201,0))</f>
        <v>3.7</v>
      </c>
      <c r="V99" s="2" t="n">
        <f aca="false">INDEX('Employee Master'!$J$2:$J$201,MATCH(A99,'Employee Master'!$A$2:$A$201,0))</f>
        <v>11</v>
      </c>
    </row>
    <row r="100" customFormat="false" ht="15" hidden="false" customHeight="false" outlineLevel="0" collapsed="false">
      <c r="A100" s="2" t="s">
        <v>245</v>
      </c>
      <c r="B100" s="2" t="s">
        <v>246</v>
      </c>
      <c r="C100" s="2" t="s">
        <v>53</v>
      </c>
      <c r="D100" s="2" t="s">
        <v>657</v>
      </c>
      <c r="E100" s="2" t="n">
        <f aca="false">INDEX('Salary Records'!$F$2:$F$201,MATCH(A100,'Salary Records'!$A$2:$A$201,0))</f>
        <v>26</v>
      </c>
      <c r="F100" s="2" t="n">
        <f aca="false">INDEX('Salary Records'!$G$2:$G$201,MATCH(A100,'Salary Records'!$A$2:$A$201,0))</f>
        <v>25</v>
      </c>
      <c r="G100" s="2" t="n">
        <f aca="false">INDEX('Salary Records'!$H$2:$H$201,MATCH(A100,'Salary Records'!$A$2:$A$201,0))</f>
        <v>1</v>
      </c>
      <c r="H100" s="2" t="n">
        <f aca="false">INDEX('Salary Records'!$I$2:$I$201,MATCH(A100,'Salary Records'!$A$2:$A$201,0))</f>
        <v>0</v>
      </c>
      <c r="I100" s="2" t="n">
        <f aca="false">INDEX('Salary Records'!$J$2:$J$201,MATCH(A100,'Salary Records'!$A$2:$A$201,0))</f>
        <v>0</v>
      </c>
      <c r="J100" s="2" t="n">
        <f aca="false">ROUND(F100/E100*100,1)</f>
        <v>96.2</v>
      </c>
      <c r="K100" s="2" t="n">
        <v>2</v>
      </c>
      <c r="L100" s="2" t="n">
        <f aca="false">INDEX('Salary Records'!$K$2:$K$201,MATCH(A100,'Salary Records'!$A$2:$A$201,0))</f>
        <v>1</v>
      </c>
      <c r="M100" s="2" t="n">
        <f aca="false">INDEX('Salary Records'!$L$2:$L$201,MATCH(A100,'Salary Records'!$A$2:$A$201,0))</f>
        <v>0</v>
      </c>
      <c r="N100" s="2" t="n">
        <f aca="false">INDEX('Salary Records'!$E$2:$E$201,MATCH(A100,'Salary Records'!$A$2:$A$201,0))</f>
        <v>29000</v>
      </c>
      <c r="O100" s="2" t="n">
        <f aca="false">INDEX('Salary Records'!$O$2:$O$201,MATCH(A100,'Salary Records'!$A$2:$A$201,0))</f>
        <v>0</v>
      </c>
      <c r="P100" s="2" t="n">
        <f aca="false">INDEX('PF Records'!$H$2:$H$201,MATCH(A100,'PF Records'!$A$2:$A$201,0))</f>
        <v>3480</v>
      </c>
      <c r="Q100" s="2" t="n">
        <f aca="false">INDEX('PF Records'!$I$2:$I$201,MATCH(A100,'PF Records'!$A$2:$A$201,0))</f>
        <v>3480</v>
      </c>
      <c r="R100" s="2" t="n">
        <f aca="false">P100+Q100</f>
        <v>6960</v>
      </c>
      <c r="S100" s="2" t="n">
        <f aca="false">INDEX('Salary Records'!$S$2:$S$201,MATCH(A100,'Salary Records'!$A$2:$A$201,0))</f>
        <v>25520</v>
      </c>
      <c r="T100" s="2" t="n">
        <f aca="false">INDEX('Employee Master'!$I$2:$I$201,MATCH(A100,'Employee Master'!$A$2:$A$201,0))</f>
        <v>3.1</v>
      </c>
      <c r="U100" s="2" t="n">
        <f aca="false">INDEX('Employee Master'!$H$2:$H$201,MATCH(A100,'Employee Master'!$A$2:$A$201,0))</f>
        <v>0</v>
      </c>
      <c r="V100" s="2" t="n">
        <f aca="false">INDEX('Employee Master'!$J$2:$J$201,MATCH(A100,'Employee Master'!$A$2:$A$201,0))</f>
        <v>3.1</v>
      </c>
    </row>
    <row r="101" customFormat="false" ht="15" hidden="false" customHeight="false" outlineLevel="0" collapsed="false">
      <c r="A101" s="2" t="s">
        <v>247</v>
      </c>
      <c r="B101" s="2" t="s">
        <v>248</v>
      </c>
      <c r="C101" s="2" t="s">
        <v>57</v>
      </c>
      <c r="D101" s="2" t="s">
        <v>657</v>
      </c>
      <c r="E101" s="2" t="n">
        <f aca="false">INDEX('Salary Records'!$F$2:$F$201,MATCH(A101,'Salary Records'!$A$2:$A$201,0))</f>
        <v>26</v>
      </c>
      <c r="F101" s="2" t="n">
        <f aca="false">INDEX('Salary Records'!$G$2:$G$201,MATCH(A101,'Salary Records'!$A$2:$A$201,0))</f>
        <v>23</v>
      </c>
      <c r="G101" s="2" t="n">
        <f aca="false">INDEX('Salary Records'!$H$2:$H$201,MATCH(A101,'Salary Records'!$A$2:$A$201,0))</f>
        <v>2</v>
      </c>
      <c r="H101" s="2" t="n">
        <f aca="false">INDEX('Salary Records'!$I$2:$I$201,MATCH(A101,'Salary Records'!$A$2:$A$201,0))</f>
        <v>0</v>
      </c>
      <c r="I101" s="2" t="n">
        <f aca="false">INDEX('Salary Records'!$J$2:$J$201,MATCH(A101,'Salary Records'!$A$2:$A$201,0))</f>
        <v>1</v>
      </c>
      <c r="J101" s="2" t="n">
        <f aca="false">ROUND(F101/E101*100,1)</f>
        <v>88.5</v>
      </c>
      <c r="K101" s="2" t="n">
        <v>2</v>
      </c>
      <c r="L101" s="2" t="n">
        <f aca="false">INDEX('Salary Records'!$K$2:$K$201,MATCH(A101,'Salary Records'!$A$2:$A$201,0))</f>
        <v>2</v>
      </c>
      <c r="M101" s="2" t="n">
        <f aca="false">INDEX('Salary Records'!$L$2:$L$201,MATCH(A101,'Salary Records'!$A$2:$A$201,0))</f>
        <v>0</v>
      </c>
      <c r="N101" s="2" t="n">
        <f aca="false">INDEX('Salary Records'!$E$2:$E$201,MATCH(A101,'Salary Records'!$A$2:$A$201,0))</f>
        <v>25000</v>
      </c>
      <c r="O101" s="2" t="n">
        <f aca="false">INDEX('Salary Records'!$O$2:$O$201,MATCH(A101,'Salary Records'!$A$2:$A$201,0))</f>
        <v>0</v>
      </c>
      <c r="P101" s="2" t="n">
        <f aca="false">INDEX('PF Records'!$H$2:$H$201,MATCH(A101,'PF Records'!$A$2:$A$201,0))</f>
        <v>3000</v>
      </c>
      <c r="Q101" s="2" t="n">
        <f aca="false">INDEX('PF Records'!$I$2:$I$201,MATCH(A101,'PF Records'!$A$2:$A$201,0))</f>
        <v>3000</v>
      </c>
      <c r="R101" s="2" t="n">
        <f aca="false">P101+Q101</f>
        <v>6000</v>
      </c>
      <c r="S101" s="2" t="n">
        <f aca="false">INDEX('Salary Records'!$S$2:$S$201,MATCH(A101,'Salary Records'!$A$2:$A$201,0))</f>
        <v>21519.23</v>
      </c>
      <c r="T101" s="2" t="n">
        <f aca="false">INDEX('Employee Master'!$I$2:$I$201,MATCH(A101,'Employee Master'!$A$2:$A$201,0))</f>
        <v>0.4</v>
      </c>
      <c r="U101" s="2" t="n">
        <f aca="false">INDEX('Employee Master'!$H$2:$H$201,MATCH(A101,'Employee Master'!$A$2:$A$201,0))</f>
        <v>2.6</v>
      </c>
      <c r="V101" s="2" t="n">
        <f aca="false">INDEX('Employee Master'!$J$2:$J$201,MATCH(A101,'Employee Master'!$A$2:$A$201,0))</f>
        <v>3</v>
      </c>
    </row>
    <row r="102" customFormat="false" ht="15" hidden="false" customHeight="false" outlineLevel="0" collapsed="false">
      <c r="A102" s="2" t="s">
        <v>249</v>
      </c>
      <c r="B102" s="2" t="s">
        <v>250</v>
      </c>
      <c r="C102" s="2" t="s">
        <v>17</v>
      </c>
      <c r="D102" s="2" t="s">
        <v>657</v>
      </c>
      <c r="E102" s="2" t="n">
        <f aca="false">INDEX('Salary Records'!$F$2:$F$201,MATCH(A102,'Salary Records'!$A$2:$A$201,0))</f>
        <v>26</v>
      </c>
      <c r="F102" s="2" t="n">
        <f aca="false">INDEX('Salary Records'!$G$2:$G$201,MATCH(A102,'Salary Records'!$A$2:$A$201,0))</f>
        <v>17</v>
      </c>
      <c r="G102" s="2" t="n">
        <f aca="false">INDEX('Salary Records'!$H$2:$H$201,MATCH(A102,'Salary Records'!$A$2:$A$201,0))</f>
        <v>5</v>
      </c>
      <c r="H102" s="2" t="n">
        <f aca="false">INDEX('Salary Records'!$I$2:$I$201,MATCH(A102,'Salary Records'!$A$2:$A$201,0))</f>
        <v>2</v>
      </c>
      <c r="I102" s="2" t="n">
        <f aca="false">INDEX('Salary Records'!$J$2:$J$201,MATCH(A102,'Salary Records'!$A$2:$A$201,0))</f>
        <v>2</v>
      </c>
      <c r="J102" s="2" t="n">
        <f aca="false">ROUND(F102/E102*100,1)</f>
        <v>65.4</v>
      </c>
      <c r="K102" s="2" t="n">
        <v>2</v>
      </c>
      <c r="L102" s="2" t="n">
        <f aca="false">INDEX('Salary Records'!$K$2:$K$201,MATCH(A102,'Salary Records'!$A$2:$A$201,0))</f>
        <v>2</v>
      </c>
      <c r="M102" s="2" t="n">
        <f aca="false">INDEX('Salary Records'!$L$2:$L$201,MATCH(A102,'Salary Records'!$A$2:$A$201,0))</f>
        <v>3</v>
      </c>
      <c r="N102" s="2" t="n">
        <f aca="false">INDEX('Salary Records'!$E$2:$E$201,MATCH(A102,'Salary Records'!$A$2:$A$201,0))</f>
        <v>50000</v>
      </c>
      <c r="O102" s="2" t="n">
        <f aca="false">INDEX('Salary Records'!$O$2:$O$201,MATCH(A102,'Salary Records'!$A$2:$A$201,0))</f>
        <v>5769.24</v>
      </c>
      <c r="P102" s="2" t="n">
        <f aca="false">INDEX('PF Records'!$H$2:$H$201,MATCH(A102,'PF Records'!$A$2:$A$201,0))</f>
        <v>6000</v>
      </c>
      <c r="Q102" s="2" t="n">
        <f aca="false">INDEX('PF Records'!$I$2:$I$201,MATCH(A102,'PF Records'!$A$2:$A$201,0))</f>
        <v>6000</v>
      </c>
      <c r="R102" s="2" t="n">
        <f aca="false">P102+Q102</f>
        <v>12000</v>
      </c>
      <c r="S102" s="2" t="n">
        <f aca="false">INDEX('Salary Records'!$S$2:$S$201,MATCH(A102,'Salary Records'!$A$2:$A$201,0))</f>
        <v>36307.68</v>
      </c>
      <c r="T102" s="2" t="n">
        <f aca="false">INDEX('Employee Master'!$I$2:$I$201,MATCH(A102,'Employee Master'!$A$2:$A$201,0))</f>
        <v>1.1</v>
      </c>
      <c r="U102" s="2" t="n">
        <f aca="false">INDEX('Employee Master'!$H$2:$H$201,MATCH(A102,'Employee Master'!$A$2:$A$201,0))</f>
        <v>6.7</v>
      </c>
      <c r="V102" s="2" t="n">
        <f aca="false">INDEX('Employee Master'!$J$2:$J$201,MATCH(A102,'Employee Master'!$A$2:$A$201,0))</f>
        <v>7.8</v>
      </c>
    </row>
    <row r="103" customFormat="false" ht="15" hidden="false" customHeight="false" outlineLevel="0" collapsed="false">
      <c r="A103" s="2" t="s">
        <v>251</v>
      </c>
      <c r="B103" s="2" t="s">
        <v>252</v>
      </c>
      <c r="C103" s="2" t="s">
        <v>24</v>
      </c>
      <c r="D103" s="2" t="s">
        <v>657</v>
      </c>
      <c r="E103" s="2" t="n">
        <f aca="false">INDEX('Salary Records'!$F$2:$F$201,MATCH(A103,'Salary Records'!$A$2:$A$201,0))</f>
        <v>26</v>
      </c>
      <c r="F103" s="2" t="n">
        <f aca="false">INDEX('Salary Records'!$G$2:$G$201,MATCH(A103,'Salary Records'!$A$2:$A$201,0))</f>
        <v>23</v>
      </c>
      <c r="G103" s="2" t="n">
        <f aca="false">INDEX('Salary Records'!$H$2:$H$201,MATCH(A103,'Salary Records'!$A$2:$A$201,0))</f>
        <v>1</v>
      </c>
      <c r="H103" s="2" t="n">
        <f aca="false">INDEX('Salary Records'!$I$2:$I$201,MATCH(A103,'Salary Records'!$A$2:$A$201,0))</f>
        <v>0</v>
      </c>
      <c r="I103" s="2" t="n">
        <f aca="false">INDEX('Salary Records'!$J$2:$J$201,MATCH(A103,'Salary Records'!$A$2:$A$201,0))</f>
        <v>2</v>
      </c>
      <c r="J103" s="2" t="n">
        <f aca="false">ROUND(F103/E103*100,1)</f>
        <v>88.5</v>
      </c>
      <c r="K103" s="2" t="n">
        <v>2</v>
      </c>
      <c r="L103" s="2" t="n">
        <f aca="false">INDEX('Salary Records'!$K$2:$K$201,MATCH(A103,'Salary Records'!$A$2:$A$201,0))</f>
        <v>1</v>
      </c>
      <c r="M103" s="2" t="n">
        <f aca="false">INDEX('Salary Records'!$L$2:$L$201,MATCH(A103,'Salary Records'!$A$2:$A$201,0))</f>
        <v>0</v>
      </c>
      <c r="N103" s="2" t="n">
        <f aca="false">INDEX('Salary Records'!$E$2:$E$201,MATCH(A103,'Salary Records'!$A$2:$A$201,0))</f>
        <v>80000</v>
      </c>
      <c r="O103" s="2" t="n">
        <f aca="false">INDEX('Salary Records'!$O$2:$O$201,MATCH(A103,'Salary Records'!$A$2:$A$201,0))</f>
        <v>0</v>
      </c>
      <c r="P103" s="2" t="n">
        <f aca="false">INDEX('PF Records'!$H$2:$H$201,MATCH(A103,'PF Records'!$A$2:$A$201,0))</f>
        <v>9600</v>
      </c>
      <c r="Q103" s="2" t="n">
        <f aca="false">INDEX('PF Records'!$I$2:$I$201,MATCH(A103,'PF Records'!$A$2:$A$201,0))</f>
        <v>9600</v>
      </c>
      <c r="R103" s="2" t="n">
        <f aca="false">P103+Q103</f>
        <v>19200</v>
      </c>
      <c r="S103" s="2" t="n">
        <f aca="false">INDEX('Salary Records'!$S$2:$S$201,MATCH(A103,'Salary Records'!$A$2:$A$201,0))</f>
        <v>67323.08</v>
      </c>
      <c r="T103" s="2" t="n">
        <f aca="false">INDEX('Employee Master'!$I$2:$I$201,MATCH(A103,'Employee Master'!$A$2:$A$201,0))</f>
        <v>1.1</v>
      </c>
      <c r="U103" s="2" t="n">
        <f aca="false">INDEX('Employee Master'!$H$2:$H$201,MATCH(A103,'Employee Master'!$A$2:$A$201,0))</f>
        <v>6.6</v>
      </c>
      <c r="V103" s="2" t="n">
        <f aca="false">INDEX('Employee Master'!$J$2:$J$201,MATCH(A103,'Employee Master'!$A$2:$A$201,0))</f>
        <v>7.7</v>
      </c>
    </row>
    <row r="104" customFormat="false" ht="15" hidden="false" customHeight="false" outlineLevel="0" collapsed="false">
      <c r="A104" s="2" t="s">
        <v>253</v>
      </c>
      <c r="B104" s="2" t="s">
        <v>254</v>
      </c>
      <c r="C104" s="2" t="s">
        <v>28</v>
      </c>
      <c r="D104" s="2" t="s">
        <v>657</v>
      </c>
      <c r="E104" s="2" t="n">
        <f aca="false">INDEX('Salary Records'!$F$2:$F$201,MATCH(A104,'Salary Records'!$A$2:$A$201,0))</f>
        <v>26</v>
      </c>
      <c r="F104" s="2" t="n">
        <f aca="false">INDEX('Salary Records'!$G$2:$G$201,MATCH(A104,'Salary Records'!$A$2:$A$201,0))</f>
        <v>20</v>
      </c>
      <c r="G104" s="2" t="n">
        <f aca="false">INDEX('Salary Records'!$H$2:$H$201,MATCH(A104,'Salary Records'!$A$2:$A$201,0))</f>
        <v>5</v>
      </c>
      <c r="H104" s="2" t="n">
        <f aca="false">INDEX('Salary Records'!$I$2:$I$201,MATCH(A104,'Salary Records'!$A$2:$A$201,0))</f>
        <v>1</v>
      </c>
      <c r="I104" s="2" t="n">
        <f aca="false">INDEX('Salary Records'!$J$2:$J$201,MATCH(A104,'Salary Records'!$A$2:$A$201,0))</f>
        <v>0</v>
      </c>
      <c r="J104" s="2" t="n">
        <f aca="false">ROUND(F104/E104*100,1)</f>
        <v>76.9</v>
      </c>
      <c r="K104" s="2" t="n">
        <v>2</v>
      </c>
      <c r="L104" s="2" t="n">
        <f aca="false">INDEX('Salary Records'!$K$2:$K$201,MATCH(A104,'Salary Records'!$A$2:$A$201,0))</f>
        <v>2</v>
      </c>
      <c r="M104" s="2" t="n">
        <f aca="false">INDEX('Salary Records'!$L$2:$L$201,MATCH(A104,'Salary Records'!$A$2:$A$201,0))</f>
        <v>3</v>
      </c>
      <c r="N104" s="2" t="n">
        <f aca="false">INDEX('Salary Records'!$E$2:$E$201,MATCH(A104,'Salary Records'!$A$2:$A$201,0))</f>
        <v>35500</v>
      </c>
      <c r="O104" s="2" t="n">
        <f aca="false">INDEX('Salary Records'!$O$2:$O$201,MATCH(A104,'Salary Records'!$A$2:$A$201,0))</f>
        <v>4096.14</v>
      </c>
      <c r="P104" s="2" t="n">
        <f aca="false">INDEX('PF Records'!$H$2:$H$201,MATCH(A104,'PF Records'!$A$2:$A$201,0))</f>
        <v>4260</v>
      </c>
      <c r="Q104" s="2" t="n">
        <f aca="false">INDEX('PF Records'!$I$2:$I$201,MATCH(A104,'PF Records'!$A$2:$A$201,0))</f>
        <v>4260</v>
      </c>
      <c r="R104" s="2" t="n">
        <f aca="false">P104+Q104</f>
        <v>8520</v>
      </c>
      <c r="S104" s="2" t="n">
        <f aca="false">INDEX('Salary Records'!$S$2:$S$201,MATCH(A104,'Salary Records'!$A$2:$A$201,0))</f>
        <v>27143.86</v>
      </c>
      <c r="T104" s="2" t="n">
        <f aca="false">INDEX('Employee Master'!$I$2:$I$201,MATCH(A104,'Employee Master'!$A$2:$A$201,0))</f>
        <v>2.8</v>
      </c>
      <c r="U104" s="2" t="n">
        <f aca="false">INDEX('Employee Master'!$H$2:$H$201,MATCH(A104,'Employee Master'!$A$2:$A$201,0))</f>
        <v>5.2</v>
      </c>
      <c r="V104" s="2" t="n">
        <f aca="false">INDEX('Employee Master'!$J$2:$J$201,MATCH(A104,'Employee Master'!$A$2:$A$201,0))</f>
        <v>8</v>
      </c>
    </row>
    <row r="105" customFormat="false" ht="15" hidden="false" customHeight="false" outlineLevel="0" collapsed="false">
      <c r="A105" s="2" t="s">
        <v>255</v>
      </c>
      <c r="B105" s="2" t="s">
        <v>256</v>
      </c>
      <c r="C105" s="2" t="s">
        <v>32</v>
      </c>
      <c r="D105" s="2" t="s">
        <v>657</v>
      </c>
      <c r="E105" s="2" t="n">
        <f aca="false">INDEX('Salary Records'!$F$2:$F$201,MATCH(A105,'Salary Records'!$A$2:$A$201,0))</f>
        <v>26</v>
      </c>
      <c r="F105" s="2" t="n">
        <f aca="false">INDEX('Salary Records'!$G$2:$G$201,MATCH(A105,'Salary Records'!$A$2:$A$201,0))</f>
        <v>25</v>
      </c>
      <c r="G105" s="2" t="n">
        <f aca="false">INDEX('Salary Records'!$H$2:$H$201,MATCH(A105,'Salary Records'!$A$2:$A$201,0))</f>
        <v>0</v>
      </c>
      <c r="H105" s="2" t="n">
        <f aca="false">INDEX('Salary Records'!$I$2:$I$201,MATCH(A105,'Salary Records'!$A$2:$A$201,0))</f>
        <v>0</v>
      </c>
      <c r="I105" s="2" t="n">
        <f aca="false">INDEX('Salary Records'!$J$2:$J$201,MATCH(A105,'Salary Records'!$A$2:$A$201,0))</f>
        <v>1</v>
      </c>
      <c r="J105" s="2" t="n">
        <f aca="false">ROUND(F105/E105*100,1)</f>
        <v>96.2</v>
      </c>
      <c r="K105" s="2" t="n">
        <v>2</v>
      </c>
      <c r="L105" s="2" t="n">
        <f aca="false">INDEX('Salary Records'!$K$2:$K$201,MATCH(A105,'Salary Records'!$A$2:$A$201,0))</f>
        <v>0</v>
      </c>
      <c r="M105" s="2" t="n">
        <f aca="false">INDEX('Salary Records'!$L$2:$L$201,MATCH(A105,'Salary Records'!$A$2:$A$201,0))</f>
        <v>0</v>
      </c>
      <c r="N105" s="2" t="n">
        <f aca="false">INDEX('Salary Records'!$E$2:$E$201,MATCH(A105,'Salary Records'!$A$2:$A$201,0))</f>
        <v>41000</v>
      </c>
      <c r="O105" s="2" t="n">
        <f aca="false">INDEX('Salary Records'!$O$2:$O$201,MATCH(A105,'Salary Records'!$A$2:$A$201,0))</f>
        <v>0</v>
      </c>
      <c r="P105" s="2" t="n">
        <f aca="false">INDEX('PF Records'!$H$2:$H$201,MATCH(A105,'PF Records'!$A$2:$A$201,0))</f>
        <v>4920</v>
      </c>
      <c r="Q105" s="2" t="n">
        <f aca="false">INDEX('PF Records'!$I$2:$I$201,MATCH(A105,'PF Records'!$A$2:$A$201,0))</f>
        <v>4920</v>
      </c>
      <c r="R105" s="2" t="n">
        <f aca="false">P105+Q105</f>
        <v>9840</v>
      </c>
      <c r="S105" s="2" t="n">
        <f aca="false">INDEX('Salary Records'!$S$2:$S$201,MATCH(A105,'Salary Records'!$A$2:$A$201,0))</f>
        <v>35291.54</v>
      </c>
      <c r="T105" s="2" t="n">
        <f aca="false">INDEX('Employee Master'!$I$2:$I$201,MATCH(A105,'Employee Master'!$A$2:$A$201,0))</f>
        <v>3.8</v>
      </c>
      <c r="U105" s="2" t="n">
        <f aca="false">INDEX('Employee Master'!$H$2:$H$201,MATCH(A105,'Employee Master'!$A$2:$A$201,0))</f>
        <v>5.1</v>
      </c>
      <c r="V105" s="2" t="n">
        <f aca="false">INDEX('Employee Master'!$J$2:$J$201,MATCH(A105,'Employee Master'!$A$2:$A$201,0))</f>
        <v>8.9</v>
      </c>
    </row>
    <row r="106" customFormat="false" ht="15" hidden="false" customHeight="false" outlineLevel="0" collapsed="false">
      <c r="A106" s="2" t="s">
        <v>257</v>
      </c>
      <c r="B106" s="2" t="s">
        <v>258</v>
      </c>
      <c r="C106" s="2" t="s">
        <v>36</v>
      </c>
      <c r="D106" s="2" t="s">
        <v>657</v>
      </c>
      <c r="E106" s="2" t="n">
        <f aca="false">INDEX('Salary Records'!$F$2:$F$201,MATCH(A106,'Salary Records'!$A$2:$A$201,0))</f>
        <v>26</v>
      </c>
      <c r="F106" s="2" t="n">
        <f aca="false">INDEX('Salary Records'!$G$2:$G$201,MATCH(A106,'Salary Records'!$A$2:$A$201,0))</f>
        <v>17</v>
      </c>
      <c r="G106" s="2" t="n">
        <f aca="false">INDEX('Salary Records'!$H$2:$H$201,MATCH(A106,'Salary Records'!$A$2:$A$201,0))</f>
        <v>7</v>
      </c>
      <c r="H106" s="2" t="n">
        <f aca="false">INDEX('Salary Records'!$I$2:$I$201,MATCH(A106,'Salary Records'!$A$2:$A$201,0))</f>
        <v>0</v>
      </c>
      <c r="I106" s="2" t="n">
        <f aca="false">INDEX('Salary Records'!$J$2:$J$201,MATCH(A106,'Salary Records'!$A$2:$A$201,0))</f>
        <v>2</v>
      </c>
      <c r="J106" s="2" t="n">
        <f aca="false">ROUND(F106/E106*100,1)</f>
        <v>65.4</v>
      </c>
      <c r="K106" s="2" t="n">
        <v>2</v>
      </c>
      <c r="L106" s="2" t="n">
        <f aca="false">INDEX('Salary Records'!$K$2:$K$201,MATCH(A106,'Salary Records'!$A$2:$A$201,0))</f>
        <v>2</v>
      </c>
      <c r="M106" s="2" t="n">
        <f aca="false">INDEX('Salary Records'!$L$2:$L$201,MATCH(A106,'Salary Records'!$A$2:$A$201,0))</f>
        <v>5</v>
      </c>
      <c r="N106" s="2" t="n">
        <f aca="false">INDEX('Salary Records'!$E$2:$E$201,MATCH(A106,'Salary Records'!$A$2:$A$201,0))</f>
        <v>37500</v>
      </c>
      <c r="O106" s="2" t="n">
        <f aca="false">INDEX('Salary Records'!$O$2:$O$201,MATCH(A106,'Salary Records'!$A$2:$A$201,0))</f>
        <v>7211.55</v>
      </c>
      <c r="P106" s="2" t="n">
        <f aca="false">INDEX('PF Records'!$H$2:$H$201,MATCH(A106,'PF Records'!$A$2:$A$201,0))</f>
        <v>4500</v>
      </c>
      <c r="Q106" s="2" t="n">
        <f aca="false">INDEX('PF Records'!$I$2:$I$201,MATCH(A106,'PF Records'!$A$2:$A$201,0))</f>
        <v>4500</v>
      </c>
      <c r="R106" s="2" t="n">
        <f aca="false">P106+Q106</f>
        <v>9000</v>
      </c>
      <c r="S106" s="2" t="n">
        <f aca="false">INDEX('Salary Records'!$S$2:$S$201,MATCH(A106,'Salary Records'!$A$2:$A$201,0))</f>
        <v>24346.14</v>
      </c>
      <c r="T106" s="2" t="n">
        <f aca="false">INDEX('Employee Master'!$I$2:$I$201,MATCH(A106,'Employee Master'!$A$2:$A$201,0))</f>
        <v>4.8</v>
      </c>
      <c r="U106" s="2" t="n">
        <f aca="false">INDEX('Employee Master'!$H$2:$H$201,MATCH(A106,'Employee Master'!$A$2:$A$201,0))</f>
        <v>3.3</v>
      </c>
      <c r="V106" s="2" t="n">
        <f aca="false">INDEX('Employee Master'!$J$2:$J$201,MATCH(A106,'Employee Master'!$A$2:$A$201,0))</f>
        <v>8.1</v>
      </c>
    </row>
    <row r="107" customFormat="false" ht="15" hidden="false" customHeight="false" outlineLevel="0" collapsed="false">
      <c r="A107" s="2" t="s">
        <v>259</v>
      </c>
      <c r="B107" s="2" t="s">
        <v>260</v>
      </c>
      <c r="C107" s="2" t="s">
        <v>41</v>
      </c>
      <c r="D107" s="2" t="s">
        <v>657</v>
      </c>
      <c r="E107" s="2" t="n">
        <f aca="false">INDEX('Salary Records'!$F$2:$F$201,MATCH(A107,'Salary Records'!$A$2:$A$201,0))</f>
        <v>26</v>
      </c>
      <c r="F107" s="2" t="n">
        <f aca="false">INDEX('Salary Records'!$G$2:$G$201,MATCH(A107,'Salary Records'!$A$2:$A$201,0))</f>
        <v>19</v>
      </c>
      <c r="G107" s="2" t="n">
        <f aca="false">INDEX('Salary Records'!$H$2:$H$201,MATCH(A107,'Salary Records'!$A$2:$A$201,0))</f>
        <v>6</v>
      </c>
      <c r="H107" s="2" t="n">
        <f aca="false">INDEX('Salary Records'!$I$2:$I$201,MATCH(A107,'Salary Records'!$A$2:$A$201,0))</f>
        <v>1</v>
      </c>
      <c r="I107" s="2" t="n">
        <f aca="false">INDEX('Salary Records'!$J$2:$J$201,MATCH(A107,'Salary Records'!$A$2:$A$201,0))</f>
        <v>0</v>
      </c>
      <c r="J107" s="2" t="n">
        <f aca="false">ROUND(F107/E107*100,1)</f>
        <v>73.1</v>
      </c>
      <c r="K107" s="2" t="n">
        <v>2</v>
      </c>
      <c r="L107" s="2" t="n">
        <f aca="false">INDEX('Salary Records'!$K$2:$K$201,MATCH(A107,'Salary Records'!$A$2:$A$201,0))</f>
        <v>2</v>
      </c>
      <c r="M107" s="2" t="n">
        <f aca="false">INDEX('Salary Records'!$L$2:$L$201,MATCH(A107,'Salary Records'!$A$2:$A$201,0))</f>
        <v>4</v>
      </c>
      <c r="N107" s="2" t="n">
        <f aca="false">INDEX('Salary Records'!$E$2:$E$201,MATCH(A107,'Salary Records'!$A$2:$A$201,0))</f>
        <v>23500</v>
      </c>
      <c r="O107" s="2" t="n">
        <f aca="false">INDEX('Salary Records'!$O$2:$O$201,MATCH(A107,'Salary Records'!$A$2:$A$201,0))</f>
        <v>3615.4</v>
      </c>
      <c r="P107" s="2" t="n">
        <f aca="false">INDEX('PF Records'!$H$2:$H$201,MATCH(A107,'PF Records'!$A$2:$A$201,0))</f>
        <v>2820</v>
      </c>
      <c r="Q107" s="2" t="n">
        <f aca="false">INDEX('PF Records'!$I$2:$I$201,MATCH(A107,'PF Records'!$A$2:$A$201,0))</f>
        <v>2820</v>
      </c>
      <c r="R107" s="2" t="n">
        <f aca="false">P107+Q107</f>
        <v>5640</v>
      </c>
      <c r="S107" s="2" t="n">
        <f aca="false">INDEX('Salary Records'!$S$2:$S$201,MATCH(A107,'Salary Records'!$A$2:$A$201,0))</f>
        <v>17064.6</v>
      </c>
      <c r="T107" s="2" t="n">
        <f aca="false">INDEX('Employee Master'!$I$2:$I$201,MATCH(A107,'Employee Master'!$A$2:$A$201,0))</f>
        <v>5</v>
      </c>
      <c r="U107" s="2" t="n">
        <f aca="false">INDEX('Employee Master'!$H$2:$H$201,MATCH(A107,'Employee Master'!$A$2:$A$201,0))</f>
        <v>0</v>
      </c>
      <c r="V107" s="2" t="n">
        <f aca="false">INDEX('Employee Master'!$J$2:$J$201,MATCH(A107,'Employee Master'!$A$2:$A$201,0))</f>
        <v>5</v>
      </c>
    </row>
    <row r="108" customFormat="false" ht="15" hidden="false" customHeight="false" outlineLevel="0" collapsed="false">
      <c r="A108" s="2" t="s">
        <v>261</v>
      </c>
      <c r="B108" s="2" t="s">
        <v>262</v>
      </c>
      <c r="C108" s="2" t="s">
        <v>45</v>
      </c>
      <c r="D108" s="2" t="s">
        <v>657</v>
      </c>
      <c r="E108" s="2" t="n">
        <f aca="false">INDEX('Salary Records'!$F$2:$F$201,MATCH(A108,'Salary Records'!$A$2:$A$201,0))</f>
        <v>26</v>
      </c>
      <c r="F108" s="2" t="n">
        <f aca="false">INDEX('Salary Records'!$G$2:$G$201,MATCH(A108,'Salary Records'!$A$2:$A$201,0))</f>
        <v>18</v>
      </c>
      <c r="G108" s="2" t="n">
        <f aca="false">INDEX('Salary Records'!$H$2:$H$201,MATCH(A108,'Salary Records'!$A$2:$A$201,0))</f>
        <v>6</v>
      </c>
      <c r="H108" s="2" t="n">
        <f aca="false">INDEX('Salary Records'!$I$2:$I$201,MATCH(A108,'Salary Records'!$A$2:$A$201,0))</f>
        <v>2</v>
      </c>
      <c r="I108" s="2" t="n">
        <f aca="false">INDEX('Salary Records'!$J$2:$J$201,MATCH(A108,'Salary Records'!$A$2:$A$201,0))</f>
        <v>0</v>
      </c>
      <c r="J108" s="2" t="n">
        <f aca="false">ROUND(F108/E108*100,1)</f>
        <v>69.2</v>
      </c>
      <c r="K108" s="2" t="n">
        <v>2</v>
      </c>
      <c r="L108" s="2" t="n">
        <f aca="false">INDEX('Salary Records'!$K$2:$K$201,MATCH(A108,'Salary Records'!$A$2:$A$201,0))</f>
        <v>2</v>
      </c>
      <c r="M108" s="2" t="n">
        <f aca="false">INDEX('Salary Records'!$L$2:$L$201,MATCH(A108,'Salary Records'!$A$2:$A$201,0))</f>
        <v>4</v>
      </c>
      <c r="N108" s="2" t="n">
        <f aca="false">INDEX('Salary Records'!$E$2:$E$201,MATCH(A108,'Salary Records'!$A$2:$A$201,0))</f>
        <v>105000</v>
      </c>
      <c r="O108" s="2" t="n">
        <f aca="false">INDEX('Salary Records'!$O$2:$O$201,MATCH(A108,'Salary Records'!$A$2:$A$201,0))</f>
        <v>16153.84</v>
      </c>
      <c r="P108" s="2" t="n">
        <f aca="false">INDEX('PF Records'!$H$2:$H$201,MATCH(A108,'PF Records'!$A$2:$A$201,0))</f>
        <v>12600</v>
      </c>
      <c r="Q108" s="2" t="n">
        <f aca="false">INDEX('PF Records'!$I$2:$I$201,MATCH(A108,'PF Records'!$A$2:$A$201,0))</f>
        <v>12600</v>
      </c>
      <c r="R108" s="2" t="n">
        <f aca="false">P108+Q108</f>
        <v>25200</v>
      </c>
      <c r="S108" s="2" t="n">
        <f aca="false">INDEX('Salary Records'!$S$2:$S$201,MATCH(A108,'Salary Records'!$A$2:$A$201,0))</f>
        <v>76246.16</v>
      </c>
      <c r="T108" s="2" t="n">
        <f aca="false">INDEX('Employee Master'!$I$2:$I$201,MATCH(A108,'Employee Master'!$A$2:$A$201,0))</f>
        <v>2.5</v>
      </c>
      <c r="U108" s="2" t="n">
        <f aca="false">INDEX('Employee Master'!$H$2:$H$201,MATCH(A108,'Employee Master'!$A$2:$A$201,0))</f>
        <v>0.3</v>
      </c>
      <c r="V108" s="2" t="n">
        <f aca="false">INDEX('Employee Master'!$J$2:$J$201,MATCH(A108,'Employee Master'!$A$2:$A$201,0))</f>
        <v>2.8</v>
      </c>
    </row>
    <row r="109" customFormat="false" ht="15" hidden="false" customHeight="false" outlineLevel="0" collapsed="false">
      <c r="A109" s="2" t="s">
        <v>263</v>
      </c>
      <c r="B109" s="2" t="s">
        <v>264</v>
      </c>
      <c r="C109" s="2" t="s">
        <v>49</v>
      </c>
      <c r="D109" s="2" t="s">
        <v>657</v>
      </c>
      <c r="E109" s="2" t="n">
        <f aca="false">INDEX('Salary Records'!$F$2:$F$201,MATCH(A109,'Salary Records'!$A$2:$A$201,0))</f>
        <v>26</v>
      </c>
      <c r="F109" s="2" t="n">
        <f aca="false">INDEX('Salary Records'!$G$2:$G$201,MATCH(A109,'Salary Records'!$A$2:$A$201,0))</f>
        <v>20</v>
      </c>
      <c r="G109" s="2" t="n">
        <f aca="false">INDEX('Salary Records'!$H$2:$H$201,MATCH(A109,'Salary Records'!$A$2:$A$201,0))</f>
        <v>6</v>
      </c>
      <c r="H109" s="2" t="n">
        <f aca="false">INDEX('Salary Records'!$I$2:$I$201,MATCH(A109,'Salary Records'!$A$2:$A$201,0))</f>
        <v>0</v>
      </c>
      <c r="I109" s="2" t="n">
        <f aca="false">INDEX('Salary Records'!$J$2:$J$201,MATCH(A109,'Salary Records'!$A$2:$A$201,0))</f>
        <v>0</v>
      </c>
      <c r="J109" s="2" t="n">
        <f aca="false">ROUND(F109/E109*100,1)</f>
        <v>76.9</v>
      </c>
      <c r="K109" s="2" t="n">
        <v>2</v>
      </c>
      <c r="L109" s="2" t="n">
        <f aca="false">INDEX('Salary Records'!$K$2:$K$201,MATCH(A109,'Salary Records'!$A$2:$A$201,0))</f>
        <v>2</v>
      </c>
      <c r="M109" s="2" t="n">
        <f aca="false">INDEX('Salary Records'!$L$2:$L$201,MATCH(A109,'Salary Records'!$A$2:$A$201,0))</f>
        <v>4</v>
      </c>
      <c r="N109" s="2" t="n">
        <f aca="false">INDEX('Salary Records'!$E$2:$E$201,MATCH(A109,'Salary Records'!$A$2:$A$201,0))</f>
        <v>122500</v>
      </c>
      <c r="O109" s="2" t="n">
        <f aca="false">INDEX('Salary Records'!$O$2:$O$201,MATCH(A109,'Salary Records'!$A$2:$A$201,0))</f>
        <v>18846.16</v>
      </c>
      <c r="P109" s="2" t="n">
        <f aca="false">INDEX('PF Records'!$H$2:$H$201,MATCH(A109,'PF Records'!$A$2:$A$201,0))</f>
        <v>14700</v>
      </c>
      <c r="Q109" s="2" t="n">
        <f aca="false">INDEX('PF Records'!$I$2:$I$201,MATCH(A109,'PF Records'!$A$2:$A$201,0))</f>
        <v>14700</v>
      </c>
      <c r="R109" s="2" t="n">
        <f aca="false">P109+Q109</f>
        <v>29400</v>
      </c>
      <c r="S109" s="2" t="n">
        <f aca="false">INDEX('Salary Records'!$S$2:$S$201,MATCH(A109,'Salary Records'!$A$2:$A$201,0))</f>
        <v>88953.84</v>
      </c>
      <c r="T109" s="2" t="n">
        <f aca="false">INDEX('Employee Master'!$I$2:$I$201,MATCH(A109,'Employee Master'!$A$2:$A$201,0))</f>
        <v>7.4</v>
      </c>
      <c r="U109" s="2" t="n">
        <f aca="false">INDEX('Employee Master'!$H$2:$H$201,MATCH(A109,'Employee Master'!$A$2:$A$201,0))</f>
        <v>7.8</v>
      </c>
      <c r="V109" s="2" t="n">
        <f aca="false">INDEX('Employee Master'!$J$2:$J$201,MATCH(A109,'Employee Master'!$A$2:$A$201,0))</f>
        <v>15.2</v>
      </c>
    </row>
    <row r="110" customFormat="false" ht="15" hidden="false" customHeight="false" outlineLevel="0" collapsed="false">
      <c r="A110" s="2" t="s">
        <v>265</v>
      </c>
      <c r="B110" s="2" t="s">
        <v>266</v>
      </c>
      <c r="C110" s="2" t="s">
        <v>53</v>
      </c>
      <c r="D110" s="2" t="s">
        <v>657</v>
      </c>
      <c r="E110" s="2" t="n">
        <f aca="false">INDEX('Salary Records'!$F$2:$F$201,MATCH(A110,'Salary Records'!$A$2:$A$201,0))</f>
        <v>26</v>
      </c>
      <c r="F110" s="2" t="n">
        <f aca="false">INDEX('Salary Records'!$G$2:$G$201,MATCH(A110,'Salary Records'!$A$2:$A$201,0))</f>
        <v>17</v>
      </c>
      <c r="G110" s="2" t="n">
        <f aca="false">INDEX('Salary Records'!$H$2:$H$201,MATCH(A110,'Salary Records'!$A$2:$A$201,0))</f>
        <v>6</v>
      </c>
      <c r="H110" s="2" t="n">
        <f aca="false">INDEX('Salary Records'!$I$2:$I$201,MATCH(A110,'Salary Records'!$A$2:$A$201,0))</f>
        <v>1</v>
      </c>
      <c r="I110" s="2" t="n">
        <f aca="false">INDEX('Salary Records'!$J$2:$J$201,MATCH(A110,'Salary Records'!$A$2:$A$201,0))</f>
        <v>2</v>
      </c>
      <c r="J110" s="2" t="n">
        <f aca="false">ROUND(F110/E110*100,1)</f>
        <v>65.4</v>
      </c>
      <c r="K110" s="2" t="n">
        <v>2</v>
      </c>
      <c r="L110" s="2" t="n">
        <f aca="false">INDEX('Salary Records'!$K$2:$K$201,MATCH(A110,'Salary Records'!$A$2:$A$201,0))</f>
        <v>2</v>
      </c>
      <c r="M110" s="2" t="n">
        <f aca="false">INDEX('Salary Records'!$L$2:$L$201,MATCH(A110,'Salary Records'!$A$2:$A$201,0))</f>
        <v>4</v>
      </c>
      <c r="N110" s="2" t="n">
        <f aca="false">INDEX('Salary Records'!$E$2:$E$201,MATCH(A110,'Salary Records'!$A$2:$A$201,0))</f>
        <v>33000</v>
      </c>
      <c r="O110" s="2" t="n">
        <f aca="false">INDEX('Salary Records'!$O$2:$O$201,MATCH(A110,'Salary Records'!$A$2:$A$201,0))</f>
        <v>5076.92</v>
      </c>
      <c r="P110" s="2" t="n">
        <f aca="false">INDEX('PF Records'!$H$2:$H$201,MATCH(A110,'PF Records'!$A$2:$A$201,0))</f>
        <v>3960</v>
      </c>
      <c r="Q110" s="2" t="n">
        <f aca="false">INDEX('PF Records'!$I$2:$I$201,MATCH(A110,'PF Records'!$A$2:$A$201,0))</f>
        <v>3960</v>
      </c>
      <c r="R110" s="2" t="n">
        <f aca="false">P110+Q110</f>
        <v>7920</v>
      </c>
      <c r="S110" s="2" t="n">
        <f aca="false">INDEX('Salary Records'!$S$2:$S$201,MATCH(A110,'Salary Records'!$A$2:$A$201,0))</f>
        <v>22693.85</v>
      </c>
      <c r="T110" s="2" t="n">
        <f aca="false">INDEX('Employee Master'!$I$2:$I$201,MATCH(A110,'Employee Master'!$A$2:$A$201,0))</f>
        <v>4</v>
      </c>
      <c r="U110" s="2" t="n">
        <f aca="false">INDEX('Employee Master'!$H$2:$H$201,MATCH(A110,'Employee Master'!$A$2:$A$201,0))</f>
        <v>0.4</v>
      </c>
      <c r="V110" s="2" t="n">
        <f aca="false">INDEX('Employee Master'!$J$2:$J$201,MATCH(A110,'Employee Master'!$A$2:$A$201,0))</f>
        <v>4.4</v>
      </c>
    </row>
    <row r="111" customFormat="false" ht="15" hidden="false" customHeight="false" outlineLevel="0" collapsed="false">
      <c r="A111" s="2" t="s">
        <v>267</v>
      </c>
      <c r="B111" s="2" t="s">
        <v>268</v>
      </c>
      <c r="C111" s="2" t="s">
        <v>57</v>
      </c>
      <c r="D111" s="2" t="s">
        <v>657</v>
      </c>
      <c r="E111" s="2" t="n">
        <f aca="false">INDEX('Salary Records'!$F$2:$F$201,MATCH(A111,'Salary Records'!$A$2:$A$201,0))</f>
        <v>26</v>
      </c>
      <c r="F111" s="2" t="n">
        <f aca="false">INDEX('Salary Records'!$G$2:$G$201,MATCH(A111,'Salary Records'!$A$2:$A$201,0))</f>
        <v>18</v>
      </c>
      <c r="G111" s="2" t="n">
        <f aca="false">INDEX('Salary Records'!$H$2:$H$201,MATCH(A111,'Salary Records'!$A$2:$A$201,0))</f>
        <v>5</v>
      </c>
      <c r="H111" s="2" t="n">
        <f aca="false">INDEX('Salary Records'!$I$2:$I$201,MATCH(A111,'Salary Records'!$A$2:$A$201,0))</f>
        <v>2</v>
      </c>
      <c r="I111" s="2" t="n">
        <f aca="false">INDEX('Salary Records'!$J$2:$J$201,MATCH(A111,'Salary Records'!$A$2:$A$201,0))</f>
        <v>1</v>
      </c>
      <c r="J111" s="2" t="n">
        <f aca="false">ROUND(F111/E111*100,1)</f>
        <v>69.2</v>
      </c>
      <c r="K111" s="2" t="n">
        <v>2</v>
      </c>
      <c r="L111" s="2" t="n">
        <f aca="false">INDEX('Salary Records'!$K$2:$K$201,MATCH(A111,'Salary Records'!$A$2:$A$201,0))</f>
        <v>2</v>
      </c>
      <c r="M111" s="2" t="n">
        <f aca="false">INDEX('Salary Records'!$L$2:$L$201,MATCH(A111,'Salary Records'!$A$2:$A$201,0))</f>
        <v>3</v>
      </c>
      <c r="N111" s="2" t="n">
        <f aca="false">INDEX('Salary Records'!$E$2:$E$201,MATCH(A111,'Salary Records'!$A$2:$A$201,0))</f>
        <v>76000</v>
      </c>
      <c r="O111" s="2" t="n">
        <f aca="false">INDEX('Salary Records'!$O$2:$O$201,MATCH(A111,'Salary Records'!$A$2:$A$201,0))</f>
        <v>8769.24</v>
      </c>
      <c r="P111" s="2" t="n">
        <f aca="false">INDEX('PF Records'!$H$2:$H$201,MATCH(A111,'PF Records'!$A$2:$A$201,0))</f>
        <v>9120</v>
      </c>
      <c r="Q111" s="2" t="n">
        <f aca="false">INDEX('PF Records'!$I$2:$I$201,MATCH(A111,'PF Records'!$A$2:$A$201,0))</f>
        <v>9120</v>
      </c>
      <c r="R111" s="2" t="n">
        <f aca="false">P111+Q111</f>
        <v>18240</v>
      </c>
      <c r="S111" s="2" t="n">
        <f aca="false">INDEX('Salary Records'!$S$2:$S$201,MATCH(A111,'Salary Records'!$A$2:$A$201,0))</f>
        <v>56649.22</v>
      </c>
      <c r="T111" s="2" t="n">
        <f aca="false">INDEX('Employee Master'!$I$2:$I$201,MATCH(A111,'Employee Master'!$A$2:$A$201,0))</f>
        <v>3.7</v>
      </c>
      <c r="U111" s="2" t="n">
        <f aca="false">INDEX('Employee Master'!$H$2:$H$201,MATCH(A111,'Employee Master'!$A$2:$A$201,0))</f>
        <v>6.1</v>
      </c>
      <c r="V111" s="2" t="n">
        <f aca="false">INDEX('Employee Master'!$J$2:$J$201,MATCH(A111,'Employee Master'!$A$2:$A$201,0))</f>
        <v>9.8</v>
      </c>
    </row>
    <row r="112" customFormat="false" ht="15" hidden="false" customHeight="false" outlineLevel="0" collapsed="false">
      <c r="A112" s="2" t="s">
        <v>269</v>
      </c>
      <c r="B112" s="2" t="s">
        <v>270</v>
      </c>
      <c r="C112" s="2" t="s">
        <v>17</v>
      </c>
      <c r="D112" s="2" t="s">
        <v>657</v>
      </c>
      <c r="E112" s="2" t="n">
        <f aca="false">INDEX('Salary Records'!$F$2:$F$201,MATCH(A112,'Salary Records'!$A$2:$A$201,0))</f>
        <v>26</v>
      </c>
      <c r="F112" s="2" t="n">
        <f aca="false">INDEX('Salary Records'!$G$2:$G$201,MATCH(A112,'Salary Records'!$A$2:$A$201,0))</f>
        <v>26</v>
      </c>
      <c r="G112" s="2" t="n">
        <f aca="false">INDEX('Salary Records'!$H$2:$H$201,MATCH(A112,'Salary Records'!$A$2:$A$201,0))</f>
        <v>0</v>
      </c>
      <c r="H112" s="2" t="n">
        <f aca="false">INDEX('Salary Records'!$I$2:$I$201,MATCH(A112,'Salary Records'!$A$2:$A$201,0))</f>
        <v>0</v>
      </c>
      <c r="I112" s="2" t="n">
        <f aca="false">INDEX('Salary Records'!$J$2:$J$201,MATCH(A112,'Salary Records'!$A$2:$A$201,0))</f>
        <v>0</v>
      </c>
      <c r="J112" s="2" t="n">
        <f aca="false">ROUND(F112/E112*100,1)</f>
        <v>100</v>
      </c>
      <c r="K112" s="2" t="n">
        <v>2</v>
      </c>
      <c r="L112" s="2" t="n">
        <f aca="false">INDEX('Salary Records'!$K$2:$K$201,MATCH(A112,'Salary Records'!$A$2:$A$201,0))</f>
        <v>0</v>
      </c>
      <c r="M112" s="2" t="n">
        <f aca="false">INDEX('Salary Records'!$L$2:$L$201,MATCH(A112,'Salary Records'!$A$2:$A$201,0))</f>
        <v>0</v>
      </c>
      <c r="N112" s="2" t="n">
        <f aca="false">INDEX('Salary Records'!$E$2:$E$201,MATCH(A112,'Salary Records'!$A$2:$A$201,0))</f>
        <v>49000</v>
      </c>
      <c r="O112" s="2" t="n">
        <f aca="false">INDEX('Salary Records'!$O$2:$O$201,MATCH(A112,'Salary Records'!$A$2:$A$201,0))</f>
        <v>0</v>
      </c>
      <c r="P112" s="2" t="n">
        <f aca="false">INDEX('PF Records'!$H$2:$H$201,MATCH(A112,'PF Records'!$A$2:$A$201,0))</f>
        <v>5880</v>
      </c>
      <c r="Q112" s="2" t="n">
        <f aca="false">INDEX('PF Records'!$I$2:$I$201,MATCH(A112,'PF Records'!$A$2:$A$201,0))</f>
        <v>5880</v>
      </c>
      <c r="R112" s="2" t="n">
        <f aca="false">P112+Q112</f>
        <v>11760</v>
      </c>
      <c r="S112" s="2" t="n">
        <f aca="false">INDEX('Salary Records'!$S$2:$S$201,MATCH(A112,'Salary Records'!$A$2:$A$201,0))</f>
        <v>43120</v>
      </c>
      <c r="T112" s="2" t="n">
        <f aca="false">INDEX('Employee Master'!$I$2:$I$201,MATCH(A112,'Employee Master'!$A$2:$A$201,0))</f>
        <v>3.8</v>
      </c>
      <c r="U112" s="2" t="n">
        <f aca="false">INDEX('Employee Master'!$H$2:$H$201,MATCH(A112,'Employee Master'!$A$2:$A$201,0))</f>
        <v>7</v>
      </c>
      <c r="V112" s="2" t="n">
        <f aca="false">INDEX('Employee Master'!$J$2:$J$201,MATCH(A112,'Employee Master'!$A$2:$A$201,0))</f>
        <v>10.8</v>
      </c>
    </row>
    <row r="113" customFormat="false" ht="15" hidden="false" customHeight="false" outlineLevel="0" collapsed="false">
      <c r="A113" s="2" t="s">
        <v>271</v>
      </c>
      <c r="B113" s="2" t="s">
        <v>272</v>
      </c>
      <c r="C113" s="2" t="s">
        <v>24</v>
      </c>
      <c r="D113" s="2" t="s">
        <v>657</v>
      </c>
      <c r="E113" s="2" t="n">
        <f aca="false">INDEX('Salary Records'!$F$2:$F$201,MATCH(A113,'Salary Records'!$A$2:$A$201,0))</f>
        <v>26</v>
      </c>
      <c r="F113" s="2" t="n">
        <f aca="false">INDEX('Salary Records'!$G$2:$G$201,MATCH(A113,'Salary Records'!$A$2:$A$201,0))</f>
        <v>26</v>
      </c>
      <c r="G113" s="2" t="n">
        <f aca="false">INDEX('Salary Records'!$H$2:$H$201,MATCH(A113,'Salary Records'!$A$2:$A$201,0))</f>
        <v>0</v>
      </c>
      <c r="H113" s="2" t="n">
        <f aca="false">INDEX('Salary Records'!$I$2:$I$201,MATCH(A113,'Salary Records'!$A$2:$A$201,0))</f>
        <v>0</v>
      </c>
      <c r="I113" s="2" t="n">
        <f aca="false">INDEX('Salary Records'!$J$2:$J$201,MATCH(A113,'Salary Records'!$A$2:$A$201,0))</f>
        <v>0</v>
      </c>
      <c r="J113" s="2" t="n">
        <f aca="false">ROUND(F113/E113*100,1)</f>
        <v>100</v>
      </c>
      <c r="K113" s="2" t="n">
        <v>2</v>
      </c>
      <c r="L113" s="2" t="n">
        <f aca="false">INDEX('Salary Records'!$K$2:$K$201,MATCH(A113,'Salary Records'!$A$2:$A$201,0))</f>
        <v>0</v>
      </c>
      <c r="M113" s="2" t="n">
        <f aca="false">INDEX('Salary Records'!$L$2:$L$201,MATCH(A113,'Salary Records'!$A$2:$A$201,0))</f>
        <v>0</v>
      </c>
      <c r="N113" s="2" t="n">
        <f aca="false">INDEX('Salary Records'!$E$2:$E$201,MATCH(A113,'Salary Records'!$A$2:$A$201,0))</f>
        <v>71500</v>
      </c>
      <c r="O113" s="2" t="n">
        <f aca="false">INDEX('Salary Records'!$O$2:$O$201,MATCH(A113,'Salary Records'!$A$2:$A$201,0))</f>
        <v>0</v>
      </c>
      <c r="P113" s="2" t="n">
        <f aca="false">INDEX('PF Records'!$H$2:$H$201,MATCH(A113,'PF Records'!$A$2:$A$201,0))</f>
        <v>8580</v>
      </c>
      <c r="Q113" s="2" t="n">
        <f aca="false">INDEX('PF Records'!$I$2:$I$201,MATCH(A113,'PF Records'!$A$2:$A$201,0))</f>
        <v>8580</v>
      </c>
      <c r="R113" s="2" t="n">
        <f aca="false">P113+Q113</f>
        <v>17160</v>
      </c>
      <c r="S113" s="2" t="n">
        <f aca="false">INDEX('Salary Records'!$S$2:$S$201,MATCH(A113,'Salary Records'!$A$2:$A$201,0))</f>
        <v>62920</v>
      </c>
      <c r="T113" s="2" t="n">
        <f aca="false">INDEX('Employee Master'!$I$2:$I$201,MATCH(A113,'Employee Master'!$A$2:$A$201,0))</f>
        <v>1.8</v>
      </c>
      <c r="U113" s="2" t="n">
        <f aca="false">INDEX('Employee Master'!$H$2:$H$201,MATCH(A113,'Employee Master'!$A$2:$A$201,0))</f>
        <v>6.4</v>
      </c>
      <c r="V113" s="2" t="n">
        <f aca="false">INDEX('Employee Master'!$J$2:$J$201,MATCH(A113,'Employee Master'!$A$2:$A$201,0))</f>
        <v>8.2</v>
      </c>
    </row>
    <row r="114" customFormat="false" ht="15" hidden="false" customHeight="false" outlineLevel="0" collapsed="false">
      <c r="A114" s="2" t="s">
        <v>273</v>
      </c>
      <c r="B114" s="2" t="s">
        <v>274</v>
      </c>
      <c r="C114" s="2" t="s">
        <v>28</v>
      </c>
      <c r="D114" s="2" t="s">
        <v>657</v>
      </c>
      <c r="E114" s="2" t="n">
        <f aca="false">INDEX('Salary Records'!$F$2:$F$201,MATCH(A114,'Salary Records'!$A$2:$A$201,0))</f>
        <v>26</v>
      </c>
      <c r="F114" s="2" t="n">
        <f aca="false">INDEX('Salary Records'!$G$2:$G$201,MATCH(A114,'Salary Records'!$A$2:$A$201,0))</f>
        <v>22</v>
      </c>
      <c r="G114" s="2" t="n">
        <f aca="false">INDEX('Salary Records'!$H$2:$H$201,MATCH(A114,'Salary Records'!$A$2:$A$201,0))</f>
        <v>4</v>
      </c>
      <c r="H114" s="2" t="n">
        <f aca="false">INDEX('Salary Records'!$I$2:$I$201,MATCH(A114,'Salary Records'!$A$2:$A$201,0))</f>
        <v>0</v>
      </c>
      <c r="I114" s="2" t="n">
        <f aca="false">INDEX('Salary Records'!$J$2:$J$201,MATCH(A114,'Salary Records'!$A$2:$A$201,0))</f>
        <v>0</v>
      </c>
      <c r="J114" s="2" t="n">
        <f aca="false">ROUND(F114/E114*100,1)</f>
        <v>84.6</v>
      </c>
      <c r="K114" s="2" t="n">
        <v>2</v>
      </c>
      <c r="L114" s="2" t="n">
        <f aca="false">INDEX('Salary Records'!$K$2:$K$201,MATCH(A114,'Salary Records'!$A$2:$A$201,0))</f>
        <v>2</v>
      </c>
      <c r="M114" s="2" t="n">
        <f aca="false">INDEX('Salary Records'!$L$2:$L$201,MATCH(A114,'Salary Records'!$A$2:$A$201,0))</f>
        <v>2</v>
      </c>
      <c r="N114" s="2" t="n">
        <f aca="false">INDEX('Salary Records'!$E$2:$E$201,MATCH(A114,'Salary Records'!$A$2:$A$201,0))</f>
        <v>91000</v>
      </c>
      <c r="O114" s="2" t="n">
        <f aca="false">INDEX('Salary Records'!$O$2:$O$201,MATCH(A114,'Salary Records'!$A$2:$A$201,0))</f>
        <v>7000</v>
      </c>
      <c r="P114" s="2" t="n">
        <f aca="false">INDEX('PF Records'!$H$2:$H$201,MATCH(A114,'PF Records'!$A$2:$A$201,0))</f>
        <v>10920</v>
      </c>
      <c r="Q114" s="2" t="n">
        <f aca="false">INDEX('PF Records'!$I$2:$I$201,MATCH(A114,'PF Records'!$A$2:$A$201,0))</f>
        <v>10920</v>
      </c>
      <c r="R114" s="2" t="n">
        <f aca="false">P114+Q114</f>
        <v>21840</v>
      </c>
      <c r="S114" s="2" t="n">
        <f aca="false">INDEX('Salary Records'!$S$2:$S$201,MATCH(A114,'Salary Records'!$A$2:$A$201,0))</f>
        <v>73080</v>
      </c>
      <c r="T114" s="2" t="n">
        <f aca="false">INDEX('Employee Master'!$I$2:$I$201,MATCH(A114,'Employee Master'!$A$2:$A$201,0))</f>
        <v>8.5</v>
      </c>
      <c r="U114" s="2" t="n">
        <f aca="false">INDEX('Employee Master'!$H$2:$H$201,MATCH(A114,'Employee Master'!$A$2:$A$201,0))</f>
        <v>0</v>
      </c>
      <c r="V114" s="2" t="n">
        <f aca="false">INDEX('Employee Master'!$J$2:$J$201,MATCH(A114,'Employee Master'!$A$2:$A$201,0))</f>
        <v>8.5</v>
      </c>
    </row>
    <row r="115" customFormat="false" ht="15" hidden="false" customHeight="false" outlineLevel="0" collapsed="false">
      <c r="A115" s="2" t="s">
        <v>275</v>
      </c>
      <c r="B115" s="2" t="s">
        <v>276</v>
      </c>
      <c r="C115" s="2" t="s">
        <v>32</v>
      </c>
      <c r="D115" s="2" t="s">
        <v>657</v>
      </c>
      <c r="E115" s="2" t="n">
        <f aca="false">INDEX('Salary Records'!$F$2:$F$201,MATCH(A115,'Salary Records'!$A$2:$A$201,0))</f>
        <v>26</v>
      </c>
      <c r="F115" s="2" t="n">
        <f aca="false">INDEX('Salary Records'!$G$2:$G$201,MATCH(A115,'Salary Records'!$A$2:$A$201,0))</f>
        <v>25</v>
      </c>
      <c r="G115" s="2" t="n">
        <f aca="false">INDEX('Salary Records'!$H$2:$H$201,MATCH(A115,'Salary Records'!$A$2:$A$201,0))</f>
        <v>0</v>
      </c>
      <c r="H115" s="2" t="n">
        <f aca="false">INDEX('Salary Records'!$I$2:$I$201,MATCH(A115,'Salary Records'!$A$2:$A$201,0))</f>
        <v>0</v>
      </c>
      <c r="I115" s="2" t="n">
        <f aca="false">INDEX('Salary Records'!$J$2:$J$201,MATCH(A115,'Salary Records'!$A$2:$A$201,0))</f>
        <v>1</v>
      </c>
      <c r="J115" s="2" t="n">
        <f aca="false">ROUND(F115/E115*100,1)</f>
        <v>96.2</v>
      </c>
      <c r="K115" s="2" t="n">
        <v>2</v>
      </c>
      <c r="L115" s="2" t="n">
        <f aca="false">INDEX('Salary Records'!$K$2:$K$201,MATCH(A115,'Salary Records'!$A$2:$A$201,0))</f>
        <v>0</v>
      </c>
      <c r="M115" s="2" t="n">
        <f aca="false">INDEX('Salary Records'!$L$2:$L$201,MATCH(A115,'Salary Records'!$A$2:$A$201,0))</f>
        <v>0</v>
      </c>
      <c r="N115" s="2" t="n">
        <f aca="false">INDEX('Salary Records'!$E$2:$E$201,MATCH(A115,'Salary Records'!$A$2:$A$201,0))</f>
        <v>37000</v>
      </c>
      <c r="O115" s="2" t="n">
        <f aca="false">INDEX('Salary Records'!$O$2:$O$201,MATCH(A115,'Salary Records'!$A$2:$A$201,0))</f>
        <v>0</v>
      </c>
      <c r="P115" s="2" t="n">
        <f aca="false">INDEX('PF Records'!$H$2:$H$201,MATCH(A115,'PF Records'!$A$2:$A$201,0))</f>
        <v>4440</v>
      </c>
      <c r="Q115" s="2" t="n">
        <f aca="false">INDEX('PF Records'!$I$2:$I$201,MATCH(A115,'PF Records'!$A$2:$A$201,0))</f>
        <v>4440</v>
      </c>
      <c r="R115" s="2" t="n">
        <f aca="false">P115+Q115</f>
        <v>8880</v>
      </c>
      <c r="S115" s="2" t="n">
        <f aca="false">INDEX('Salary Records'!$S$2:$S$201,MATCH(A115,'Salary Records'!$A$2:$A$201,0))</f>
        <v>31848.46</v>
      </c>
      <c r="T115" s="2" t="n">
        <f aca="false">INDEX('Employee Master'!$I$2:$I$201,MATCH(A115,'Employee Master'!$A$2:$A$201,0))</f>
        <v>7.3</v>
      </c>
      <c r="U115" s="2" t="n">
        <f aca="false">INDEX('Employee Master'!$H$2:$H$201,MATCH(A115,'Employee Master'!$A$2:$A$201,0))</f>
        <v>5.2</v>
      </c>
      <c r="V115" s="2" t="n">
        <f aca="false">INDEX('Employee Master'!$J$2:$J$201,MATCH(A115,'Employee Master'!$A$2:$A$201,0))</f>
        <v>12.5</v>
      </c>
    </row>
    <row r="116" customFormat="false" ht="15" hidden="false" customHeight="false" outlineLevel="0" collapsed="false">
      <c r="A116" s="2" t="s">
        <v>277</v>
      </c>
      <c r="B116" s="2" t="s">
        <v>278</v>
      </c>
      <c r="C116" s="2" t="s">
        <v>36</v>
      </c>
      <c r="D116" s="2" t="s">
        <v>657</v>
      </c>
      <c r="E116" s="2" t="n">
        <f aca="false">INDEX('Salary Records'!$F$2:$F$201,MATCH(A116,'Salary Records'!$A$2:$A$201,0))</f>
        <v>26</v>
      </c>
      <c r="F116" s="2" t="n">
        <f aca="false">INDEX('Salary Records'!$G$2:$G$201,MATCH(A116,'Salary Records'!$A$2:$A$201,0))</f>
        <v>19</v>
      </c>
      <c r="G116" s="2" t="n">
        <f aca="false">INDEX('Salary Records'!$H$2:$H$201,MATCH(A116,'Salary Records'!$A$2:$A$201,0))</f>
        <v>7</v>
      </c>
      <c r="H116" s="2" t="n">
        <f aca="false">INDEX('Salary Records'!$I$2:$I$201,MATCH(A116,'Salary Records'!$A$2:$A$201,0))</f>
        <v>0</v>
      </c>
      <c r="I116" s="2" t="n">
        <f aca="false">INDEX('Salary Records'!$J$2:$J$201,MATCH(A116,'Salary Records'!$A$2:$A$201,0))</f>
        <v>0</v>
      </c>
      <c r="J116" s="2" t="n">
        <f aca="false">ROUND(F116/E116*100,1)</f>
        <v>73.1</v>
      </c>
      <c r="K116" s="2" t="n">
        <v>2</v>
      </c>
      <c r="L116" s="2" t="n">
        <f aca="false">INDEX('Salary Records'!$K$2:$K$201,MATCH(A116,'Salary Records'!$A$2:$A$201,0))</f>
        <v>2</v>
      </c>
      <c r="M116" s="2" t="n">
        <f aca="false">INDEX('Salary Records'!$L$2:$L$201,MATCH(A116,'Salary Records'!$A$2:$A$201,0))</f>
        <v>5</v>
      </c>
      <c r="N116" s="2" t="n">
        <f aca="false">INDEX('Salary Records'!$E$2:$E$201,MATCH(A116,'Salary Records'!$A$2:$A$201,0))</f>
        <v>78500</v>
      </c>
      <c r="O116" s="2" t="n">
        <f aca="false">INDEX('Salary Records'!$O$2:$O$201,MATCH(A116,'Salary Records'!$A$2:$A$201,0))</f>
        <v>15096.15</v>
      </c>
      <c r="P116" s="2" t="n">
        <f aca="false">INDEX('PF Records'!$H$2:$H$201,MATCH(A116,'PF Records'!$A$2:$A$201,0))</f>
        <v>9420</v>
      </c>
      <c r="Q116" s="2" t="n">
        <f aca="false">INDEX('PF Records'!$I$2:$I$201,MATCH(A116,'PF Records'!$A$2:$A$201,0))</f>
        <v>9420</v>
      </c>
      <c r="R116" s="2" t="n">
        <f aca="false">P116+Q116</f>
        <v>18840</v>
      </c>
      <c r="S116" s="2" t="n">
        <f aca="false">INDEX('Salary Records'!$S$2:$S$201,MATCH(A116,'Salary Records'!$A$2:$A$201,0))</f>
        <v>53983.85</v>
      </c>
      <c r="T116" s="2" t="n">
        <f aca="false">INDEX('Employee Master'!$I$2:$I$201,MATCH(A116,'Employee Master'!$A$2:$A$201,0))</f>
        <v>0.8</v>
      </c>
      <c r="U116" s="2" t="n">
        <f aca="false">INDEX('Employee Master'!$H$2:$H$201,MATCH(A116,'Employee Master'!$A$2:$A$201,0))</f>
        <v>2.2</v>
      </c>
      <c r="V116" s="2" t="n">
        <f aca="false">INDEX('Employee Master'!$J$2:$J$201,MATCH(A116,'Employee Master'!$A$2:$A$201,0))</f>
        <v>3</v>
      </c>
    </row>
    <row r="117" customFormat="false" ht="15" hidden="false" customHeight="false" outlineLevel="0" collapsed="false">
      <c r="A117" s="2" t="s">
        <v>279</v>
      </c>
      <c r="B117" s="2" t="s">
        <v>280</v>
      </c>
      <c r="C117" s="2" t="s">
        <v>41</v>
      </c>
      <c r="D117" s="2" t="s">
        <v>657</v>
      </c>
      <c r="E117" s="2" t="n">
        <f aca="false">INDEX('Salary Records'!$F$2:$F$201,MATCH(A117,'Salary Records'!$A$2:$A$201,0))</f>
        <v>26</v>
      </c>
      <c r="F117" s="2" t="n">
        <f aca="false">INDEX('Salary Records'!$G$2:$G$201,MATCH(A117,'Salary Records'!$A$2:$A$201,0))</f>
        <v>15</v>
      </c>
      <c r="G117" s="2" t="n">
        <f aca="false">INDEX('Salary Records'!$H$2:$H$201,MATCH(A117,'Salary Records'!$A$2:$A$201,0))</f>
        <v>9</v>
      </c>
      <c r="H117" s="2" t="n">
        <f aca="false">INDEX('Salary Records'!$I$2:$I$201,MATCH(A117,'Salary Records'!$A$2:$A$201,0))</f>
        <v>0</v>
      </c>
      <c r="I117" s="2" t="n">
        <f aca="false">INDEX('Salary Records'!$J$2:$J$201,MATCH(A117,'Salary Records'!$A$2:$A$201,0))</f>
        <v>2</v>
      </c>
      <c r="J117" s="2" t="n">
        <f aca="false">ROUND(F117/E117*100,1)</f>
        <v>57.7</v>
      </c>
      <c r="K117" s="2" t="n">
        <v>2</v>
      </c>
      <c r="L117" s="2" t="n">
        <f aca="false">INDEX('Salary Records'!$K$2:$K$201,MATCH(A117,'Salary Records'!$A$2:$A$201,0))</f>
        <v>2</v>
      </c>
      <c r="M117" s="2" t="n">
        <f aca="false">INDEX('Salary Records'!$L$2:$L$201,MATCH(A117,'Salary Records'!$A$2:$A$201,0))</f>
        <v>7</v>
      </c>
      <c r="N117" s="2" t="n">
        <f aca="false">INDEX('Salary Records'!$E$2:$E$201,MATCH(A117,'Salary Records'!$A$2:$A$201,0))</f>
        <v>66000</v>
      </c>
      <c r="O117" s="2" t="n">
        <f aca="false">INDEX('Salary Records'!$O$2:$O$201,MATCH(A117,'Salary Records'!$A$2:$A$201,0))</f>
        <v>17769.22</v>
      </c>
      <c r="P117" s="2" t="n">
        <f aca="false">INDEX('PF Records'!$H$2:$H$201,MATCH(A117,'PF Records'!$A$2:$A$201,0))</f>
        <v>7920</v>
      </c>
      <c r="Q117" s="2" t="n">
        <f aca="false">INDEX('PF Records'!$I$2:$I$201,MATCH(A117,'PF Records'!$A$2:$A$201,0))</f>
        <v>7920</v>
      </c>
      <c r="R117" s="2" t="n">
        <f aca="false">P117+Q117</f>
        <v>15840</v>
      </c>
      <c r="S117" s="2" t="n">
        <f aca="false">INDEX('Salary Records'!$S$2:$S$201,MATCH(A117,'Salary Records'!$A$2:$A$201,0))</f>
        <v>37772.32</v>
      </c>
      <c r="T117" s="2" t="n">
        <f aca="false">INDEX('Employee Master'!$I$2:$I$201,MATCH(A117,'Employee Master'!$A$2:$A$201,0))</f>
        <v>3.5</v>
      </c>
      <c r="U117" s="2" t="n">
        <f aca="false">INDEX('Employee Master'!$H$2:$H$201,MATCH(A117,'Employee Master'!$A$2:$A$201,0))</f>
        <v>4.4</v>
      </c>
      <c r="V117" s="2" t="n">
        <f aca="false">INDEX('Employee Master'!$J$2:$J$201,MATCH(A117,'Employee Master'!$A$2:$A$201,0))</f>
        <v>7.9</v>
      </c>
    </row>
    <row r="118" customFormat="false" ht="15" hidden="false" customHeight="false" outlineLevel="0" collapsed="false">
      <c r="A118" s="2" t="s">
        <v>281</v>
      </c>
      <c r="B118" s="2" t="s">
        <v>282</v>
      </c>
      <c r="C118" s="2" t="s">
        <v>45</v>
      </c>
      <c r="D118" s="2" t="s">
        <v>657</v>
      </c>
      <c r="E118" s="2" t="n">
        <f aca="false">INDEX('Salary Records'!$F$2:$F$201,MATCH(A118,'Salary Records'!$A$2:$A$201,0))</f>
        <v>26</v>
      </c>
      <c r="F118" s="2" t="n">
        <f aca="false">INDEX('Salary Records'!$G$2:$G$201,MATCH(A118,'Salary Records'!$A$2:$A$201,0))</f>
        <v>21</v>
      </c>
      <c r="G118" s="2" t="n">
        <f aca="false">INDEX('Salary Records'!$H$2:$H$201,MATCH(A118,'Salary Records'!$A$2:$A$201,0))</f>
        <v>4</v>
      </c>
      <c r="H118" s="2" t="n">
        <f aca="false">INDEX('Salary Records'!$I$2:$I$201,MATCH(A118,'Salary Records'!$A$2:$A$201,0))</f>
        <v>1</v>
      </c>
      <c r="I118" s="2" t="n">
        <f aca="false">INDEX('Salary Records'!$J$2:$J$201,MATCH(A118,'Salary Records'!$A$2:$A$201,0))</f>
        <v>0</v>
      </c>
      <c r="J118" s="2" t="n">
        <f aca="false">ROUND(F118/E118*100,1)</f>
        <v>80.8</v>
      </c>
      <c r="K118" s="2" t="n">
        <v>2</v>
      </c>
      <c r="L118" s="2" t="n">
        <f aca="false">INDEX('Salary Records'!$K$2:$K$201,MATCH(A118,'Salary Records'!$A$2:$A$201,0))</f>
        <v>2</v>
      </c>
      <c r="M118" s="2" t="n">
        <f aca="false">INDEX('Salary Records'!$L$2:$L$201,MATCH(A118,'Salary Records'!$A$2:$A$201,0))</f>
        <v>2</v>
      </c>
      <c r="N118" s="2" t="n">
        <f aca="false">INDEX('Salary Records'!$E$2:$E$201,MATCH(A118,'Salary Records'!$A$2:$A$201,0))</f>
        <v>22500</v>
      </c>
      <c r="O118" s="2" t="n">
        <f aca="false">INDEX('Salary Records'!$O$2:$O$201,MATCH(A118,'Salary Records'!$A$2:$A$201,0))</f>
        <v>1730.76</v>
      </c>
      <c r="P118" s="2" t="n">
        <f aca="false">INDEX('PF Records'!$H$2:$H$201,MATCH(A118,'PF Records'!$A$2:$A$201,0))</f>
        <v>2700</v>
      </c>
      <c r="Q118" s="2" t="n">
        <f aca="false">INDEX('PF Records'!$I$2:$I$201,MATCH(A118,'PF Records'!$A$2:$A$201,0))</f>
        <v>2700</v>
      </c>
      <c r="R118" s="2" t="n">
        <f aca="false">P118+Q118</f>
        <v>5400</v>
      </c>
      <c r="S118" s="2" t="n">
        <f aca="false">INDEX('Salary Records'!$S$2:$S$201,MATCH(A118,'Salary Records'!$A$2:$A$201,0))</f>
        <v>18069.24</v>
      </c>
      <c r="T118" s="2" t="n">
        <f aca="false">INDEX('Employee Master'!$I$2:$I$201,MATCH(A118,'Employee Master'!$A$2:$A$201,0))</f>
        <v>5.6</v>
      </c>
      <c r="U118" s="2" t="n">
        <f aca="false">INDEX('Employee Master'!$H$2:$H$201,MATCH(A118,'Employee Master'!$A$2:$A$201,0))</f>
        <v>6.2</v>
      </c>
      <c r="V118" s="2" t="n">
        <f aca="false">INDEX('Employee Master'!$J$2:$J$201,MATCH(A118,'Employee Master'!$A$2:$A$201,0))</f>
        <v>11.8</v>
      </c>
    </row>
    <row r="119" customFormat="false" ht="15" hidden="false" customHeight="false" outlineLevel="0" collapsed="false">
      <c r="A119" s="2" t="s">
        <v>283</v>
      </c>
      <c r="B119" s="2" t="s">
        <v>284</v>
      </c>
      <c r="C119" s="2" t="s">
        <v>49</v>
      </c>
      <c r="D119" s="2" t="s">
        <v>657</v>
      </c>
      <c r="E119" s="2" t="n">
        <f aca="false">INDEX('Salary Records'!$F$2:$F$201,MATCH(A119,'Salary Records'!$A$2:$A$201,0))</f>
        <v>26</v>
      </c>
      <c r="F119" s="2" t="n">
        <f aca="false">INDEX('Salary Records'!$G$2:$G$201,MATCH(A119,'Salary Records'!$A$2:$A$201,0))</f>
        <v>24</v>
      </c>
      <c r="G119" s="2" t="n">
        <f aca="false">INDEX('Salary Records'!$H$2:$H$201,MATCH(A119,'Salary Records'!$A$2:$A$201,0))</f>
        <v>1</v>
      </c>
      <c r="H119" s="2" t="n">
        <f aca="false">INDEX('Salary Records'!$I$2:$I$201,MATCH(A119,'Salary Records'!$A$2:$A$201,0))</f>
        <v>1</v>
      </c>
      <c r="I119" s="2" t="n">
        <f aca="false">INDEX('Salary Records'!$J$2:$J$201,MATCH(A119,'Salary Records'!$A$2:$A$201,0))</f>
        <v>0</v>
      </c>
      <c r="J119" s="2" t="n">
        <f aca="false">ROUND(F119/E119*100,1)</f>
        <v>92.3</v>
      </c>
      <c r="K119" s="2" t="n">
        <v>2</v>
      </c>
      <c r="L119" s="2" t="n">
        <f aca="false">INDEX('Salary Records'!$K$2:$K$201,MATCH(A119,'Salary Records'!$A$2:$A$201,0))</f>
        <v>1</v>
      </c>
      <c r="M119" s="2" t="n">
        <f aca="false">INDEX('Salary Records'!$L$2:$L$201,MATCH(A119,'Salary Records'!$A$2:$A$201,0))</f>
        <v>0</v>
      </c>
      <c r="N119" s="2" t="n">
        <f aca="false">INDEX('Salary Records'!$E$2:$E$201,MATCH(A119,'Salary Records'!$A$2:$A$201,0))</f>
        <v>146500</v>
      </c>
      <c r="O119" s="2" t="n">
        <f aca="false">INDEX('Salary Records'!$O$2:$O$201,MATCH(A119,'Salary Records'!$A$2:$A$201,0))</f>
        <v>0</v>
      </c>
      <c r="P119" s="2" t="n">
        <f aca="false">INDEX('PF Records'!$H$2:$H$201,MATCH(A119,'PF Records'!$A$2:$A$201,0))</f>
        <v>17580</v>
      </c>
      <c r="Q119" s="2" t="n">
        <f aca="false">INDEX('PF Records'!$I$2:$I$201,MATCH(A119,'PF Records'!$A$2:$A$201,0))</f>
        <v>17580</v>
      </c>
      <c r="R119" s="2" t="n">
        <f aca="false">P119+Q119</f>
        <v>35160</v>
      </c>
      <c r="S119" s="2" t="n">
        <f aca="false">INDEX('Salary Records'!$S$2:$S$201,MATCH(A119,'Salary Records'!$A$2:$A$201,0))</f>
        <v>128920</v>
      </c>
      <c r="T119" s="2" t="n">
        <f aca="false">INDEX('Employee Master'!$I$2:$I$201,MATCH(A119,'Employee Master'!$A$2:$A$201,0))</f>
        <v>5.7</v>
      </c>
      <c r="U119" s="2" t="n">
        <f aca="false">INDEX('Employee Master'!$H$2:$H$201,MATCH(A119,'Employee Master'!$A$2:$A$201,0))</f>
        <v>6.6</v>
      </c>
      <c r="V119" s="2" t="n">
        <f aca="false">INDEX('Employee Master'!$J$2:$J$201,MATCH(A119,'Employee Master'!$A$2:$A$201,0))</f>
        <v>12.3</v>
      </c>
    </row>
    <row r="120" customFormat="false" ht="15" hidden="false" customHeight="false" outlineLevel="0" collapsed="false">
      <c r="A120" s="2" t="s">
        <v>285</v>
      </c>
      <c r="B120" s="2" t="s">
        <v>286</v>
      </c>
      <c r="C120" s="2" t="s">
        <v>53</v>
      </c>
      <c r="D120" s="2" t="s">
        <v>657</v>
      </c>
      <c r="E120" s="2" t="n">
        <f aca="false">INDEX('Salary Records'!$F$2:$F$201,MATCH(A120,'Salary Records'!$A$2:$A$201,0))</f>
        <v>26</v>
      </c>
      <c r="F120" s="2" t="n">
        <f aca="false">INDEX('Salary Records'!$G$2:$G$201,MATCH(A120,'Salary Records'!$A$2:$A$201,0))</f>
        <v>20</v>
      </c>
      <c r="G120" s="2" t="n">
        <f aca="false">INDEX('Salary Records'!$H$2:$H$201,MATCH(A120,'Salary Records'!$A$2:$A$201,0))</f>
        <v>5</v>
      </c>
      <c r="H120" s="2" t="n">
        <f aca="false">INDEX('Salary Records'!$I$2:$I$201,MATCH(A120,'Salary Records'!$A$2:$A$201,0))</f>
        <v>1</v>
      </c>
      <c r="I120" s="2" t="n">
        <f aca="false">INDEX('Salary Records'!$J$2:$J$201,MATCH(A120,'Salary Records'!$A$2:$A$201,0))</f>
        <v>0</v>
      </c>
      <c r="J120" s="2" t="n">
        <f aca="false">ROUND(F120/E120*100,1)</f>
        <v>76.9</v>
      </c>
      <c r="K120" s="2" t="n">
        <v>2</v>
      </c>
      <c r="L120" s="2" t="n">
        <f aca="false">INDEX('Salary Records'!$K$2:$K$201,MATCH(A120,'Salary Records'!$A$2:$A$201,0))</f>
        <v>2</v>
      </c>
      <c r="M120" s="2" t="n">
        <f aca="false">INDEX('Salary Records'!$L$2:$L$201,MATCH(A120,'Salary Records'!$A$2:$A$201,0))</f>
        <v>3</v>
      </c>
      <c r="N120" s="2" t="n">
        <f aca="false">INDEX('Salary Records'!$E$2:$E$201,MATCH(A120,'Salary Records'!$A$2:$A$201,0))</f>
        <v>36000</v>
      </c>
      <c r="O120" s="2" t="n">
        <f aca="false">INDEX('Salary Records'!$O$2:$O$201,MATCH(A120,'Salary Records'!$A$2:$A$201,0))</f>
        <v>4153.86</v>
      </c>
      <c r="P120" s="2" t="n">
        <f aca="false">INDEX('PF Records'!$H$2:$H$201,MATCH(A120,'PF Records'!$A$2:$A$201,0))</f>
        <v>4320</v>
      </c>
      <c r="Q120" s="2" t="n">
        <f aca="false">INDEX('PF Records'!$I$2:$I$201,MATCH(A120,'PF Records'!$A$2:$A$201,0))</f>
        <v>4320</v>
      </c>
      <c r="R120" s="2" t="n">
        <f aca="false">P120+Q120</f>
        <v>8640</v>
      </c>
      <c r="S120" s="2" t="n">
        <f aca="false">INDEX('Salary Records'!$S$2:$S$201,MATCH(A120,'Salary Records'!$A$2:$A$201,0))</f>
        <v>26141.52</v>
      </c>
      <c r="T120" s="2" t="n">
        <f aca="false">INDEX('Employee Master'!$I$2:$I$201,MATCH(A120,'Employee Master'!$A$2:$A$201,0))</f>
        <v>7</v>
      </c>
      <c r="U120" s="2" t="n">
        <f aca="false">INDEX('Employee Master'!$H$2:$H$201,MATCH(A120,'Employee Master'!$A$2:$A$201,0))</f>
        <v>3.6</v>
      </c>
      <c r="V120" s="2" t="n">
        <f aca="false">INDEX('Employee Master'!$J$2:$J$201,MATCH(A120,'Employee Master'!$A$2:$A$201,0))</f>
        <v>10.6</v>
      </c>
    </row>
    <row r="121" customFormat="false" ht="15" hidden="false" customHeight="false" outlineLevel="0" collapsed="false">
      <c r="A121" s="2" t="s">
        <v>287</v>
      </c>
      <c r="B121" s="2" t="s">
        <v>288</v>
      </c>
      <c r="C121" s="2" t="s">
        <v>57</v>
      </c>
      <c r="D121" s="2" t="s">
        <v>657</v>
      </c>
      <c r="E121" s="2" t="n">
        <f aca="false">INDEX('Salary Records'!$F$2:$F$201,MATCH(A121,'Salary Records'!$A$2:$A$201,0))</f>
        <v>26</v>
      </c>
      <c r="F121" s="2" t="n">
        <f aca="false">INDEX('Salary Records'!$G$2:$G$201,MATCH(A121,'Salary Records'!$A$2:$A$201,0))</f>
        <v>24</v>
      </c>
      <c r="G121" s="2" t="n">
        <f aca="false">INDEX('Salary Records'!$H$2:$H$201,MATCH(A121,'Salary Records'!$A$2:$A$201,0))</f>
        <v>1</v>
      </c>
      <c r="H121" s="2" t="n">
        <f aca="false">INDEX('Salary Records'!$I$2:$I$201,MATCH(A121,'Salary Records'!$A$2:$A$201,0))</f>
        <v>1</v>
      </c>
      <c r="I121" s="2" t="n">
        <f aca="false">INDEX('Salary Records'!$J$2:$J$201,MATCH(A121,'Salary Records'!$A$2:$A$201,0))</f>
        <v>0</v>
      </c>
      <c r="J121" s="2" t="n">
        <f aca="false">ROUND(F121/E121*100,1)</f>
        <v>92.3</v>
      </c>
      <c r="K121" s="2" t="n">
        <v>2</v>
      </c>
      <c r="L121" s="2" t="n">
        <f aca="false">INDEX('Salary Records'!$K$2:$K$201,MATCH(A121,'Salary Records'!$A$2:$A$201,0))</f>
        <v>1</v>
      </c>
      <c r="M121" s="2" t="n">
        <f aca="false">INDEX('Salary Records'!$L$2:$L$201,MATCH(A121,'Salary Records'!$A$2:$A$201,0))</f>
        <v>0</v>
      </c>
      <c r="N121" s="2" t="n">
        <f aca="false">INDEX('Salary Records'!$E$2:$E$201,MATCH(A121,'Salary Records'!$A$2:$A$201,0))</f>
        <v>71000</v>
      </c>
      <c r="O121" s="2" t="n">
        <f aca="false">INDEX('Salary Records'!$O$2:$O$201,MATCH(A121,'Salary Records'!$A$2:$A$201,0))</f>
        <v>0</v>
      </c>
      <c r="P121" s="2" t="n">
        <f aca="false">INDEX('PF Records'!$H$2:$H$201,MATCH(A121,'PF Records'!$A$2:$A$201,0))</f>
        <v>8520</v>
      </c>
      <c r="Q121" s="2" t="n">
        <f aca="false">INDEX('PF Records'!$I$2:$I$201,MATCH(A121,'PF Records'!$A$2:$A$201,0))</f>
        <v>8520</v>
      </c>
      <c r="R121" s="2" t="n">
        <f aca="false">P121+Q121</f>
        <v>17040</v>
      </c>
      <c r="S121" s="2" t="n">
        <f aca="false">INDEX('Salary Records'!$S$2:$S$201,MATCH(A121,'Salary Records'!$A$2:$A$201,0))</f>
        <v>62480</v>
      </c>
      <c r="T121" s="2" t="n">
        <f aca="false">INDEX('Employee Master'!$I$2:$I$201,MATCH(A121,'Employee Master'!$A$2:$A$201,0))</f>
        <v>2.6</v>
      </c>
      <c r="U121" s="2" t="n">
        <f aca="false">INDEX('Employee Master'!$H$2:$H$201,MATCH(A121,'Employee Master'!$A$2:$A$201,0))</f>
        <v>0</v>
      </c>
      <c r="V121" s="2" t="n">
        <f aca="false">INDEX('Employee Master'!$J$2:$J$201,MATCH(A121,'Employee Master'!$A$2:$A$201,0))</f>
        <v>2.6</v>
      </c>
    </row>
    <row r="122" customFormat="false" ht="15" hidden="false" customHeight="false" outlineLevel="0" collapsed="false">
      <c r="A122" s="2" t="s">
        <v>289</v>
      </c>
      <c r="B122" s="2" t="s">
        <v>290</v>
      </c>
      <c r="C122" s="2" t="s">
        <v>17</v>
      </c>
      <c r="D122" s="2" t="s">
        <v>657</v>
      </c>
      <c r="E122" s="2" t="n">
        <f aca="false">INDEX('Salary Records'!$F$2:$F$201,MATCH(A122,'Salary Records'!$A$2:$A$201,0))</f>
        <v>26</v>
      </c>
      <c r="F122" s="2" t="n">
        <f aca="false">INDEX('Salary Records'!$G$2:$G$201,MATCH(A122,'Salary Records'!$A$2:$A$201,0))</f>
        <v>19</v>
      </c>
      <c r="G122" s="2" t="n">
        <f aca="false">INDEX('Salary Records'!$H$2:$H$201,MATCH(A122,'Salary Records'!$A$2:$A$201,0))</f>
        <v>5</v>
      </c>
      <c r="H122" s="2" t="n">
        <f aca="false">INDEX('Salary Records'!$I$2:$I$201,MATCH(A122,'Salary Records'!$A$2:$A$201,0))</f>
        <v>2</v>
      </c>
      <c r="I122" s="2" t="n">
        <f aca="false">INDEX('Salary Records'!$J$2:$J$201,MATCH(A122,'Salary Records'!$A$2:$A$201,0))</f>
        <v>0</v>
      </c>
      <c r="J122" s="2" t="n">
        <f aca="false">ROUND(F122/E122*100,1)</f>
        <v>73.1</v>
      </c>
      <c r="K122" s="2" t="n">
        <v>2</v>
      </c>
      <c r="L122" s="2" t="n">
        <f aca="false">INDEX('Salary Records'!$K$2:$K$201,MATCH(A122,'Salary Records'!$A$2:$A$201,0))</f>
        <v>2</v>
      </c>
      <c r="M122" s="2" t="n">
        <f aca="false">INDEX('Salary Records'!$L$2:$L$201,MATCH(A122,'Salary Records'!$A$2:$A$201,0))</f>
        <v>3</v>
      </c>
      <c r="N122" s="2" t="n">
        <f aca="false">INDEX('Salary Records'!$E$2:$E$201,MATCH(A122,'Salary Records'!$A$2:$A$201,0))</f>
        <v>75500</v>
      </c>
      <c r="O122" s="2" t="n">
        <f aca="false">INDEX('Salary Records'!$O$2:$O$201,MATCH(A122,'Salary Records'!$A$2:$A$201,0))</f>
        <v>8711.55</v>
      </c>
      <c r="P122" s="2" t="n">
        <f aca="false">INDEX('PF Records'!$H$2:$H$201,MATCH(A122,'PF Records'!$A$2:$A$201,0))</f>
        <v>9060</v>
      </c>
      <c r="Q122" s="2" t="n">
        <f aca="false">INDEX('PF Records'!$I$2:$I$201,MATCH(A122,'PF Records'!$A$2:$A$201,0))</f>
        <v>9060</v>
      </c>
      <c r="R122" s="2" t="n">
        <f aca="false">P122+Q122</f>
        <v>18120</v>
      </c>
      <c r="S122" s="2" t="n">
        <f aca="false">INDEX('Salary Records'!$S$2:$S$201,MATCH(A122,'Salary Records'!$A$2:$A$201,0))</f>
        <v>54824.6</v>
      </c>
      <c r="T122" s="2" t="n">
        <f aca="false">INDEX('Employee Master'!$I$2:$I$201,MATCH(A122,'Employee Master'!$A$2:$A$201,0))</f>
        <v>6</v>
      </c>
      <c r="U122" s="2" t="n">
        <f aca="false">INDEX('Employee Master'!$H$2:$H$201,MATCH(A122,'Employee Master'!$A$2:$A$201,0))</f>
        <v>4.6</v>
      </c>
      <c r="V122" s="2" t="n">
        <f aca="false">INDEX('Employee Master'!$J$2:$J$201,MATCH(A122,'Employee Master'!$A$2:$A$201,0))</f>
        <v>10.6</v>
      </c>
    </row>
    <row r="123" customFormat="false" ht="15" hidden="false" customHeight="false" outlineLevel="0" collapsed="false">
      <c r="A123" s="2" t="s">
        <v>291</v>
      </c>
      <c r="B123" s="2" t="s">
        <v>292</v>
      </c>
      <c r="C123" s="2" t="s">
        <v>24</v>
      </c>
      <c r="D123" s="2" t="s">
        <v>657</v>
      </c>
      <c r="E123" s="2" t="n">
        <f aca="false">INDEX('Salary Records'!$F$2:$F$201,MATCH(A123,'Salary Records'!$A$2:$A$201,0))</f>
        <v>26</v>
      </c>
      <c r="F123" s="2" t="n">
        <f aca="false">INDEX('Salary Records'!$G$2:$G$201,MATCH(A123,'Salary Records'!$A$2:$A$201,0))</f>
        <v>18</v>
      </c>
      <c r="G123" s="2" t="n">
        <f aca="false">INDEX('Salary Records'!$H$2:$H$201,MATCH(A123,'Salary Records'!$A$2:$A$201,0))</f>
        <v>6</v>
      </c>
      <c r="H123" s="2" t="n">
        <f aca="false">INDEX('Salary Records'!$I$2:$I$201,MATCH(A123,'Salary Records'!$A$2:$A$201,0))</f>
        <v>0</v>
      </c>
      <c r="I123" s="2" t="n">
        <f aca="false">INDEX('Salary Records'!$J$2:$J$201,MATCH(A123,'Salary Records'!$A$2:$A$201,0))</f>
        <v>2</v>
      </c>
      <c r="J123" s="2" t="n">
        <f aca="false">ROUND(F123/E123*100,1)</f>
        <v>69.2</v>
      </c>
      <c r="K123" s="2" t="n">
        <v>2</v>
      </c>
      <c r="L123" s="2" t="n">
        <f aca="false">INDEX('Salary Records'!$K$2:$K$201,MATCH(A123,'Salary Records'!$A$2:$A$201,0))</f>
        <v>2</v>
      </c>
      <c r="M123" s="2" t="n">
        <f aca="false">INDEX('Salary Records'!$L$2:$L$201,MATCH(A123,'Salary Records'!$A$2:$A$201,0))</f>
        <v>4</v>
      </c>
      <c r="N123" s="2" t="n">
        <f aca="false">INDEX('Salary Records'!$E$2:$E$201,MATCH(A123,'Salary Records'!$A$2:$A$201,0))</f>
        <v>35000</v>
      </c>
      <c r="O123" s="2" t="n">
        <f aca="false">INDEX('Salary Records'!$O$2:$O$201,MATCH(A123,'Salary Records'!$A$2:$A$201,0))</f>
        <v>5384.6</v>
      </c>
      <c r="P123" s="2" t="n">
        <f aca="false">INDEX('PF Records'!$H$2:$H$201,MATCH(A123,'PF Records'!$A$2:$A$201,0))</f>
        <v>4200</v>
      </c>
      <c r="Q123" s="2" t="n">
        <f aca="false">INDEX('PF Records'!$I$2:$I$201,MATCH(A123,'PF Records'!$A$2:$A$201,0))</f>
        <v>4200</v>
      </c>
      <c r="R123" s="2" t="n">
        <f aca="false">P123+Q123</f>
        <v>8400</v>
      </c>
      <c r="S123" s="2" t="n">
        <f aca="false">INDEX('Salary Records'!$S$2:$S$201,MATCH(A123,'Salary Records'!$A$2:$A$201,0))</f>
        <v>24069.25</v>
      </c>
      <c r="T123" s="2" t="n">
        <f aca="false">INDEX('Employee Master'!$I$2:$I$201,MATCH(A123,'Employee Master'!$A$2:$A$201,0))</f>
        <v>5.1</v>
      </c>
      <c r="U123" s="2" t="n">
        <f aca="false">INDEX('Employee Master'!$H$2:$H$201,MATCH(A123,'Employee Master'!$A$2:$A$201,0))</f>
        <v>6</v>
      </c>
      <c r="V123" s="2" t="n">
        <f aca="false">INDEX('Employee Master'!$J$2:$J$201,MATCH(A123,'Employee Master'!$A$2:$A$201,0))</f>
        <v>11.1</v>
      </c>
    </row>
    <row r="124" customFormat="false" ht="15" hidden="false" customHeight="false" outlineLevel="0" collapsed="false">
      <c r="A124" s="2" t="s">
        <v>293</v>
      </c>
      <c r="B124" s="2" t="s">
        <v>294</v>
      </c>
      <c r="C124" s="2" t="s">
        <v>28</v>
      </c>
      <c r="D124" s="2" t="s">
        <v>657</v>
      </c>
      <c r="E124" s="2" t="n">
        <f aca="false">INDEX('Salary Records'!$F$2:$F$201,MATCH(A124,'Salary Records'!$A$2:$A$201,0))</f>
        <v>26</v>
      </c>
      <c r="F124" s="2" t="n">
        <f aca="false">INDEX('Salary Records'!$G$2:$G$201,MATCH(A124,'Salary Records'!$A$2:$A$201,0))</f>
        <v>24</v>
      </c>
      <c r="G124" s="2" t="n">
        <f aca="false">INDEX('Salary Records'!$H$2:$H$201,MATCH(A124,'Salary Records'!$A$2:$A$201,0))</f>
        <v>1</v>
      </c>
      <c r="H124" s="2" t="n">
        <f aca="false">INDEX('Salary Records'!$I$2:$I$201,MATCH(A124,'Salary Records'!$A$2:$A$201,0))</f>
        <v>0</v>
      </c>
      <c r="I124" s="2" t="n">
        <f aca="false">INDEX('Salary Records'!$J$2:$J$201,MATCH(A124,'Salary Records'!$A$2:$A$201,0))</f>
        <v>1</v>
      </c>
      <c r="J124" s="2" t="n">
        <f aca="false">ROUND(F124/E124*100,1)</f>
        <v>92.3</v>
      </c>
      <c r="K124" s="2" t="n">
        <v>2</v>
      </c>
      <c r="L124" s="2" t="n">
        <f aca="false">INDEX('Salary Records'!$K$2:$K$201,MATCH(A124,'Salary Records'!$A$2:$A$201,0))</f>
        <v>1</v>
      </c>
      <c r="M124" s="2" t="n">
        <f aca="false">INDEX('Salary Records'!$L$2:$L$201,MATCH(A124,'Salary Records'!$A$2:$A$201,0))</f>
        <v>0</v>
      </c>
      <c r="N124" s="2" t="n">
        <f aca="false">INDEX('Salary Records'!$E$2:$E$201,MATCH(A124,'Salary Records'!$A$2:$A$201,0))</f>
        <v>80500</v>
      </c>
      <c r="O124" s="2" t="n">
        <f aca="false">INDEX('Salary Records'!$O$2:$O$201,MATCH(A124,'Salary Records'!$A$2:$A$201,0))</f>
        <v>0</v>
      </c>
      <c r="P124" s="2" t="n">
        <f aca="false">INDEX('PF Records'!$H$2:$H$201,MATCH(A124,'PF Records'!$A$2:$A$201,0))</f>
        <v>9660</v>
      </c>
      <c r="Q124" s="2" t="n">
        <f aca="false">INDEX('PF Records'!$I$2:$I$201,MATCH(A124,'PF Records'!$A$2:$A$201,0))</f>
        <v>9660</v>
      </c>
      <c r="R124" s="2" t="n">
        <f aca="false">P124+Q124</f>
        <v>19320</v>
      </c>
      <c r="S124" s="2" t="n">
        <f aca="false">INDEX('Salary Records'!$S$2:$S$201,MATCH(A124,'Salary Records'!$A$2:$A$201,0))</f>
        <v>69291.92</v>
      </c>
      <c r="T124" s="2" t="n">
        <f aca="false">INDEX('Employee Master'!$I$2:$I$201,MATCH(A124,'Employee Master'!$A$2:$A$201,0))</f>
        <v>1.2</v>
      </c>
      <c r="U124" s="2" t="n">
        <f aca="false">INDEX('Employee Master'!$H$2:$H$201,MATCH(A124,'Employee Master'!$A$2:$A$201,0))</f>
        <v>6.3</v>
      </c>
      <c r="V124" s="2" t="n">
        <f aca="false">INDEX('Employee Master'!$J$2:$J$201,MATCH(A124,'Employee Master'!$A$2:$A$201,0))</f>
        <v>7.5</v>
      </c>
    </row>
    <row r="125" customFormat="false" ht="15" hidden="false" customHeight="false" outlineLevel="0" collapsed="false">
      <c r="A125" s="2" t="s">
        <v>295</v>
      </c>
      <c r="B125" s="2" t="s">
        <v>296</v>
      </c>
      <c r="C125" s="2" t="s">
        <v>32</v>
      </c>
      <c r="D125" s="2" t="s">
        <v>657</v>
      </c>
      <c r="E125" s="2" t="n">
        <f aca="false">INDEX('Salary Records'!$F$2:$F$201,MATCH(A125,'Salary Records'!$A$2:$A$201,0))</f>
        <v>26</v>
      </c>
      <c r="F125" s="2" t="n">
        <f aca="false">INDEX('Salary Records'!$G$2:$G$201,MATCH(A125,'Salary Records'!$A$2:$A$201,0))</f>
        <v>20</v>
      </c>
      <c r="G125" s="2" t="n">
        <f aca="false">INDEX('Salary Records'!$H$2:$H$201,MATCH(A125,'Salary Records'!$A$2:$A$201,0))</f>
        <v>4</v>
      </c>
      <c r="H125" s="2" t="n">
        <f aca="false">INDEX('Salary Records'!$I$2:$I$201,MATCH(A125,'Salary Records'!$A$2:$A$201,0))</f>
        <v>2</v>
      </c>
      <c r="I125" s="2" t="n">
        <f aca="false">INDEX('Salary Records'!$J$2:$J$201,MATCH(A125,'Salary Records'!$A$2:$A$201,0))</f>
        <v>0</v>
      </c>
      <c r="J125" s="2" t="n">
        <f aca="false">ROUND(F125/E125*100,1)</f>
        <v>76.9</v>
      </c>
      <c r="K125" s="2" t="n">
        <v>2</v>
      </c>
      <c r="L125" s="2" t="n">
        <f aca="false">INDEX('Salary Records'!$K$2:$K$201,MATCH(A125,'Salary Records'!$A$2:$A$201,0))</f>
        <v>2</v>
      </c>
      <c r="M125" s="2" t="n">
        <f aca="false">INDEX('Salary Records'!$L$2:$L$201,MATCH(A125,'Salary Records'!$A$2:$A$201,0))</f>
        <v>2</v>
      </c>
      <c r="N125" s="2" t="n">
        <f aca="false">INDEX('Salary Records'!$E$2:$E$201,MATCH(A125,'Salary Records'!$A$2:$A$201,0))</f>
        <v>38000</v>
      </c>
      <c r="O125" s="2" t="n">
        <f aca="false">INDEX('Salary Records'!$O$2:$O$201,MATCH(A125,'Salary Records'!$A$2:$A$201,0))</f>
        <v>2923.08</v>
      </c>
      <c r="P125" s="2" t="n">
        <f aca="false">INDEX('PF Records'!$H$2:$H$201,MATCH(A125,'PF Records'!$A$2:$A$201,0))</f>
        <v>4560</v>
      </c>
      <c r="Q125" s="2" t="n">
        <f aca="false">INDEX('PF Records'!$I$2:$I$201,MATCH(A125,'PF Records'!$A$2:$A$201,0))</f>
        <v>4560</v>
      </c>
      <c r="R125" s="2" t="n">
        <f aca="false">P125+Q125</f>
        <v>9120</v>
      </c>
      <c r="S125" s="2" t="n">
        <f aca="false">INDEX('Salary Records'!$S$2:$S$201,MATCH(A125,'Salary Records'!$A$2:$A$201,0))</f>
        <v>30516.92</v>
      </c>
      <c r="T125" s="2" t="n">
        <f aca="false">INDEX('Employee Master'!$I$2:$I$201,MATCH(A125,'Employee Master'!$A$2:$A$201,0))</f>
        <v>8.2</v>
      </c>
      <c r="U125" s="2" t="n">
        <f aca="false">INDEX('Employee Master'!$H$2:$H$201,MATCH(A125,'Employee Master'!$A$2:$A$201,0))</f>
        <v>1</v>
      </c>
      <c r="V125" s="2" t="n">
        <f aca="false">INDEX('Employee Master'!$J$2:$J$201,MATCH(A125,'Employee Master'!$A$2:$A$201,0))</f>
        <v>9.2</v>
      </c>
    </row>
    <row r="126" customFormat="false" ht="15" hidden="false" customHeight="false" outlineLevel="0" collapsed="false">
      <c r="A126" s="2" t="s">
        <v>297</v>
      </c>
      <c r="B126" s="2" t="s">
        <v>298</v>
      </c>
      <c r="C126" s="2" t="s">
        <v>36</v>
      </c>
      <c r="D126" s="2" t="s">
        <v>657</v>
      </c>
      <c r="E126" s="2" t="n">
        <f aca="false">INDEX('Salary Records'!$F$2:$F$201,MATCH(A126,'Salary Records'!$A$2:$A$201,0))</f>
        <v>26</v>
      </c>
      <c r="F126" s="2" t="n">
        <f aca="false">INDEX('Salary Records'!$G$2:$G$201,MATCH(A126,'Salary Records'!$A$2:$A$201,0))</f>
        <v>24</v>
      </c>
      <c r="G126" s="2" t="n">
        <f aca="false">INDEX('Salary Records'!$H$2:$H$201,MATCH(A126,'Salary Records'!$A$2:$A$201,0))</f>
        <v>0</v>
      </c>
      <c r="H126" s="2" t="n">
        <f aca="false">INDEX('Salary Records'!$I$2:$I$201,MATCH(A126,'Salary Records'!$A$2:$A$201,0))</f>
        <v>0</v>
      </c>
      <c r="I126" s="2" t="n">
        <f aca="false">INDEX('Salary Records'!$J$2:$J$201,MATCH(A126,'Salary Records'!$A$2:$A$201,0))</f>
        <v>2</v>
      </c>
      <c r="J126" s="2" t="n">
        <f aca="false">ROUND(F126/E126*100,1)</f>
        <v>92.3</v>
      </c>
      <c r="K126" s="2" t="n">
        <v>2</v>
      </c>
      <c r="L126" s="2" t="n">
        <f aca="false">INDEX('Salary Records'!$K$2:$K$201,MATCH(A126,'Salary Records'!$A$2:$A$201,0))</f>
        <v>0</v>
      </c>
      <c r="M126" s="2" t="n">
        <f aca="false">INDEX('Salary Records'!$L$2:$L$201,MATCH(A126,'Salary Records'!$A$2:$A$201,0))</f>
        <v>0</v>
      </c>
      <c r="N126" s="2" t="n">
        <f aca="false">INDEX('Salary Records'!$E$2:$E$201,MATCH(A126,'Salary Records'!$A$2:$A$201,0))</f>
        <v>51500</v>
      </c>
      <c r="O126" s="2" t="n">
        <f aca="false">INDEX('Salary Records'!$O$2:$O$201,MATCH(A126,'Salary Records'!$A$2:$A$201,0))</f>
        <v>0</v>
      </c>
      <c r="P126" s="2" t="n">
        <f aca="false">INDEX('PF Records'!$H$2:$H$201,MATCH(A126,'PF Records'!$A$2:$A$201,0))</f>
        <v>6180</v>
      </c>
      <c r="Q126" s="2" t="n">
        <f aca="false">INDEX('PF Records'!$I$2:$I$201,MATCH(A126,'PF Records'!$A$2:$A$201,0))</f>
        <v>6180</v>
      </c>
      <c r="R126" s="2" t="n">
        <f aca="false">P126+Q126</f>
        <v>12360</v>
      </c>
      <c r="S126" s="2" t="n">
        <f aca="false">INDEX('Salary Records'!$S$2:$S$201,MATCH(A126,'Salary Records'!$A$2:$A$201,0))</f>
        <v>43339.23</v>
      </c>
      <c r="T126" s="2" t="n">
        <f aca="false">INDEX('Employee Master'!$I$2:$I$201,MATCH(A126,'Employee Master'!$A$2:$A$201,0))</f>
        <v>3.7</v>
      </c>
      <c r="U126" s="2" t="n">
        <f aca="false">INDEX('Employee Master'!$H$2:$H$201,MATCH(A126,'Employee Master'!$A$2:$A$201,0))</f>
        <v>0.8</v>
      </c>
      <c r="V126" s="2" t="n">
        <f aca="false">INDEX('Employee Master'!$J$2:$J$201,MATCH(A126,'Employee Master'!$A$2:$A$201,0))</f>
        <v>4.5</v>
      </c>
    </row>
    <row r="127" customFormat="false" ht="15" hidden="false" customHeight="false" outlineLevel="0" collapsed="false">
      <c r="A127" s="2" t="s">
        <v>299</v>
      </c>
      <c r="B127" s="2" t="s">
        <v>300</v>
      </c>
      <c r="C127" s="2" t="s">
        <v>41</v>
      </c>
      <c r="D127" s="2" t="s">
        <v>657</v>
      </c>
      <c r="E127" s="2" t="n">
        <f aca="false">INDEX('Salary Records'!$F$2:$F$201,MATCH(A127,'Salary Records'!$A$2:$A$201,0))</f>
        <v>26</v>
      </c>
      <c r="F127" s="2" t="n">
        <f aca="false">INDEX('Salary Records'!$G$2:$G$201,MATCH(A127,'Salary Records'!$A$2:$A$201,0))</f>
        <v>14</v>
      </c>
      <c r="G127" s="2" t="n">
        <f aca="false">INDEX('Salary Records'!$H$2:$H$201,MATCH(A127,'Salary Records'!$A$2:$A$201,0))</f>
        <v>8</v>
      </c>
      <c r="H127" s="2" t="n">
        <f aca="false">INDEX('Salary Records'!$I$2:$I$201,MATCH(A127,'Salary Records'!$A$2:$A$201,0))</f>
        <v>2</v>
      </c>
      <c r="I127" s="2" t="n">
        <f aca="false">INDEX('Salary Records'!$J$2:$J$201,MATCH(A127,'Salary Records'!$A$2:$A$201,0))</f>
        <v>2</v>
      </c>
      <c r="J127" s="2" t="n">
        <f aca="false">ROUND(F127/E127*100,1)</f>
        <v>53.8</v>
      </c>
      <c r="K127" s="2" t="n">
        <v>2</v>
      </c>
      <c r="L127" s="2" t="n">
        <f aca="false">INDEX('Salary Records'!$K$2:$K$201,MATCH(A127,'Salary Records'!$A$2:$A$201,0))</f>
        <v>2</v>
      </c>
      <c r="M127" s="2" t="n">
        <f aca="false">INDEX('Salary Records'!$L$2:$L$201,MATCH(A127,'Salary Records'!$A$2:$A$201,0))</f>
        <v>6</v>
      </c>
      <c r="N127" s="2" t="n">
        <f aca="false">INDEX('Salary Records'!$E$2:$E$201,MATCH(A127,'Salary Records'!$A$2:$A$201,0))</f>
        <v>22500</v>
      </c>
      <c r="O127" s="2" t="n">
        <f aca="false">INDEX('Salary Records'!$O$2:$O$201,MATCH(A127,'Salary Records'!$A$2:$A$201,0))</f>
        <v>5192.28</v>
      </c>
      <c r="P127" s="2" t="n">
        <f aca="false">INDEX('PF Records'!$H$2:$H$201,MATCH(A127,'PF Records'!$A$2:$A$201,0))</f>
        <v>2700</v>
      </c>
      <c r="Q127" s="2" t="n">
        <f aca="false">INDEX('PF Records'!$I$2:$I$201,MATCH(A127,'PF Records'!$A$2:$A$201,0))</f>
        <v>2700</v>
      </c>
      <c r="R127" s="2" t="n">
        <f aca="false">P127+Q127</f>
        <v>5400</v>
      </c>
      <c r="S127" s="2" t="n">
        <f aca="false">INDEX('Salary Records'!$S$2:$S$201,MATCH(A127,'Salary Records'!$A$2:$A$201,0))</f>
        <v>13742.34</v>
      </c>
      <c r="T127" s="2" t="n">
        <f aca="false">INDEX('Employee Master'!$I$2:$I$201,MATCH(A127,'Employee Master'!$A$2:$A$201,0))</f>
        <v>4.1</v>
      </c>
      <c r="U127" s="2" t="n">
        <f aca="false">INDEX('Employee Master'!$H$2:$H$201,MATCH(A127,'Employee Master'!$A$2:$A$201,0))</f>
        <v>7</v>
      </c>
      <c r="V127" s="2" t="n">
        <f aca="false">INDEX('Employee Master'!$J$2:$J$201,MATCH(A127,'Employee Master'!$A$2:$A$201,0))</f>
        <v>11.1</v>
      </c>
    </row>
    <row r="128" customFormat="false" ht="15" hidden="false" customHeight="false" outlineLevel="0" collapsed="false">
      <c r="A128" s="2" t="s">
        <v>301</v>
      </c>
      <c r="B128" s="2" t="s">
        <v>302</v>
      </c>
      <c r="C128" s="2" t="s">
        <v>45</v>
      </c>
      <c r="D128" s="2" t="s">
        <v>657</v>
      </c>
      <c r="E128" s="2" t="n">
        <f aca="false">INDEX('Salary Records'!$F$2:$F$201,MATCH(A128,'Salary Records'!$A$2:$A$201,0))</f>
        <v>26</v>
      </c>
      <c r="F128" s="2" t="n">
        <f aca="false">INDEX('Salary Records'!$G$2:$G$201,MATCH(A128,'Salary Records'!$A$2:$A$201,0))</f>
        <v>24</v>
      </c>
      <c r="G128" s="2" t="n">
        <f aca="false">INDEX('Salary Records'!$H$2:$H$201,MATCH(A128,'Salary Records'!$A$2:$A$201,0))</f>
        <v>2</v>
      </c>
      <c r="H128" s="2" t="n">
        <f aca="false">INDEX('Salary Records'!$I$2:$I$201,MATCH(A128,'Salary Records'!$A$2:$A$201,0))</f>
        <v>0</v>
      </c>
      <c r="I128" s="2" t="n">
        <f aca="false">INDEX('Salary Records'!$J$2:$J$201,MATCH(A128,'Salary Records'!$A$2:$A$201,0))</f>
        <v>0</v>
      </c>
      <c r="J128" s="2" t="n">
        <f aca="false">ROUND(F128/E128*100,1)</f>
        <v>92.3</v>
      </c>
      <c r="K128" s="2" t="n">
        <v>2</v>
      </c>
      <c r="L128" s="2" t="n">
        <f aca="false">INDEX('Salary Records'!$K$2:$K$201,MATCH(A128,'Salary Records'!$A$2:$A$201,0))</f>
        <v>2</v>
      </c>
      <c r="M128" s="2" t="n">
        <f aca="false">INDEX('Salary Records'!$L$2:$L$201,MATCH(A128,'Salary Records'!$A$2:$A$201,0))</f>
        <v>0</v>
      </c>
      <c r="N128" s="2" t="n">
        <f aca="false">INDEX('Salary Records'!$E$2:$E$201,MATCH(A128,'Salary Records'!$A$2:$A$201,0))</f>
        <v>35500</v>
      </c>
      <c r="O128" s="2" t="n">
        <f aca="false">INDEX('Salary Records'!$O$2:$O$201,MATCH(A128,'Salary Records'!$A$2:$A$201,0))</f>
        <v>0</v>
      </c>
      <c r="P128" s="2" t="n">
        <f aca="false">INDEX('PF Records'!$H$2:$H$201,MATCH(A128,'PF Records'!$A$2:$A$201,0))</f>
        <v>4260</v>
      </c>
      <c r="Q128" s="2" t="n">
        <f aca="false">INDEX('PF Records'!$I$2:$I$201,MATCH(A128,'PF Records'!$A$2:$A$201,0))</f>
        <v>4260</v>
      </c>
      <c r="R128" s="2" t="n">
        <f aca="false">P128+Q128</f>
        <v>8520</v>
      </c>
      <c r="S128" s="2" t="n">
        <f aca="false">INDEX('Salary Records'!$S$2:$S$201,MATCH(A128,'Salary Records'!$A$2:$A$201,0))</f>
        <v>31240</v>
      </c>
      <c r="T128" s="2" t="n">
        <f aca="false">INDEX('Employee Master'!$I$2:$I$201,MATCH(A128,'Employee Master'!$A$2:$A$201,0))</f>
        <v>5.7</v>
      </c>
      <c r="U128" s="2" t="n">
        <f aca="false">INDEX('Employee Master'!$H$2:$H$201,MATCH(A128,'Employee Master'!$A$2:$A$201,0))</f>
        <v>0</v>
      </c>
      <c r="V128" s="2" t="n">
        <f aca="false">INDEX('Employee Master'!$J$2:$J$201,MATCH(A128,'Employee Master'!$A$2:$A$201,0))</f>
        <v>5.7</v>
      </c>
    </row>
    <row r="129" customFormat="false" ht="15" hidden="false" customHeight="false" outlineLevel="0" collapsed="false">
      <c r="A129" s="2" t="s">
        <v>303</v>
      </c>
      <c r="B129" s="2" t="s">
        <v>304</v>
      </c>
      <c r="C129" s="2" t="s">
        <v>49</v>
      </c>
      <c r="D129" s="2" t="s">
        <v>657</v>
      </c>
      <c r="E129" s="2" t="n">
        <f aca="false">INDEX('Salary Records'!$F$2:$F$201,MATCH(A129,'Salary Records'!$A$2:$A$201,0))</f>
        <v>26</v>
      </c>
      <c r="F129" s="2" t="n">
        <f aca="false">INDEX('Salary Records'!$G$2:$G$201,MATCH(A129,'Salary Records'!$A$2:$A$201,0))</f>
        <v>20</v>
      </c>
      <c r="G129" s="2" t="n">
        <f aca="false">INDEX('Salary Records'!$H$2:$H$201,MATCH(A129,'Salary Records'!$A$2:$A$201,0))</f>
        <v>4</v>
      </c>
      <c r="H129" s="2" t="n">
        <f aca="false">INDEX('Salary Records'!$I$2:$I$201,MATCH(A129,'Salary Records'!$A$2:$A$201,0))</f>
        <v>2</v>
      </c>
      <c r="I129" s="2" t="n">
        <f aca="false">INDEX('Salary Records'!$J$2:$J$201,MATCH(A129,'Salary Records'!$A$2:$A$201,0))</f>
        <v>0</v>
      </c>
      <c r="J129" s="2" t="n">
        <f aca="false">ROUND(F129/E129*100,1)</f>
        <v>76.9</v>
      </c>
      <c r="K129" s="2" t="n">
        <v>2</v>
      </c>
      <c r="L129" s="2" t="n">
        <f aca="false">INDEX('Salary Records'!$K$2:$K$201,MATCH(A129,'Salary Records'!$A$2:$A$201,0))</f>
        <v>2</v>
      </c>
      <c r="M129" s="2" t="n">
        <f aca="false">INDEX('Salary Records'!$L$2:$L$201,MATCH(A129,'Salary Records'!$A$2:$A$201,0))</f>
        <v>2</v>
      </c>
      <c r="N129" s="2" t="n">
        <f aca="false">INDEX('Salary Records'!$E$2:$E$201,MATCH(A129,'Salary Records'!$A$2:$A$201,0))</f>
        <v>30000</v>
      </c>
      <c r="O129" s="2" t="n">
        <f aca="false">INDEX('Salary Records'!$O$2:$O$201,MATCH(A129,'Salary Records'!$A$2:$A$201,0))</f>
        <v>2307.7</v>
      </c>
      <c r="P129" s="2" t="n">
        <f aca="false">INDEX('PF Records'!$H$2:$H$201,MATCH(A129,'PF Records'!$A$2:$A$201,0))</f>
        <v>3600</v>
      </c>
      <c r="Q129" s="2" t="n">
        <f aca="false">INDEX('PF Records'!$I$2:$I$201,MATCH(A129,'PF Records'!$A$2:$A$201,0))</f>
        <v>3600</v>
      </c>
      <c r="R129" s="2" t="n">
        <f aca="false">P129+Q129</f>
        <v>7200</v>
      </c>
      <c r="S129" s="2" t="n">
        <f aca="false">INDEX('Salary Records'!$S$2:$S$201,MATCH(A129,'Salary Records'!$A$2:$A$201,0))</f>
        <v>22938.45</v>
      </c>
      <c r="T129" s="2" t="n">
        <f aca="false">INDEX('Employee Master'!$I$2:$I$201,MATCH(A129,'Employee Master'!$A$2:$A$201,0))</f>
        <v>1.1</v>
      </c>
      <c r="U129" s="2" t="n">
        <f aca="false">INDEX('Employee Master'!$H$2:$H$201,MATCH(A129,'Employee Master'!$A$2:$A$201,0))</f>
        <v>6.9</v>
      </c>
      <c r="V129" s="2" t="n">
        <f aca="false">INDEX('Employee Master'!$J$2:$J$201,MATCH(A129,'Employee Master'!$A$2:$A$201,0))</f>
        <v>8</v>
      </c>
    </row>
    <row r="130" customFormat="false" ht="15" hidden="false" customHeight="false" outlineLevel="0" collapsed="false">
      <c r="A130" s="2" t="s">
        <v>305</v>
      </c>
      <c r="B130" s="2" t="s">
        <v>306</v>
      </c>
      <c r="C130" s="2" t="s">
        <v>53</v>
      </c>
      <c r="D130" s="2" t="s">
        <v>657</v>
      </c>
      <c r="E130" s="2" t="n">
        <f aca="false">INDEX('Salary Records'!$F$2:$F$201,MATCH(A130,'Salary Records'!$A$2:$A$201,0))</f>
        <v>26</v>
      </c>
      <c r="F130" s="2" t="n">
        <f aca="false">INDEX('Salary Records'!$G$2:$G$201,MATCH(A130,'Salary Records'!$A$2:$A$201,0))</f>
        <v>21</v>
      </c>
      <c r="G130" s="2" t="n">
        <f aca="false">INDEX('Salary Records'!$H$2:$H$201,MATCH(A130,'Salary Records'!$A$2:$A$201,0))</f>
        <v>4</v>
      </c>
      <c r="H130" s="2" t="n">
        <f aca="false">INDEX('Salary Records'!$I$2:$I$201,MATCH(A130,'Salary Records'!$A$2:$A$201,0))</f>
        <v>0</v>
      </c>
      <c r="I130" s="2" t="n">
        <f aca="false">INDEX('Salary Records'!$J$2:$J$201,MATCH(A130,'Salary Records'!$A$2:$A$201,0))</f>
        <v>1</v>
      </c>
      <c r="J130" s="2" t="n">
        <f aca="false">ROUND(F130/E130*100,1)</f>
        <v>80.8</v>
      </c>
      <c r="K130" s="2" t="n">
        <v>2</v>
      </c>
      <c r="L130" s="2" t="n">
        <f aca="false">INDEX('Salary Records'!$K$2:$K$201,MATCH(A130,'Salary Records'!$A$2:$A$201,0))</f>
        <v>2</v>
      </c>
      <c r="M130" s="2" t="n">
        <f aca="false">INDEX('Salary Records'!$L$2:$L$201,MATCH(A130,'Salary Records'!$A$2:$A$201,0))</f>
        <v>2</v>
      </c>
      <c r="N130" s="2" t="n">
        <f aca="false">INDEX('Salary Records'!$E$2:$E$201,MATCH(A130,'Salary Records'!$A$2:$A$201,0))</f>
        <v>36000</v>
      </c>
      <c r="O130" s="2" t="n">
        <f aca="false">INDEX('Salary Records'!$O$2:$O$201,MATCH(A130,'Salary Records'!$A$2:$A$201,0))</f>
        <v>2769.24</v>
      </c>
      <c r="P130" s="2" t="n">
        <f aca="false">INDEX('PF Records'!$H$2:$H$201,MATCH(A130,'PF Records'!$A$2:$A$201,0))</f>
        <v>4320</v>
      </c>
      <c r="Q130" s="2" t="n">
        <f aca="false">INDEX('PF Records'!$I$2:$I$201,MATCH(A130,'PF Records'!$A$2:$A$201,0))</f>
        <v>4320</v>
      </c>
      <c r="R130" s="2" t="n">
        <f aca="false">P130+Q130</f>
        <v>8640</v>
      </c>
      <c r="S130" s="2" t="n">
        <f aca="false">INDEX('Salary Records'!$S$2:$S$201,MATCH(A130,'Salary Records'!$A$2:$A$201,0))</f>
        <v>28218.45</v>
      </c>
      <c r="T130" s="2" t="n">
        <f aca="false">INDEX('Employee Master'!$I$2:$I$201,MATCH(A130,'Employee Master'!$A$2:$A$201,0))</f>
        <v>2.6</v>
      </c>
      <c r="U130" s="2" t="n">
        <f aca="false">INDEX('Employee Master'!$H$2:$H$201,MATCH(A130,'Employee Master'!$A$2:$A$201,0))</f>
        <v>0.3</v>
      </c>
      <c r="V130" s="2" t="n">
        <f aca="false">INDEX('Employee Master'!$J$2:$J$201,MATCH(A130,'Employee Master'!$A$2:$A$201,0))</f>
        <v>2.9</v>
      </c>
    </row>
    <row r="131" customFormat="false" ht="15" hidden="false" customHeight="false" outlineLevel="0" collapsed="false">
      <c r="A131" s="2" t="s">
        <v>307</v>
      </c>
      <c r="B131" s="2" t="s">
        <v>308</v>
      </c>
      <c r="C131" s="2" t="s">
        <v>57</v>
      </c>
      <c r="D131" s="2" t="s">
        <v>657</v>
      </c>
      <c r="E131" s="2" t="n">
        <f aca="false">INDEX('Salary Records'!$F$2:$F$201,MATCH(A131,'Salary Records'!$A$2:$A$201,0))</f>
        <v>26</v>
      </c>
      <c r="F131" s="2" t="n">
        <f aca="false">INDEX('Salary Records'!$G$2:$G$201,MATCH(A131,'Salary Records'!$A$2:$A$201,0))</f>
        <v>21</v>
      </c>
      <c r="G131" s="2" t="n">
        <f aca="false">INDEX('Salary Records'!$H$2:$H$201,MATCH(A131,'Salary Records'!$A$2:$A$201,0))</f>
        <v>4</v>
      </c>
      <c r="H131" s="2" t="n">
        <f aca="false">INDEX('Salary Records'!$I$2:$I$201,MATCH(A131,'Salary Records'!$A$2:$A$201,0))</f>
        <v>1</v>
      </c>
      <c r="I131" s="2" t="n">
        <f aca="false">INDEX('Salary Records'!$J$2:$J$201,MATCH(A131,'Salary Records'!$A$2:$A$201,0))</f>
        <v>0</v>
      </c>
      <c r="J131" s="2" t="n">
        <f aca="false">ROUND(F131/E131*100,1)</f>
        <v>80.8</v>
      </c>
      <c r="K131" s="2" t="n">
        <v>2</v>
      </c>
      <c r="L131" s="2" t="n">
        <f aca="false">INDEX('Salary Records'!$K$2:$K$201,MATCH(A131,'Salary Records'!$A$2:$A$201,0))</f>
        <v>2</v>
      </c>
      <c r="M131" s="2" t="n">
        <f aca="false">INDEX('Salary Records'!$L$2:$L$201,MATCH(A131,'Salary Records'!$A$2:$A$201,0))</f>
        <v>2</v>
      </c>
      <c r="N131" s="2" t="n">
        <f aca="false">INDEX('Salary Records'!$E$2:$E$201,MATCH(A131,'Salary Records'!$A$2:$A$201,0))</f>
        <v>50000</v>
      </c>
      <c r="O131" s="2" t="n">
        <f aca="false">INDEX('Salary Records'!$O$2:$O$201,MATCH(A131,'Salary Records'!$A$2:$A$201,0))</f>
        <v>3846.16</v>
      </c>
      <c r="P131" s="2" t="n">
        <f aca="false">INDEX('PF Records'!$H$2:$H$201,MATCH(A131,'PF Records'!$A$2:$A$201,0))</f>
        <v>6000</v>
      </c>
      <c r="Q131" s="2" t="n">
        <f aca="false">INDEX('PF Records'!$I$2:$I$201,MATCH(A131,'PF Records'!$A$2:$A$201,0))</f>
        <v>6000</v>
      </c>
      <c r="R131" s="2" t="n">
        <f aca="false">P131+Q131</f>
        <v>12000</v>
      </c>
      <c r="S131" s="2" t="n">
        <f aca="false">INDEX('Salary Records'!$S$2:$S$201,MATCH(A131,'Salary Records'!$A$2:$A$201,0))</f>
        <v>40153.84</v>
      </c>
      <c r="T131" s="2" t="n">
        <f aca="false">INDEX('Employee Master'!$I$2:$I$201,MATCH(A131,'Employee Master'!$A$2:$A$201,0))</f>
        <v>0.3</v>
      </c>
      <c r="U131" s="2" t="n">
        <f aca="false">INDEX('Employee Master'!$H$2:$H$201,MATCH(A131,'Employee Master'!$A$2:$A$201,0))</f>
        <v>0.7</v>
      </c>
      <c r="V131" s="2" t="n">
        <f aca="false">INDEX('Employee Master'!$J$2:$J$201,MATCH(A131,'Employee Master'!$A$2:$A$201,0))</f>
        <v>1</v>
      </c>
    </row>
    <row r="132" customFormat="false" ht="15" hidden="false" customHeight="false" outlineLevel="0" collapsed="false">
      <c r="A132" s="2" t="s">
        <v>309</v>
      </c>
      <c r="B132" s="2" t="s">
        <v>310</v>
      </c>
      <c r="C132" s="2" t="s">
        <v>17</v>
      </c>
      <c r="D132" s="2" t="s">
        <v>657</v>
      </c>
      <c r="E132" s="2" t="n">
        <f aca="false">INDEX('Salary Records'!$F$2:$F$201,MATCH(A132,'Salary Records'!$A$2:$A$201,0))</f>
        <v>26</v>
      </c>
      <c r="F132" s="2" t="n">
        <f aca="false">INDEX('Salary Records'!$G$2:$G$201,MATCH(A132,'Salary Records'!$A$2:$A$201,0))</f>
        <v>22</v>
      </c>
      <c r="G132" s="2" t="n">
        <f aca="false">INDEX('Salary Records'!$H$2:$H$201,MATCH(A132,'Salary Records'!$A$2:$A$201,0))</f>
        <v>1</v>
      </c>
      <c r="H132" s="2" t="n">
        <f aca="false">INDEX('Salary Records'!$I$2:$I$201,MATCH(A132,'Salary Records'!$A$2:$A$201,0))</f>
        <v>1</v>
      </c>
      <c r="I132" s="2" t="n">
        <f aca="false">INDEX('Salary Records'!$J$2:$J$201,MATCH(A132,'Salary Records'!$A$2:$A$201,0))</f>
        <v>2</v>
      </c>
      <c r="J132" s="2" t="n">
        <f aca="false">ROUND(F132/E132*100,1)</f>
        <v>84.6</v>
      </c>
      <c r="K132" s="2" t="n">
        <v>2</v>
      </c>
      <c r="L132" s="2" t="n">
        <f aca="false">INDEX('Salary Records'!$K$2:$K$201,MATCH(A132,'Salary Records'!$A$2:$A$201,0))</f>
        <v>1</v>
      </c>
      <c r="M132" s="2" t="n">
        <f aca="false">INDEX('Salary Records'!$L$2:$L$201,MATCH(A132,'Salary Records'!$A$2:$A$201,0))</f>
        <v>0</v>
      </c>
      <c r="N132" s="2" t="n">
        <f aca="false">INDEX('Salary Records'!$E$2:$E$201,MATCH(A132,'Salary Records'!$A$2:$A$201,0))</f>
        <v>64000</v>
      </c>
      <c r="O132" s="2" t="n">
        <f aca="false">INDEX('Salary Records'!$O$2:$O$201,MATCH(A132,'Salary Records'!$A$2:$A$201,0))</f>
        <v>0</v>
      </c>
      <c r="P132" s="2" t="n">
        <f aca="false">INDEX('PF Records'!$H$2:$H$201,MATCH(A132,'PF Records'!$A$2:$A$201,0))</f>
        <v>7680</v>
      </c>
      <c r="Q132" s="2" t="n">
        <f aca="false">INDEX('PF Records'!$I$2:$I$201,MATCH(A132,'PF Records'!$A$2:$A$201,0))</f>
        <v>7680</v>
      </c>
      <c r="R132" s="2" t="n">
        <f aca="false">P132+Q132</f>
        <v>15360</v>
      </c>
      <c r="S132" s="2" t="n">
        <f aca="false">INDEX('Salary Records'!$S$2:$S$201,MATCH(A132,'Salary Records'!$A$2:$A$201,0))</f>
        <v>53858.46</v>
      </c>
      <c r="T132" s="2" t="n">
        <f aca="false">INDEX('Employee Master'!$I$2:$I$201,MATCH(A132,'Employee Master'!$A$2:$A$201,0))</f>
        <v>6.8</v>
      </c>
      <c r="U132" s="2" t="n">
        <f aca="false">INDEX('Employee Master'!$H$2:$H$201,MATCH(A132,'Employee Master'!$A$2:$A$201,0))</f>
        <v>5.6</v>
      </c>
      <c r="V132" s="2" t="n">
        <f aca="false">INDEX('Employee Master'!$J$2:$J$201,MATCH(A132,'Employee Master'!$A$2:$A$201,0))</f>
        <v>12.4</v>
      </c>
    </row>
    <row r="133" customFormat="false" ht="15" hidden="false" customHeight="false" outlineLevel="0" collapsed="false">
      <c r="A133" s="2" t="s">
        <v>311</v>
      </c>
      <c r="B133" s="2" t="s">
        <v>312</v>
      </c>
      <c r="C133" s="2" t="s">
        <v>24</v>
      </c>
      <c r="D133" s="2" t="s">
        <v>657</v>
      </c>
      <c r="E133" s="2" t="n">
        <f aca="false">INDEX('Salary Records'!$F$2:$F$201,MATCH(A133,'Salary Records'!$A$2:$A$201,0))</f>
        <v>26</v>
      </c>
      <c r="F133" s="2" t="n">
        <f aca="false">INDEX('Salary Records'!$G$2:$G$201,MATCH(A133,'Salary Records'!$A$2:$A$201,0))</f>
        <v>18</v>
      </c>
      <c r="G133" s="2" t="n">
        <f aca="false">INDEX('Salary Records'!$H$2:$H$201,MATCH(A133,'Salary Records'!$A$2:$A$201,0))</f>
        <v>8</v>
      </c>
      <c r="H133" s="2" t="n">
        <f aca="false">INDEX('Salary Records'!$I$2:$I$201,MATCH(A133,'Salary Records'!$A$2:$A$201,0))</f>
        <v>0</v>
      </c>
      <c r="I133" s="2" t="n">
        <f aca="false">INDEX('Salary Records'!$J$2:$J$201,MATCH(A133,'Salary Records'!$A$2:$A$201,0))</f>
        <v>0</v>
      </c>
      <c r="J133" s="2" t="n">
        <f aca="false">ROUND(F133/E133*100,1)</f>
        <v>69.2</v>
      </c>
      <c r="K133" s="2" t="n">
        <v>2</v>
      </c>
      <c r="L133" s="2" t="n">
        <f aca="false">INDEX('Salary Records'!$K$2:$K$201,MATCH(A133,'Salary Records'!$A$2:$A$201,0))</f>
        <v>2</v>
      </c>
      <c r="M133" s="2" t="n">
        <f aca="false">INDEX('Salary Records'!$L$2:$L$201,MATCH(A133,'Salary Records'!$A$2:$A$201,0))</f>
        <v>6</v>
      </c>
      <c r="N133" s="2" t="n">
        <f aca="false">INDEX('Salary Records'!$E$2:$E$201,MATCH(A133,'Salary Records'!$A$2:$A$201,0))</f>
        <v>51500</v>
      </c>
      <c r="O133" s="2" t="n">
        <f aca="false">INDEX('Salary Records'!$O$2:$O$201,MATCH(A133,'Salary Records'!$A$2:$A$201,0))</f>
        <v>11884.62</v>
      </c>
      <c r="P133" s="2" t="n">
        <f aca="false">INDEX('PF Records'!$H$2:$H$201,MATCH(A133,'PF Records'!$A$2:$A$201,0))</f>
        <v>6180</v>
      </c>
      <c r="Q133" s="2" t="n">
        <f aca="false">INDEX('PF Records'!$I$2:$I$201,MATCH(A133,'PF Records'!$A$2:$A$201,0))</f>
        <v>6180</v>
      </c>
      <c r="R133" s="2" t="n">
        <f aca="false">P133+Q133</f>
        <v>12360</v>
      </c>
      <c r="S133" s="2" t="n">
        <f aca="false">INDEX('Salary Records'!$S$2:$S$201,MATCH(A133,'Salary Records'!$A$2:$A$201,0))</f>
        <v>33435.38</v>
      </c>
      <c r="T133" s="2" t="n">
        <f aca="false">INDEX('Employee Master'!$I$2:$I$201,MATCH(A133,'Employee Master'!$A$2:$A$201,0))</f>
        <v>8</v>
      </c>
      <c r="U133" s="2" t="n">
        <f aca="false">INDEX('Employee Master'!$H$2:$H$201,MATCH(A133,'Employee Master'!$A$2:$A$201,0))</f>
        <v>2.3</v>
      </c>
      <c r="V133" s="2" t="n">
        <f aca="false">INDEX('Employee Master'!$J$2:$J$201,MATCH(A133,'Employee Master'!$A$2:$A$201,0))</f>
        <v>10.3</v>
      </c>
    </row>
    <row r="134" customFormat="false" ht="15" hidden="false" customHeight="false" outlineLevel="0" collapsed="false">
      <c r="A134" s="2" t="s">
        <v>313</v>
      </c>
      <c r="B134" s="2" t="s">
        <v>314</v>
      </c>
      <c r="C134" s="2" t="s">
        <v>28</v>
      </c>
      <c r="D134" s="2" t="s">
        <v>657</v>
      </c>
      <c r="E134" s="2" t="n">
        <f aca="false">INDEX('Salary Records'!$F$2:$F$201,MATCH(A134,'Salary Records'!$A$2:$A$201,0))</f>
        <v>26</v>
      </c>
      <c r="F134" s="2" t="n">
        <f aca="false">INDEX('Salary Records'!$G$2:$G$201,MATCH(A134,'Salary Records'!$A$2:$A$201,0))</f>
        <v>22</v>
      </c>
      <c r="G134" s="2" t="n">
        <f aca="false">INDEX('Salary Records'!$H$2:$H$201,MATCH(A134,'Salary Records'!$A$2:$A$201,0))</f>
        <v>2</v>
      </c>
      <c r="H134" s="2" t="n">
        <f aca="false">INDEX('Salary Records'!$I$2:$I$201,MATCH(A134,'Salary Records'!$A$2:$A$201,0))</f>
        <v>2</v>
      </c>
      <c r="I134" s="2" t="n">
        <f aca="false">INDEX('Salary Records'!$J$2:$J$201,MATCH(A134,'Salary Records'!$A$2:$A$201,0))</f>
        <v>0</v>
      </c>
      <c r="J134" s="2" t="n">
        <f aca="false">ROUND(F134/E134*100,1)</f>
        <v>84.6</v>
      </c>
      <c r="K134" s="2" t="n">
        <v>2</v>
      </c>
      <c r="L134" s="2" t="n">
        <f aca="false">INDEX('Salary Records'!$K$2:$K$201,MATCH(A134,'Salary Records'!$A$2:$A$201,0))</f>
        <v>2</v>
      </c>
      <c r="M134" s="2" t="n">
        <f aca="false">INDEX('Salary Records'!$L$2:$L$201,MATCH(A134,'Salary Records'!$A$2:$A$201,0))</f>
        <v>0</v>
      </c>
      <c r="N134" s="2" t="n">
        <f aca="false">INDEX('Salary Records'!$E$2:$E$201,MATCH(A134,'Salary Records'!$A$2:$A$201,0))</f>
        <v>28000</v>
      </c>
      <c r="O134" s="2" t="n">
        <f aca="false">INDEX('Salary Records'!$O$2:$O$201,MATCH(A134,'Salary Records'!$A$2:$A$201,0))</f>
        <v>0</v>
      </c>
      <c r="P134" s="2" t="n">
        <f aca="false">INDEX('PF Records'!$H$2:$H$201,MATCH(A134,'PF Records'!$A$2:$A$201,0))</f>
        <v>3360</v>
      </c>
      <c r="Q134" s="2" t="n">
        <f aca="false">INDEX('PF Records'!$I$2:$I$201,MATCH(A134,'PF Records'!$A$2:$A$201,0))</f>
        <v>3360</v>
      </c>
      <c r="R134" s="2" t="n">
        <f aca="false">P134+Q134</f>
        <v>6720</v>
      </c>
      <c r="S134" s="2" t="n">
        <f aca="false">INDEX('Salary Records'!$S$2:$S$201,MATCH(A134,'Salary Records'!$A$2:$A$201,0))</f>
        <v>24640</v>
      </c>
      <c r="T134" s="2" t="n">
        <f aca="false">INDEX('Employee Master'!$I$2:$I$201,MATCH(A134,'Employee Master'!$A$2:$A$201,0))</f>
        <v>2.7</v>
      </c>
      <c r="U134" s="2" t="n">
        <f aca="false">INDEX('Employee Master'!$H$2:$H$201,MATCH(A134,'Employee Master'!$A$2:$A$201,0))</f>
        <v>3.3</v>
      </c>
      <c r="V134" s="2" t="n">
        <f aca="false">INDEX('Employee Master'!$J$2:$J$201,MATCH(A134,'Employee Master'!$A$2:$A$201,0))</f>
        <v>6</v>
      </c>
    </row>
    <row r="135" customFormat="false" ht="15" hidden="false" customHeight="false" outlineLevel="0" collapsed="false">
      <c r="A135" s="2" t="s">
        <v>315</v>
      </c>
      <c r="B135" s="2" t="s">
        <v>316</v>
      </c>
      <c r="C135" s="2" t="s">
        <v>32</v>
      </c>
      <c r="D135" s="2" t="s">
        <v>657</v>
      </c>
      <c r="E135" s="2" t="n">
        <f aca="false">INDEX('Salary Records'!$F$2:$F$201,MATCH(A135,'Salary Records'!$A$2:$A$201,0))</f>
        <v>26</v>
      </c>
      <c r="F135" s="2" t="n">
        <f aca="false">INDEX('Salary Records'!$G$2:$G$201,MATCH(A135,'Salary Records'!$A$2:$A$201,0))</f>
        <v>21</v>
      </c>
      <c r="G135" s="2" t="n">
        <f aca="false">INDEX('Salary Records'!$H$2:$H$201,MATCH(A135,'Salary Records'!$A$2:$A$201,0))</f>
        <v>1</v>
      </c>
      <c r="H135" s="2" t="n">
        <f aca="false">INDEX('Salary Records'!$I$2:$I$201,MATCH(A135,'Salary Records'!$A$2:$A$201,0))</f>
        <v>2</v>
      </c>
      <c r="I135" s="2" t="n">
        <f aca="false">INDEX('Salary Records'!$J$2:$J$201,MATCH(A135,'Salary Records'!$A$2:$A$201,0))</f>
        <v>2</v>
      </c>
      <c r="J135" s="2" t="n">
        <f aca="false">ROUND(F135/E135*100,1)</f>
        <v>80.8</v>
      </c>
      <c r="K135" s="2" t="n">
        <v>2</v>
      </c>
      <c r="L135" s="2" t="n">
        <f aca="false">INDEX('Salary Records'!$K$2:$K$201,MATCH(A135,'Salary Records'!$A$2:$A$201,0))</f>
        <v>1</v>
      </c>
      <c r="M135" s="2" t="n">
        <f aca="false">INDEX('Salary Records'!$L$2:$L$201,MATCH(A135,'Salary Records'!$A$2:$A$201,0))</f>
        <v>0</v>
      </c>
      <c r="N135" s="2" t="n">
        <f aca="false">INDEX('Salary Records'!$E$2:$E$201,MATCH(A135,'Salary Records'!$A$2:$A$201,0))</f>
        <v>27500</v>
      </c>
      <c r="O135" s="2" t="n">
        <f aca="false">INDEX('Salary Records'!$O$2:$O$201,MATCH(A135,'Salary Records'!$A$2:$A$201,0))</f>
        <v>0</v>
      </c>
      <c r="P135" s="2" t="n">
        <f aca="false">INDEX('PF Records'!$H$2:$H$201,MATCH(A135,'PF Records'!$A$2:$A$201,0))</f>
        <v>3300</v>
      </c>
      <c r="Q135" s="2" t="n">
        <f aca="false">INDEX('PF Records'!$I$2:$I$201,MATCH(A135,'PF Records'!$A$2:$A$201,0))</f>
        <v>3300</v>
      </c>
      <c r="R135" s="2" t="n">
        <f aca="false">P135+Q135</f>
        <v>6600</v>
      </c>
      <c r="S135" s="2" t="n">
        <f aca="false">INDEX('Salary Records'!$S$2:$S$201,MATCH(A135,'Salary Records'!$A$2:$A$201,0))</f>
        <v>23142.31</v>
      </c>
      <c r="T135" s="2" t="n">
        <f aca="false">INDEX('Employee Master'!$I$2:$I$201,MATCH(A135,'Employee Master'!$A$2:$A$201,0))</f>
        <v>6.7</v>
      </c>
      <c r="U135" s="2" t="n">
        <f aca="false">INDEX('Employee Master'!$H$2:$H$201,MATCH(A135,'Employee Master'!$A$2:$A$201,0))</f>
        <v>0</v>
      </c>
      <c r="V135" s="2" t="n">
        <f aca="false">INDEX('Employee Master'!$J$2:$J$201,MATCH(A135,'Employee Master'!$A$2:$A$201,0))</f>
        <v>6.7</v>
      </c>
    </row>
    <row r="136" customFormat="false" ht="15" hidden="false" customHeight="false" outlineLevel="0" collapsed="false">
      <c r="A136" s="2" t="s">
        <v>317</v>
      </c>
      <c r="B136" s="2" t="s">
        <v>318</v>
      </c>
      <c r="C136" s="2" t="s">
        <v>36</v>
      </c>
      <c r="D136" s="2" t="s">
        <v>657</v>
      </c>
      <c r="E136" s="2" t="n">
        <f aca="false">INDEX('Salary Records'!$F$2:$F$201,MATCH(A136,'Salary Records'!$A$2:$A$201,0))</f>
        <v>26</v>
      </c>
      <c r="F136" s="2" t="n">
        <f aca="false">INDEX('Salary Records'!$G$2:$G$201,MATCH(A136,'Salary Records'!$A$2:$A$201,0))</f>
        <v>16</v>
      </c>
      <c r="G136" s="2" t="n">
        <f aca="false">INDEX('Salary Records'!$H$2:$H$201,MATCH(A136,'Salary Records'!$A$2:$A$201,0))</f>
        <v>9</v>
      </c>
      <c r="H136" s="2" t="n">
        <f aca="false">INDEX('Salary Records'!$I$2:$I$201,MATCH(A136,'Salary Records'!$A$2:$A$201,0))</f>
        <v>1</v>
      </c>
      <c r="I136" s="2" t="n">
        <f aca="false">INDEX('Salary Records'!$J$2:$J$201,MATCH(A136,'Salary Records'!$A$2:$A$201,0))</f>
        <v>0</v>
      </c>
      <c r="J136" s="2" t="n">
        <f aca="false">ROUND(F136/E136*100,1)</f>
        <v>61.5</v>
      </c>
      <c r="K136" s="2" t="n">
        <v>2</v>
      </c>
      <c r="L136" s="2" t="n">
        <f aca="false">INDEX('Salary Records'!$K$2:$K$201,MATCH(A136,'Salary Records'!$A$2:$A$201,0))</f>
        <v>2</v>
      </c>
      <c r="M136" s="2" t="n">
        <f aca="false">INDEX('Salary Records'!$L$2:$L$201,MATCH(A136,'Salary Records'!$A$2:$A$201,0))</f>
        <v>7</v>
      </c>
      <c r="N136" s="2" t="n">
        <f aca="false">INDEX('Salary Records'!$E$2:$E$201,MATCH(A136,'Salary Records'!$A$2:$A$201,0))</f>
        <v>38500</v>
      </c>
      <c r="O136" s="2" t="n">
        <f aca="false">INDEX('Salary Records'!$O$2:$O$201,MATCH(A136,'Salary Records'!$A$2:$A$201,0))</f>
        <v>10365.39</v>
      </c>
      <c r="P136" s="2" t="n">
        <f aca="false">INDEX('PF Records'!$H$2:$H$201,MATCH(A136,'PF Records'!$A$2:$A$201,0))</f>
        <v>4620</v>
      </c>
      <c r="Q136" s="2" t="n">
        <f aca="false">INDEX('PF Records'!$I$2:$I$201,MATCH(A136,'PF Records'!$A$2:$A$201,0))</f>
        <v>4620</v>
      </c>
      <c r="R136" s="2" t="n">
        <f aca="false">P136+Q136</f>
        <v>9240</v>
      </c>
      <c r="S136" s="2" t="n">
        <f aca="false">INDEX('Salary Records'!$S$2:$S$201,MATCH(A136,'Salary Records'!$A$2:$A$201,0))</f>
        <v>23514.61</v>
      </c>
      <c r="T136" s="2" t="n">
        <f aca="false">INDEX('Employee Master'!$I$2:$I$201,MATCH(A136,'Employee Master'!$A$2:$A$201,0))</f>
        <v>2.1</v>
      </c>
      <c r="U136" s="2" t="n">
        <f aca="false">INDEX('Employee Master'!$H$2:$H$201,MATCH(A136,'Employee Master'!$A$2:$A$201,0))</f>
        <v>1.1</v>
      </c>
      <c r="V136" s="2" t="n">
        <f aca="false">INDEX('Employee Master'!$J$2:$J$201,MATCH(A136,'Employee Master'!$A$2:$A$201,0))</f>
        <v>3.2</v>
      </c>
    </row>
    <row r="137" customFormat="false" ht="15" hidden="false" customHeight="false" outlineLevel="0" collapsed="false">
      <c r="A137" s="2" t="s">
        <v>319</v>
      </c>
      <c r="B137" s="2" t="s">
        <v>320</v>
      </c>
      <c r="C137" s="2" t="s">
        <v>41</v>
      </c>
      <c r="D137" s="2" t="s">
        <v>657</v>
      </c>
      <c r="E137" s="2" t="n">
        <f aca="false">INDEX('Salary Records'!$F$2:$F$201,MATCH(A137,'Salary Records'!$A$2:$A$201,0))</f>
        <v>26</v>
      </c>
      <c r="F137" s="2" t="n">
        <f aca="false">INDEX('Salary Records'!$G$2:$G$201,MATCH(A137,'Salary Records'!$A$2:$A$201,0))</f>
        <v>24</v>
      </c>
      <c r="G137" s="2" t="n">
        <f aca="false">INDEX('Salary Records'!$H$2:$H$201,MATCH(A137,'Salary Records'!$A$2:$A$201,0))</f>
        <v>0</v>
      </c>
      <c r="H137" s="2" t="n">
        <f aca="false">INDEX('Salary Records'!$I$2:$I$201,MATCH(A137,'Salary Records'!$A$2:$A$201,0))</f>
        <v>0</v>
      </c>
      <c r="I137" s="2" t="n">
        <f aca="false">INDEX('Salary Records'!$J$2:$J$201,MATCH(A137,'Salary Records'!$A$2:$A$201,0))</f>
        <v>2</v>
      </c>
      <c r="J137" s="2" t="n">
        <f aca="false">ROUND(F137/E137*100,1)</f>
        <v>92.3</v>
      </c>
      <c r="K137" s="2" t="n">
        <v>2</v>
      </c>
      <c r="L137" s="2" t="n">
        <f aca="false">INDEX('Salary Records'!$K$2:$K$201,MATCH(A137,'Salary Records'!$A$2:$A$201,0))</f>
        <v>0</v>
      </c>
      <c r="M137" s="2" t="n">
        <f aca="false">INDEX('Salary Records'!$L$2:$L$201,MATCH(A137,'Salary Records'!$A$2:$A$201,0))</f>
        <v>0</v>
      </c>
      <c r="N137" s="2" t="n">
        <f aca="false">INDEX('Salary Records'!$E$2:$E$201,MATCH(A137,'Salary Records'!$A$2:$A$201,0))</f>
        <v>80000</v>
      </c>
      <c r="O137" s="2" t="n">
        <f aca="false">INDEX('Salary Records'!$O$2:$O$201,MATCH(A137,'Salary Records'!$A$2:$A$201,0))</f>
        <v>0</v>
      </c>
      <c r="P137" s="2" t="n">
        <f aca="false">INDEX('PF Records'!$H$2:$H$201,MATCH(A137,'PF Records'!$A$2:$A$201,0))</f>
        <v>9600</v>
      </c>
      <c r="Q137" s="2" t="n">
        <f aca="false">INDEX('PF Records'!$I$2:$I$201,MATCH(A137,'PF Records'!$A$2:$A$201,0))</f>
        <v>9600</v>
      </c>
      <c r="R137" s="2" t="n">
        <f aca="false">P137+Q137</f>
        <v>19200</v>
      </c>
      <c r="S137" s="2" t="n">
        <f aca="false">INDEX('Salary Records'!$S$2:$S$201,MATCH(A137,'Salary Records'!$A$2:$A$201,0))</f>
        <v>67323.08</v>
      </c>
      <c r="T137" s="2" t="n">
        <f aca="false">INDEX('Employee Master'!$I$2:$I$201,MATCH(A137,'Employee Master'!$A$2:$A$201,0))</f>
        <v>5.8</v>
      </c>
      <c r="U137" s="2" t="n">
        <f aca="false">INDEX('Employee Master'!$H$2:$H$201,MATCH(A137,'Employee Master'!$A$2:$A$201,0))</f>
        <v>5.3</v>
      </c>
      <c r="V137" s="2" t="n">
        <f aca="false">INDEX('Employee Master'!$J$2:$J$201,MATCH(A137,'Employee Master'!$A$2:$A$201,0))</f>
        <v>11.1</v>
      </c>
    </row>
    <row r="138" customFormat="false" ht="15" hidden="false" customHeight="false" outlineLevel="0" collapsed="false">
      <c r="A138" s="2" t="s">
        <v>321</v>
      </c>
      <c r="B138" s="2" t="s">
        <v>322</v>
      </c>
      <c r="C138" s="2" t="s">
        <v>45</v>
      </c>
      <c r="D138" s="2" t="s">
        <v>657</v>
      </c>
      <c r="E138" s="2" t="n">
        <f aca="false">INDEX('Salary Records'!$F$2:$F$201,MATCH(A138,'Salary Records'!$A$2:$A$201,0))</f>
        <v>26</v>
      </c>
      <c r="F138" s="2" t="n">
        <f aca="false">INDEX('Salary Records'!$G$2:$G$201,MATCH(A138,'Salary Records'!$A$2:$A$201,0))</f>
        <v>17</v>
      </c>
      <c r="G138" s="2" t="n">
        <f aca="false">INDEX('Salary Records'!$H$2:$H$201,MATCH(A138,'Salary Records'!$A$2:$A$201,0))</f>
        <v>7</v>
      </c>
      <c r="H138" s="2" t="n">
        <f aca="false">INDEX('Salary Records'!$I$2:$I$201,MATCH(A138,'Salary Records'!$A$2:$A$201,0))</f>
        <v>0</v>
      </c>
      <c r="I138" s="2" t="n">
        <f aca="false">INDEX('Salary Records'!$J$2:$J$201,MATCH(A138,'Salary Records'!$A$2:$A$201,0))</f>
        <v>2</v>
      </c>
      <c r="J138" s="2" t="n">
        <f aca="false">ROUND(F138/E138*100,1)</f>
        <v>65.4</v>
      </c>
      <c r="K138" s="2" t="n">
        <v>2</v>
      </c>
      <c r="L138" s="2" t="n">
        <f aca="false">INDEX('Salary Records'!$K$2:$K$201,MATCH(A138,'Salary Records'!$A$2:$A$201,0))</f>
        <v>2</v>
      </c>
      <c r="M138" s="2" t="n">
        <f aca="false">INDEX('Salary Records'!$L$2:$L$201,MATCH(A138,'Salary Records'!$A$2:$A$201,0))</f>
        <v>5</v>
      </c>
      <c r="N138" s="2" t="n">
        <f aca="false">INDEX('Salary Records'!$E$2:$E$201,MATCH(A138,'Salary Records'!$A$2:$A$201,0))</f>
        <v>74000</v>
      </c>
      <c r="O138" s="2" t="n">
        <f aca="false">INDEX('Salary Records'!$O$2:$O$201,MATCH(A138,'Salary Records'!$A$2:$A$201,0))</f>
        <v>14230.75</v>
      </c>
      <c r="P138" s="2" t="n">
        <f aca="false">INDEX('PF Records'!$H$2:$H$201,MATCH(A138,'PF Records'!$A$2:$A$201,0))</f>
        <v>8880</v>
      </c>
      <c r="Q138" s="2" t="n">
        <f aca="false">INDEX('PF Records'!$I$2:$I$201,MATCH(A138,'PF Records'!$A$2:$A$201,0))</f>
        <v>8880</v>
      </c>
      <c r="R138" s="2" t="n">
        <f aca="false">P138+Q138</f>
        <v>17760</v>
      </c>
      <c r="S138" s="2" t="n">
        <f aca="false">INDEX('Salary Records'!$S$2:$S$201,MATCH(A138,'Salary Records'!$A$2:$A$201,0))</f>
        <v>48043.1</v>
      </c>
      <c r="T138" s="2" t="n">
        <f aca="false">INDEX('Employee Master'!$I$2:$I$201,MATCH(A138,'Employee Master'!$A$2:$A$201,0))</f>
        <v>1.1</v>
      </c>
      <c r="U138" s="2" t="n">
        <f aca="false">INDEX('Employee Master'!$H$2:$H$201,MATCH(A138,'Employee Master'!$A$2:$A$201,0))</f>
        <v>4.4</v>
      </c>
      <c r="V138" s="2" t="n">
        <f aca="false">INDEX('Employee Master'!$J$2:$J$201,MATCH(A138,'Employee Master'!$A$2:$A$201,0))</f>
        <v>5.5</v>
      </c>
    </row>
    <row r="139" customFormat="false" ht="15" hidden="false" customHeight="false" outlineLevel="0" collapsed="false">
      <c r="A139" s="2" t="s">
        <v>323</v>
      </c>
      <c r="B139" s="2" t="s">
        <v>324</v>
      </c>
      <c r="C139" s="2" t="s">
        <v>49</v>
      </c>
      <c r="D139" s="2" t="s">
        <v>657</v>
      </c>
      <c r="E139" s="2" t="n">
        <f aca="false">INDEX('Salary Records'!$F$2:$F$201,MATCH(A139,'Salary Records'!$A$2:$A$201,0))</f>
        <v>26</v>
      </c>
      <c r="F139" s="2" t="n">
        <f aca="false">INDEX('Salary Records'!$G$2:$G$201,MATCH(A139,'Salary Records'!$A$2:$A$201,0))</f>
        <v>21</v>
      </c>
      <c r="G139" s="2" t="n">
        <f aca="false">INDEX('Salary Records'!$H$2:$H$201,MATCH(A139,'Salary Records'!$A$2:$A$201,0))</f>
        <v>3</v>
      </c>
      <c r="H139" s="2" t="n">
        <f aca="false">INDEX('Salary Records'!$I$2:$I$201,MATCH(A139,'Salary Records'!$A$2:$A$201,0))</f>
        <v>1</v>
      </c>
      <c r="I139" s="2" t="n">
        <f aca="false">INDEX('Salary Records'!$J$2:$J$201,MATCH(A139,'Salary Records'!$A$2:$A$201,0))</f>
        <v>1</v>
      </c>
      <c r="J139" s="2" t="n">
        <f aca="false">ROUND(F139/E139*100,1)</f>
        <v>80.8</v>
      </c>
      <c r="K139" s="2" t="n">
        <v>2</v>
      </c>
      <c r="L139" s="2" t="n">
        <f aca="false">INDEX('Salary Records'!$K$2:$K$201,MATCH(A139,'Salary Records'!$A$2:$A$201,0))</f>
        <v>2</v>
      </c>
      <c r="M139" s="2" t="n">
        <f aca="false">INDEX('Salary Records'!$L$2:$L$201,MATCH(A139,'Salary Records'!$A$2:$A$201,0))</f>
        <v>1</v>
      </c>
      <c r="N139" s="2" t="n">
        <f aca="false">INDEX('Salary Records'!$E$2:$E$201,MATCH(A139,'Salary Records'!$A$2:$A$201,0))</f>
        <v>119000</v>
      </c>
      <c r="O139" s="2" t="n">
        <f aca="false">INDEX('Salary Records'!$O$2:$O$201,MATCH(A139,'Salary Records'!$A$2:$A$201,0))</f>
        <v>4576.92</v>
      </c>
      <c r="P139" s="2" t="n">
        <f aca="false">INDEX('PF Records'!$H$2:$H$201,MATCH(A139,'PF Records'!$A$2:$A$201,0))</f>
        <v>14280</v>
      </c>
      <c r="Q139" s="2" t="n">
        <f aca="false">INDEX('PF Records'!$I$2:$I$201,MATCH(A139,'PF Records'!$A$2:$A$201,0))</f>
        <v>14280</v>
      </c>
      <c r="R139" s="2" t="n">
        <f aca="false">P139+Q139</f>
        <v>28560</v>
      </c>
      <c r="S139" s="2" t="n">
        <f aca="false">INDEX('Salary Records'!$S$2:$S$201,MATCH(A139,'Salary Records'!$A$2:$A$201,0))</f>
        <v>97854.62</v>
      </c>
      <c r="T139" s="2" t="n">
        <f aca="false">INDEX('Employee Master'!$I$2:$I$201,MATCH(A139,'Employee Master'!$A$2:$A$201,0))</f>
        <v>1.5</v>
      </c>
      <c r="U139" s="2" t="n">
        <f aca="false">INDEX('Employee Master'!$H$2:$H$201,MATCH(A139,'Employee Master'!$A$2:$A$201,0))</f>
        <v>7.7</v>
      </c>
      <c r="V139" s="2" t="n">
        <f aca="false">INDEX('Employee Master'!$J$2:$J$201,MATCH(A139,'Employee Master'!$A$2:$A$201,0))</f>
        <v>9.2</v>
      </c>
    </row>
    <row r="140" customFormat="false" ht="15" hidden="false" customHeight="false" outlineLevel="0" collapsed="false">
      <c r="A140" s="2" t="s">
        <v>325</v>
      </c>
      <c r="B140" s="2" t="s">
        <v>326</v>
      </c>
      <c r="C140" s="2" t="s">
        <v>53</v>
      </c>
      <c r="D140" s="2" t="s">
        <v>657</v>
      </c>
      <c r="E140" s="2" t="n">
        <f aca="false">INDEX('Salary Records'!$F$2:$F$201,MATCH(A140,'Salary Records'!$A$2:$A$201,0))</f>
        <v>26</v>
      </c>
      <c r="F140" s="2" t="n">
        <f aca="false">INDEX('Salary Records'!$G$2:$G$201,MATCH(A140,'Salary Records'!$A$2:$A$201,0))</f>
        <v>19</v>
      </c>
      <c r="G140" s="2" t="n">
        <f aca="false">INDEX('Salary Records'!$H$2:$H$201,MATCH(A140,'Salary Records'!$A$2:$A$201,0))</f>
        <v>5</v>
      </c>
      <c r="H140" s="2" t="n">
        <f aca="false">INDEX('Salary Records'!$I$2:$I$201,MATCH(A140,'Salary Records'!$A$2:$A$201,0))</f>
        <v>0</v>
      </c>
      <c r="I140" s="2" t="n">
        <f aca="false">INDEX('Salary Records'!$J$2:$J$201,MATCH(A140,'Salary Records'!$A$2:$A$201,0))</f>
        <v>2</v>
      </c>
      <c r="J140" s="2" t="n">
        <f aca="false">ROUND(F140/E140*100,1)</f>
        <v>73.1</v>
      </c>
      <c r="K140" s="2" t="n">
        <v>2</v>
      </c>
      <c r="L140" s="2" t="n">
        <f aca="false">INDEX('Salary Records'!$K$2:$K$201,MATCH(A140,'Salary Records'!$A$2:$A$201,0))</f>
        <v>2</v>
      </c>
      <c r="M140" s="2" t="n">
        <f aca="false">INDEX('Salary Records'!$L$2:$L$201,MATCH(A140,'Salary Records'!$A$2:$A$201,0))</f>
        <v>3</v>
      </c>
      <c r="N140" s="2" t="n">
        <f aca="false">INDEX('Salary Records'!$E$2:$E$201,MATCH(A140,'Salary Records'!$A$2:$A$201,0))</f>
        <v>30000</v>
      </c>
      <c r="O140" s="2" t="n">
        <f aca="false">INDEX('Salary Records'!$O$2:$O$201,MATCH(A140,'Salary Records'!$A$2:$A$201,0))</f>
        <v>3461.55</v>
      </c>
      <c r="P140" s="2" t="n">
        <f aca="false">INDEX('PF Records'!$H$2:$H$201,MATCH(A140,'PF Records'!$A$2:$A$201,0))</f>
        <v>3600</v>
      </c>
      <c r="Q140" s="2" t="n">
        <f aca="false">INDEX('PF Records'!$I$2:$I$201,MATCH(A140,'PF Records'!$A$2:$A$201,0))</f>
        <v>3600</v>
      </c>
      <c r="R140" s="2" t="n">
        <f aca="false">P140+Q140</f>
        <v>7200</v>
      </c>
      <c r="S140" s="2" t="n">
        <f aca="false">INDEX('Salary Records'!$S$2:$S$201,MATCH(A140,'Salary Records'!$A$2:$A$201,0))</f>
        <v>21784.6</v>
      </c>
      <c r="T140" s="2" t="n">
        <f aca="false">INDEX('Employee Master'!$I$2:$I$201,MATCH(A140,'Employee Master'!$A$2:$A$201,0))</f>
        <v>6.4</v>
      </c>
      <c r="U140" s="2" t="n">
        <f aca="false">INDEX('Employee Master'!$H$2:$H$201,MATCH(A140,'Employee Master'!$A$2:$A$201,0))</f>
        <v>8</v>
      </c>
      <c r="V140" s="2" t="n">
        <f aca="false">INDEX('Employee Master'!$J$2:$J$201,MATCH(A140,'Employee Master'!$A$2:$A$201,0))</f>
        <v>14.4</v>
      </c>
    </row>
    <row r="141" customFormat="false" ht="15" hidden="false" customHeight="false" outlineLevel="0" collapsed="false">
      <c r="A141" s="2" t="s">
        <v>327</v>
      </c>
      <c r="B141" s="2" t="s">
        <v>328</v>
      </c>
      <c r="C141" s="2" t="s">
        <v>57</v>
      </c>
      <c r="D141" s="2" t="s">
        <v>657</v>
      </c>
      <c r="E141" s="2" t="n">
        <f aca="false">INDEX('Salary Records'!$F$2:$F$201,MATCH(A141,'Salary Records'!$A$2:$A$201,0))</f>
        <v>26</v>
      </c>
      <c r="F141" s="2" t="n">
        <f aca="false">INDEX('Salary Records'!$G$2:$G$201,MATCH(A141,'Salary Records'!$A$2:$A$201,0))</f>
        <v>24</v>
      </c>
      <c r="G141" s="2" t="n">
        <f aca="false">INDEX('Salary Records'!$H$2:$H$201,MATCH(A141,'Salary Records'!$A$2:$A$201,0))</f>
        <v>1</v>
      </c>
      <c r="H141" s="2" t="n">
        <f aca="false">INDEX('Salary Records'!$I$2:$I$201,MATCH(A141,'Salary Records'!$A$2:$A$201,0))</f>
        <v>1</v>
      </c>
      <c r="I141" s="2" t="n">
        <f aca="false">INDEX('Salary Records'!$J$2:$J$201,MATCH(A141,'Salary Records'!$A$2:$A$201,0))</f>
        <v>0</v>
      </c>
      <c r="J141" s="2" t="n">
        <f aca="false">ROUND(F141/E141*100,1)</f>
        <v>92.3</v>
      </c>
      <c r="K141" s="2" t="n">
        <v>2</v>
      </c>
      <c r="L141" s="2" t="n">
        <f aca="false">INDEX('Salary Records'!$K$2:$K$201,MATCH(A141,'Salary Records'!$A$2:$A$201,0))</f>
        <v>1</v>
      </c>
      <c r="M141" s="2" t="n">
        <f aca="false">INDEX('Salary Records'!$L$2:$L$201,MATCH(A141,'Salary Records'!$A$2:$A$201,0))</f>
        <v>0</v>
      </c>
      <c r="N141" s="2" t="n">
        <f aca="false">INDEX('Salary Records'!$E$2:$E$201,MATCH(A141,'Salary Records'!$A$2:$A$201,0))</f>
        <v>22000</v>
      </c>
      <c r="O141" s="2" t="n">
        <f aca="false">INDEX('Salary Records'!$O$2:$O$201,MATCH(A141,'Salary Records'!$A$2:$A$201,0))</f>
        <v>0</v>
      </c>
      <c r="P141" s="2" t="n">
        <f aca="false">INDEX('PF Records'!$H$2:$H$201,MATCH(A141,'PF Records'!$A$2:$A$201,0))</f>
        <v>2640</v>
      </c>
      <c r="Q141" s="2" t="n">
        <f aca="false">INDEX('PF Records'!$I$2:$I$201,MATCH(A141,'PF Records'!$A$2:$A$201,0))</f>
        <v>2640</v>
      </c>
      <c r="R141" s="2" t="n">
        <f aca="false">P141+Q141</f>
        <v>5280</v>
      </c>
      <c r="S141" s="2" t="n">
        <f aca="false">INDEX('Salary Records'!$S$2:$S$201,MATCH(A141,'Salary Records'!$A$2:$A$201,0))</f>
        <v>19360</v>
      </c>
      <c r="T141" s="2" t="n">
        <f aca="false">INDEX('Employee Master'!$I$2:$I$201,MATCH(A141,'Employee Master'!$A$2:$A$201,0))</f>
        <v>4.4</v>
      </c>
      <c r="U141" s="2" t="n">
        <f aca="false">INDEX('Employee Master'!$H$2:$H$201,MATCH(A141,'Employee Master'!$A$2:$A$201,0))</f>
        <v>4.6</v>
      </c>
      <c r="V141" s="2" t="n">
        <f aca="false">INDEX('Employee Master'!$J$2:$J$201,MATCH(A141,'Employee Master'!$A$2:$A$201,0))</f>
        <v>9</v>
      </c>
    </row>
    <row r="142" customFormat="false" ht="15" hidden="false" customHeight="false" outlineLevel="0" collapsed="false">
      <c r="A142" s="2" t="s">
        <v>329</v>
      </c>
      <c r="B142" s="2" t="s">
        <v>330</v>
      </c>
      <c r="C142" s="2" t="s">
        <v>17</v>
      </c>
      <c r="D142" s="2" t="s">
        <v>657</v>
      </c>
      <c r="E142" s="2" t="n">
        <f aca="false">INDEX('Salary Records'!$F$2:$F$201,MATCH(A142,'Salary Records'!$A$2:$A$201,0))</f>
        <v>26</v>
      </c>
      <c r="F142" s="2" t="n">
        <f aca="false">INDEX('Salary Records'!$G$2:$G$201,MATCH(A142,'Salary Records'!$A$2:$A$201,0))</f>
        <v>26</v>
      </c>
      <c r="G142" s="2" t="n">
        <f aca="false">INDEX('Salary Records'!$H$2:$H$201,MATCH(A142,'Salary Records'!$A$2:$A$201,0))</f>
        <v>0</v>
      </c>
      <c r="H142" s="2" t="n">
        <f aca="false">INDEX('Salary Records'!$I$2:$I$201,MATCH(A142,'Salary Records'!$A$2:$A$201,0))</f>
        <v>0</v>
      </c>
      <c r="I142" s="2" t="n">
        <f aca="false">INDEX('Salary Records'!$J$2:$J$201,MATCH(A142,'Salary Records'!$A$2:$A$201,0))</f>
        <v>0</v>
      </c>
      <c r="J142" s="2" t="n">
        <f aca="false">ROUND(F142/E142*100,1)</f>
        <v>100</v>
      </c>
      <c r="K142" s="2" t="n">
        <v>2</v>
      </c>
      <c r="L142" s="2" t="n">
        <f aca="false">INDEX('Salary Records'!$K$2:$K$201,MATCH(A142,'Salary Records'!$A$2:$A$201,0))</f>
        <v>0</v>
      </c>
      <c r="M142" s="2" t="n">
        <f aca="false">INDEX('Salary Records'!$L$2:$L$201,MATCH(A142,'Salary Records'!$A$2:$A$201,0))</f>
        <v>0</v>
      </c>
      <c r="N142" s="2" t="n">
        <f aca="false">INDEX('Salary Records'!$E$2:$E$201,MATCH(A142,'Salary Records'!$A$2:$A$201,0))</f>
        <v>73000</v>
      </c>
      <c r="O142" s="2" t="n">
        <f aca="false">INDEX('Salary Records'!$O$2:$O$201,MATCH(A142,'Salary Records'!$A$2:$A$201,0))</f>
        <v>0</v>
      </c>
      <c r="P142" s="2" t="n">
        <f aca="false">INDEX('PF Records'!$H$2:$H$201,MATCH(A142,'PF Records'!$A$2:$A$201,0))</f>
        <v>8760</v>
      </c>
      <c r="Q142" s="2" t="n">
        <f aca="false">INDEX('PF Records'!$I$2:$I$201,MATCH(A142,'PF Records'!$A$2:$A$201,0))</f>
        <v>8760</v>
      </c>
      <c r="R142" s="2" t="n">
        <f aca="false">P142+Q142</f>
        <v>17520</v>
      </c>
      <c r="S142" s="2" t="n">
        <f aca="false">INDEX('Salary Records'!$S$2:$S$201,MATCH(A142,'Salary Records'!$A$2:$A$201,0))</f>
        <v>64240</v>
      </c>
      <c r="T142" s="2" t="n">
        <f aca="false">INDEX('Employee Master'!$I$2:$I$201,MATCH(A142,'Employee Master'!$A$2:$A$201,0))</f>
        <v>1.3</v>
      </c>
      <c r="U142" s="2" t="n">
        <f aca="false">INDEX('Employee Master'!$H$2:$H$201,MATCH(A142,'Employee Master'!$A$2:$A$201,0))</f>
        <v>0</v>
      </c>
      <c r="V142" s="2" t="n">
        <f aca="false">INDEX('Employee Master'!$J$2:$J$201,MATCH(A142,'Employee Master'!$A$2:$A$201,0))</f>
        <v>1.3</v>
      </c>
    </row>
    <row r="143" customFormat="false" ht="15" hidden="false" customHeight="false" outlineLevel="0" collapsed="false">
      <c r="A143" s="2" t="s">
        <v>331</v>
      </c>
      <c r="B143" s="2" t="s">
        <v>332</v>
      </c>
      <c r="C143" s="2" t="s">
        <v>24</v>
      </c>
      <c r="D143" s="2" t="s">
        <v>657</v>
      </c>
      <c r="E143" s="2" t="n">
        <f aca="false">INDEX('Salary Records'!$F$2:$F$201,MATCH(A143,'Salary Records'!$A$2:$A$201,0))</f>
        <v>26</v>
      </c>
      <c r="F143" s="2" t="n">
        <f aca="false">INDEX('Salary Records'!$G$2:$G$201,MATCH(A143,'Salary Records'!$A$2:$A$201,0))</f>
        <v>17</v>
      </c>
      <c r="G143" s="2" t="n">
        <f aca="false">INDEX('Salary Records'!$H$2:$H$201,MATCH(A143,'Salary Records'!$A$2:$A$201,0))</f>
        <v>8</v>
      </c>
      <c r="H143" s="2" t="n">
        <f aca="false">INDEX('Salary Records'!$I$2:$I$201,MATCH(A143,'Salary Records'!$A$2:$A$201,0))</f>
        <v>1</v>
      </c>
      <c r="I143" s="2" t="n">
        <f aca="false">INDEX('Salary Records'!$J$2:$J$201,MATCH(A143,'Salary Records'!$A$2:$A$201,0))</f>
        <v>0</v>
      </c>
      <c r="J143" s="2" t="n">
        <f aca="false">ROUND(F143/E143*100,1)</f>
        <v>65.4</v>
      </c>
      <c r="K143" s="2" t="n">
        <v>2</v>
      </c>
      <c r="L143" s="2" t="n">
        <f aca="false">INDEX('Salary Records'!$K$2:$K$201,MATCH(A143,'Salary Records'!$A$2:$A$201,0))</f>
        <v>2</v>
      </c>
      <c r="M143" s="2" t="n">
        <f aca="false">INDEX('Salary Records'!$L$2:$L$201,MATCH(A143,'Salary Records'!$A$2:$A$201,0))</f>
        <v>6</v>
      </c>
      <c r="N143" s="2" t="n">
        <f aca="false">INDEX('Salary Records'!$E$2:$E$201,MATCH(A143,'Salary Records'!$A$2:$A$201,0))</f>
        <v>69500</v>
      </c>
      <c r="O143" s="2" t="n">
        <f aca="false">INDEX('Salary Records'!$O$2:$O$201,MATCH(A143,'Salary Records'!$A$2:$A$201,0))</f>
        <v>16038.48</v>
      </c>
      <c r="P143" s="2" t="n">
        <f aca="false">INDEX('PF Records'!$H$2:$H$201,MATCH(A143,'PF Records'!$A$2:$A$201,0))</f>
        <v>8340</v>
      </c>
      <c r="Q143" s="2" t="n">
        <f aca="false">INDEX('PF Records'!$I$2:$I$201,MATCH(A143,'PF Records'!$A$2:$A$201,0))</f>
        <v>8340</v>
      </c>
      <c r="R143" s="2" t="n">
        <f aca="false">P143+Q143</f>
        <v>16680</v>
      </c>
      <c r="S143" s="2" t="n">
        <f aca="false">INDEX('Salary Records'!$S$2:$S$201,MATCH(A143,'Salary Records'!$A$2:$A$201,0))</f>
        <v>45121.52</v>
      </c>
      <c r="T143" s="2" t="n">
        <f aca="false">INDEX('Employee Master'!$I$2:$I$201,MATCH(A143,'Employee Master'!$A$2:$A$201,0))</f>
        <v>0.3</v>
      </c>
      <c r="U143" s="2" t="n">
        <f aca="false">INDEX('Employee Master'!$H$2:$H$201,MATCH(A143,'Employee Master'!$A$2:$A$201,0))</f>
        <v>4</v>
      </c>
      <c r="V143" s="2" t="n">
        <f aca="false">INDEX('Employee Master'!$J$2:$J$201,MATCH(A143,'Employee Master'!$A$2:$A$201,0))</f>
        <v>4.3</v>
      </c>
    </row>
    <row r="144" customFormat="false" ht="15" hidden="false" customHeight="false" outlineLevel="0" collapsed="false">
      <c r="A144" s="2" t="s">
        <v>333</v>
      </c>
      <c r="B144" s="2" t="s">
        <v>334</v>
      </c>
      <c r="C144" s="2" t="s">
        <v>28</v>
      </c>
      <c r="D144" s="2" t="s">
        <v>657</v>
      </c>
      <c r="E144" s="2" t="n">
        <f aca="false">INDEX('Salary Records'!$F$2:$F$201,MATCH(A144,'Salary Records'!$A$2:$A$201,0))</f>
        <v>26</v>
      </c>
      <c r="F144" s="2" t="n">
        <f aca="false">INDEX('Salary Records'!$G$2:$G$201,MATCH(A144,'Salary Records'!$A$2:$A$201,0))</f>
        <v>26</v>
      </c>
      <c r="G144" s="2" t="n">
        <f aca="false">INDEX('Salary Records'!$H$2:$H$201,MATCH(A144,'Salary Records'!$A$2:$A$201,0))</f>
        <v>0</v>
      </c>
      <c r="H144" s="2" t="n">
        <f aca="false">INDEX('Salary Records'!$I$2:$I$201,MATCH(A144,'Salary Records'!$A$2:$A$201,0))</f>
        <v>0</v>
      </c>
      <c r="I144" s="2" t="n">
        <f aca="false">INDEX('Salary Records'!$J$2:$J$201,MATCH(A144,'Salary Records'!$A$2:$A$201,0))</f>
        <v>0</v>
      </c>
      <c r="J144" s="2" t="n">
        <f aca="false">ROUND(F144/E144*100,1)</f>
        <v>100</v>
      </c>
      <c r="K144" s="2" t="n">
        <v>2</v>
      </c>
      <c r="L144" s="2" t="n">
        <f aca="false">INDEX('Salary Records'!$K$2:$K$201,MATCH(A144,'Salary Records'!$A$2:$A$201,0))</f>
        <v>0</v>
      </c>
      <c r="M144" s="2" t="n">
        <f aca="false">INDEX('Salary Records'!$L$2:$L$201,MATCH(A144,'Salary Records'!$A$2:$A$201,0))</f>
        <v>0</v>
      </c>
      <c r="N144" s="2" t="n">
        <f aca="false">INDEX('Salary Records'!$E$2:$E$201,MATCH(A144,'Salary Records'!$A$2:$A$201,0))</f>
        <v>106000</v>
      </c>
      <c r="O144" s="2" t="n">
        <f aca="false">INDEX('Salary Records'!$O$2:$O$201,MATCH(A144,'Salary Records'!$A$2:$A$201,0))</f>
        <v>0</v>
      </c>
      <c r="P144" s="2" t="n">
        <f aca="false">INDEX('PF Records'!$H$2:$H$201,MATCH(A144,'PF Records'!$A$2:$A$201,0))</f>
        <v>12720</v>
      </c>
      <c r="Q144" s="2" t="n">
        <f aca="false">INDEX('PF Records'!$I$2:$I$201,MATCH(A144,'PF Records'!$A$2:$A$201,0))</f>
        <v>12720</v>
      </c>
      <c r="R144" s="2" t="n">
        <f aca="false">P144+Q144</f>
        <v>25440</v>
      </c>
      <c r="S144" s="2" t="n">
        <f aca="false">INDEX('Salary Records'!$S$2:$S$201,MATCH(A144,'Salary Records'!$A$2:$A$201,0))</f>
        <v>93280</v>
      </c>
      <c r="T144" s="2" t="n">
        <f aca="false">INDEX('Employee Master'!$I$2:$I$201,MATCH(A144,'Employee Master'!$A$2:$A$201,0))</f>
        <v>6.1</v>
      </c>
      <c r="U144" s="2" t="n">
        <f aca="false">INDEX('Employee Master'!$H$2:$H$201,MATCH(A144,'Employee Master'!$A$2:$A$201,0))</f>
        <v>4.9</v>
      </c>
      <c r="V144" s="2" t="n">
        <f aca="false">INDEX('Employee Master'!$J$2:$J$201,MATCH(A144,'Employee Master'!$A$2:$A$201,0))</f>
        <v>11</v>
      </c>
    </row>
    <row r="145" customFormat="false" ht="15" hidden="false" customHeight="false" outlineLevel="0" collapsed="false">
      <c r="A145" s="2" t="s">
        <v>335</v>
      </c>
      <c r="B145" s="2" t="s">
        <v>336</v>
      </c>
      <c r="C145" s="2" t="s">
        <v>32</v>
      </c>
      <c r="D145" s="2" t="s">
        <v>657</v>
      </c>
      <c r="E145" s="2" t="n">
        <f aca="false">INDEX('Salary Records'!$F$2:$F$201,MATCH(A145,'Salary Records'!$A$2:$A$201,0))</f>
        <v>26</v>
      </c>
      <c r="F145" s="2" t="n">
        <f aca="false">INDEX('Salary Records'!$G$2:$G$201,MATCH(A145,'Salary Records'!$A$2:$A$201,0))</f>
        <v>24</v>
      </c>
      <c r="G145" s="2" t="n">
        <f aca="false">INDEX('Salary Records'!$H$2:$H$201,MATCH(A145,'Salary Records'!$A$2:$A$201,0))</f>
        <v>1</v>
      </c>
      <c r="H145" s="2" t="n">
        <f aca="false">INDEX('Salary Records'!$I$2:$I$201,MATCH(A145,'Salary Records'!$A$2:$A$201,0))</f>
        <v>1</v>
      </c>
      <c r="I145" s="2" t="n">
        <f aca="false">INDEX('Salary Records'!$J$2:$J$201,MATCH(A145,'Salary Records'!$A$2:$A$201,0))</f>
        <v>0</v>
      </c>
      <c r="J145" s="2" t="n">
        <f aca="false">ROUND(F145/E145*100,1)</f>
        <v>92.3</v>
      </c>
      <c r="K145" s="2" t="n">
        <v>2</v>
      </c>
      <c r="L145" s="2" t="n">
        <f aca="false">INDEX('Salary Records'!$K$2:$K$201,MATCH(A145,'Salary Records'!$A$2:$A$201,0))</f>
        <v>1</v>
      </c>
      <c r="M145" s="2" t="n">
        <f aca="false">INDEX('Salary Records'!$L$2:$L$201,MATCH(A145,'Salary Records'!$A$2:$A$201,0))</f>
        <v>0</v>
      </c>
      <c r="N145" s="2" t="n">
        <f aca="false">INDEX('Salary Records'!$E$2:$E$201,MATCH(A145,'Salary Records'!$A$2:$A$201,0))</f>
        <v>31000</v>
      </c>
      <c r="O145" s="2" t="n">
        <f aca="false">INDEX('Salary Records'!$O$2:$O$201,MATCH(A145,'Salary Records'!$A$2:$A$201,0))</f>
        <v>0</v>
      </c>
      <c r="P145" s="2" t="n">
        <f aca="false">INDEX('PF Records'!$H$2:$H$201,MATCH(A145,'PF Records'!$A$2:$A$201,0))</f>
        <v>3720</v>
      </c>
      <c r="Q145" s="2" t="n">
        <f aca="false">INDEX('PF Records'!$I$2:$I$201,MATCH(A145,'PF Records'!$A$2:$A$201,0))</f>
        <v>3720</v>
      </c>
      <c r="R145" s="2" t="n">
        <f aca="false">P145+Q145</f>
        <v>7440</v>
      </c>
      <c r="S145" s="2" t="n">
        <f aca="false">INDEX('Salary Records'!$S$2:$S$201,MATCH(A145,'Salary Records'!$A$2:$A$201,0))</f>
        <v>27280</v>
      </c>
      <c r="T145" s="2" t="n">
        <f aca="false">INDEX('Employee Master'!$I$2:$I$201,MATCH(A145,'Employee Master'!$A$2:$A$201,0))</f>
        <v>1.7</v>
      </c>
      <c r="U145" s="2" t="n">
        <f aca="false">INDEX('Employee Master'!$H$2:$H$201,MATCH(A145,'Employee Master'!$A$2:$A$201,0))</f>
        <v>2</v>
      </c>
      <c r="V145" s="2" t="n">
        <f aca="false">INDEX('Employee Master'!$J$2:$J$201,MATCH(A145,'Employee Master'!$A$2:$A$201,0))</f>
        <v>3.7</v>
      </c>
    </row>
    <row r="146" customFormat="false" ht="15" hidden="false" customHeight="false" outlineLevel="0" collapsed="false">
      <c r="A146" s="2" t="s">
        <v>337</v>
      </c>
      <c r="B146" s="2" t="s">
        <v>338</v>
      </c>
      <c r="C146" s="2" t="s">
        <v>36</v>
      </c>
      <c r="D146" s="2" t="s">
        <v>657</v>
      </c>
      <c r="E146" s="2" t="n">
        <f aca="false">INDEX('Salary Records'!$F$2:$F$201,MATCH(A146,'Salary Records'!$A$2:$A$201,0))</f>
        <v>26</v>
      </c>
      <c r="F146" s="2" t="n">
        <f aca="false">INDEX('Salary Records'!$G$2:$G$201,MATCH(A146,'Salary Records'!$A$2:$A$201,0))</f>
        <v>19</v>
      </c>
      <c r="G146" s="2" t="n">
        <f aca="false">INDEX('Salary Records'!$H$2:$H$201,MATCH(A146,'Salary Records'!$A$2:$A$201,0))</f>
        <v>3</v>
      </c>
      <c r="H146" s="2" t="n">
        <f aca="false">INDEX('Salary Records'!$I$2:$I$201,MATCH(A146,'Salary Records'!$A$2:$A$201,0))</f>
        <v>2</v>
      </c>
      <c r="I146" s="2" t="n">
        <f aca="false">INDEX('Salary Records'!$J$2:$J$201,MATCH(A146,'Salary Records'!$A$2:$A$201,0))</f>
        <v>2</v>
      </c>
      <c r="J146" s="2" t="n">
        <f aca="false">ROUND(F146/E146*100,1)</f>
        <v>73.1</v>
      </c>
      <c r="K146" s="2" t="n">
        <v>2</v>
      </c>
      <c r="L146" s="2" t="n">
        <f aca="false">INDEX('Salary Records'!$K$2:$K$201,MATCH(A146,'Salary Records'!$A$2:$A$201,0))</f>
        <v>2</v>
      </c>
      <c r="M146" s="2" t="n">
        <f aca="false">INDEX('Salary Records'!$L$2:$L$201,MATCH(A146,'Salary Records'!$A$2:$A$201,0))</f>
        <v>1</v>
      </c>
      <c r="N146" s="2" t="n">
        <f aca="false">INDEX('Salary Records'!$E$2:$E$201,MATCH(A146,'Salary Records'!$A$2:$A$201,0))</f>
        <v>42500</v>
      </c>
      <c r="O146" s="2" t="n">
        <f aca="false">INDEX('Salary Records'!$O$2:$O$201,MATCH(A146,'Salary Records'!$A$2:$A$201,0))</f>
        <v>1634.62</v>
      </c>
      <c r="P146" s="2" t="n">
        <f aca="false">INDEX('PF Records'!$H$2:$H$201,MATCH(A146,'PF Records'!$A$2:$A$201,0))</f>
        <v>5100</v>
      </c>
      <c r="Q146" s="2" t="n">
        <f aca="false">INDEX('PF Records'!$I$2:$I$201,MATCH(A146,'PF Records'!$A$2:$A$201,0))</f>
        <v>5100</v>
      </c>
      <c r="R146" s="2" t="n">
        <f aca="false">P146+Q146</f>
        <v>10200</v>
      </c>
      <c r="S146" s="2" t="n">
        <f aca="false">INDEX('Salary Records'!$S$2:$S$201,MATCH(A146,'Salary Records'!$A$2:$A$201,0))</f>
        <v>32496.14</v>
      </c>
      <c r="T146" s="2" t="n">
        <f aca="false">INDEX('Employee Master'!$I$2:$I$201,MATCH(A146,'Employee Master'!$A$2:$A$201,0))</f>
        <v>7.6</v>
      </c>
      <c r="U146" s="2" t="n">
        <f aca="false">INDEX('Employee Master'!$H$2:$H$201,MATCH(A146,'Employee Master'!$A$2:$A$201,0))</f>
        <v>7.2</v>
      </c>
      <c r="V146" s="2" t="n">
        <f aca="false">INDEX('Employee Master'!$J$2:$J$201,MATCH(A146,'Employee Master'!$A$2:$A$201,0))</f>
        <v>14.8</v>
      </c>
    </row>
    <row r="147" customFormat="false" ht="15" hidden="false" customHeight="false" outlineLevel="0" collapsed="false">
      <c r="A147" s="2" t="s">
        <v>339</v>
      </c>
      <c r="B147" s="2" t="s">
        <v>340</v>
      </c>
      <c r="C147" s="2" t="s">
        <v>41</v>
      </c>
      <c r="D147" s="2" t="s">
        <v>657</v>
      </c>
      <c r="E147" s="2" t="n">
        <f aca="false">INDEX('Salary Records'!$F$2:$F$201,MATCH(A147,'Salary Records'!$A$2:$A$201,0))</f>
        <v>26</v>
      </c>
      <c r="F147" s="2" t="n">
        <f aca="false">INDEX('Salary Records'!$G$2:$G$201,MATCH(A147,'Salary Records'!$A$2:$A$201,0))</f>
        <v>22</v>
      </c>
      <c r="G147" s="2" t="n">
        <f aca="false">INDEX('Salary Records'!$H$2:$H$201,MATCH(A147,'Salary Records'!$A$2:$A$201,0))</f>
        <v>1</v>
      </c>
      <c r="H147" s="2" t="n">
        <f aca="false">INDEX('Salary Records'!$I$2:$I$201,MATCH(A147,'Salary Records'!$A$2:$A$201,0))</f>
        <v>1</v>
      </c>
      <c r="I147" s="2" t="n">
        <f aca="false">INDEX('Salary Records'!$J$2:$J$201,MATCH(A147,'Salary Records'!$A$2:$A$201,0))</f>
        <v>2</v>
      </c>
      <c r="J147" s="2" t="n">
        <f aca="false">ROUND(F147/E147*100,1)</f>
        <v>84.6</v>
      </c>
      <c r="K147" s="2" t="n">
        <v>2</v>
      </c>
      <c r="L147" s="2" t="n">
        <f aca="false">INDEX('Salary Records'!$K$2:$K$201,MATCH(A147,'Salary Records'!$A$2:$A$201,0))</f>
        <v>1</v>
      </c>
      <c r="M147" s="2" t="n">
        <f aca="false">INDEX('Salary Records'!$L$2:$L$201,MATCH(A147,'Salary Records'!$A$2:$A$201,0))</f>
        <v>0</v>
      </c>
      <c r="N147" s="2" t="n">
        <f aca="false">INDEX('Salary Records'!$E$2:$E$201,MATCH(A147,'Salary Records'!$A$2:$A$201,0))</f>
        <v>79000</v>
      </c>
      <c r="O147" s="2" t="n">
        <f aca="false">INDEX('Salary Records'!$O$2:$O$201,MATCH(A147,'Salary Records'!$A$2:$A$201,0))</f>
        <v>0</v>
      </c>
      <c r="P147" s="2" t="n">
        <f aca="false">INDEX('PF Records'!$H$2:$H$201,MATCH(A147,'PF Records'!$A$2:$A$201,0))</f>
        <v>9480</v>
      </c>
      <c r="Q147" s="2" t="n">
        <f aca="false">INDEX('PF Records'!$I$2:$I$201,MATCH(A147,'PF Records'!$A$2:$A$201,0))</f>
        <v>9480</v>
      </c>
      <c r="R147" s="2" t="n">
        <f aca="false">P147+Q147</f>
        <v>18960</v>
      </c>
      <c r="S147" s="2" t="n">
        <f aca="false">INDEX('Salary Records'!$S$2:$S$201,MATCH(A147,'Salary Records'!$A$2:$A$201,0))</f>
        <v>63443.08</v>
      </c>
      <c r="T147" s="2" t="n">
        <f aca="false">INDEX('Employee Master'!$I$2:$I$201,MATCH(A147,'Employee Master'!$A$2:$A$201,0))</f>
        <v>8.3</v>
      </c>
      <c r="U147" s="2" t="n">
        <f aca="false">INDEX('Employee Master'!$H$2:$H$201,MATCH(A147,'Employee Master'!$A$2:$A$201,0))</f>
        <v>4.6</v>
      </c>
      <c r="V147" s="2" t="n">
        <f aca="false">INDEX('Employee Master'!$J$2:$J$201,MATCH(A147,'Employee Master'!$A$2:$A$201,0))</f>
        <v>12.9</v>
      </c>
    </row>
    <row r="148" customFormat="false" ht="15" hidden="false" customHeight="false" outlineLevel="0" collapsed="false">
      <c r="A148" s="2" t="s">
        <v>341</v>
      </c>
      <c r="B148" s="2" t="s">
        <v>342</v>
      </c>
      <c r="C148" s="2" t="s">
        <v>45</v>
      </c>
      <c r="D148" s="2" t="s">
        <v>657</v>
      </c>
      <c r="E148" s="2" t="n">
        <f aca="false">INDEX('Salary Records'!$F$2:$F$201,MATCH(A148,'Salary Records'!$A$2:$A$201,0))</f>
        <v>26</v>
      </c>
      <c r="F148" s="2" t="n">
        <f aca="false">INDEX('Salary Records'!$G$2:$G$201,MATCH(A148,'Salary Records'!$A$2:$A$201,0))</f>
        <v>18</v>
      </c>
      <c r="G148" s="2" t="n">
        <f aca="false">INDEX('Salary Records'!$H$2:$H$201,MATCH(A148,'Salary Records'!$A$2:$A$201,0))</f>
        <v>7</v>
      </c>
      <c r="H148" s="2" t="n">
        <f aca="false">INDEX('Salary Records'!$I$2:$I$201,MATCH(A148,'Salary Records'!$A$2:$A$201,0))</f>
        <v>1</v>
      </c>
      <c r="I148" s="2" t="n">
        <f aca="false">INDEX('Salary Records'!$J$2:$J$201,MATCH(A148,'Salary Records'!$A$2:$A$201,0))</f>
        <v>0</v>
      </c>
      <c r="J148" s="2" t="n">
        <f aca="false">ROUND(F148/E148*100,1)</f>
        <v>69.2</v>
      </c>
      <c r="K148" s="2" t="n">
        <v>2</v>
      </c>
      <c r="L148" s="2" t="n">
        <f aca="false">INDEX('Salary Records'!$K$2:$K$201,MATCH(A148,'Salary Records'!$A$2:$A$201,0))</f>
        <v>2</v>
      </c>
      <c r="M148" s="2" t="n">
        <f aca="false">INDEX('Salary Records'!$L$2:$L$201,MATCH(A148,'Salary Records'!$A$2:$A$201,0))</f>
        <v>5</v>
      </c>
      <c r="N148" s="2" t="n">
        <f aca="false">INDEX('Salary Records'!$E$2:$E$201,MATCH(A148,'Salary Records'!$A$2:$A$201,0))</f>
        <v>29500</v>
      </c>
      <c r="O148" s="2" t="n">
        <f aca="false">INDEX('Salary Records'!$O$2:$O$201,MATCH(A148,'Salary Records'!$A$2:$A$201,0))</f>
        <v>5673.1</v>
      </c>
      <c r="P148" s="2" t="n">
        <f aca="false">INDEX('PF Records'!$H$2:$H$201,MATCH(A148,'PF Records'!$A$2:$A$201,0))</f>
        <v>3540</v>
      </c>
      <c r="Q148" s="2" t="n">
        <f aca="false">INDEX('PF Records'!$I$2:$I$201,MATCH(A148,'PF Records'!$A$2:$A$201,0))</f>
        <v>3540</v>
      </c>
      <c r="R148" s="2" t="n">
        <f aca="false">P148+Q148</f>
        <v>7080</v>
      </c>
      <c r="S148" s="2" t="n">
        <f aca="false">INDEX('Salary Records'!$S$2:$S$201,MATCH(A148,'Salary Records'!$A$2:$A$201,0))</f>
        <v>20286.9</v>
      </c>
      <c r="T148" s="2" t="n">
        <f aca="false">INDEX('Employee Master'!$I$2:$I$201,MATCH(A148,'Employee Master'!$A$2:$A$201,0))</f>
        <v>5</v>
      </c>
      <c r="U148" s="2" t="n">
        <f aca="false">INDEX('Employee Master'!$H$2:$H$201,MATCH(A148,'Employee Master'!$A$2:$A$201,0))</f>
        <v>6</v>
      </c>
      <c r="V148" s="2" t="n">
        <f aca="false">INDEX('Employee Master'!$J$2:$J$201,MATCH(A148,'Employee Master'!$A$2:$A$201,0))</f>
        <v>11</v>
      </c>
    </row>
    <row r="149" customFormat="false" ht="15" hidden="false" customHeight="false" outlineLevel="0" collapsed="false">
      <c r="A149" s="2" t="s">
        <v>343</v>
      </c>
      <c r="B149" s="2" t="s">
        <v>344</v>
      </c>
      <c r="C149" s="2" t="s">
        <v>49</v>
      </c>
      <c r="D149" s="2" t="s">
        <v>657</v>
      </c>
      <c r="E149" s="2" t="n">
        <f aca="false">INDEX('Salary Records'!$F$2:$F$201,MATCH(A149,'Salary Records'!$A$2:$A$201,0))</f>
        <v>26</v>
      </c>
      <c r="F149" s="2" t="n">
        <f aca="false">INDEX('Salary Records'!$G$2:$G$201,MATCH(A149,'Salary Records'!$A$2:$A$201,0))</f>
        <v>25</v>
      </c>
      <c r="G149" s="2" t="n">
        <f aca="false">INDEX('Salary Records'!$H$2:$H$201,MATCH(A149,'Salary Records'!$A$2:$A$201,0))</f>
        <v>0</v>
      </c>
      <c r="H149" s="2" t="n">
        <f aca="false">INDEX('Salary Records'!$I$2:$I$201,MATCH(A149,'Salary Records'!$A$2:$A$201,0))</f>
        <v>0</v>
      </c>
      <c r="I149" s="2" t="n">
        <f aca="false">INDEX('Salary Records'!$J$2:$J$201,MATCH(A149,'Salary Records'!$A$2:$A$201,0))</f>
        <v>1</v>
      </c>
      <c r="J149" s="2" t="n">
        <f aca="false">ROUND(F149/E149*100,1)</f>
        <v>96.2</v>
      </c>
      <c r="K149" s="2" t="n">
        <v>2</v>
      </c>
      <c r="L149" s="2" t="n">
        <f aca="false">INDEX('Salary Records'!$K$2:$K$201,MATCH(A149,'Salary Records'!$A$2:$A$201,0))</f>
        <v>0</v>
      </c>
      <c r="M149" s="2" t="n">
        <f aca="false">INDEX('Salary Records'!$L$2:$L$201,MATCH(A149,'Salary Records'!$A$2:$A$201,0))</f>
        <v>0</v>
      </c>
      <c r="N149" s="2" t="n">
        <f aca="false">INDEX('Salary Records'!$E$2:$E$201,MATCH(A149,'Salary Records'!$A$2:$A$201,0))</f>
        <v>36500</v>
      </c>
      <c r="O149" s="2" t="n">
        <f aca="false">INDEX('Salary Records'!$O$2:$O$201,MATCH(A149,'Salary Records'!$A$2:$A$201,0))</f>
        <v>0</v>
      </c>
      <c r="P149" s="2" t="n">
        <f aca="false">INDEX('PF Records'!$H$2:$H$201,MATCH(A149,'PF Records'!$A$2:$A$201,0))</f>
        <v>4380</v>
      </c>
      <c r="Q149" s="2" t="n">
        <f aca="false">INDEX('PF Records'!$I$2:$I$201,MATCH(A149,'PF Records'!$A$2:$A$201,0))</f>
        <v>4380</v>
      </c>
      <c r="R149" s="2" t="n">
        <f aca="false">P149+Q149</f>
        <v>8760</v>
      </c>
      <c r="S149" s="2" t="n">
        <f aca="false">INDEX('Salary Records'!$S$2:$S$201,MATCH(A149,'Salary Records'!$A$2:$A$201,0))</f>
        <v>31418.07</v>
      </c>
      <c r="T149" s="2" t="n">
        <f aca="false">INDEX('Employee Master'!$I$2:$I$201,MATCH(A149,'Employee Master'!$A$2:$A$201,0))</f>
        <v>4.6</v>
      </c>
      <c r="U149" s="2" t="n">
        <f aca="false">INDEX('Employee Master'!$H$2:$H$201,MATCH(A149,'Employee Master'!$A$2:$A$201,0))</f>
        <v>0</v>
      </c>
      <c r="V149" s="2" t="n">
        <f aca="false">INDEX('Employee Master'!$J$2:$J$201,MATCH(A149,'Employee Master'!$A$2:$A$201,0))</f>
        <v>4.6</v>
      </c>
    </row>
    <row r="150" customFormat="false" ht="15" hidden="false" customHeight="false" outlineLevel="0" collapsed="false">
      <c r="A150" s="2" t="s">
        <v>345</v>
      </c>
      <c r="B150" s="2" t="s">
        <v>346</v>
      </c>
      <c r="C150" s="2" t="s">
        <v>53</v>
      </c>
      <c r="D150" s="2" t="s">
        <v>657</v>
      </c>
      <c r="E150" s="2" t="n">
        <f aca="false">INDEX('Salary Records'!$F$2:$F$201,MATCH(A150,'Salary Records'!$A$2:$A$201,0))</f>
        <v>26</v>
      </c>
      <c r="F150" s="2" t="n">
        <f aca="false">INDEX('Salary Records'!$G$2:$G$201,MATCH(A150,'Salary Records'!$A$2:$A$201,0))</f>
        <v>22</v>
      </c>
      <c r="G150" s="2" t="n">
        <f aca="false">INDEX('Salary Records'!$H$2:$H$201,MATCH(A150,'Salary Records'!$A$2:$A$201,0))</f>
        <v>3</v>
      </c>
      <c r="H150" s="2" t="n">
        <f aca="false">INDEX('Salary Records'!$I$2:$I$201,MATCH(A150,'Salary Records'!$A$2:$A$201,0))</f>
        <v>1</v>
      </c>
      <c r="I150" s="2" t="n">
        <f aca="false">INDEX('Salary Records'!$J$2:$J$201,MATCH(A150,'Salary Records'!$A$2:$A$201,0))</f>
        <v>0</v>
      </c>
      <c r="J150" s="2" t="n">
        <f aca="false">ROUND(F150/E150*100,1)</f>
        <v>84.6</v>
      </c>
      <c r="K150" s="2" t="n">
        <v>2</v>
      </c>
      <c r="L150" s="2" t="n">
        <f aca="false">INDEX('Salary Records'!$K$2:$K$201,MATCH(A150,'Salary Records'!$A$2:$A$201,0))</f>
        <v>2</v>
      </c>
      <c r="M150" s="2" t="n">
        <f aca="false">INDEX('Salary Records'!$L$2:$L$201,MATCH(A150,'Salary Records'!$A$2:$A$201,0))</f>
        <v>1</v>
      </c>
      <c r="N150" s="2" t="n">
        <f aca="false">INDEX('Salary Records'!$E$2:$E$201,MATCH(A150,'Salary Records'!$A$2:$A$201,0))</f>
        <v>26500</v>
      </c>
      <c r="O150" s="2" t="n">
        <f aca="false">INDEX('Salary Records'!$O$2:$O$201,MATCH(A150,'Salary Records'!$A$2:$A$201,0))</f>
        <v>1019.23</v>
      </c>
      <c r="P150" s="2" t="n">
        <f aca="false">INDEX('PF Records'!$H$2:$H$201,MATCH(A150,'PF Records'!$A$2:$A$201,0))</f>
        <v>3180</v>
      </c>
      <c r="Q150" s="2" t="n">
        <f aca="false">INDEX('PF Records'!$I$2:$I$201,MATCH(A150,'PF Records'!$A$2:$A$201,0))</f>
        <v>3180</v>
      </c>
      <c r="R150" s="2" t="n">
        <f aca="false">P150+Q150</f>
        <v>6360</v>
      </c>
      <c r="S150" s="2" t="n">
        <f aca="false">INDEX('Salary Records'!$S$2:$S$201,MATCH(A150,'Salary Records'!$A$2:$A$201,0))</f>
        <v>22300.77</v>
      </c>
      <c r="T150" s="2" t="n">
        <f aca="false">INDEX('Employee Master'!$I$2:$I$201,MATCH(A150,'Employee Master'!$A$2:$A$201,0))</f>
        <v>3.3</v>
      </c>
      <c r="U150" s="2" t="n">
        <f aca="false">INDEX('Employee Master'!$H$2:$H$201,MATCH(A150,'Employee Master'!$A$2:$A$201,0))</f>
        <v>7.7</v>
      </c>
      <c r="V150" s="2" t="n">
        <f aca="false">INDEX('Employee Master'!$J$2:$J$201,MATCH(A150,'Employee Master'!$A$2:$A$201,0))</f>
        <v>11</v>
      </c>
    </row>
    <row r="151" customFormat="false" ht="15" hidden="false" customHeight="false" outlineLevel="0" collapsed="false">
      <c r="A151" s="2" t="s">
        <v>347</v>
      </c>
      <c r="B151" s="2" t="s">
        <v>348</v>
      </c>
      <c r="C151" s="2" t="s">
        <v>57</v>
      </c>
      <c r="D151" s="2" t="s">
        <v>657</v>
      </c>
      <c r="E151" s="2" t="n">
        <f aca="false">INDEX('Salary Records'!$F$2:$F$201,MATCH(A151,'Salary Records'!$A$2:$A$201,0))</f>
        <v>26</v>
      </c>
      <c r="F151" s="2" t="n">
        <f aca="false">INDEX('Salary Records'!$G$2:$G$201,MATCH(A151,'Salary Records'!$A$2:$A$201,0))</f>
        <v>25</v>
      </c>
      <c r="G151" s="2" t="n">
        <f aca="false">INDEX('Salary Records'!$H$2:$H$201,MATCH(A151,'Salary Records'!$A$2:$A$201,0))</f>
        <v>0</v>
      </c>
      <c r="H151" s="2" t="n">
        <f aca="false">INDEX('Salary Records'!$I$2:$I$201,MATCH(A151,'Salary Records'!$A$2:$A$201,0))</f>
        <v>0</v>
      </c>
      <c r="I151" s="2" t="n">
        <f aca="false">INDEX('Salary Records'!$J$2:$J$201,MATCH(A151,'Salary Records'!$A$2:$A$201,0))</f>
        <v>1</v>
      </c>
      <c r="J151" s="2" t="n">
        <f aca="false">ROUND(F151/E151*100,1)</f>
        <v>96.2</v>
      </c>
      <c r="K151" s="2" t="n">
        <v>2</v>
      </c>
      <c r="L151" s="2" t="n">
        <f aca="false">INDEX('Salary Records'!$K$2:$K$201,MATCH(A151,'Salary Records'!$A$2:$A$201,0))</f>
        <v>0</v>
      </c>
      <c r="M151" s="2" t="n">
        <f aca="false">INDEX('Salary Records'!$L$2:$L$201,MATCH(A151,'Salary Records'!$A$2:$A$201,0))</f>
        <v>0</v>
      </c>
      <c r="N151" s="2" t="n">
        <f aca="false">INDEX('Salary Records'!$E$2:$E$201,MATCH(A151,'Salary Records'!$A$2:$A$201,0))</f>
        <v>42500</v>
      </c>
      <c r="O151" s="2" t="n">
        <f aca="false">INDEX('Salary Records'!$O$2:$O$201,MATCH(A151,'Salary Records'!$A$2:$A$201,0))</f>
        <v>0</v>
      </c>
      <c r="P151" s="2" t="n">
        <f aca="false">INDEX('PF Records'!$H$2:$H$201,MATCH(A151,'PF Records'!$A$2:$A$201,0))</f>
        <v>5100</v>
      </c>
      <c r="Q151" s="2" t="n">
        <f aca="false">INDEX('PF Records'!$I$2:$I$201,MATCH(A151,'PF Records'!$A$2:$A$201,0))</f>
        <v>5100</v>
      </c>
      <c r="R151" s="2" t="n">
        <f aca="false">P151+Q151</f>
        <v>10200</v>
      </c>
      <c r="S151" s="2" t="n">
        <f aca="false">INDEX('Salary Records'!$S$2:$S$201,MATCH(A151,'Salary Records'!$A$2:$A$201,0))</f>
        <v>36582.69</v>
      </c>
      <c r="T151" s="2" t="n">
        <f aca="false">INDEX('Employee Master'!$I$2:$I$201,MATCH(A151,'Employee Master'!$A$2:$A$201,0))</f>
        <v>3.4</v>
      </c>
      <c r="U151" s="2" t="n">
        <f aca="false">INDEX('Employee Master'!$H$2:$H$201,MATCH(A151,'Employee Master'!$A$2:$A$201,0))</f>
        <v>7.7</v>
      </c>
      <c r="V151" s="2" t="n">
        <f aca="false">INDEX('Employee Master'!$J$2:$J$201,MATCH(A151,'Employee Master'!$A$2:$A$201,0))</f>
        <v>11.1</v>
      </c>
    </row>
    <row r="152" customFormat="false" ht="15" hidden="false" customHeight="false" outlineLevel="0" collapsed="false">
      <c r="A152" s="2" t="s">
        <v>349</v>
      </c>
      <c r="B152" s="2" t="s">
        <v>350</v>
      </c>
      <c r="C152" s="2" t="s">
        <v>17</v>
      </c>
      <c r="D152" s="2" t="s">
        <v>657</v>
      </c>
      <c r="E152" s="2" t="n">
        <f aca="false">INDEX('Salary Records'!$F$2:$F$201,MATCH(A152,'Salary Records'!$A$2:$A$201,0))</f>
        <v>26</v>
      </c>
      <c r="F152" s="2" t="n">
        <f aca="false">INDEX('Salary Records'!$G$2:$G$201,MATCH(A152,'Salary Records'!$A$2:$A$201,0))</f>
        <v>18</v>
      </c>
      <c r="G152" s="2" t="n">
        <f aca="false">INDEX('Salary Records'!$H$2:$H$201,MATCH(A152,'Salary Records'!$A$2:$A$201,0))</f>
        <v>8</v>
      </c>
      <c r="H152" s="2" t="n">
        <f aca="false">INDEX('Salary Records'!$I$2:$I$201,MATCH(A152,'Salary Records'!$A$2:$A$201,0))</f>
        <v>0</v>
      </c>
      <c r="I152" s="2" t="n">
        <f aca="false">INDEX('Salary Records'!$J$2:$J$201,MATCH(A152,'Salary Records'!$A$2:$A$201,0))</f>
        <v>0</v>
      </c>
      <c r="J152" s="2" t="n">
        <f aca="false">ROUND(F152/E152*100,1)</f>
        <v>69.2</v>
      </c>
      <c r="K152" s="2" t="n">
        <v>2</v>
      </c>
      <c r="L152" s="2" t="n">
        <f aca="false">INDEX('Salary Records'!$K$2:$K$201,MATCH(A152,'Salary Records'!$A$2:$A$201,0))</f>
        <v>2</v>
      </c>
      <c r="M152" s="2" t="n">
        <f aca="false">INDEX('Salary Records'!$L$2:$L$201,MATCH(A152,'Salary Records'!$A$2:$A$201,0))</f>
        <v>6</v>
      </c>
      <c r="N152" s="2" t="n">
        <f aca="false">INDEX('Salary Records'!$E$2:$E$201,MATCH(A152,'Salary Records'!$A$2:$A$201,0))</f>
        <v>74500</v>
      </c>
      <c r="O152" s="2" t="n">
        <f aca="false">INDEX('Salary Records'!$O$2:$O$201,MATCH(A152,'Salary Records'!$A$2:$A$201,0))</f>
        <v>17192.28</v>
      </c>
      <c r="P152" s="2" t="n">
        <f aca="false">INDEX('PF Records'!$H$2:$H$201,MATCH(A152,'PF Records'!$A$2:$A$201,0))</f>
        <v>8940</v>
      </c>
      <c r="Q152" s="2" t="n">
        <f aca="false">INDEX('PF Records'!$I$2:$I$201,MATCH(A152,'PF Records'!$A$2:$A$201,0))</f>
        <v>8940</v>
      </c>
      <c r="R152" s="2" t="n">
        <f aca="false">P152+Q152</f>
        <v>17880</v>
      </c>
      <c r="S152" s="2" t="n">
        <f aca="false">INDEX('Salary Records'!$S$2:$S$201,MATCH(A152,'Salary Records'!$A$2:$A$201,0))</f>
        <v>48367.72</v>
      </c>
      <c r="T152" s="2" t="n">
        <f aca="false">INDEX('Employee Master'!$I$2:$I$201,MATCH(A152,'Employee Master'!$A$2:$A$201,0))</f>
        <v>0.5</v>
      </c>
      <c r="U152" s="2" t="n">
        <f aca="false">INDEX('Employee Master'!$H$2:$H$201,MATCH(A152,'Employee Master'!$A$2:$A$201,0))</f>
        <v>5.4</v>
      </c>
      <c r="V152" s="2" t="n">
        <f aca="false">INDEX('Employee Master'!$J$2:$J$201,MATCH(A152,'Employee Master'!$A$2:$A$201,0))</f>
        <v>5.9</v>
      </c>
    </row>
    <row r="153" customFormat="false" ht="15" hidden="false" customHeight="false" outlineLevel="0" collapsed="false">
      <c r="A153" s="2" t="s">
        <v>351</v>
      </c>
      <c r="B153" s="2" t="s">
        <v>352</v>
      </c>
      <c r="C153" s="2" t="s">
        <v>24</v>
      </c>
      <c r="D153" s="2" t="s">
        <v>657</v>
      </c>
      <c r="E153" s="2" t="n">
        <f aca="false">INDEX('Salary Records'!$F$2:$F$201,MATCH(A153,'Salary Records'!$A$2:$A$201,0))</f>
        <v>26</v>
      </c>
      <c r="F153" s="2" t="n">
        <f aca="false">INDEX('Salary Records'!$G$2:$G$201,MATCH(A153,'Salary Records'!$A$2:$A$201,0))</f>
        <v>20</v>
      </c>
      <c r="G153" s="2" t="n">
        <f aca="false">INDEX('Salary Records'!$H$2:$H$201,MATCH(A153,'Salary Records'!$A$2:$A$201,0))</f>
        <v>5</v>
      </c>
      <c r="H153" s="2" t="n">
        <f aca="false">INDEX('Salary Records'!$I$2:$I$201,MATCH(A153,'Salary Records'!$A$2:$A$201,0))</f>
        <v>0</v>
      </c>
      <c r="I153" s="2" t="n">
        <f aca="false">INDEX('Salary Records'!$J$2:$J$201,MATCH(A153,'Salary Records'!$A$2:$A$201,0))</f>
        <v>1</v>
      </c>
      <c r="J153" s="2" t="n">
        <f aca="false">ROUND(F153/E153*100,1)</f>
        <v>76.9</v>
      </c>
      <c r="K153" s="2" t="n">
        <v>2</v>
      </c>
      <c r="L153" s="2" t="n">
        <f aca="false">INDEX('Salary Records'!$K$2:$K$201,MATCH(A153,'Salary Records'!$A$2:$A$201,0))</f>
        <v>2</v>
      </c>
      <c r="M153" s="2" t="n">
        <f aca="false">INDEX('Salary Records'!$L$2:$L$201,MATCH(A153,'Salary Records'!$A$2:$A$201,0))</f>
        <v>3</v>
      </c>
      <c r="N153" s="2" t="n">
        <f aca="false">INDEX('Salary Records'!$E$2:$E$201,MATCH(A153,'Salary Records'!$A$2:$A$201,0))</f>
        <v>92000</v>
      </c>
      <c r="O153" s="2" t="n">
        <f aca="false">INDEX('Salary Records'!$O$2:$O$201,MATCH(A153,'Salary Records'!$A$2:$A$201,0))</f>
        <v>10615.38</v>
      </c>
      <c r="P153" s="2" t="n">
        <f aca="false">INDEX('PF Records'!$H$2:$H$201,MATCH(A153,'PF Records'!$A$2:$A$201,0))</f>
        <v>11040</v>
      </c>
      <c r="Q153" s="2" t="n">
        <f aca="false">INDEX('PF Records'!$I$2:$I$201,MATCH(A153,'PF Records'!$A$2:$A$201,0))</f>
        <v>11040</v>
      </c>
      <c r="R153" s="2" t="n">
        <f aca="false">P153+Q153</f>
        <v>22080</v>
      </c>
      <c r="S153" s="2" t="n">
        <f aca="false">INDEX('Salary Records'!$S$2:$S$201,MATCH(A153,'Salary Records'!$A$2:$A$201,0))</f>
        <v>68575.39</v>
      </c>
      <c r="T153" s="2" t="n">
        <f aca="false">INDEX('Employee Master'!$I$2:$I$201,MATCH(A153,'Employee Master'!$A$2:$A$201,0))</f>
        <v>4.2</v>
      </c>
      <c r="U153" s="2" t="n">
        <f aca="false">INDEX('Employee Master'!$H$2:$H$201,MATCH(A153,'Employee Master'!$A$2:$A$201,0))</f>
        <v>0.1</v>
      </c>
      <c r="V153" s="2" t="n">
        <f aca="false">INDEX('Employee Master'!$J$2:$J$201,MATCH(A153,'Employee Master'!$A$2:$A$201,0))</f>
        <v>4.3</v>
      </c>
    </row>
    <row r="154" customFormat="false" ht="15" hidden="false" customHeight="false" outlineLevel="0" collapsed="false">
      <c r="A154" s="2" t="s">
        <v>353</v>
      </c>
      <c r="B154" s="2" t="s">
        <v>354</v>
      </c>
      <c r="C154" s="2" t="s">
        <v>28</v>
      </c>
      <c r="D154" s="2" t="s">
        <v>657</v>
      </c>
      <c r="E154" s="2" t="n">
        <f aca="false">INDEX('Salary Records'!$F$2:$F$201,MATCH(A154,'Salary Records'!$A$2:$A$201,0))</f>
        <v>26</v>
      </c>
      <c r="F154" s="2" t="n">
        <f aca="false">INDEX('Salary Records'!$G$2:$G$201,MATCH(A154,'Salary Records'!$A$2:$A$201,0))</f>
        <v>19</v>
      </c>
      <c r="G154" s="2" t="n">
        <f aca="false">INDEX('Salary Records'!$H$2:$H$201,MATCH(A154,'Salary Records'!$A$2:$A$201,0))</f>
        <v>4</v>
      </c>
      <c r="H154" s="2" t="n">
        <f aca="false">INDEX('Salary Records'!$I$2:$I$201,MATCH(A154,'Salary Records'!$A$2:$A$201,0))</f>
        <v>1</v>
      </c>
      <c r="I154" s="2" t="n">
        <f aca="false">INDEX('Salary Records'!$J$2:$J$201,MATCH(A154,'Salary Records'!$A$2:$A$201,0))</f>
        <v>2</v>
      </c>
      <c r="J154" s="2" t="n">
        <f aca="false">ROUND(F154/E154*100,1)</f>
        <v>73.1</v>
      </c>
      <c r="K154" s="2" t="n">
        <v>2</v>
      </c>
      <c r="L154" s="2" t="n">
        <f aca="false">INDEX('Salary Records'!$K$2:$K$201,MATCH(A154,'Salary Records'!$A$2:$A$201,0))</f>
        <v>2</v>
      </c>
      <c r="M154" s="2" t="n">
        <f aca="false">INDEX('Salary Records'!$L$2:$L$201,MATCH(A154,'Salary Records'!$A$2:$A$201,0))</f>
        <v>2</v>
      </c>
      <c r="N154" s="2" t="n">
        <f aca="false">INDEX('Salary Records'!$E$2:$E$201,MATCH(A154,'Salary Records'!$A$2:$A$201,0))</f>
        <v>79000</v>
      </c>
      <c r="O154" s="2" t="n">
        <f aca="false">INDEX('Salary Records'!$O$2:$O$201,MATCH(A154,'Salary Records'!$A$2:$A$201,0))</f>
        <v>6076.92</v>
      </c>
      <c r="P154" s="2" t="n">
        <f aca="false">INDEX('PF Records'!$H$2:$H$201,MATCH(A154,'PF Records'!$A$2:$A$201,0))</f>
        <v>9480</v>
      </c>
      <c r="Q154" s="2" t="n">
        <f aca="false">INDEX('PF Records'!$I$2:$I$201,MATCH(A154,'PF Records'!$A$2:$A$201,0))</f>
        <v>9480</v>
      </c>
      <c r="R154" s="2" t="n">
        <f aca="false">P154+Q154</f>
        <v>18960</v>
      </c>
      <c r="S154" s="2" t="n">
        <f aca="false">INDEX('Salary Records'!$S$2:$S$201,MATCH(A154,'Salary Records'!$A$2:$A$201,0))</f>
        <v>60404.62</v>
      </c>
      <c r="T154" s="2" t="n">
        <f aca="false">INDEX('Employee Master'!$I$2:$I$201,MATCH(A154,'Employee Master'!$A$2:$A$201,0))</f>
        <v>1.1</v>
      </c>
      <c r="U154" s="2" t="n">
        <f aca="false">INDEX('Employee Master'!$H$2:$H$201,MATCH(A154,'Employee Master'!$A$2:$A$201,0))</f>
        <v>6</v>
      </c>
      <c r="V154" s="2" t="n">
        <f aca="false">INDEX('Employee Master'!$J$2:$J$201,MATCH(A154,'Employee Master'!$A$2:$A$201,0))</f>
        <v>7.1</v>
      </c>
    </row>
    <row r="155" customFormat="false" ht="15" hidden="false" customHeight="false" outlineLevel="0" collapsed="false">
      <c r="A155" s="2" t="s">
        <v>355</v>
      </c>
      <c r="B155" s="2" t="s">
        <v>356</v>
      </c>
      <c r="C155" s="2" t="s">
        <v>32</v>
      </c>
      <c r="D155" s="2" t="s">
        <v>657</v>
      </c>
      <c r="E155" s="2" t="n">
        <f aca="false">INDEX('Salary Records'!$F$2:$F$201,MATCH(A155,'Salary Records'!$A$2:$A$201,0))</f>
        <v>26</v>
      </c>
      <c r="F155" s="2" t="n">
        <f aca="false">INDEX('Salary Records'!$G$2:$G$201,MATCH(A155,'Salary Records'!$A$2:$A$201,0))</f>
        <v>20</v>
      </c>
      <c r="G155" s="2" t="n">
        <f aca="false">INDEX('Salary Records'!$H$2:$H$201,MATCH(A155,'Salary Records'!$A$2:$A$201,0))</f>
        <v>4</v>
      </c>
      <c r="H155" s="2" t="n">
        <f aca="false">INDEX('Salary Records'!$I$2:$I$201,MATCH(A155,'Salary Records'!$A$2:$A$201,0))</f>
        <v>0</v>
      </c>
      <c r="I155" s="2" t="n">
        <f aca="false">INDEX('Salary Records'!$J$2:$J$201,MATCH(A155,'Salary Records'!$A$2:$A$201,0))</f>
        <v>2</v>
      </c>
      <c r="J155" s="2" t="n">
        <f aca="false">ROUND(F155/E155*100,1)</f>
        <v>76.9</v>
      </c>
      <c r="K155" s="2" t="n">
        <v>2</v>
      </c>
      <c r="L155" s="2" t="n">
        <f aca="false">INDEX('Salary Records'!$K$2:$K$201,MATCH(A155,'Salary Records'!$A$2:$A$201,0))</f>
        <v>2</v>
      </c>
      <c r="M155" s="2" t="n">
        <f aca="false">INDEX('Salary Records'!$L$2:$L$201,MATCH(A155,'Salary Records'!$A$2:$A$201,0))</f>
        <v>2</v>
      </c>
      <c r="N155" s="2" t="n">
        <f aca="false">INDEX('Salary Records'!$E$2:$E$201,MATCH(A155,'Salary Records'!$A$2:$A$201,0))</f>
        <v>87000</v>
      </c>
      <c r="O155" s="2" t="n">
        <f aca="false">INDEX('Salary Records'!$O$2:$O$201,MATCH(A155,'Salary Records'!$A$2:$A$201,0))</f>
        <v>6692.3</v>
      </c>
      <c r="P155" s="2" t="n">
        <f aca="false">INDEX('PF Records'!$H$2:$H$201,MATCH(A155,'PF Records'!$A$2:$A$201,0))</f>
        <v>10440</v>
      </c>
      <c r="Q155" s="2" t="n">
        <f aca="false">INDEX('PF Records'!$I$2:$I$201,MATCH(A155,'PF Records'!$A$2:$A$201,0))</f>
        <v>10440</v>
      </c>
      <c r="R155" s="2" t="n">
        <f aca="false">P155+Q155</f>
        <v>20880</v>
      </c>
      <c r="S155" s="2" t="n">
        <f aca="false">INDEX('Salary Records'!$S$2:$S$201,MATCH(A155,'Salary Records'!$A$2:$A$201,0))</f>
        <v>66521.55</v>
      </c>
      <c r="T155" s="2" t="n">
        <f aca="false">INDEX('Employee Master'!$I$2:$I$201,MATCH(A155,'Employee Master'!$A$2:$A$201,0))</f>
        <v>4.5</v>
      </c>
      <c r="U155" s="2" t="n">
        <f aca="false">INDEX('Employee Master'!$H$2:$H$201,MATCH(A155,'Employee Master'!$A$2:$A$201,0))</f>
        <v>0.9</v>
      </c>
      <c r="V155" s="2" t="n">
        <f aca="false">INDEX('Employee Master'!$J$2:$J$201,MATCH(A155,'Employee Master'!$A$2:$A$201,0))</f>
        <v>5.4</v>
      </c>
    </row>
    <row r="156" customFormat="false" ht="15" hidden="false" customHeight="false" outlineLevel="0" collapsed="false">
      <c r="A156" s="2" t="s">
        <v>357</v>
      </c>
      <c r="B156" s="2" t="s">
        <v>358</v>
      </c>
      <c r="C156" s="2" t="s">
        <v>36</v>
      </c>
      <c r="D156" s="2" t="s">
        <v>657</v>
      </c>
      <c r="E156" s="2" t="n">
        <f aca="false">INDEX('Salary Records'!$F$2:$F$201,MATCH(A156,'Salary Records'!$A$2:$A$201,0))</f>
        <v>26</v>
      </c>
      <c r="F156" s="2" t="n">
        <f aca="false">INDEX('Salary Records'!$G$2:$G$201,MATCH(A156,'Salary Records'!$A$2:$A$201,0))</f>
        <v>20</v>
      </c>
      <c r="G156" s="2" t="n">
        <f aca="false">INDEX('Salary Records'!$H$2:$H$201,MATCH(A156,'Salary Records'!$A$2:$A$201,0))</f>
        <v>3</v>
      </c>
      <c r="H156" s="2" t="n">
        <f aca="false">INDEX('Salary Records'!$I$2:$I$201,MATCH(A156,'Salary Records'!$A$2:$A$201,0))</f>
        <v>1</v>
      </c>
      <c r="I156" s="2" t="n">
        <f aca="false">INDEX('Salary Records'!$J$2:$J$201,MATCH(A156,'Salary Records'!$A$2:$A$201,0))</f>
        <v>2</v>
      </c>
      <c r="J156" s="2" t="n">
        <f aca="false">ROUND(F156/E156*100,1)</f>
        <v>76.9</v>
      </c>
      <c r="K156" s="2" t="n">
        <v>2</v>
      </c>
      <c r="L156" s="2" t="n">
        <f aca="false">INDEX('Salary Records'!$K$2:$K$201,MATCH(A156,'Salary Records'!$A$2:$A$201,0))</f>
        <v>2</v>
      </c>
      <c r="M156" s="2" t="n">
        <f aca="false">INDEX('Salary Records'!$L$2:$L$201,MATCH(A156,'Salary Records'!$A$2:$A$201,0))</f>
        <v>1</v>
      </c>
      <c r="N156" s="2" t="n">
        <f aca="false">INDEX('Salary Records'!$E$2:$E$201,MATCH(A156,'Salary Records'!$A$2:$A$201,0))</f>
        <v>42500</v>
      </c>
      <c r="O156" s="2" t="n">
        <f aca="false">INDEX('Salary Records'!$O$2:$O$201,MATCH(A156,'Salary Records'!$A$2:$A$201,0))</f>
        <v>1634.62</v>
      </c>
      <c r="P156" s="2" t="n">
        <f aca="false">INDEX('PF Records'!$H$2:$H$201,MATCH(A156,'PF Records'!$A$2:$A$201,0))</f>
        <v>5100</v>
      </c>
      <c r="Q156" s="2" t="n">
        <f aca="false">INDEX('PF Records'!$I$2:$I$201,MATCH(A156,'PF Records'!$A$2:$A$201,0))</f>
        <v>5100</v>
      </c>
      <c r="R156" s="2" t="n">
        <f aca="false">P156+Q156</f>
        <v>10200</v>
      </c>
      <c r="S156" s="2" t="n">
        <f aca="false">INDEX('Salary Records'!$S$2:$S$201,MATCH(A156,'Salary Records'!$A$2:$A$201,0))</f>
        <v>34130.76</v>
      </c>
      <c r="T156" s="2" t="n">
        <f aca="false">INDEX('Employee Master'!$I$2:$I$201,MATCH(A156,'Employee Master'!$A$2:$A$201,0))</f>
        <v>2.4</v>
      </c>
      <c r="U156" s="2" t="n">
        <f aca="false">INDEX('Employee Master'!$H$2:$H$201,MATCH(A156,'Employee Master'!$A$2:$A$201,0))</f>
        <v>0</v>
      </c>
      <c r="V156" s="2" t="n">
        <f aca="false">INDEX('Employee Master'!$J$2:$J$201,MATCH(A156,'Employee Master'!$A$2:$A$201,0))</f>
        <v>2.4</v>
      </c>
    </row>
    <row r="157" customFormat="false" ht="15" hidden="false" customHeight="false" outlineLevel="0" collapsed="false">
      <c r="A157" s="2" t="s">
        <v>359</v>
      </c>
      <c r="B157" s="2" t="s">
        <v>360</v>
      </c>
      <c r="C157" s="2" t="s">
        <v>41</v>
      </c>
      <c r="D157" s="2" t="s">
        <v>657</v>
      </c>
      <c r="E157" s="2" t="n">
        <f aca="false">INDEX('Salary Records'!$F$2:$F$201,MATCH(A157,'Salary Records'!$A$2:$A$201,0))</f>
        <v>26</v>
      </c>
      <c r="F157" s="2" t="n">
        <f aca="false">INDEX('Salary Records'!$G$2:$G$201,MATCH(A157,'Salary Records'!$A$2:$A$201,0))</f>
        <v>19</v>
      </c>
      <c r="G157" s="2" t="n">
        <f aca="false">INDEX('Salary Records'!$H$2:$H$201,MATCH(A157,'Salary Records'!$A$2:$A$201,0))</f>
        <v>5</v>
      </c>
      <c r="H157" s="2" t="n">
        <f aca="false">INDEX('Salary Records'!$I$2:$I$201,MATCH(A157,'Salary Records'!$A$2:$A$201,0))</f>
        <v>2</v>
      </c>
      <c r="I157" s="2" t="n">
        <f aca="false">INDEX('Salary Records'!$J$2:$J$201,MATCH(A157,'Salary Records'!$A$2:$A$201,0))</f>
        <v>0</v>
      </c>
      <c r="J157" s="2" t="n">
        <f aca="false">ROUND(F157/E157*100,1)</f>
        <v>73.1</v>
      </c>
      <c r="K157" s="2" t="n">
        <v>2</v>
      </c>
      <c r="L157" s="2" t="n">
        <f aca="false">INDEX('Salary Records'!$K$2:$K$201,MATCH(A157,'Salary Records'!$A$2:$A$201,0))</f>
        <v>2</v>
      </c>
      <c r="M157" s="2" t="n">
        <f aca="false">INDEX('Salary Records'!$L$2:$L$201,MATCH(A157,'Salary Records'!$A$2:$A$201,0))</f>
        <v>3</v>
      </c>
      <c r="N157" s="2" t="n">
        <f aca="false">INDEX('Salary Records'!$E$2:$E$201,MATCH(A157,'Salary Records'!$A$2:$A$201,0))</f>
        <v>39000</v>
      </c>
      <c r="O157" s="2" t="n">
        <f aca="false">INDEX('Salary Records'!$O$2:$O$201,MATCH(A157,'Salary Records'!$A$2:$A$201,0))</f>
        <v>4500</v>
      </c>
      <c r="P157" s="2" t="n">
        <f aca="false">INDEX('PF Records'!$H$2:$H$201,MATCH(A157,'PF Records'!$A$2:$A$201,0))</f>
        <v>4680</v>
      </c>
      <c r="Q157" s="2" t="n">
        <f aca="false">INDEX('PF Records'!$I$2:$I$201,MATCH(A157,'PF Records'!$A$2:$A$201,0))</f>
        <v>4680</v>
      </c>
      <c r="R157" s="2" t="n">
        <f aca="false">P157+Q157</f>
        <v>9360</v>
      </c>
      <c r="S157" s="2" t="n">
        <f aca="false">INDEX('Salary Records'!$S$2:$S$201,MATCH(A157,'Salary Records'!$A$2:$A$201,0))</f>
        <v>28320</v>
      </c>
      <c r="T157" s="2" t="n">
        <f aca="false">INDEX('Employee Master'!$I$2:$I$201,MATCH(A157,'Employee Master'!$A$2:$A$201,0))</f>
        <v>3.5</v>
      </c>
      <c r="U157" s="2" t="n">
        <f aca="false">INDEX('Employee Master'!$H$2:$H$201,MATCH(A157,'Employee Master'!$A$2:$A$201,0))</f>
        <v>7.3</v>
      </c>
      <c r="V157" s="2" t="n">
        <f aca="false">INDEX('Employee Master'!$J$2:$J$201,MATCH(A157,'Employee Master'!$A$2:$A$201,0))</f>
        <v>10.8</v>
      </c>
    </row>
    <row r="158" customFormat="false" ht="15" hidden="false" customHeight="false" outlineLevel="0" collapsed="false">
      <c r="A158" s="2" t="s">
        <v>361</v>
      </c>
      <c r="B158" s="2" t="s">
        <v>362</v>
      </c>
      <c r="C158" s="2" t="s">
        <v>45</v>
      </c>
      <c r="D158" s="2" t="s">
        <v>657</v>
      </c>
      <c r="E158" s="2" t="n">
        <f aca="false">INDEX('Salary Records'!$F$2:$F$201,MATCH(A158,'Salary Records'!$A$2:$A$201,0))</f>
        <v>26</v>
      </c>
      <c r="F158" s="2" t="n">
        <f aca="false">INDEX('Salary Records'!$G$2:$G$201,MATCH(A158,'Salary Records'!$A$2:$A$201,0))</f>
        <v>23</v>
      </c>
      <c r="G158" s="2" t="n">
        <f aca="false">INDEX('Salary Records'!$H$2:$H$201,MATCH(A158,'Salary Records'!$A$2:$A$201,0))</f>
        <v>2</v>
      </c>
      <c r="H158" s="2" t="n">
        <f aca="false">INDEX('Salary Records'!$I$2:$I$201,MATCH(A158,'Salary Records'!$A$2:$A$201,0))</f>
        <v>1</v>
      </c>
      <c r="I158" s="2" t="n">
        <f aca="false">INDEX('Salary Records'!$J$2:$J$201,MATCH(A158,'Salary Records'!$A$2:$A$201,0))</f>
        <v>0</v>
      </c>
      <c r="J158" s="2" t="n">
        <f aca="false">ROUND(F158/E158*100,1)</f>
        <v>88.5</v>
      </c>
      <c r="K158" s="2" t="n">
        <v>2</v>
      </c>
      <c r="L158" s="2" t="n">
        <f aca="false">INDEX('Salary Records'!$K$2:$K$201,MATCH(A158,'Salary Records'!$A$2:$A$201,0))</f>
        <v>2</v>
      </c>
      <c r="M158" s="2" t="n">
        <f aca="false">INDEX('Salary Records'!$L$2:$L$201,MATCH(A158,'Salary Records'!$A$2:$A$201,0))</f>
        <v>0</v>
      </c>
      <c r="N158" s="2" t="n">
        <f aca="false">INDEX('Salary Records'!$E$2:$E$201,MATCH(A158,'Salary Records'!$A$2:$A$201,0))</f>
        <v>62500</v>
      </c>
      <c r="O158" s="2" t="n">
        <f aca="false">INDEX('Salary Records'!$O$2:$O$201,MATCH(A158,'Salary Records'!$A$2:$A$201,0))</f>
        <v>0</v>
      </c>
      <c r="P158" s="2" t="n">
        <f aca="false">INDEX('PF Records'!$H$2:$H$201,MATCH(A158,'PF Records'!$A$2:$A$201,0))</f>
        <v>7500</v>
      </c>
      <c r="Q158" s="2" t="n">
        <f aca="false">INDEX('PF Records'!$I$2:$I$201,MATCH(A158,'PF Records'!$A$2:$A$201,0))</f>
        <v>7500</v>
      </c>
      <c r="R158" s="2" t="n">
        <f aca="false">P158+Q158</f>
        <v>15000</v>
      </c>
      <c r="S158" s="2" t="n">
        <f aca="false">INDEX('Salary Records'!$S$2:$S$201,MATCH(A158,'Salary Records'!$A$2:$A$201,0))</f>
        <v>52596.15</v>
      </c>
      <c r="T158" s="2" t="n">
        <f aca="false">INDEX('Employee Master'!$I$2:$I$201,MATCH(A158,'Employee Master'!$A$2:$A$201,0))</f>
        <v>7.1</v>
      </c>
      <c r="U158" s="2" t="n">
        <f aca="false">INDEX('Employee Master'!$H$2:$H$201,MATCH(A158,'Employee Master'!$A$2:$A$201,0))</f>
        <v>0.4</v>
      </c>
      <c r="V158" s="2" t="n">
        <f aca="false">INDEX('Employee Master'!$J$2:$J$201,MATCH(A158,'Employee Master'!$A$2:$A$201,0))</f>
        <v>7.5</v>
      </c>
    </row>
    <row r="159" customFormat="false" ht="15" hidden="false" customHeight="false" outlineLevel="0" collapsed="false">
      <c r="A159" s="2" t="s">
        <v>363</v>
      </c>
      <c r="B159" s="2" t="s">
        <v>364</v>
      </c>
      <c r="C159" s="2" t="s">
        <v>49</v>
      </c>
      <c r="D159" s="2" t="s">
        <v>657</v>
      </c>
      <c r="E159" s="2" t="n">
        <f aca="false">INDEX('Salary Records'!$F$2:$F$201,MATCH(A159,'Salary Records'!$A$2:$A$201,0))</f>
        <v>26</v>
      </c>
      <c r="F159" s="2" t="n">
        <f aca="false">INDEX('Salary Records'!$G$2:$G$201,MATCH(A159,'Salary Records'!$A$2:$A$201,0))</f>
        <v>26</v>
      </c>
      <c r="G159" s="2" t="n">
        <f aca="false">INDEX('Salary Records'!$H$2:$H$201,MATCH(A159,'Salary Records'!$A$2:$A$201,0))</f>
        <v>0</v>
      </c>
      <c r="H159" s="2" t="n">
        <f aca="false">INDEX('Salary Records'!$I$2:$I$201,MATCH(A159,'Salary Records'!$A$2:$A$201,0))</f>
        <v>0</v>
      </c>
      <c r="I159" s="2" t="n">
        <f aca="false">INDEX('Salary Records'!$J$2:$J$201,MATCH(A159,'Salary Records'!$A$2:$A$201,0))</f>
        <v>0</v>
      </c>
      <c r="J159" s="2" t="n">
        <f aca="false">ROUND(F159/E159*100,1)</f>
        <v>100</v>
      </c>
      <c r="K159" s="2" t="n">
        <v>2</v>
      </c>
      <c r="L159" s="2" t="n">
        <f aca="false">INDEX('Salary Records'!$K$2:$K$201,MATCH(A159,'Salary Records'!$A$2:$A$201,0))</f>
        <v>0</v>
      </c>
      <c r="M159" s="2" t="n">
        <f aca="false">INDEX('Salary Records'!$L$2:$L$201,MATCH(A159,'Salary Records'!$A$2:$A$201,0))</f>
        <v>0</v>
      </c>
      <c r="N159" s="2" t="n">
        <f aca="false">INDEX('Salary Records'!$E$2:$E$201,MATCH(A159,'Salary Records'!$A$2:$A$201,0))</f>
        <v>95000</v>
      </c>
      <c r="O159" s="2" t="n">
        <f aca="false">INDEX('Salary Records'!$O$2:$O$201,MATCH(A159,'Salary Records'!$A$2:$A$201,0))</f>
        <v>0</v>
      </c>
      <c r="P159" s="2" t="n">
        <f aca="false">INDEX('PF Records'!$H$2:$H$201,MATCH(A159,'PF Records'!$A$2:$A$201,0))</f>
        <v>11400</v>
      </c>
      <c r="Q159" s="2" t="n">
        <f aca="false">INDEX('PF Records'!$I$2:$I$201,MATCH(A159,'PF Records'!$A$2:$A$201,0))</f>
        <v>11400</v>
      </c>
      <c r="R159" s="2" t="n">
        <f aca="false">P159+Q159</f>
        <v>22800</v>
      </c>
      <c r="S159" s="2" t="n">
        <f aca="false">INDEX('Salary Records'!$S$2:$S$201,MATCH(A159,'Salary Records'!$A$2:$A$201,0))</f>
        <v>83600</v>
      </c>
      <c r="T159" s="2" t="n">
        <f aca="false">INDEX('Employee Master'!$I$2:$I$201,MATCH(A159,'Employee Master'!$A$2:$A$201,0))</f>
        <v>7.6</v>
      </c>
      <c r="U159" s="2" t="n">
        <f aca="false">INDEX('Employee Master'!$H$2:$H$201,MATCH(A159,'Employee Master'!$A$2:$A$201,0))</f>
        <v>1.9</v>
      </c>
      <c r="V159" s="2" t="n">
        <f aca="false">INDEX('Employee Master'!$J$2:$J$201,MATCH(A159,'Employee Master'!$A$2:$A$201,0))</f>
        <v>9.5</v>
      </c>
    </row>
    <row r="160" customFormat="false" ht="15" hidden="false" customHeight="false" outlineLevel="0" collapsed="false">
      <c r="A160" s="2" t="s">
        <v>365</v>
      </c>
      <c r="B160" s="2" t="s">
        <v>366</v>
      </c>
      <c r="C160" s="2" t="s">
        <v>53</v>
      </c>
      <c r="D160" s="2" t="s">
        <v>657</v>
      </c>
      <c r="E160" s="2" t="n">
        <f aca="false">INDEX('Salary Records'!$F$2:$F$201,MATCH(A160,'Salary Records'!$A$2:$A$201,0))</f>
        <v>26</v>
      </c>
      <c r="F160" s="2" t="n">
        <f aca="false">INDEX('Salary Records'!$G$2:$G$201,MATCH(A160,'Salary Records'!$A$2:$A$201,0))</f>
        <v>21</v>
      </c>
      <c r="G160" s="2" t="n">
        <f aca="false">INDEX('Salary Records'!$H$2:$H$201,MATCH(A160,'Salary Records'!$A$2:$A$201,0))</f>
        <v>3</v>
      </c>
      <c r="H160" s="2" t="n">
        <f aca="false">INDEX('Salary Records'!$I$2:$I$201,MATCH(A160,'Salary Records'!$A$2:$A$201,0))</f>
        <v>2</v>
      </c>
      <c r="I160" s="2" t="n">
        <f aca="false">INDEX('Salary Records'!$J$2:$J$201,MATCH(A160,'Salary Records'!$A$2:$A$201,0))</f>
        <v>0</v>
      </c>
      <c r="J160" s="2" t="n">
        <f aca="false">ROUND(F160/E160*100,1)</f>
        <v>80.8</v>
      </c>
      <c r="K160" s="2" t="n">
        <v>2</v>
      </c>
      <c r="L160" s="2" t="n">
        <f aca="false">INDEX('Salary Records'!$K$2:$K$201,MATCH(A160,'Salary Records'!$A$2:$A$201,0))</f>
        <v>2</v>
      </c>
      <c r="M160" s="2" t="n">
        <f aca="false">INDEX('Salary Records'!$L$2:$L$201,MATCH(A160,'Salary Records'!$A$2:$A$201,0))</f>
        <v>1</v>
      </c>
      <c r="N160" s="2" t="n">
        <f aca="false">INDEX('Salary Records'!$E$2:$E$201,MATCH(A160,'Salary Records'!$A$2:$A$201,0))</f>
        <v>35000</v>
      </c>
      <c r="O160" s="2" t="n">
        <f aca="false">INDEX('Salary Records'!$O$2:$O$201,MATCH(A160,'Salary Records'!$A$2:$A$201,0))</f>
        <v>1346.15</v>
      </c>
      <c r="P160" s="2" t="n">
        <f aca="false">INDEX('PF Records'!$H$2:$H$201,MATCH(A160,'PF Records'!$A$2:$A$201,0))</f>
        <v>4200</v>
      </c>
      <c r="Q160" s="2" t="n">
        <f aca="false">INDEX('PF Records'!$I$2:$I$201,MATCH(A160,'PF Records'!$A$2:$A$201,0))</f>
        <v>4200</v>
      </c>
      <c r="R160" s="2" t="n">
        <f aca="false">P160+Q160</f>
        <v>8400</v>
      </c>
      <c r="S160" s="2" t="n">
        <f aca="false">INDEX('Salary Records'!$S$2:$S$201,MATCH(A160,'Salary Records'!$A$2:$A$201,0))</f>
        <v>28107.7</v>
      </c>
      <c r="T160" s="2" t="n">
        <f aca="false">INDEX('Employee Master'!$I$2:$I$201,MATCH(A160,'Employee Master'!$A$2:$A$201,0))</f>
        <v>4.5</v>
      </c>
      <c r="U160" s="2" t="n">
        <f aca="false">INDEX('Employee Master'!$H$2:$H$201,MATCH(A160,'Employee Master'!$A$2:$A$201,0))</f>
        <v>5.4</v>
      </c>
      <c r="V160" s="2" t="n">
        <f aca="false">INDEX('Employee Master'!$J$2:$J$201,MATCH(A160,'Employee Master'!$A$2:$A$201,0))</f>
        <v>9.9</v>
      </c>
    </row>
    <row r="161" customFormat="false" ht="15" hidden="false" customHeight="false" outlineLevel="0" collapsed="false">
      <c r="A161" s="2" t="s">
        <v>367</v>
      </c>
      <c r="B161" s="2" t="s">
        <v>368</v>
      </c>
      <c r="C161" s="2" t="s">
        <v>57</v>
      </c>
      <c r="D161" s="2" t="s">
        <v>657</v>
      </c>
      <c r="E161" s="2" t="n">
        <f aca="false">INDEX('Salary Records'!$F$2:$F$201,MATCH(A161,'Salary Records'!$A$2:$A$201,0))</f>
        <v>26</v>
      </c>
      <c r="F161" s="2" t="n">
        <f aca="false">INDEX('Salary Records'!$G$2:$G$201,MATCH(A161,'Salary Records'!$A$2:$A$201,0))</f>
        <v>24</v>
      </c>
      <c r="G161" s="2" t="n">
        <f aca="false">INDEX('Salary Records'!$H$2:$H$201,MATCH(A161,'Salary Records'!$A$2:$A$201,0))</f>
        <v>0</v>
      </c>
      <c r="H161" s="2" t="n">
        <f aca="false">INDEX('Salary Records'!$I$2:$I$201,MATCH(A161,'Salary Records'!$A$2:$A$201,0))</f>
        <v>0</v>
      </c>
      <c r="I161" s="2" t="n">
        <f aca="false">INDEX('Salary Records'!$J$2:$J$201,MATCH(A161,'Salary Records'!$A$2:$A$201,0))</f>
        <v>2</v>
      </c>
      <c r="J161" s="2" t="n">
        <f aca="false">ROUND(F161/E161*100,1)</f>
        <v>92.3</v>
      </c>
      <c r="K161" s="2" t="n">
        <v>2</v>
      </c>
      <c r="L161" s="2" t="n">
        <f aca="false">INDEX('Salary Records'!$K$2:$K$201,MATCH(A161,'Salary Records'!$A$2:$A$201,0))</f>
        <v>0</v>
      </c>
      <c r="M161" s="2" t="n">
        <f aca="false">INDEX('Salary Records'!$L$2:$L$201,MATCH(A161,'Salary Records'!$A$2:$A$201,0))</f>
        <v>0</v>
      </c>
      <c r="N161" s="2" t="n">
        <f aca="false">INDEX('Salary Records'!$E$2:$E$201,MATCH(A161,'Salary Records'!$A$2:$A$201,0))</f>
        <v>73500</v>
      </c>
      <c r="O161" s="2" t="n">
        <f aca="false">INDEX('Salary Records'!$O$2:$O$201,MATCH(A161,'Salary Records'!$A$2:$A$201,0))</f>
        <v>0</v>
      </c>
      <c r="P161" s="2" t="n">
        <f aca="false">INDEX('PF Records'!$H$2:$H$201,MATCH(A161,'PF Records'!$A$2:$A$201,0))</f>
        <v>8820</v>
      </c>
      <c r="Q161" s="2" t="n">
        <f aca="false">INDEX('PF Records'!$I$2:$I$201,MATCH(A161,'PF Records'!$A$2:$A$201,0))</f>
        <v>8820</v>
      </c>
      <c r="R161" s="2" t="n">
        <f aca="false">P161+Q161</f>
        <v>17640</v>
      </c>
      <c r="S161" s="2" t="n">
        <f aca="false">INDEX('Salary Records'!$S$2:$S$201,MATCH(A161,'Salary Records'!$A$2:$A$201,0))</f>
        <v>61853.08</v>
      </c>
      <c r="T161" s="2" t="n">
        <f aca="false">INDEX('Employee Master'!$I$2:$I$201,MATCH(A161,'Employee Master'!$A$2:$A$201,0))</f>
        <v>0.3</v>
      </c>
      <c r="U161" s="2" t="n">
        <f aca="false">INDEX('Employee Master'!$H$2:$H$201,MATCH(A161,'Employee Master'!$A$2:$A$201,0))</f>
        <v>5.8</v>
      </c>
      <c r="V161" s="2" t="n">
        <f aca="false">INDEX('Employee Master'!$J$2:$J$201,MATCH(A161,'Employee Master'!$A$2:$A$201,0))</f>
        <v>6.1</v>
      </c>
    </row>
    <row r="162" customFormat="false" ht="15" hidden="false" customHeight="false" outlineLevel="0" collapsed="false">
      <c r="A162" s="2" t="s">
        <v>369</v>
      </c>
      <c r="B162" s="2" t="s">
        <v>370</v>
      </c>
      <c r="C162" s="2" t="s">
        <v>17</v>
      </c>
      <c r="D162" s="2" t="s">
        <v>657</v>
      </c>
      <c r="E162" s="2" t="n">
        <f aca="false">INDEX('Salary Records'!$F$2:$F$201,MATCH(A162,'Salary Records'!$A$2:$A$201,0))</f>
        <v>26</v>
      </c>
      <c r="F162" s="2" t="n">
        <f aca="false">INDEX('Salary Records'!$G$2:$G$201,MATCH(A162,'Salary Records'!$A$2:$A$201,0))</f>
        <v>21</v>
      </c>
      <c r="G162" s="2" t="n">
        <f aca="false">INDEX('Salary Records'!$H$2:$H$201,MATCH(A162,'Salary Records'!$A$2:$A$201,0))</f>
        <v>3</v>
      </c>
      <c r="H162" s="2" t="n">
        <f aca="false">INDEX('Salary Records'!$I$2:$I$201,MATCH(A162,'Salary Records'!$A$2:$A$201,0))</f>
        <v>2</v>
      </c>
      <c r="I162" s="2" t="n">
        <f aca="false">INDEX('Salary Records'!$J$2:$J$201,MATCH(A162,'Salary Records'!$A$2:$A$201,0))</f>
        <v>0</v>
      </c>
      <c r="J162" s="2" t="n">
        <f aca="false">ROUND(F162/E162*100,1)</f>
        <v>80.8</v>
      </c>
      <c r="K162" s="2" t="n">
        <v>2</v>
      </c>
      <c r="L162" s="2" t="n">
        <f aca="false">INDEX('Salary Records'!$K$2:$K$201,MATCH(A162,'Salary Records'!$A$2:$A$201,0))</f>
        <v>2</v>
      </c>
      <c r="M162" s="2" t="n">
        <f aca="false">INDEX('Salary Records'!$L$2:$L$201,MATCH(A162,'Salary Records'!$A$2:$A$201,0))</f>
        <v>1</v>
      </c>
      <c r="N162" s="2" t="n">
        <f aca="false">INDEX('Salary Records'!$E$2:$E$201,MATCH(A162,'Salary Records'!$A$2:$A$201,0))</f>
        <v>89500</v>
      </c>
      <c r="O162" s="2" t="n">
        <f aca="false">INDEX('Salary Records'!$O$2:$O$201,MATCH(A162,'Salary Records'!$A$2:$A$201,0))</f>
        <v>3442.31</v>
      </c>
      <c r="P162" s="2" t="n">
        <f aca="false">INDEX('PF Records'!$H$2:$H$201,MATCH(A162,'PF Records'!$A$2:$A$201,0))</f>
        <v>10740</v>
      </c>
      <c r="Q162" s="2" t="n">
        <f aca="false">INDEX('PF Records'!$I$2:$I$201,MATCH(A162,'PF Records'!$A$2:$A$201,0))</f>
        <v>10740</v>
      </c>
      <c r="R162" s="2" t="n">
        <f aca="false">P162+Q162</f>
        <v>21480</v>
      </c>
      <c r="S162" s="2" t="n">
        <f aca="false">INDEX('Salary Records'!$S$2:$S$201,MATCH(A162,'Salary Records'!$A$2:$A$201,0))</f>
        <v>75317.69</v>
      </c>
      <c r="T162" s="2" t="n">
        <f aca="false">INDEX('Employee Master'!$I$2:$I$201,MATCH(A162,'Employee Master'!$A$2:$A$201,0))</f>
        <v>3.2</v>
      </c>
      <c r="U162" s="2" t="n">
        <f aca="false">INDEX('Employee Master'!$H$2:$H$201,MATCH(A162,'Employee Master'!$A$2:$A$201,0))</f>
        <v>4.9</v>
      </c>
      <c r="V162" s="2" t="n">
        <f aca="false">INDEX('Employee Master'!$J$2:$J$201,MATCH(A162,'Employee Master'!$A$2:$A$201,0))</f>
        <v>8.1</v>
      </c>
    </row>
    <row r="163" customFormat="false" ht="15" hidden="false" customHeight="false" outlineLevel="0" collapsed="false">
      <c r="A163" s="2" t="s">
        <v>371</v>
      </c>
      <c r="B163" s="2" t="s">
        <v>372</v>
      </c>
      <c r="C163" s="2" t="s">
        <v>24</v>
      </c>
      <c r="D163" s="2" t="s">
        <v>657</v>
      </c>
      <c r="E163" s="2" t="n">
        <f aca="false">INDEX('Salary Records'!$F$2:$F$201,MATCH(A163,'Salary Records'!$A$2:$A$201,0))</f>
        <v>26</v>
      </c>
      <c r="F163" s="2" t="n">
        <f aca="false">INDEX('Salary Records'!$G$2:$G$201,MATCH(A163,'Salary Records'!$A$2:$A$201,0))</f>
        <v>26</v>
      </c>
      <c r="G163" s="2" t="n">
        <f aca="false">INDEX('Salary Records'!$H$2:$H$201,MATCH(A163,'Salary Records'!$A$2:$A$201,0))</f>
        <v>0</v>
      </c>
      <c r="H163" s="2" t="n">
        <f aca="false">INDEX('Salary Records'!$I$2:$I$201,MATCH(A163,'Salary Records'!$A$2:$A$201,0))</f>
        <v>0</v>
      </c>
      <c r="I163" s="2" t="n">
        <f aca="false">INDEX('Salary Records'!$J$2:$J$201,MATCH(A163,'Salary Records'!$A$2:$A$201,0))</f>
        <v>0</v>
      </c>
      <c r="J163" s="2" t="n">
        <f aca="false">ROUND(F163/E163*100,1)</f>
        <v>100</v>
      </c>
      <c r="K163" s="2" t="n">
        <v>2</v>
      </c>
      <c r="L163" s="2" t="n">
        <f aca="false">INDEX('Salary Records'!$K$2:$K$201,MATCH(A163,'Salary Records'!$A$2:$A$201,0))</f>
        <v>0</v>
      </c>
      <c r="M163" s="2" t="n">
        <f aca="false">INDEX('Salary Records'!$L$2:$L$201,MATCH(A163,'Salary Records'!$A$2:$A$201,0))</f>
        <v>0</v>
      </c>
      <c r="N163" s="2" t="n">
        <f aca="false">INDEX('Salary Records'!$E$2:$E$201,MATCH(A163,'Salary Records'!$A$2:$A$201,0))</f>
        <v>84500</v>
      </c>
      <c r="O163" s="2" t="n">
        <f aca="false">INDEX('Salary Records'!$O$2:$O$201,MATCH(A163,'Salary Records'!$A$2:$A$201,0))</f>
        <v>0</v>
      </c>
      <c r="P163" s="2" t="n">
        <f aca="false">INDEX('PF Records'!$H$2:$H$201,MATCH(A163,'PF Records'!$A$2:$A$201,0))</f>
        <v>10140</v>
      </c>
      <c r="Q163" s="2" t="n">
        <f aca="false">INDEX('PF Records'!$I$2:$I$201,MATCH(A163,'PF Records'!$A$2:$A$201,0))</f>
        <v>10140</v>
      </c>
      <c r="R163" s="2" t="n">
        <f aca="false">P163+Q163</f>
        <v>20280</v>
      </c>
      <c r="S163" s="2" t="n">
        <f aca="false">INDEX('Salary Records'!$S$2:$S$201,MATCH(A163,'Salary Records'!$A$2:$A$201,0))</f>
        <v>74360</v>
      </c>
      <c r="T163" s="2" t="n">
        <f aca="false">INDEX('Employee Master'!$I$2:$I$201,MATCH(A163,'Employee Master'!$A$2:$A$201,0))</f>
        <v>0.9</v>
      </c>
      <c r="U163" s="2" t="n">
        <f aca="false">INDEX('Employee Master'!$H$2:$H$201,MATCH(A163,'Employee Master'!$A$2:$A$201,0))</f>
        <v>0</v>
      </c>
      <c r="V163" s="2" t="n">
        <f aca="false">INDEX('Employee Master'!$J$2:$J$201,MATCH(A163,'Employee Master'!$A$2:$A$201,0))</f>
        <v>0.9</v>
      </c>
    </row>
    <row r="164" customFormat="false" ht="15" hidden="false" customHeight="false" outlineLevel="0" collapsed="false">
      <c r="A164" s="2" t="s">
        <v>373</v>
      </c>
      <c r="B164" s="2" t="s">
        <v>374</v>
      </c>
      <c r="C164" s="2" t="s">
        <v>28</v>
      </c>
      <c r="D164" s="2" t="s">
        <v>657</v>
      </c>
      <c r="E164" s="2" t="n">
        <f aca="false">INDEX('Salary Records'!$F$2:$F$201,MATCH(A164,'Salary Records'!$A$2:$A$201,0))</f>
        <v>26</v>
      </c>
      <c r="F164" s="2" t="n">
        <f aca="false">INDEX('Salary Records'!$G$2:$G$201,MATCH(A164,'Salary Records'!$A$2:$A$201,0))</f>
        <v>17</v>
      </c>
      <c r="G164" s="2" t="n">
        <f aca="false">INDEX('Salary Records'!$H$2:$H$201,MATCH(A164,'Salary Records'!$A$2:$A$201,0))</f>
        <v>8</v>
      </c>
      <c r="H164" s="2" t="n">
        <f aca="false">INDEX('Salary Records'!$I$2:$I$201,MATCH(A164,'Salary Records'!$A$2:$A$201,0))</f>
        <v>1</v>
      </c>
      <c r="I164" s="2" t="n">
        <f aca="false">INDEX('Salary Records'!$J$2:$J$201,MATCH(A164,'Salary Records'!$A$2:$A$201,0))</f>
        <v>0</v>
      </c>
      <c r="J164" s="2" t="n">
        <f aca="false">ROUND(F164/E164*100,1)</f>
        <v>65.4</v>
      </c>
      <c r="K164" s="2" t="n">
        <v>2</v>
      </c>
      <c r="L164" s="2" t="n">
        <f aca="false">INDEX('Salary Records'!$K$2:$K$201,MATCH(A164,'Salary Records'!$A$2:$A$201,0))</f>
        <v>2</v>
      </c>
      <c r="M164" s="2" t="n">
        <f aca="false">INDEX('Salary Records'!$L$2:$L$201,MATCH(A164,'Salary Records'!$A$2:$A$201,0))</f>
        <v>6</v>
      </c>
      <c r="N164" s="2" t="n">
        <f aca="false">INDEX('Salary Records'!$E$2:$E$201,MATCH(A164,'Salary Records'!$A$2:$A$201,0))</f>
        <v>32000</v>
      </c>
      <c r="O164" s="2" t="n">
        <f aca="false">INDEX('Salary Records'!$O$2:$O$201,MATCH(A164,'Salary Records'!$A$2:$A$201,0))</f>
        <v>7384.62</v>
      </c>
      <c r="P164" s="2" t="n">
        <f aca="false">INDEX('PF Records'!$H$2:$H$201,MATCH(A164,'PF Records'!$A$2:$A$201,0))</f>
        <v>3840</v>
      </c>
      <c r="Q164" s="2" t="n">
        <f aca="false">INDEX('PF Records'!$I$2:$I$201,MATCH(A164,'PF Records'!$A$2:$A$201,0))</f>
        <v>3840</v>
      </c>
      <c r="R164" s="2" t="n">
        <f aca="false">P164+Q164</f>
        <v>7680</v>
      </c>
      <c r="S164" s="2" t="n">
        <f aca="false">INDEX('Salary Records'!$S$2:$S$201,MATCH(A164,'Salary Records'!$A$2:$A$201,0))</f>
        <v>19544.61</v>
      </c>
      <c r="T164" s="2" t="n">
        <f aca="false">INDEX('Employee Master'!$I$2:$I$201,MATCH(A164,'Employee Master'!$A$2:$A$201,0))</f>
        <v>7.6</v>
      </c>
      <c r="U164" s="2" t="n">
        <f aca="false">INDEX('Employee Master'!$H$2:$H$201,MATCH(A164,'Employee Master'!$A$2:$A$201,0))</f>
        <v>7.8</v>
      </c>
      <c r="V164" s="2" t="n">
        <f aca="false">INDEX('Employee Master'!$J$2:$J$201,MATCH(A164,'Employee Master'!$A$2:$A$201,0))</f>
        <v>15.4</v>
      </c>
    </row>
    <row r="165" customFormat="false" ht="15" hidden="false" customHeight="false" outlineLevel="0" collapsed="false">
      <c r="A165" s="2" t="s">
        <v>375</v>
      </c>
      <c r="B165" s="2" t="s">
        <v>376</v>
      </c>
      <c r="C165" s="2" t="s">
        <v>32</v>
      </c>
      <c r="D165" s="2" t="s">
        <v>657</v>
      </c>
      <c r="E165" s="2" t="n">
        <f aca="false">INDEX('Salary Records'!$F$2:$F$201,MATCH(A165,'Salary Records'!$A$2:$A$201,0))</f>
        <v>26</v>
      </c>
      <c r="F165" s="2" t="n">
        <f aca="false">INDEX('Salary Records'!$G$2:$G$201,MATCH(A165,'Salary Records'!$A$2:$A$201,0))</f>
        <v>26</v>
      </c>
      <c r="G165" s="2" t="n">
        <f aca="false">INDEX('Salary Records'!$H$2:$H$201,MATCH(A165,'Salary Records'!$A$2:$A$201,0))</f>
        <v>0</v>
      </c>
      <c r="H165" s="2" t="n">
        <f aca="false">INDEX('Salary Records'!$I$2:$I$201,MATCH(A165,'Salary Records'!$A$2:$A$201,0))</f>
        <v>0</v>
      </c>
      <c r="I165" s="2" t="n">
        <f aca="false">INDEX('Salary Records'!$J$2:$J$201,MATCH(A165,'Salary Records'!$A$2:$A$201,0))</f>
        <v>0</v>
      </c>
      <c r="J165" s="2" t="n">
        <f aca="false">ROUND(F165/E165*100,1)</f>
        <v>100</v>
      </c>
      <c r="K165" s="2" t="n">
        <v>2</v>
      </c>
      <c r="L165" s="2" t="n">
        <f aca="false">INDEX('Salary Records'!$K$2:$K$201,MATCH(A165,'Salary Records'!$A$2:$A$201,0))</f>
        <v>0</v>
      </c>
      <c r="M165" s="2" t="n">
        <f aca="false">INDEX('Salary Records'!$L$2:$L$201,MATCH(A165,'Salary Records'!$A$2:$A$201,0))</f>
        <v>0</v>
      </c>
      <c r="N165" s="2" t="n">
        <f aca="false">INDEX('Salary Records'!$E$2:$E$201,MATCH(A165,'Salary Records'!$A$2:$A$201,0))</f>
        <v>37000</v>
      </c>
      <c r="O165" s="2" t="n">
        <f aca="false">INDEX('Salary Records'!$O$2:$O$201,MATCH(A165,'Salary Records'!$A$2:$A$201,0))</f>
        <v>0</v>
      </c>
      <c r="P165" s="2" t="n">
        <f aca="false">INDEX('PF Records'!$H$2:$H$201,MATCH(A165,'PF Records'!$A$2:$A$201,0))</f>
        <v>4440</v>
      </c>
      <c r="Q165" s="2" t="n">
        <f aca="false">INDEX('PF Records'!$I$2:$I$201,MATCH(A165,'PF Records'!$A$2:$A$201,0))</f>
        <v>4440</v>
      </c>
      <c r="R165" s="2" t="n">
        <f aca="false">P165+Q165</f>
        <v>8880</v>
      </c>
      <c r="S165" s="2" t="n">
        <f aca="false">INDEX('Salary Records'!$S$2:$S$201,MATCH(A165,'Salary Records'!$A$2:$A$201,0))</f>
        <v>32560</v>
      </c>
      <c r="T165" s="2" t="n">
        <f aca="false">INDEX('Employee Master'!$I$2:$I$201,MATCH(A165,'Employee Master'!$A$2:$A$201,0))</f>
        <v>8</v>
      </c>
      <c r="U165" s="2" t="n">
        <f aca="false">INDEX('Employee Master'!$H$2:$H$201,MATCH(A165,'Employee Master'!$A$2:$A$201,0))</f>
        <v>3.2</v>
      </c>
      <c r="V165" s="2" t="n">
        <f aca="false">INDEX('Employee Master'!$J$2:$J$201,MATCH(A165,'Employee Master'!$A$2:$A$201,0))</f>
        <v>11.2</v>
      </c>
    </row>
    <row r="166" customFormat="false" ht="15" hidden="false" customHeight="false" outlineLevel="0" collapsed="false">
      <c r="A166" s="2" t="s">
        <v>377</v>
      </c>
      <c r="B166" s="2" t="s">
        <v>378</v>
      </c>
      <c r="C166" s="2" t="s">
        <v>36</v>
      </c>
      <c r="D166" s="2" t="s">
        <v>657</v>
      </c>
      <c r="E166" s="2" t="n">
        <f aca="false">INDEX('Salary Records'!$F$2:$F$201,MATCH(A166,'Salary Records'!$A$2:$A$201,0))</f>
        <v>26</v>
      </c>
      <c r="F166" s="2" t="n">
        <f aca="false">INDEX('Salary Records'!$G$2:$G$201,MATCH(A166,'Salary Records'!$A$2:$A$201,0))</f>
        <v>23</v>
      </c>
      <c r="G166" s="2" t="n">
        <f aca="false">INDEX('Salary Records'!$H$2:$H$201,MATCH(A166,'Salary Records'!$A$2:$A$201,0))</f>
        <v>2</v>
      </c>
      <c r="H166" s="2" t="n">
        <f aca="false">INDEX('Salary Records'!$I$2:$I$201,MATCH(A166,'Salary Records'!$A$2:$A$201,0))</f>
        <v>1</v>
      </c>
      <c r="I166" s="2" t="n">
        <f aca="false">INDEX('Salary Records'!$J$2:$J$201,MATCH(A166,'Salary Records'!$A$2:$A$201,0))</f>
        <v>0</v>
      </c>
      <c r="J166" s="2" t="n">
        <f aca="false">ROUND(F166/E166*100,1)</f>
        <v>88.5</v>
      </c>
      <c r="K166" s="2" t="n">
        <v>2</v>
      </c>
      <c r="L166" s="2" t="n">
        <f aca="false">INDEX('Salary Records'!$K$2:$K$201,MATCH(A166,'Salary Records'!$A$2:$A$201,0))</f>
        <v>2</v>
      </c>
      <c r="M166" s="2" t="n">
        <f aca="false">INDEX('Salary Records'!$L$2:$L$201,MATCH(A166,'Salary Records'!$A$2:$A$201,0))</f>
        <v>0</v>
      </c>
      <c r="N166" s="2" t="n">
        <f aca="false">INDEX('Salary Records'!$E$2:$E$201,MATCH(A166,'Salary Records'!$A$2:$A$201,0))</f>
        <v>50000</v>
      </c>
      <c r="O166" s="2" t="n">
        <f aca="false">INDEX('Salary Records'!$O$2:$O$201,MATCH(A166,'Salary Records'!$A$2:$A$201,0))</f>
        <v>0</v>
      </c>
      <c r="P166" s="2" t="n">
        <f aca="false">INDEX('PF Records'!$H$2:$H$201,MATCH(A166,'PF Records'!$A$2:$A$201,0))</f>
        <v>6000</v>
      </c>
      <c r="Q166" s="2" t="n">
        <f aca="false">INDEX('PF Records'!$I$2:$I$201,MATCH(A166,'PF Records'!$A$2:$A$201,0))</f>
        <v>6000</v>
      </c>
      <c r="R166" s="2" t="n">
        <f aca="false">P166+Q166</f>
        <v>12000</v>
      </c>
      <c r="S166" s="2" t="n">
        <f aca="false">INDEX('Salary Records'!$S$2:$S$201,MATCH(A166,'Salary Records'!$A$2:$A$201,0))</f>
        <v>44000</v>
      </c>
      <c r="T166" s="2" t="n">
        <f aca="false">INDEX('Employee Master'!$I$2:$I$201,MATCH(A166,'Employee Master'!$A$2:$A$201,0))</f>
        <v>3.6</v>
      </c>
      <c r="U166" s="2" t="n">
        <f aca="false">INDEX('Employee Master'!$H$2:$H$201,MATCH(A166,'Employee Master'!$A$2:$A$201,0))</f>
        <v>0.7</v>
      </c>
      <c r="V166" s="2" t="n">
        <f aca="false">INDEX('Employee Master'!$J$2:$J$201,MATCH(A166,'Employee Master'!$A$2:$A$201,0))</f>
        <v>4.3</v>
      </c>
    </row>
    <row r="167" customFormat="false" ht="15" hidden="false" customHeight="false" outlineLevel="0" collapsed="false">
      <c r="A167" s="2" t="s">
        <v>379</v>
      </c>
      <c r="B167" s="2" t="s">
        <v>380</v>
      </c>
      <c r="C167" s="2" t="s">
        <v>41</v>
      </c>
      <c r="D167" s="2" t="s">
        <v>657</v>
      </c>
      <c r="E167" s="2" t="n">
        <f aca="false">INDEX('Salary Records'!$F$2:$F$201,MATCH(A167,'Salary Records'!$A$2:$A$201,0))</f>
        <v>26</v>
      </c>
      <c r="F167" s="2" t="n">
        <f aca="false">INDEX('Salary Records'!$G$2:$G$201,MATCH(A167,'Salary Records'!$A$2:$A$201,0))</f>
        <v>19</v>
      </c>
      <c r="G167" s="2" t="n">
        <f aca="false">INDEX('Salary Records'!$H$2:$H$201,MATCH(A167,'Salary Records'!$A$2:$A$201,0))</f>
        <v>5</v>
      </c>
      <c r="H167" s="2" t="n">
        <f aca="false">INDEX('Salary Records'!$I$2:$I$201,MATCH(A167,'Salary Records'!$A$2:$A$201,0))</f>
        <v>1</v>
      </c>
      <c r="I167" s="2" t="n">
        <f aca="false">INDEX('Salary Records'!$J$2:$J$201,MATCH(A167,'Salary Records'!$A$2:$A$201,0))</f>
        <v>1</v>
      </c>
      <c r="J167" s="2" t="n">
        <f aca="false">ROUND(F167/E167*100,1)</f>
        <v>73.1</v>
      </c>
      <c r="K167" s="2" t="n">
        <v>2</v>
      </c>
      <c r="L167" s="2" t="n">
        <f aca="false">INDEX('Salary Records'!$K$2:$K$201,MATCH(A167,'Salary Records'!$A$2:$A$201,0))</f>
        <v>2</v>
      </c>
      <c r="M167" s="2" t="n">
        <f aca="false">INDEX('Salary Records'!$L$2:$L$201,MATCH(A167,'Salary Records'!$A$2:$A$201,0))</f>
        <v>3</v>
      </c>
      <c r="N167" s="2" t="n">
        <f aca="false">INDEX('Salary Records'!$E$2:$E$201,MATCH(A167,'Salary Records'!$A$2:$A$201,0))</f>
        <v>19500</v>
      </c>
      <c r="O167" s="2" t="n">
        <f aca="false">INDEX('Salary Records'!$O$2:$O$201,MATCH(A167,'Salary Records'!$A$2:$A$201,0))</f>
        <v>2250</v>
      </c>
      <c r="P167" s="2" t="n">
        <f aca="false">INDEX('PF Records'!$H$2:$H$201,MATCH(A167,'PF Records'!$A$2:$A$201,0))</f>
        <v>2340</v>
      </c>
      <c r="Q167" s="2" t="n">
        <f aca="false">INDEX('PF Records'!$I$2:$I$201,MATCH(A167,'PF Records'!$A$2:$A$201,0))</f>
        <v>2340</v>
      </c>
      <c r="R167" s="2" t="n">
        <f aca="false">P167+Q167</f>
        <v>4680</v>
      </c>
      <c r="S167" s="2" t="n">
        <f aca="false">INDEX('Salary Records'!$S$2:$S$201,MATCH(A167,'Salary Records'!$A$2:$A$201,0))</f>
        <v>14535</v>
      </c>
      <c r="T167" s="2" t="n">
        <f aca="false">INDEX('Employee Master'!$I$2:$I$201,MATCH(A167,'Employee Master'!$A$2:$A$201,0))</f>
        <v>4.9</v>
      </c>
      <c r="U167" s="2" t="n">
        <f aca="false">INDEX('Employee Master'!$H$2:$H$201,MATCH(A167,'Employee Master'!$A$2:$A$201,0))</f>
        <v>1.9</v>
      </c>
      <c r="V167" s="2" t="n">
        <f aca="false">INDEX('Employee Master'!$J$2:$J$201,MATCH(A167,'Employee Master'!$A$2:$A$201,0))</f>
        <v>6.8</v>
      </c>
    </row>
    <row r="168" customFormat="false" ht="15" hidden="false" customHeight="false" outlineLevel="0" collapsed="false">
      <c r="A168" s="2" t="s">
        <v>381</v>
      </c>
      <c r="B168" s="2" t="s">
        <v>382</v>
      </c>
      <c r="C168" s="2" t="s">
        <v>45</v>
      </c>
      <c r="D168" s="2" t="s">
        <v>657</v>
      </c>
      <c r="E168" s="2" t="n">
        <f aca="false">INDEX('Salary Records'!$F$2:$F$201,MATCH(A168,'Salary Records'!$A$2:$A$201,0))</f>
        <v>26</v>
      </c>
      <c r="F168" s="2" t="n">
        <f aca="false">INDEX('Salary Records'!$G$2:$G$201,MATCH(A168,'Salary Records'!$A$2:$A$201,0))</f>
        <v>19</v>
      </c>
      <c r="G168" s="2" t="n">
        <f aca="false">INDEX('Salary Records'!$H$2:$H$201,MATCH(A168,'Salary Records'!$A$2:$A$201,0))</f>
        <v>4</v>
      </c>
      <c r="H168" s="2" t="n">
        <f aca="false">INDEX('Salary Records'!$I$2:$I$201,MATCH(A168,'Salary Records'!$A$2:$A$201,0))</f>
        <v>1</v>
      </c>
      <c r="I168" s="2" t="n">
        <f aca="false">INDEX('Salary Records'!$J$2:$J$201,MATCH(A168,'Salary Records'!$A$2:$A$201,0))</f>
        <v>2</v>
      </c>
      <c r="J168" s="2" t="n">
        <f aca="false">ROUND(F168/E168*100,1)</f>
        <v>73.1</v>
      </c>
      <c r="K168" s="2" t="n">
        <v>2</v>
      </c>
      <c r="L168" s="2" t="n">
        <f aca="false">INDEX('Salary Records'!$K$2:$K$201,MATCH(A168,'Salary Records'!$A$2:$A$201,0))</f>
        <v>2</v>
      </c>
      <c r="M168" s="2" t="n">
        <f aca="false">INDEX('Salary Records'!$L$2:$L$201,MATCH(A168,'Salary Records'!$A$2:$A$201,0))</f>
        <v>2</v>
      </c>
      <c r="N168" s="2" t="n">
        <f aca="false">INDEX('Salary Records'!$E$2:$E$201,MATCH(A168,'Salary Records'!$A$2:$A$201,0))</f>
        <v>22000</v>
      </c>
      <c r="O168" s="2" t="n">
        <f aca="false">INDEX('Salary Records'!$O$2:$O$201,MATCH(A168,'Salary Records'!$A$2:$A$201,0))</f>
        <v>1692.3</v>
      </c>
      <c r="P168" s="2" t="n">
        <f aca="false">INDEX('PF Records'!$H$2:$H$201,MATCH(A168,'PF Records'!$A$2:$A$201,0))</f>
        <v>2640</v>
      </c>
      <c r="Q168" s="2" t="n">
        <f aca="false">INDEX('PF Records'!$I$2:$I$201,MATCH(A168,'PF Records'!$A$2:$A$201,0))</f>
        <v>2640</v>
      </c>
      <c r="R168" s="2" t="n">
        <f aca="false">P168+Q168</f>
        <v>5280</v>
      </c>
      <c r="S168" s="2" t="n">
        <f aca="false">INDEX('Salary Records'!$S$2:$S$201,MATCH(A168,'Salary Records'!$A$2:$A$201,0))</f>
        <v>16821.55</v>
      </c>
      <c r="T168" s="2" t="n">
        <f aca="false">INDEX('Employee Master'!$I$2:$I$201,MATCH(A168,'Employee Master'!$A$2:$A$201,0))</f>
        <v>2.4</v>
      </c>
      <c r="U168" s="2" t="n">
        <f aca="false">INDEX('Employee Master'!$H$2:$H$201,MATCH(A168,'Employee Master'!$A$2:$A$201,0))</f>
        <v>1.7</v>
      </c>
      <c r="V168" s="2" t="n">
        <f aca="false">INDEX('Employee Master'!$J$2:$J$201,MATCH(A168,'Employee Master'!$A$2:$A$201,0))</f>
        <v>4.1</v>
      </c>
    </row>
    <row r="169" customFormat="false" ht="15" hidden="false" customHeight="false" outlineLevel="0" collapsed="false">
      <c r="A169" s="2" t="s">
        <v>383</v>
      </c>
      <c r="B169" s="2" t="s">
        <v>384</v>
      </c>
      <c r="C169" s="2" t="s">
        <v>49</v>
      </c>
      <c r="D169" s="2" t="s">
        <v>657</v>
      </c>
      <c r="E169" s="2" t="n">
        <f aca="false">INDEX('Salary Records'!$F$2:$F$201,MATCH(A169,'Salary Records'!$A$2:$A$201,0))</f>
        <v>26</v>
      </c>
      <c r="F169" s="2" t="n">
        <f aca="false">INDEX('Salary Records'!$G$2:$G$201,MATCH(A169,'Salary Records'!$A$2:$A$201,0))</f>
        <v>22</v>
      </c>
      <c r="G169" s="2" t="n">
        <f aca="false">INDEX('Salary Records'!$H$2:$H$201,MATCH(A169,'Salary Records'!$A$2:$A$201,0))</f>
        <v>2</v>
      </c>
      <c r="H169" s="2" t="n">
        <f aca="false">INDEX('Salary Records'!$I$2:$I$201,MATCH(A169,'Salary Records'!$A$2:$A$201,0))</f>
        <v>2</v>
      </c>
      <c r="I169" s="2" t="n">
        <f aca="false">INDEX('Salary Records'!$J$2:$J$201,MATCH(A169,'Salary Records'!$A$2:$A$201,0))</f>
        <v>0</v>
      </c>
      <c r="J169" s="2" t="n">
        <f aca="false">ROUND(F169/E169*100,1)</f>
        <v>84.6</v>
      </c>
      <c r="K169" s="2" t="n">
        <v>2</v>
      </c>
      <c r="L169" s="2" t="n">
        <f aca="false">INDEX('Salary Records'!$K$2:$K$201,MATCH(A169,'Salary Records'!$A$2:$A$201,0))</f>
        <v>2</v>
      </c>
      <c r="M169" s="2" t="n">
        <f aca="false">INDEX('Salary Records'!$L$2:$L$201,MATCH(A169,'Salary Records'!$A$2:$A$201,0))</f>
        <v>0</v>
      </c>
      <c r="N169" s="2" t="n">
        <f aca="false">INDEX('Salary Records'!$E$2:$E$201,MATCH(A169,'Salary Records'!$A$2:$A$201,0))</f>
        <v>30000</v>
      </c>
      <c r="O169" s="2" t="n">
        <f aca="false">INDEX('Salary Records'!$O$2:$O$201,MATCH(A169,'Salary Records'!$A$2:$A$201,0))</f>
        <v>0</v>
      </c>
      <c r="P169" s="2" t="n">
        <f aca="false">INDEX('PF Records'!$H$2:$H$201,MATCH(A169,'PF Records'!$A$2:$A$201,0))</f>
        <v>3600</v>
      </c>
      <c r="Q169" s="2" t="n">
        <f aca="false">INDEX('PF Records'!$I$2:$I$201,MATCH(A169,'PF Records'!$A$2:$A$201,0))</f>
        <v>3600</v>
      </c>
      <c r="R169" s="2" t="n">
        <f aca="false">P169+Q169</f>
        <v>7200</v>
      </c>
      <c r="S169" s="2" t="n">
        <f aca="false">INDEX('Salary Records'!$S$2:$S$201,MATCH(A169,'Salary Records'!$A$2:$A$201,0))</f>
        <v>26400</v>
      </c>
      <c r="T169" s="2" t="n">
        <f aca="false">INDEX('Employee Master'!$I$2:$I$201,MATCH(A169,'Employee Master'!$A$2:$A$201,0))</f>
        <v>7</v>
      </c>
      <c r="U169" s="2" t="n">
        <f aca="false">INDEX('Employee Master'!$H$2:$H$201,MATCH(A169,'Employee Master'!$A$2:$A$201,0))</f>
        <v>6.3</v>
      </c>
      <c r="V169" s="2" t="n">
        <f aca="false">INDEX('Employee Master'!$J$2:$J$201,MATCH(A169,'Employee Master'!$A$2:$A$201,0))</f>
        <v>13.3</v>
      </c>
    </row>
    <row r="170" customFormat="false" ht="15" hidden="false" customHeight="false" outlineLevel="0" collapsed="false">
      <c r="A170" s="2" t="s">
        <v>385</v>
      </c>
      <c r="B170" s="2" t="s">
        <v>386</v>
      </c>
      <c r="C170" s="2" t="s">
        <v>53</v>
      </c>
      <c r="D170" s="2" t="s">
        <v>657</v>
      </c>
      <c r="E170" s="2" t="n">
        <f aca="false">INDEX('Salary Records'!$F$2:$F$201,MATCH(A170,'Salary Records'!$A$2:$A$201,0))</f>
        <v>26</v>
      </c>
      <c r="F170" s="2" t="n">
        <f aca="false">INDEX('Salary Records'!$G$2:$G$201,MATCH(A170,'Salary Records'!$A$2:$A$201,0))</f>
        <v>21</v>
      </c>
      <c r="G170" s="2" t="n">
        <f aca="false">INDEX('Salary Records'!$H$2:$H$201,MATCH(A170,'Salary Records'!$A$2:$A$201,0))</f>
        <v>3</v>
      </c>
      <c r="H170" s="2" t="n">
        <f aca="false">INDEX('Salary Records'!$I$2:$I$201,MATCH(A170,'Salary Records'!$A$2:$A$201,0))</f>
        <v>0</v>
      </c>
      <c r="I170" s="2" t="n">
        <f aca="false">INDEX('Salary Records'!$J$2:$J$201,MATCH(A170,'Salary Records'!$A$2:$A$201,0))</f>
        <v>2</v>
      </c>
      <c r="J170" s="2" t="n">
        <f aca="false">ROUND(F170/E170*100,1)</f>
        <v>80.8</v>
      </c>
      <c r="K170" s="2" t="n">
        <v>2</v>
      </c>
      <c r="L170" s="2" t="n">
        <f aca="false">INDEX('Salary Records'!$K$2:$K$201,MATCH(A170,'Salary Records'!$A$2:$A$201,0))</f>
        <v>2</v>
      </c>
      <c r="M170" s="2" t="n">
        <f aca="false">INDEX('Salary Records'!$L$2:$L$201,MATCH(A170,'Salary Records'!$A$2:$A$201,0))</f>
        <v>1</v>
      </c>
      <c r="N170" s="2" t="n">
        <f aca="false">INDEX('Salary Records'!$E$2:$E$201,MATCH(A170,'Salary Records'!$A$2:$A$201,0))</f>
        <v>24500</v>
      </c>
      <c r="O170" s="2" t="n">
        <f aca="false">INDEX('Salary Records'!$O$2:$O$201,MATCH(A170,'Salary Records'!$A$2:$A$201,0))</f>
        <v>942.31</v>
      </c>
      <c r="P170" s="2" t="n">
        <f aca="false">INDEX('PF Records'!$H$2:$H$201,MATCH(A170,'PF Records'!$A$2:$A$201,0))</f>
        <v>2940</v>
      </c>
      <c r="Q170" s="2" t="n">
        <f aca="false">INDEX('PF Records'!$I$2:$I$201,MATCH(A170,'PF Records'!$A$2:$A$201,0))</f>
        <v>2940</v>
      </c>
      <c r="R170" s="2" t="n">
        <f aca="false">P170+Q170</f>
        <v>5880</v>
      </c>
      <c r="S170" s="2" t="n">
        <f aca="false">INDEX('Salary Records'!$S$2:$S$201,MATCH(A170,'Salary Records'!$A$2:$A$201,0))</f>
        <v>19675.38</v>
      </c>
      <c r="T170" s="2" t="n">
        <f aca="false">INDEX('Employee Master'!$I$2:$I$201,MATCH(A170,'Employee Master'!$A$2:$A$201,0))</f>
        <v>7.2</v>
      </c>
      <c r="U170" s="2" t="n">
        <f aca="false">INDEX('Employee Master'!$H$2:$H$201,MATCH(A170,'Employee Master'!$A$2:$A$201,0))</f>
        <v>0</v>
      </c>
      <c r="V170" s="2" t="n">
        <f aca="false">INDEX('Employee Master'!$J$2:$J$201,MATCH(A170,'Employee Master'!$A$2:$A$201,0))</f>
        <v>7.2</v>
      </c>
    </row>
    <row r="171" customFormat="false" ht="15" hidden="false" customHeight="false" outlineLevel="0" collapsed="false">
      <c r="A171" s="2" t="s">
        <v>387</v>
      </c>
      <c r="B171" s="2" t="s">
        <v>388</v>
      </c>
      <c r="C171" s="2" t="s">
        <v>57</v>
      </c>
      <c r="D171" s="2" t="s">
        <v>657</v>
      </c>
      <c r="E171" s="2" t="n">
        <f aca="false">INDEX('Salary Records'!$F$2:$F$201,MATCH(A171,'Salary Records'!$A$2:$A$201,0))</f>
        <v>26</v>
      </c>
      <c r="F171" s="2" t="n">
        <f aca="false">INDEX('Salary Records'!$G$2:$G$201,MATCH(A171,'Salary Records'!$A$2:$A$201,0))</f>
        <v>23</v>
      </c>
      <c r="G171" s="2" t="n">
        <f aca="false">INDEX('Salary Records'!$H$2:$H$201,MATCH(A171,'Salary Records'!$A$2:$A$201,0))</f>
        <v>1</v>
      </c>
      <c r="H171" s="2" t="n">
        <f aca="false">INDEX('Salary Records'!$I$2:$I$201,MATCH(A171,'Salary Records'!$A$2:$A$201,0))</f>
        <v>2</v>
      </c>
      <c r="I171" s="2" t="n">
        <f aca="false">INDEX('Salary Records'!$J$2:$J$201,MATCH(A171,'Salary Records'!$A$2:$A$201,0))</f>
        <v>0</v>
      </c>
      <c r="J171" s="2" t="n">
        <f aca="false">ROUND(F171/E171*100,1)</f>
        <v>88.5</v>
      </c>
      <c r="K171" s="2" t="n">
        <v>2</v>
      </c>
      <c r="L171" s="2" t="n">
        <f aca="false">INDEX('Salary Records'!$K$2:$K$201,MATCH(A171,'Salary Records'!$A$2:$A$201,0))</f>
        <v>1</v>
      </c>
      <c r="M171" s="2" t="n">
        <f aca="false">INDEX('Salary Records'!$L$2:$L$201,MATCH(A171,'Salary Records'!$A$2:$A$201,0))</f>
        <v>0</v>
      </c>
      <c r="N171" s="2" t="n">
        <f aca="false">INDEX('Salary Records'!$E$2:$E$201,MATCH(A171,'Salary Records'!$A$2:$A$201,0))</f>
        <v>29000</v>
      </c>
      <c r="O171" s="2" t="n">
        <f aca="false">INDEX('Salary Records'!$O$2:$O$201,MATCH(A171,'Salary Records'!$A$2:$A$201,0))</f>
        <v>0</v>
      </c>
      <c r="P171" s="2" t="n">
        <f aca="false">INDEX('PF Records'!$H$2:$H$201,MATCH(A171,'PF Records'!$A$2:$A$201,0))</f>
        <v>3480</v>
      </c>
      <c r="Q171" s="2" t="n">
        <f aca="false">INDEX('PF Records'!$I$2:$I$201,MATCH(A171,'PF Records'!$A$2:$A$201,0))</f>
        <v>3480</v>
      </c>
      <c r="R171" s="2" t="n">
        <f aca="false">P171+Q171</f>
        <v>6960</v>
      </c>
      <c r="S171" s="2" t="n">
        <f aca="false">INDEX('Salary Records'!$S$2:$S$201,MATCH(A171,'Salary Records'!$A$2:$A$201,0))</f>
        <v>25520</v>
      </c>
      <c r="T171" s="2" t="n">
        <f aca="false">INDEX('Employee Master'!$I$2:$I$201,MATCH(A171,'Employee Master'!$A$2:$A$201,0))</f>
        <v>8.4</v>
      </c>
      <c r="U171" s="2" t="n">
        <f aca="false">INDEX('Employee Master'!$H$2:$H$201,MATCH(A171,'Employee Master'!$A$2:$A$201,0))</f>
        <v>1.1</v>
      </c>
      <c r="V171" s="2" t="n">
        <f aca="false">INDEX('Employee Master'!$J$2:$J$201,MATCH(A171,'Employee Master'!$A$2:$A$201,0))</f>
        <v>9.5</v>
      </c>
    </row>
    <row r="172" customFormat="false" ht="15" hidden="false" customHeight="false" outlineLevel="0" collapsed="false">
      <c r="A172" s="2" t="s">
        <v>389</v>
      </c>
      <c r="B172" s="2" t="s">
        <v>390</v>
      </c>
      <c r="C172" s="2" t="s">
        <v>17</v>
      </c>
      <c r="D172" s="2" t="s">
        <v>657</v>
      </c>
      <c r="E172" s="2" t="n">
        <f aca="false">INDEX('Salary Records'!$F$2:$F$201,MATCH(A172,'Salary Records'!$A$2:$A$201,0))</f>
        <v>26</v>
      </c>
      <c r="F172" s="2" t="n">
        <f aca="false">INDEX('Salary Records'!$G$2:$G$201,MATCH(A172,'Salary Records'!$A$2:$A$201,0))</f>
        <v>25</v>
      </c>
      <c r="G172" s="2" t="n">
        <f aca="false">INDEX('Salary Records'!$H$2:$H$201,MATCH(A172,'Salary Records'!$A$2:$A$201,0))</f>
        <v>0</v>
      </c>
      <c r="H172" s="2" t="n">
        <f aca="false">INDEX('Salary Records'!$I$2:$I$201,MATCH(A172,'Salary Records'!$A$2:$A$201,0))</f>
        <v>0</v>
      </c>
      <c r="I172" s="2" t="n">
        <f aca="false">INDEX('Salary Records'!$J$2:$J$201,MATCH(A172,'Salary Records'!$A$2:$A$201,0))</f>
        <v>1</v>
      </c>
      <c r="J172" s="2" t="n">
        <f aca="false">ROUND(F172/E172*100,1)</f>
        <v>96.2</v>
      </c>
      <c r="K172" s="2" t="n">
        <v>2</v>
      </c>
      <c r="L172" s="2" t="n">
        <f aca="false">INDEX('Salary Records'!$K$2:$K$201,MATCH(A172,'Salary Records'!$A$2:$A$201,0))</f>
        <v>0</v>
      </c>
      <c r="M172" s="2" t="n">
        <f aca="false">INDEX('Salary Records'!$L$2:$L$201,MATCH(A172,'Salary Records'!$A$2:$A$201,0))</f>
        <v>0</v>
      </c>
      <c r="N172" s="2" t="n">
        <f aca="false">INDEX('Salary Records'!$E$2:$E$201,MATCH(A172,'Salary Records'!$A$2:$A$201,0))</f>
        <v>68500</v>
      </c>
      <c r="O172" s="2" t="n">
        <f aca="false">INDEX('Salary Records'!$O$2:$O$201,MATCH(A172,'Salary Records'!$A$2:$A$201,0))</f>
        <v>0</v>
      </c>
      <c r="P172" s="2" t="n">
        <f aca="false">INDEX('PF Records'!$H$2:$H$201,MATCH(A172,'PF Records'!$A$2:$A$201,0))</f>
        <v>8220</v>
      </c>
      <c r="Q172" s="2" t="n">
        <f aca="false">INDEX('PF Records'!$I$2:$I$201,MATCH(A172,'PF Records'!$A$2:$A$201,0))</f>
        <v>8220</v>
      </c>
      <c r="R172" s="2" t="n">
        <f aca="false">P172+Q172</f>
        <v>16440</v>
      </c>
      <c r="S172" s="2" t="n">
        <f aca="false">INDEX('Salary Records'!$S$2:$S$201,MATCH(A172,'Salary Records'!$A$2:$A$201,0))</f>
        <v>58962.69</v>
      </c>
      <c r="T172" s="2" t="n">
        <f aca="false">INDEX('Employee Master'!$I$2:$I$201,MATCH(A172,'Employee Master'!$A$2:$A$201,0))</f>
        <v>5</v>
      </c>
      <c r="U172" s="2" t="n">
        <f aca="false">INDEX('Employee Master'!$H$2:$H$201,MATCH(A172,'Employee Master'!$A$2:$A$201,0))</f>
        <v>0.1</v>
      </c>
      <c r="V172" s="2" t="n">
        <f aca="false">INDEX('Employee Master'!$J$2:$J$201,MATCH(A172,'Employee Master'!$A$2:$A$201,0))</f>
        <v>5.1</v>
      </c>
    </row>
    <row r="173" customFormat="false" ht="15" hidden="false" customHeight="false" outlineLevel="0" collapsed="false">
      <c r="A173" s="2" t="s">
        <v>391</v>
      </c>
      <c r="B173" s="2" t="s">
        <v>392</v>
      </c>
      <c r="C173" s="2" t="s">
        <v>24</v>
      </c>
      <c r="D173" s="2" t="s">
        <v>657</v>
      </c>
      <c r="E173" s="2" t="n">
        <f aca="false">INDEX('Salary Records'!$F$2:$F$201,MATCH(A173,'Salary Records'!$A$2:$A$201,0))</f>
        <v>26</v>
      </c>
      <c r="F173" s="2" t="n">
        <f aca="false">INDEX('Salary Records'!$G$2:$G$201,MATCH(A173,'Salary Records'!$A$2:$A$201,0))</f>
        <v>24</v>
      </c>
      <c r="G173" s="2" t="n">
        <f aca="false">INDEX('Salary Records'!$H$2:$H$201,MATCH(A173,'Salary Records'!$A$2:$A$201,0))</f>
        <v>1</v>
      </c>
      <c r="H173" s="2" t="n">
        <f aca="false">INDEX('Salary Records'!$I$2:$I$201,MATCH(A173,'Salary Records'!$A$2:$A$201,0))</f>
        <v>1</v>
      </c>
      <c r="I173" s="2" t="n">
        <f aca="false">INDEX('Salary Records'!$J$2:$J$201,MATCH(A173,'Salary Records'!$A$2:$A$201,0))</f>
        <v>0</v>
      </c>
      <c r="J173" s="2" t="n">
        <f aca="false">ROUND(F173/E173*100,1)</f>
        <v>92.3</v>
      </c>
      <c r="K173" s="2" t="n">
        <v>2</v>
      </c>
      <c r="L173" s="2" t="n">
        <f aca="false">INDEX('Salary Records'!$K$2:$K$201,MATCH(A173,'Salary Records'!$A$2:$A$201,0))</f>
        <v>1</v>
      </c>
      <c r="M173" s="2" t="n">
        <f aca="false">INDEX('Salary Records'!$L$2:$L$201,MATCH(A173,'Salary Records'!$A$2:$A$201,0))</f>
        <v>0</v>
      </c>
      <c r="N173" s="2" t="n">
        <f aca="false">INDEX('Salary Records'!$E$2:$E$201,MATCH(A173,'Salary Records'!$A$2:$A$201,0))</f>
        <v>125000</v>
      </c>
      <c r="O173" s="2" t="n">
        <f aca="false">INDEX('Salary Records'!$O$2:$O$201,MATCH(A173,'Salary Records'!$A$2:$A$201,0))</f>
        <v>0</v>
      </c>
      <c r="P173" s="2" t="n">
        <f aca="false">INDEX('PF Records'!$H$2:$H$201,MATCH(A173,'PF Records'!$A$2:$A$201,0))</f>
        <v>15000</v>
      </c>
      <c r="Q173" s="2" t="n">
        <f aca="false">INDEX('PF Records'!$I$2:$I$201,MATCH(A173,'PF Records'!$A$2:$A$201,0))</f>
        <v>15000</v>
      </c>
      <c r="R173" s="2" t="n">
        <f aca="false">P173+Q173</f>
        <v>30000</v>
      </c>
      <c r="S173" s="2" t="n">
        <f aca="false">INDEX('Salary Records'!$S$2:$S$201,MATCH(A173,'Salary Records'!$A$2:$A$201,0))</f>
        <v>110000</v>
      </c>
      <c r="T173" s="2" t="n">
        <f aca="false">INDEX('Employee Master'!$I$2:$I$201,MATCH(A173,'Employee Master'!$A$2:$A$201,0))</f>
        <v>2.8</v>
      </c>
      <c r="U173" s="2" t="n">
        <f aca="false">INDEX('Employee Master'!$H$2:$H$201,MATCH(A173,'Employee Master'!$A$2:$A$201,0))</f>
        <v>0.9</v>
      </c>
      <c r="V173" s="2" t="n">
        <f aca="false">INDEX('Employee Master'!$J$2:$J$201,MATCH(A173,'Employee Master'!$A$2:$A$201,0))</f>
        <v>3.7</v>
      </c>
    </row>
    <row r="174" customFormat="false" ht="15" hidden="false" customHeight="false" outlineLevel="0" collapsed="false">
      <c r="A174" s="2" t="s">
        <v>393</v>
      </c>
      <c r="B174" s="2" t="s">
        <v>394</v>
      </c>
      <c r="C174" s="2" t="s">
        <v>28</v>
      </c>
      <c r="D174" s="2" t="s">
        <v>657</v>
      </c>
      <c r="E174" s="2" t="n">
        <f aca="false">INDEX('Salary Records'!$F$2:$F$201,MATCH(A174,'Salary Records'!$A$2:$A$201,0))</f>
        <v>26</v>
      </c>
      <c r="F174" s="2" t="n">
        <f aca="false">INDEX('Salary Records'!$G$2:$G$201,MATCH(A174,'Salary Records'!$A$2:$A$201,0))</f>
        <v>14</v>
      </c>
      <c r="G174" s="2" t="n">
        <f aca="false">INDEX('Salary Records'!$H$2:$H$201,MATCH(A174,'Salary Records'!$A$2:$A$201,0))</f>
        <v>9</v>
      </c>
      <c r="H174" s="2" t="n">
        <f aca="false">INDEX('Salary Records'!$I$2:$I$201,MATCH(A174,'Salary Records'!$A$2:$A$201,0))</f>
        <v>2</v>
      </c>
      <c r="I174" s="2" t="n">
        <f aca="false">INDEX('Salary Records'!$J$2:$J$201,MATCH(A174,'Salary Records'!$A$2:$A$201,0))</f>
        <v>1</v>
      </c>
      <c r="J174" s="2" t="n">
        <f aca="false">ROUND(F174/E174*100,1)</f>
        <v>53.8</v>
      </c>
      <c r="K174" s="2" t="n">
        <v>2</v>
      </c>
      <c r="L174" s="2" t="n">
        <f aca="false">INDEX('Salary Records'!$K$2:$K$201,MATCH(A174,'Salary Records'!$A$2:$A$201,0))</f>
        <v>2</v>
      </c>
      <c r="M174" s="2" t="n">
        <f aca="false">INDEX('Salary Records'!$L$2:$L$201,MATCH(A174,'Salary Records'!$A$2:$A$201,0))</f>
        <v>7</v>
      </c>
      <c r="N174" s="2" t="n">
        <f aca="false">INDEX('Salary Records'!$E$2:$E$201,MATCH(A174,'Salary Records'!$A$2:$A$201,0))</f>
        <v>106000</v>
      </c>
      <c r="O174" s="2" t="n">
        <f aca="false">INDEX('Salary Records'!$O$2:$O$201,MATCH(A174,'Salary Records'!$A$2:$A$201,0))</f>
        <v>28538.44</v>
      </c>
      <c r="P174" s="2" t="n">
        <f aca="false">INDEX('PF Records'!$H$2:$H$201,MATCH(A174,'PF Records'!$A$2:$A$201,0))</f>
        <v>12720</v>
      </c>
      <c r="Q174" s="2" t="n">
        <f aca="false">INDEX('PF Records'!$I$2:$I$201,MATCH(A174,'PF Records'!$A$2:$A$201,0))</f>
        <v>12720</v>
      </c>
      <c r="R174" s="2" t="n">
        <f aca="false">P174+Q174</f>
        <v>25440</v>
      </c>
      <c r="S174" s="2" t="n">
        <f aca="false">INDEX('Salary Records'!$S$2:$S$201,MATCH(A174,'Salary Records'!$A$2:$A$201,0))</f>
        <v>62703.1</v>
      </c>
      <c r="T174" s="2" t="n">
        <f aca="false">INDEX('Employee Master'!$I$2:$I$201,MATCH(A174,'Employee Master'!$A$2:$A$201,0))</f>
        <v>4.6</v>
      </c>
      <c r="U174" s="2" t="n">
        <f aca="false">INDEX('Employee Master'!$H$2:$H$201,MATCH(A174,'Employee Master'!$A$2:$A$201,0))</f>
        <v>4.1</v>
      </c>
      <c r="V174" s="2" t="n">
        <f aca="false">INDEX('Employee Master'!$J$2:$J$201,MATCH(A174,'Employee Master'!$A$2:$A$201,0))</f>
        <v>8.7</v>
      </c>
    </row>
    <row r="175" customFormat="false" ht="15" hidden="false" customHeight="false" outlineLevel="0" collapsed="false">
      <c r="A175" s="2" t="s">
        <v>395</v>
      </c>
      <c r="B175" s="2" t="s">
        <v>396</v>
      </c>
      <c r="C175" s="2" t="s">
        <v>32</v>
      </c>
      <c r="D175" s="2" t="s">
        <v>657</v>
      </c>
      <c r="E175" s="2" t="n">
        <f aca="false">INDEX('Salary Records'!$F$2:$F$201,MATCH(A175,'Salary Records'!$A$2:$A$201,0))</f>
        <v>26</v>
      </c>
      <c r="F175" s="2" t="n">
        <f aca="false">INDEX('Salary Records'!$G$2:$G$201,MATCH(A175,'Salary Records'!$A$2:$A$201,0))</f>
        <v>21</v>
      </c>
      <c r="G175" s="2" t="n">
        <f aca="false">INDEX('Salary Records'!$H$2:$H$201,MATCH(A175,'Salary Records'!$A$2:$A$201,0))</f>
        <v>4</v>
      </c>
      <c r="H175" s="2" t="n">
        <f aca="false">INDEX('Salary Records'!$I$2:$I$201,MATCH(A175,'Salary Records'!$A$2:$A$201,0))</f>
        <v>1</v>
      </c>
      <c r="I175" s="2" t="n">
        <f aca="false">INDEX('Salary Records'!$J$2:$J$201,MATCH(A175,'Salary Records'!$A$2:$A$201,0))</f>
        <v>0</v>
      </c>
      <c r="J175" s="2" t="n">
        <f aca="false">ROUND(F175/E175*100,1)</f>
        <v>80.8</v>
      </c>
      <c r="K175" s="2" t="n">
        <v>2</v>
      </c>
      <c r="L175" s="2" t="n">
        <f aca="false">INDEX('Salary Records'!$K$2:$K$201,MATCH(A175,'Salary Records'!$A$2:$A$201,0))</f>
        <v>2</v>
      </c>
      <c r="M175" s="2" t="n">
        <f aca="false">INDEX('Salary Records'!$L$2:$L$201,MATCH(A175,'Salary Records'!$A$2:$A$201,0))</f>
        <v>2</v>
      </c>
      <c r="N175" s="2" t="n">
        <f aca="false">INDEX('Salary Records'!$E$2:$E$201,MATCH(A175,'Salary Records'!$A$2:$A$201,0))</f>
        <v>32500</v>
      </c>
      <c r="O175" s="2" t="n">
        <f aca="false">INDEX('Salary Records'!$O$2:$O$201,MATCH(A175,'Salary Records'!$A$2:$A$201,0))</f>
        <v>2500</v>
      </c>
      <c r="P175" s="2" t="n">
        <f aca="false">INDEX('PF Records'!$H$2:$H$201,MATCH(A175,'PF Records'!$A$2:$A$201,0))</f>
        <v>3900</v>
      </c>
      <c r="Q175" s="2" t="n">
        <f aca="false">INDEX('PF Records'!$I$2:$I$201,MATCH(A175,'PF Records'!$A$2:$A$201,0))</f>
        <v>3900</v>
      </c>
      <c r="R175" s="2" t="n">
        <f aca="false">P175+Q175</f>
        <v>7800</v>
      </c>
      <c r="S175" s="2" t="n">
        <f aca="false">INDEX('Salary Records'!$S$2:$S$201,MATCH(A175,'Salary Records'!$A$2:$A$201,0))</f>
        <v>26100</v>
      </c>
      <c r="T175" s="2" t="n">
        <f aca="false">INDEX('Employee Master'!$I$2:$I$201,MATCH(A175,'Employee Master'!$A$2:$A$201,0))</f>
        <v>1.8</v>
      </c>
      <c r="U175" s="2" t="n">
        <f aca="false">INDEX('Employee Master'!$H$2:$H$201,MATCH(A175,'Employee Master'!$A$2:$A$201,0))</f>
        <v>0.3</v>
      </c>
      <c r="V175" s="2" t="n">
        <f aca="false">INDEX('Employee Master'!$J$2:$J$201,MATCH(A175,'Employee Master'!$A$2:$A$201,0))</f>
        <v>2.1</v>
      </c>
    </row>
    <row r="176" customFormat="false" ht="15" hidden="false" customHeight="false" outlineLevel="0" collapsed="false">
      <c r="A176" s="2" t="s">
        <v>397</v>
      </c>
      <c r="B176" s="2" t="s">
        <v>398</v>
      </c>
      <c r="C176" s="2" t="s">
        <v>36</v>
      </c>
      <c r="D176" s="2" t="s">
        <v>657</v>
      </c>
      <c r="E176" s="2" t="n">
        <f aca="false">INDEX('Salary Records'!$F$2:$F$201,MATCH(A176,'Salary Records'!$A$2:$A$201,0))</f>
        <v>26</v>
      </c>
      <c r="F176" s="2" t="n">
        <f aca="false">INDEX('Salary Records'!$G$2:$G$201,MATCH(A176,'Salary Records'!$A$2:$A$201,0))</f>
        <v>17</v>
      </c>
      <c r="G176" s="2" t="n">
        <f aca="false">INDEX('Salary Records'!$H$2:$H$201,MATCH(A176,'Salary Records'!$A$2:$A$201,0))</f>
        <v>8</v>
      </c>
      <c r="H176" s="2" t="n">
        <f aca="false">INDEX('Salary Records'!$I$2:$I$201,MATCH(A176,'Salary Records'!$A$2:$A$201,0))</f>
        <v>1</v>
      </c>
      <c r="I176" s="2" t="n">
        <f aca="false">INDEX('Salary Records'!$J$2:$J$201,MATCH(A176,'Salary Records'!$A$2:$A$201,0))</f>
        <v>0</v>
      </c>
      <c r="J176" s="2" t="n">
        <f aca="false">ROUND(F176/E176*100,1)</f>
        <v>65.4</v>
      </c>
      <c r="K176" s="2" t="n">
        <v>2</v>
      </c>
      <c r="L176" s="2" t="n">
        <f aca="false">INDEX('Salary Records'!$K$2:$K$201,MATCH(A176,'Salary Records'!$A$2:$A$201,0))</f>
        <v>2</v>
      </c>
      <c r="M176" s="2" t="n">
        <f aca="false">INDEX('Salary Records'!$L$2:$L$201,MATCH(A176,'Salary Records'!$A$2:$A$201,0))</f>
        <v>6</v>
      </c>
      <c r="N176" s="2" t="n">
        <f aca="false">INDEX('Salary Records'!$E$2:$E$201,MATCH(A176,'Salary Records'!$A$2:$A$201,0))</f>
        <v>75000</v>
      </c>
      <c r="O176" s="2" t="n">
        <f aca="false">INDEX('Salary Records'!$O$2:$O$201,MATCH(A176,'Salary Records'!$A$2:$A$201,0))</f>
        <v>17307.72</v>
      </c>
      <c r="P176" s="2" t="n">
        <f aca="false">INDEX('PF Records'!$H$2:$H$201,MATCH(A176,'PF Records'!$A$2:$A$201,0))</f>
        <v>9000</v>
      </c>
      <c r="Q176" s="2" t="n">
        <f aca="false">INDEX('PF Records'!$I$2:$I$201,MATCH(A176,'PF Records'!$A$2:$A$201,0))</f>
        <v>9000</v>
      </c>
      <c r="R176" s="2" t="n">
        <f aca="false">P176+Q176</f>
        <v>18000</v>
      </c>
      <c r="S176" s="2" t="n">
        <f aca="false">INDEX('Salary Records'!$S$2:$S$201,MATCH(A176,'Salary Records'!$A$2:$A$201,0))</f>
        <v>45807.66</v>
      </c>
      <c r="T176" s="2" t="n">
        <f aca="false">INDEX('Employee Master'!$I$2:$I$201,MATCH(A176,'Employee Master'!$A$2:$A$201,0))</f>
        <v>1.4</v>
      </c>
      <c r="U176" s="2" t="n">
        <f aca="false">INDEX('Employee Master'!$H$2:$H$201,MATCH(A176,'Employee Master'!$A$2:$A$201,0))</f>
        <v>7.7</v>
      </c>
      <c r="V176" s="2" t="n">
        <f aca="false">INDEX('Employee Master'!$J$2:$J$201,MATCH(A176,'Employee Master'!$A$2:$A$201,0))</f>
        <v>9.1</v>
      </c>
    </row>
    <row r="177" customFormat="false" ht="15" hidden="false" customHeight="false" outlineLevel="0" collapsed="false">
      <c r="A177" s="2" t="s">
        <v>399</v>
      </c>
      <c r="B177" s="2" t="s">
        <v>400</v>
      </c>
      <c r="C177" s="2" t="s">
        <v>41</v>
      </c>
      <c r="D177" s="2" t="s">
        <v>657</v>
      </c>
      <c r="E177" s="2" t="n">
        <f aca="false">INDEX('Salary Records'!$F$2:$F$201,MATCH(A177,'Salary Records'!$A$2:$A$201,0))</f>
        <v>26</v>
      </c>
      <c r="F177" s="2" t="n">
        <f aca="false">INDEX('Salary Records'!$G$2:$G$201,MATCH(A177,'Salary Records'!$A$2:$A$201,0))</f>
        <v>25</v>
      </c>
      <c r="G177" s="2" t="n">
        <f aca="false">INDEX('Salary Records'!$H$2:$H$201,MATCH(A177,'Salary Records'!$A$2:$A$201,0))</f>
        <v>0</v>
      </c>
      <c r="H177" s="2" t="n">
        <f aca="false">INDEX('Salary Records'!$I$2:$I$201,MATCH(A177,'Salary Records'!$A$2:$A$201,0))</f>
        <v>0</v>
      </c>
      <c r="I177" s="2" t="n">
        <f aca="false">INDEX('Salary Records'!$J$2:$J$201,MATCH(A177,'Salary Records'!$A$2:$A$201,0))</f>
        <v>1</v>
      </c>
      <c r="J177" s="2" t="n">
        <f aca="false">ROUND(F177/E177*100,1)</f>
        <v>96.2</v>
      </c>
      <c r="K177" s="2" t="n">
        <v>2</v>
      </c>
      <c r="L177" s="2" t="n">
        <f aca="false">INDEX('Salary Records'!$K$2:$K$201,MATCH(A177,'Salary Records'!$A$2:$A$201,0))</f>
        <v>0</v>
      </c>
      <c r="M177" s="2" t="n">
        <f aca="false">INDEX('Salary Records'!$L$2:$L$201,MATCH(A177,'Salary Records'!$A$2:$A$201,0))</f>
        <v>0</v>
      </c>
      <c r="N177" s="2" t="n">
        <f aca="false">INDEX('Salary Records'!$E$2:$E$201,MATCH(A177,'Salary Records'!$A$2:$A$201,0))</f>
        <v>76500</v>
      </c>
      <c r="O177" s="2" t="n">
        <f aca="false">INDEX('Salary Records'!$O$2:$O$201,MATCH(A177,'Salary Records'!$A$2:$A$201,0))</f>
        <v>0</v>
      </c>
      <c r="P177" s="2" t="n">
        <f aca="false">INDEX('PF Records'!$H$2:$H$201,MATCH(A177,'PF Records'!$A$2:$A$201,0))</f>
        <v>9180</v>
      </c>
      <c r="Q177" s="2" t="n">
        <f aca="false">INDEX('PF Records'!$I$2:$I$201,MATCH(A177,'PF Records'!$A$2:$A$201,0))</f>
        <v>9180</v>
      </c>
      <c r="R177" s="2" t="n">
        <f aca="false">P177+Q177</f>
        <v>18360</v>
      </c>
      <c r="S177" s="2" t="n">
        <f aca="false">INDEX('Salary Records'!$S$2:$S$201,MATCH(A177,'Salary Records'!$A$2:$A$201,0))</f>
        <v>65848.84</v>
      </c>
      <c r="T177" s="2" t="n">
        <f aca="false">INDEX('Employee Master'!$I$2:$I$201,MATCH(A177,'Employee Master'!$A$2:$A$201,0))</f>
        <v>3.9</v>
      </c>
      <c r="U177" s="2" t="n">
        <f aca="false">INDEX('Employee Master'!$H$2:$H$201,MATCH(A177,'Employee Master'!$A$2:$A$201,0))</f>
        <v>0</v>
      </c>
      <c r="V177" s="2" t="n">
        <f aca="false">INDEX('Employee Master'!$J$2:$J$201,MATCH(A177,'Employee Master'!$A$2:$A$201,0))</f>
        <v>3.9</v>
      </c>
    </row>
    <row r="178" customFormat="false" ht="15" hidden="false" customHeight="false" outlineLevel="0" collapsed="false">
      <c r="A178" s="2" t="s">
        <v>401</v>
      </c>
      <c r="B178" s="2" t="s">
        <v>402</v>
      </c>
      <c r="C178" s="2" t="s">
        <v>45</v>
      </c>
      <c r="D178" s="2" t="s">
        <v>657</v>
      </c>
      <c r="E178" s="2" t="n">
        <f aca="false">INDEX('Salary Records'!$F$2:$F$201,MATCH(A178,'Salary Records'!$A$2:$A$201,0))</f>
        <v>26</v>
      </c>
      <c r="F178" s="2" t="n">
        <f aca="false">INDEX('Salary Records'!$G$2:$G$201,MATCH(A178,'Salary Records'!$A$2:$A$201,0))</f>
        <v>23</v>
      </c>
      <c r="G178" s="2" t="n">
        <f aca="false">INDEX('Salary Records'!$H$2:$H$201,MATCH(A178,'Salary Records'!$A$2:$A$201,0))</f>
        <v>1</v>
      </c>
      <c r="H178" s="2" t="n">
        <f aca="false">INDEX('Salary Records'!$I$2:$I$201,MATCH(A178,'Salary Records'!$A$2:$A$201,0))</f>
        <v>1</v>
      </c>
      <c r="I178" s="2" t="n">
        <f aca="false">INDEX('Salary Records'!$J$2:$J$201,MATCH(A178,'Salary Records'!$A$2:$A$201,0))</f>
        <v>1</v>
      </c>
      <c r="J178" s="2" t="n">
        <f aca="false">ROUND(F178/E178*100,1)</f>
        <v>88.5</v>
      </c>
      <c r="K178" s="2" t="n">
        <v>2</v>
      </c>
      <c r="L178" s="2" t="n">
        <f aca="false">INDEX('Salary Records'!$K$2:$K$201,MATCH(A178,'Salary Records'!$A$2:$A$201,0))</f>
        <v>1</v>
      </c>
      <c r="M178" s="2" t="n">
        <f aca="false">INDEX('Salary Records'!$L$2:$L$201,MATCH(A178,'Salary Records'!$A$2:$A$201,0))</f>
        <v>0</v>
      </c>
      <c r="N178" s="2" t="n">
        <f aca="false">INDEX('Salary Records'!$E$2:$E$201,MATCH(A178,'Salary Records'!$A$2:$A$201,0))</f>
        <v>60000</v>
      </c>
      <c r="O178" s="2" t="n">
        <f aca="false">INDEX('Salary Records'!$O$2:$O$201,MATCH(A178,'Salary Records'!$A$2:$A$201,0))</f>
        <v>0</v>
      </c>
      <c r="P178" s="2" t="n">
        <f aca="false">INDEX('PF Records'!$H$2:$H$201,MATCH(A178,'PF Records'!$A$2:$A$201,0))</f>
        <v>7200</v>
      </c>
      <c r="Q178" s="2" t="n">
        <f aca="false">INDEX('PF Records'!$I$2:$I$201,MATCH(A178,'PF Records'!$A$2:$A$201,0))</f>
        <v>7200</v>
      </c>
      <c r="R178" s="2" t="n">
        <f aca="false">P178+Q178</f>
        <v>14400</v>
      </c>
      <c r="S178" s="2" t="n">
        <f aca="false">INDEX('Salary Records'!$S$2:$S$201,MATCH(A178,'Salary Records'!$A$2:$A$201,0))</f>
        <v>51646.15</v>
      </c>
      <c r="T178" s="2" t="n">
        <f aca="false">INDEX('Employee Master'!$I$2:$I$201,MATCH(A178,'Employee Master'!$A$2:$A$201,0))</f>
        <v>7.8</v>
      </c>
      <c r="U178" s="2" t="n">
        <f aca="false">INDEX('Employee Master'!$H$2:$H$201,MATCH(A178,'Employee Master'!$A$2:$A$201,0))</f>
        <v>2.6</v>
      </c>
      <c r="V178" s="2" t="n">
        <f aca="false">INDEX('Employee Master'!$J$2:$J$201,MATCH(A178,'Employee Master'!$A$2:$A$201,0))</f>
        <v>10.4</v>
      </c>
    </row>
    <row r="179" customFormat="false" ht="15" hidden="false" customHeight="false" outlineLevel="0" collapsed="false">
      <c r="A179" s="2" t="s">
        <v>403</v>
      </c>
      <c r="B179" s="2" t="s">
        <v>404</v>
      </c>
      <c r="C179" s="2" t="s">
        <v>49</v>
      </c>
      <c r="D179" s="2" t="s">
        <v>657</v>
      </c>
      <c r="E179" s="2" t="n">
        <f aca="false">INDEX('Salary Records'!$F$2:$F$201,MATCH(A179,'Salary Records'!$A$2:$A$201,0))</f>
        <v>26</v>
      </c>
      <c r="F179" s="2" t="n">
        <f aca="false">INDEX('Salary Records'!$G$2:$G$201,MATCH(A179,'Salary Records'!$A$2:$A$201,0))</f>
        <v>23</v>
      </c>
      <c r="G179" s="2" t="n">
        <f aca="false">INDEX('Salary Records'!$H$2:$H$201,MATCH(A179,'Salary Records'!$A$2:$A$201,0))</f>
        <v>2</v>
      </c>
      <c r="H179" s="2" t="n">
        <f aca="false">INDEX('Salary Records'!$I$2:$I$201,MATCH(A179,'Salary Records'!$A$2:$A$201,0))</f>
        <v>1</v>
      </c>
      <c r="I179" s="2" t="n">
        <f aca="false">INDEX('Salary Records'!$J$2:$J$201,MATCH(A179,'Salary Records'!$A$2:$A$201,0))</f>
        <v>0</v>
      </c>
      <c r="J179" s="2" t="n">
        <f aca="false">ROUND(F179/E179*100,1)</f>
        <v>88.5</v>
      </c>
      <c r="K179" s="2" t="n">
        <v>2</v>
      </c>
      <c r="L179" s="2" t="n">
        <f aca="false">INDEX('Salary Records'!$K$2:$K$201,MATCH(A179,'Salary Records'!$A$2:$A$201,0))</f>
        <v>2</v>
      </c>
      <c r="M179" s="2" t="n">
        <f aca="false">INDEX('Salary Records'!$L$2:$L$201,MATCH(A179,'Salary Records'!$A$2:$A$201,0))</f>
        <v>0</v>
      </c>
      <c r="N179" s="2" t="n">
        <f aca="false">INDEX('Salary Records'!$E$2:$E$201,MATCH(A179,'Salary Records'!$A$2:$A$201,0))</f>
        <v>28000</v>
      </c>
      <c r="O179" s="2" t="n">
        <f aca="false">INDEX('Salary Records'!$O$2:$O$201,MATCH(A179,'Salary Records'!$A$2:$A$201,0))</f>
        <v>0</v>
      </c>
      <c r="P179" s="2" t="n">
        <f aca="false">INDEX('PF Records'!$H$2:$H$201,MATCH(A179,'PF Records'!$A$2:$A$201,0))</f>
        <v>3360</v>
      </c>
      <c r="Q179" s="2" t="n">
        <f aca="false">INDEX('PF Records'!$I$2:$I$201,MATCH(A179,'PF Records'!$A$2:$A$201,0))</f>
        <v>3360</v>
      </c>
      <c r="R179" s="2" t="n">
        <f aca="false">P179+Q179</f>
        <v>6720</v>
      </c>
      <c r="S179" s="2" t="n">
        <f aca="false">INDEX('Salary Records'!$S$2:$S$201,MATCH(A179,'Salary Records'!$A$2:$A$201,0))</f>
        <v>24640</v>
      </c>
      <c r="T179" s="2" t="n">
        <f aca="false">INDEX('Employee Master'!$I$2:$I$201,MATCH(A179,'Employee Master'!$A$2:$A$201,0))</f>
        <v>1.7</v>
      </c>
      <c r="U179" s="2" t="n">
        <f aca="false">INDEX('Employee Master'!$H$2:$H$201,MATCH(A179,'Employee Master'!$A$2:$A$201,0))</f>
        <v>5.1</v>
      </c>
      <c r="V179" s="2" t="n">
        <f aca="false">INDEX('Employee Master'!$J$2:$J$201,MATCH(A179,'Employee Master'!$A$2:$A$201,0))</f>
        <v>6.8</v>
      </c>
    </row>
    <row r="180" customFormat="false" ht="15" hidden="false" customHeight="false" outlineLevel="0" collapsed="false">
      <c r="A180" s="2" t="s">
        <v>405</v>
      </c>
      <c r="B180" s="2" t="s">
        <v>406</v>
      </c>
      <c r="C180" s="2" t="s">
        <v>53</v>
      </c>
      <c r="D180" s="2" t="s">
        <v>657</v>
      </c>
      <c r="E180" s="2" t="n">
        <f aca="false">INDEX('Salary Records'!$F$2:$F$201,MATCH(A180,'Salary Records'!$A$2:$A$201,0))</f>
        <v>26</v>
      </c>
      <c r="F180" s="2" t="n">
        <f aca="false">INDEX('Salary Records'!$G$2:$G$201,MATCH(A180,'Salary Records'!$A$2:$A$201,0))</f>
        <v>23</v>
      </c>
      <c r="G180" s="2" t="n">
        <f aca="false">INDEX('Salary Records'!$H$2:$H$201,MATCH(A180,'Salary Records'!$A$2:$A$201,0))</f>
        <v>2</v>
      </c>
      <c r="H180" s="2" t="n">
        <f aca="false">INDEX('Salary Records'!$I$2:$I$201,MATCH(A180,'Salary Records'!$A$2:$A$201,0))</f>
        <v>1</v>
      </c>
      <c r="I180" s="2" t="n">
        <f aca="false">INDEX('Salary Records'!$J$2:$J$201,MATCH(A180,'Salary Records'!$A$2:$A$201,0))</f>
        <v>0</v>
      </c>
      <c r="J180" s="2" t="n">
        <f aca="false">ROUND(F180/E180*100,1)</f>
        <v>88.5</v>
      </c>
      <c r="K180" s="2" t="n">
        <v>2</v>
      </c>
      <c r="L180" s="2" t="n">
        <f aca="false">INDEX('Salary Records'!$K$2:$K$201,MATCH(A180,'Salary Records'!$A$2:$A$201,0))</f>
        <v>2</v>
      </c>
      <c r="M180" s="2" t="n">
        <f aca="false">INDEX('Salary Records'!$L$2:$L$201,MATCH(A180,'Salary Records'!$A$2:$A$201,0))</f>
        <v>0</v>
      </c>
      <c r="N180" s="2" t="n">
        <f aca="false">INDEX('Salary Records'!$E$2:$E$201,MATCH(A180,'Salary Records'!$A$2:$A$201,0))</f>
        <v>32500</v>
      </c>
      <c r="O180" s="2" t="n">
        <f aca="false">INDEX('Salary Records'!$O$2:$O$201,MATCH(A180,'Salary Records'!$A$2:$A$201,0))</f>
        <v>0</v>
      </c>
      <c r="P180" s="2" t="n">
        <f aca="false">INDEX('PF Records'!$H$2:$H$201,MATCH(A180,'PF Records'!$A$2:$A$201,0))</f>
        <v>3900</v>
      </c>
      <c r="Q180" s="2" t="n">
        <f aca="false">INDEX('PF Records'!$I$2:$I$201,MATCH(A180,'PF Records'!$A$2:$A$201,0))</f>
        <v>3900</v>
      </c>
      <c r="R180" s="2" t="n">
        <f aca="false">P180+Q180</f>
        <v>7800</v>
      </c>
      <c r="S180" s="2" t="n">
        <f aca="false">INDEX('Salary Records'!$S$2:$S$201,MATCH(A180,'Salary Records'!$A$2:$A$201,0))</f>
        <v>28600</v>
      </c>
      <c r="T180" s="2" t="n">
        <f aca="false">INDEX('Employee Master'!$I$2:$I$201,MATCH(A180,'Employee Master'!$A$2:$A$201,0))</f>
        <v>2</v>
      </c>
      <c r="U180" s="2" t="n">
        <f aca="false">INDEX('Employee Master'!$H$2:$H$201,MATCH(A180,'Employee Master'!$A$2:$A$201,0))</f>
        <v>4.2</v>
      </c>
      <c r="V180" s="2" t="n">
        <f aca="false">INDEX('Employee Master'!$J$2:$J$201,MATCH(A180,'Employee Master'!$A$2:$A$201,0))</f>
        <v>6.2</v>
      </c>
    </row>
    <row r="181" customFormat="false" ht="15" hidden="false" customHeight="false" outlineLevel="0" collapsed="false">
      <c r="A181" s="2" t="s">
        <v>407</v>
      </c>
      <c r="B181" s="2" t="s">
        <v>408</v>
      </c>
      <c r="C181" s="2" t="s">
        <v>57</v>
      </c>
      <c r="D181" s="2" t="s">
        <v>657</v>
      </c>
      <c r="E181" s="2" t="n">
        <f aca="false">INDEX('Salary Records'!$F$2:$F$201,MATCH(A181,'Salary Records'!$A$2:$A$201,0))</f>
        <v>26</v>
      </c>
      <c r="F181" s="2" t="n">
        <f aca="false">INDEX('Salary Records'!$G$2:$G$201,MATCH(A181,'Salary Records'!$A$2:$A$201,0))</f>
        <v>26</v>
      </c>
      <c r="G181" s="2" t="n">
        <f aca="false">INDEX('Salary Records'!$H$2:$H$201,MATCH(A181,'Salary Records'!$A$2:$A$201,0))</f>
        <v>0</v>
      </c>
      <c r="H181" s="2" t="n">
        <f aca="false">INDEX('Salary Records'!$I$2:$I$201,MATCH(A181,'Salary Records'!$A$2:$A$201,0))</f>
        <v>0</v>
      </c>
      <c r="I181" s="2" t="n">
        <f aca="false">INDEX('Salary Records'!$J$2:$J$201,MATCH(A181,'Salary Records'!$A$2:$A$201,0))</f>
        <v>0</v>
      </c>
      <c r="J181" s="2" t="n">
        <f aca="false">ROUND(F181/E181*100,1)</f>
        <v>100</v>
      </c>
      <c r="K181" s="2" t="n">
        <v>2</v>
      </c>
      <c r="L181" s="2" t="n">
        <f aca="false">INDEX('Salary Records'!$K$2:$K$201,MATCH(A181,'Salary Records'!$A$2:$A$201,0))</f>
        <v>0</v>
      </c>
      <c r="M181" s="2" t="n">
        <f aca="false">INDEX('Salary Records'!$L$2:$L$201,MATCH(A181,'Salary Records'!$A$2:$A$201,0))</f>
        <v>0</v>
      </c>
      <c r="N181" s="2" t="n">
        <f aca="false">INDEX('Salary Records'!$E$2:$E$201,MATCH(A181,'Salary Records'!$A$2:$A$201,0))</f>
        <v>41500</v>
      </c>
      <c r="O181" s="2" t="n">
        <f aca="false">INDEX('Salary Records'!$O$2:$O$201,MATCH(A181,'Salary Records'!$A$2:$A$201,0))</f>
        <v>0</v>
      </c>
      <c r="P181" s="2" t="n">
        <f aca="false">INDEX('PF Records'!$H$2:$H$201,MATCH(A181,'PF Records'!$A$2:$A$201,0))</f>
        <v>4980</v>
      </c>
      <c r="Q181" s="2" t="n">
        <f aca="false">INDEX('PF Records'!$I$2:$I$201,MATCH(A181,'PF Records'!$A$2:$A$201,0))</f>
        <v>4980</v>
      </c>
      <c r="R181" s="2" t="n">
        <f aca="false">P181+Q181</f>
        <v>9960</v>
      </c>
      <c r="S181" s="2" t="n">
        <f aca="false">INDEX('Salary Records'!$S$2:$S$201,MATCH(A181,'Salary Records'!$A$2:$A$201,0))</f>
        <v>36520</v>
      </c>
      <c r="T181" s="2" t="n">
        <f aca="false">INDEX('Employee Master'!$I$2:$I$201,MATCH(A181,'Employee Master'!$A$2:$A$201,0))</f>
        <v>0.8</v>
      </c>
      <c r="U181" s="2" t="n">
        <f aca="false">INDEX('Employee Master'!$H$2:$H$201,MATCH(A181,'Employee Master'!$A$2:$A$201,0))</f>
        <v>0.9</v>
      </c>
      <c r="V181" s="2" t="n">
        <f aca="false">INDEX('Employee Master'!$J$2:$J$201,MATCH(A181,'Employee Master'!$A$2:$A$201,0))</f>
        <v>1.7</v>
      </c>
    </row>
    <row r="182" customFormat="false" ht="15" hidden="false" customHeight="false" outlineLevel="0" collapsed="false">
      <c r="A182" s="2" t="s">
        <v>409</v>
      </c>
      <c r="B182" s="2" t="s">
        <v>410</v>
      </c>
      <c r="C182" s="2" t="s">
        <v>17</v>
      </c>
      <c r="D182" s="2" t="s">
        <v>657</v>
      </c>
      <c r="E182" s="2" t="n">
        <f aca="false">INDEX('Salary Records'!$F$2:$F$201,MATCH(A182,'Salary Records'!$A$2:$A$201,0))</f>
        <v>26</v>
      </c>
      <c r="F182" s="2" t="n">
        <f aca="false">INDEX('Salary Records'!$G$2:$G$201,MATCH(A182,'Salary Records'!$A$2:$A$201,0))</f>
        <v>23</v>
      </c>
      <c r="G182" s="2" t="n">
        <f aca="false">INDEX('Salary Records'!$H$2:$H$201,MATCH(A182,'Salary Records'!$A$2:$A$201,0))</f>
        <v>2</v>
      </c>
      <c r="H182" s="2" t="n">
        <f aca="false">INDEX('Salary Records'!$I$2:$I$201,MATCH(A182,'Salary Records'!$A$2:$A$201,0))</f>
        <v>0</v>
      </c>
      <c r="I182" s="2" t="n">
        <f aca="false">INDEX('Salary Records'!$J$2:$J$201,MATCH(A182,'Salary Records'!$A$2:$A$201,0))</f>
        <v>1</v>
      </c>
      <c r="J182" s="2" t="n">
        <f aca="false">ROUND(F182/E182*100,1)</f>
        <v>88.5</v>
      </c>
      <c r="K182" s="2" t="n">
        <v>2</v>
      </c>
      <c r="L182" s="2" t="n">
        <f aca="false">INDEX('Salary Records'!$K$2:$K$201,MATCH(A182,'Salary Records'!$A$2:$A$201,0))</f>
        <v>2</v>
      </c>
      <c r="M182" s="2" t="n">
        <f aca="false">INDEX('Salary Records'!$L$2:$L$201,MATCH(A182,'Salary Records'!$A$2:$A$201,0))</f>
        <v>0</v>
      </c>
      <c r="N182" s="2" t="n">
        <f aca="false">INDEX('Salary Records'!$E$2:$E$201,MATCH(A182,'Salary Records'!$A$2:$A$201,0))</f>
        <v>58000</v>
      </c>
      <c r="O182" s="2" t="n">
        <f aca="false">INDEX('Salary Records'!$O$2:$O$201,MATCH(A182,'Salary Records'!$A$2:$A$201,0))</f>
        <v>0</v>
      </c>
      <c r="P182" s="2" t="n">
        <f aca="false">INDEX('PF Records'!$H$2:$H$201,MATCH(A182,'PF Records'!$A$2:$A$201,0))</f>
        <v>6960</v>
      </c>
      <c r="Q182" s="2" t="n">
        <f aca="false">INDEX('PF Records'!$I$2:$I$201,MATCH(A182,'PF Records'!$A$2:$A$201,0))</f>
        <v>6960</v>
      </c>
      <c r="R182" s="2" t="n">
        <f aca="false">P182+Q182</f>
        <v>13920</v>
      </c>
      <c r="S182" s="2" t="n">
        <f aca="false">INDEX('Salary Records'!$S$2:$S$201,MATCH(A182,'Salary Records'!$A$2:$A$201,0))</f>
        <v>49924.61</v>
      </c>
      <c r="T182" s="2" t="n">
        <f aca="false">INDEX('Employee Master'!$I$2:$I$201,MATCH(A182,'Employee Master'!$A$2:$A$201,0))</f>
        <v>3.6</v>
      </c>
      <c r="U182" s="2" t="n">
        <f aca="false">INDEX('Employee Master'!$H$2:$H$201,MATCH(A182,'Employee Master'!$A$2:$A$201,0))</f>
        <v>7.1</v>
      </c>
      <c r="V182" s="2" t="n">
        <f aca="false">INDEX('Employee Master'!$J$2:$J$201,MATCH(A182,'Employee Master'!$A$2:$A$201,0))</f>
        <v>10.7</v>
      </c>
    </row>
    <row r="183" customFormat="false" ht="15" hidden="false" customHeight="false" outlineLevel="0" collapsed="false">
      <c r="A183" s="2" t="s">
        <v>411</v>
      </c>
      <c r="B183" s="2" t="s">
        <v>412</v>
      </c>
      <c r="C183" s="2" t="s">
        <v>24</v>
      </c>
      <c r="D183" s="2" t="s">
        <v>657</v>
      </c>
      <c r="E183" s="2" t="n">
        <f aca="false">INDEX('Salary Records'!$F$2:$F$201,MATCH(A183,'Salary Records'!$A$2:$A$201,0))</f>
        <v>26</v>
      </c>
      <c r="F183" s="2" t="n">
        <f aca="false">INDEX('Salary Records'!$G$2:$G$201,MATCH(A183,'Salary Records'!$A$2:$A$201,0))</f>
        <v>24</v>
      </c>
      <c r="G183" s="2" t="n">
        <f aca="false">INDEX('Salary Records'!$H$2:$H$201,MATCH(A183,'Salary Records'!$A$2:$A$201,0))</f>
        <v>2</v>
      </c>
      <c r="H183" s="2" t="n">
        <f aca="false">INDEX('Salary Records'!$I$2:$I$201,MATCH(A183,'Salary Records'!$A$2:$A$201,0))</f>
        <v>0</v>
      </c>
      <c r="I183" s="2" t="n">
        <f aca="false">INDEX('Salary Records'!$J$2:$J$201,MATCH(A183,'Salary Records'!$A$2:$A$201,0))</f>
        <v>0</v>
      </c>
      <c r="J183" s="2" t="n">
        <f aca="false">ROUND(F183/E183*100,1)</f>
        <v>92.3</v>
      </c>
      <c r="K183" s="2" t="n">
        <v>2</v>
      </c>
      <c r="L183" s="2" t="n">
        <f aca="false">INDEX('Salary Records'!$K$2:$K$201,MATCH(A183,'Salary Records'!$A$2:$A$201,0))</f>
        <v>2</v>
      </c>
      <c r="M183" s="2" t="n">
        <f aca="false">INDEX('Salary Records'!$L$2:$L$201,MATCH(A183,'Salary Records'!$A$2:$A$201,0))</f>
        <v>0</v>
      </c>
      <c r="N183" s="2" t="n">
        <f aca="false">INDEX('Salary Records'!$E$2:$E$201,MATCH(A183,'Salary Records'!$A$2:$A$201,0))</f>
        <v>58000</v>
      </c>
      <c r="O183" s="2" t="n">
        <f aca="false">INDEX('Salary Records'!$O$2:$O$201,MATCH(A183,'Salary Records'!$A$2:$A$201,0))</f>
        <v>0</v>
      </c>
      <c r="P183" s="2" t="n">
        <f aca="false">INDEX('PF Records'!$H$2:$H$201,MATCH(A183,'PF Records'!$A$2:$A$201,0))</f>
        <v>6960</v>
      </c>
      <c r="Q183" s="2" t="n">
        <f aca="false">INDEX('PF Records'!$I$2:$I$201,MATCH(A183,'PF Records'!$A$2:$A$201,0))</f>
        <v>6960</v>
      </c>
      <c r="R183" s="2" t="n">
        <f aca="false">P183+Q183</f>
        <v>13920</v>
      </c>
      <c r="S183" s="2" t="n">
        <f aca="false">INDEX('Salary Records'!$S$2:$S$201,MATCH(A183,'Salary Records'!$A$2:$A$201,0))</f>
        <v>51040</v>
      </c>
      <c r="T183" s="2" t="n">
        <f aca="false">INDEX('Employee Master'!$I$2:$I$201,MATCH(A183,'Employee Master'!$A$2:$A$201,0))</f>
        <v>4</v>
      </c>
      <c r="U183" s="2" t="n">
        <f aca="false">INDEX('Employee Master'!$H$2:$H$201,MATCH(A183,'Employee Master'!$A$2:$A$201,0))</f>
        <v>5.8</v>
      </c>
      <c r="V183" s="2" t="n">
        <f aca="false">INDEX('Employee Master'!$J$2:$J$201,MATCH(A183,'Employee Master'!$A$2:$A$201,0))</f>
        <v>9.8</v>
      </c>
    </row>
    <row r="184" customFormat="false" ht="15" hidden="false" customHeight="false" outlineLevel="0" collapsed="false">
      <c r="A184" s="2" t="s">
        <v>413</v>
      </c>
      <c r="B184" s="2" t="s">
        <v>414</v>
      </c>
      <c r="C184" s="2" t="s">
        <v>28</v>
      </c>
      <c r="D184" s="2" t="s">
        <v>657</v>
      </c>
      <c r="E184" s="2" t="n">
        <f aca="false">INDEX('Salary Records'!$F$2:$F$201,MATCH(A184,'Salary Records'!$A$2:$A$201,0))</f>
        <v>26</v>
      </c>
      <c r="F184" s="2" t="n">
        <f aca="false">INDEX('Salary Records'!$G$2:$G$201,MATCH(A184,'Salary Records'!$A$2:$A$201,0))</f>
        <v>23</v>
      </c>
      <c r="G184" s="2" t="n">
        <f aca="false">INDEX('Salary Records'!$H$2:$H$201,MATCH(A184,'Salary Records'!$A$2:$A$201,0))</f>
        <v>1</v>
      </c>
      <c r="H184" s="2" t="n">
        <f aca="false">INDEX('Salary Records'!$I$2:$I$201,MATCH(A184,'Salary Records'!$A$2:$A$201,0))</f>
        <v>2</v>
      </c>
      <c r="I184" s="2" t="n">
        <f aca="false">INDEX('Salary Records'!$J$2:$J$201,MATCH(A184,'Salary Records'!$A$2:$A$201,0))</f>
        <v>0</v>
      </c>
      <c r="J184" s="2" t="n">
        <f aca="false">ROUND(F184/E184*100,1)</f>
        <v>88.5</v>
      </c>
      <c r="K184" s="2" t="n">
        <v>2</v>
      </c>
      <c r="L184" s="2" t="n">
        <f aca="false">INDEX('Salary Records'!$K$2:$K$201,MATCH(A184,'Salary Records'!$A$2:$A$201,0))</f>
        <v>1</v>
      </c>
      <c r="M184" s="2" t="n">
        <f aca="false">INDEX('Salary Records'!$L$2:$L$201,MATCH(A184,'Salary Records'!$A$2:$A$201,0))</f>
        <v>0</v>
      </c>
      <c r="N184" s="2" t="n">
        <f aca="false">INDEX('Salary Records'!$E$2:$E$201,MATCH(A184,'Salary Records'!$A$2:$A$201,0))</f>
        <v>98500</v>
      </c>
      <c r="O184" s="2" t="n">
        <f aca="false">INDEX('Salary Records'!$O$2:$O$201,MATCH(A184,'Salary Records'!$A$2:$A$201,0))</f>
        <v>0</v>
      </c>
      <c r="P184" s="2" t="n">
        <f aca="false">INDEX('PF Records'!$H$2:$H$201,MATCH(A184,'PF Records'!$A$2:$A$201,0))</f>
        <v>11820</v>
      </c>
      <c r="Q184" s="2" t="n">
        <f aca="false">INDEX('PF Records'!$I$2:$I$201,MATCH(A184,'PF Records'!$A$2:$A$201,0))</f>
        <v>11820</v>
      </c>
      <c r="R184" s="2" t="n">
        <f aca="false">P184+Q184</f>
        <v>23640</v>
      </c>
      <c r="S184" s="2" t="n">
        <f aca="false">INDEX('Salary Records'!$S$2:$S$201,MATCH(A184,'Salary Records'!$A$2:$A$201,0))</f>
        <v>86680</v>
      </c>
      <c r="T184" s="2" t="n">
        <f aca="false">INDEX('Employee Master'!$I$2:$I$201,MATCH(A184,'Employee Master'!$A$2:$A$201,0))</f>
        <v>5.8</v>
      </c>
      <c r="U184" s="2" t="n">
        <f aca="false">INDEX('Employee Master'!$H$2:$H$201,MATCH(A184,'Employee Master'!$A$2:$A$201,0))</f>
        <v>0</v>
      </c>
      <c r="V184" s="2" t="n">
        <f aca="false">INDEX('Employee Master'!$J$2:$J$201,MATCH(A184,'Employee Master'!$A$2:$A$201,0))</f>
        <v>5.8</v>
      </c>
    </row>
    <row r="185" customFormat="false" ht="15" hidden="false" customHeight="false" outlineLevel="0" collapsed="false">
      <c r="A185" s="2" t="s">
        <v>415</v>
      </c>
      <c r="B185" s="2" t="s">
        <v>416</v>
      </c>
      <c r="C185" s="2" t="s">
        <v>32</v>
      </c>
      <c r="D185" s="2" t="s">
        <v>657</v>
      </c>
      <c r="E185" s="2" t="n">
        <f aca="false">INDEX('Salary Records'!$F$2:$F$201,MATCH(A185,'Salary Records'!$A$2:$A$201,0))</f>
        <v>26</v>
      </c>
      <c r="F185" s="2" t="n">
        <f aca="false">INDEX('Salary Records'!$G$2:$G$201,MATCH(A185,'Salary Records'!$A$2:$A$201,0))</f>
        <v>24</v>
      </c>
      <c r="G185" s="2" t="n">
        <f aca="false">INDEX('Salary Records'!$H$2:$H$201,MATCH(A185,'Salary Records'!$A$2:$A$201,0))</f>
        <v>0</v>
      </c>
      <c r="H185" s="2" t="n">
        <f aca="false">INDEX('Salary Records'!$I$2:$I$201,MATCH(A185,'Salary Records'!$A$2:$A$201,0))</f>
        <v>0</v>
      </c>
      <c r="I185" s="2" t="n">
        <f aca="false">INDEX('Salary Records'!$J$2:$J$201,MATCH(A185,'Salary Records'!$A$2:$A$201,0))</f>
        <v>2</v>
      </c>
      <c r="J185" s="2" t="n">
        <f aca="false">ROUND(F185/E185*100,1)</f>
        <v>92.3</v>
      </c>
      <c r="K185" s="2" t="n">
        <v>2</v>
      </c>
      <c r="L185" s="2" t="n">
        <f aca="false">INDEX('Salary Records'!$K$2:$K$201,MATCH(A185,'Salary Records'!$A$2:$A$201,0))</f>
        <v>0</v>
      </c>
      <c r="M185" s="2" t="n">
        <f aca="false">INDEX('Salary Records'!$L$2:$L$201,MATCH(A185,'Salary Records'!$A$2:$A$201,0))</f>
        <v>0</v>
      </c>
      <c r="N185" s="2" t="n">
        <f aca="false">INDEX('Salary Records'!$E$2:$E$201,MATCH(A185,'Salary Records'!$A$2:$A$201,0))</f>
        <v>49500</v>
      </c>
      <c r="O185" s="2" t="n">
        <f aca="false">INDEX('Salary Records'!$O$2:$O$201,MATCH(A185,'Salary Records'!$A$2:$A$201,0))</f>
        <v>0</v>
      </c>
      <c r="P185" s="2" t="n">
        <f aca="false">INDEX('PF Records'!$H$2:$H$201,MATCH(A185,'PF Records'!$A$2:$A$201,0))</f>
        <v>5940</v>
      </c>
      <c r="Q185" s="2" t="n">
        <f aca="false">INDEX('PF Records'!$I$2:$I$201,MATCH(A185,'PF Records'!$A$2:$A$201,0))</f>
        <v>5940</v>
      </c>
      <c r="R185" s="2" t="n">
        <f aca="false">P185+Q185</f>
        <v>11880</v>
      </c>
      <c r="S185" s="2" t="n">
        <f aca="false">INDEX('Salary Records'!$S$2:$S$201,MATCH(A185,'Salary Records'!$A$2:$A$201,0))</f>
        <v>41656.15</v>
      </c>
      <c r="T185" s="2" t="n">
        <f aca="false">INDEX('Employee Master'!$I$2:$I$201,MATCH(A185,'Employee Master'!$A$2:$A$201,0))</f>
        <v>7.6</v>
      </c>
      <c r="U185" s="2" t="n">
        <f aca="false">INDEX('Employee Master'!$H$2:$H$201,MATCH(A185,'Employee Master'!$A$2:$A$201,0))</f>
        <v>6.7</v>
      </c>
      <c r="V185" s="2" t="n">
        <f aca="false">INDEX('Employee Master'!$J$2:$J$201,MATCH(A185,'Employee Master'!$A$2:$A$201,0))</f>
        <v>14.3</v>
      </c>
    </row>
    <row r="186" customFormat="false" ht="15" hidden="false" customHeight="false" outlineLevel="0" collapsed="false">
      <c r="A186" s="2" t="s">
        <v>417</v>
      </c>
      <c r="B186" s="2" t="s">
        <v>418</v>
      </c>
      <c r="C186" s="2" t="s">
        <v>36</v>
      </c>
      <c r="D186" s="2" t="s">
        <v>657</v>
      </c>
      <c r="E186" s="2" t="n">
        <f aca="false">INDEX('Salary Records'!$F$2:$F$201,MATCH(A186,'Salary Records'!$A$2:$A$201,0))</f>
        <v>26</v>
      </c>
      <c r="F186" s="2" t="n">
        <f aca="false">INDEX('Salary Records'!$G$2:$G$201,MATCH(A186,'Salary Records'!$A$2:$A$201,0))</f>
        <v>26</v>
      </c>
      <c r="G186" s="2" t="n">
        <f aca="false">INDEX('Salary Records'!$H$2:$H$201,MATCH(A186,'Salary Records'!$A$2:$A$201,0))</f>
        <v>0</v>
      </c>
      <c r="H186" s="2" t="n">
        <f aca="false">INDEX('Salary Records'!$I$2:$I$201,MATCH(A186,'Salary Records'!$A$2:$A$201,0))</f>
        <v>0</v>
      </c>
      <c r="I186" s="2" t="n">
        <f aca="false">INDEX('Salary Records'!$J$2:$J$201,MATCH(A186,'Salary Records'!$A$2:$A$201,0))</f>
        <v>0</v>
      </c>
      <c r="J186" s="2" t="n">
        <f aca="false">ROUND(F186/E186*100,1)</f>
        <v>100</v>
      </c>
      <c r="K186" s="2" t="n">
        <v>2</v>
      </c>
      <c r="L186" s="2" t="n">
        <f aca="false">INDEX('Salary Records'!$K$2:$K$201,MATCH(A186,'Salary Records'!$A$2:$A$201,0))</f>
        <v>0</v>
      </c>
      <c r="M186" s="2" t="n">
        <f aca="false">INDEX('Salary Records'!$L$2:$L$201,MATCH(A186,'Salary Records'!$A$2:$A$201,0))</f>
        <v>0</v>
      </c>
      <c r="N186" s="2" t="n">
        <f aca="false">INDEX('Salary Records'!$E$2:$E$201,MATCH(A186,'Salary Records'!$A$2:$A$201,0))</f>
        <v>46500</v>
      </c>
      <c r="O186" s="2" t="n">
        <f aca="false">INDEX('Salary Records'!$O$2:$O$201,MATCH(A186,'Salary Records'!$A$2:$A$201,0))</f>
        <v>0</v>
      </c>
      <c r="P186" s="2" t="n">
        <f aca="false">INDEX('PF Records'!$H$2:$H$201,MATCH(A186,'PF Records'!$A$2:$A$201,0))</f>
        <v>5580</v>
      </c>
      <c r="Q186" s="2" t="n">
        <f aca="false">INDEX('PF Records'!$I$2:$I$201,MATCH(A186,'PF Records'!$A$2:$A$201,0))</f>
        <v>5580</v>
      </c>
      <c r="R186" s="2" t="n">
        <f aca="false">P186+Q186</f>
        <v>11160</v>
      </c>
      <c r="S186" s="2" t="n">
        <f aca="false">INDEX('Salary Records'!$S$2:$S$201,MATCH(A186,'Salary Records'!$A$2:$A$201,0))</f>
        <v>40920</v>
      </c>
      <c r="T186" s="2" t="n">
        <f aca="false">INDEX('Employee Master'!$I$2:$I$201,MATCH(A186,'Employee Master'!$A$2:$A$201,0))</f>
        <v>0.4</v>
      </c>
      <c r="U186" s="2" t="n">
        <f aca="false">INDEX('Employee Master'!$H$2:$H$201,MATCH(A186,'Employee Master'!$A$2:$A$201,0))</f>
        <v>3</v>
      </c>
      <c r="V186" s="2" t="n">
        <f aca="false">INDEX('Employee Master'!$J$2:$J$201,MATCH(A186,'Employee Master'!$A$2:$A$201,0))</f>
        <v>3.4</v>
      </c>
    </row>
    <row r="187" customFormat="false" ht="15" hidden="false" customHeight="false" outlineLevel="0" collapsed="false">
      <c r="A187" s="2" t="s">
        <v>419</v>
      </c>
      <c r="B187" s="2" t="s">
        <v>420</v>
      </c>
      <c r="C187" s="2" t="s">
        <v>41</v>
      </c>
      <c r="D187" s="2" t="s">
        <v>657</v>
      </c>
      <c r="E187" s="2" t="n">
        <f aca="false">INDEX('Salary Records'!$F$2:$F$201,MATCH(A187,'Salary Records'!$A$2:$A$201,0))</f>
        <v>26</v>
      </c>
      <c r="F187" s="2" t="n">
        <f aca="false">INDEX('Salary Records'!$G$2:$G$201,MATCH(A187,'Salary Records'!$A$2:$A$201,0))</f>
        <v>19</v>
      </c>
      <c r="G187" s="2" t="n">
        <f aca="false">INDEX('Salary Records'!$H$2:$H$201,MATCH(A187,'Salary Records'!$A$2:$A$201,0))</f>
        <v>5</v>
      </c>
      <c r="H187" s="2" t="n">
        <f aca="false">INDEX('Salary Records'!$I$2:$I$201,MATCH(A187,'Salary Records'!$A$2:$A$201,0))</f>
        <v>1</v>
      </c>
      <c r="I187" s="2" t="n">
        <f aca="false">INDEX('Salary Records'!$J$2:$J$201,MATCH(A187,'Salary Records'!$A$2:$A$201,0))</f>
        <v>1</v>
      </c>
      <c r="J187" s="2" t="n">
        <f aca="false">ROUND(F187/E187*100,1)</f>
        <v>73.1</v>
      </c>
      <c r="K187" s="2" t="n">
        <v>2</v>
      </c>
      <c r="L187" s="2" t="n">
        <f aca="false">INDEX('Salary Records'!$K$2:$K$201,MATCH(A187,'Salary Records'!$A$2:$A$201,0))</f>
        <v>2</v>
      </c>
      <c r="M187" s="2" t="n">
        <f aca="false">INDEX('Salary Records'!$L$2:$L$201,MATCH(A187,'Salary Records'!$A$2:$A$201,0))</f>
        <v>3</v>
      </c>
      <c r="N187" s="2" t="n">
        <f aca="false">INDEX('Salary Records'!$E$2:$E$201,MATCH(A187,'Salary Records'!$A$2:$A$201,0))</f>
        <v>37000</v>
      </c>
      <c r="O187" s="2" t="n">
        <f aca="false">INDEX('Salary Records'!$O$2:$O$201,MATCH(A187,'Salary Records'!$A$2:$A$201,0))</f>
        <v>4269.24</v>
      </c>
      <c r="P187" s="2" t="n">
        <f aca="false">INDEX('PF Records'!$H$2:$H$201,MATCH(A187,'PF Records'!$A$2:$A$201,0))</f>
        <v>4440</v>
      </c>
      <c r="Q187" s="2" t="n">
        <f aca="false">INDEX('PF Records'!$I$2:$I$201,MATCH(A187,'PF Records'!$A$2:$A$201,0))</f>
        <v>4440</v>
      </c>
      <c r="R187" s="2" t="n">
        <f aca="false">P187+Q187</f>
        <v>8880</v>
      </c>
      <c r="S187" s="2" t="n">
        <f aca="false">INDEX('Salary Records'!$S$2:$S$201,MATCH(A187,'Salary Records'!$A$2:$A$201,0))</f>
        <v>26156.14</v>
      </c>
      <c r="T187" s="2" t="n">
        <f aca="false">INDEX('Employee Master'!$I$2:$I$201,MATCH(A187,'Employee Master'!$A$2:$A$201,0))</f>
        <v>2.4</v>
      </c>
      <c r="U187" s="2" t="n">
        <f aca="false">INDEX('Employee Master'!$H$2:$H$201,MATCH(A187,'Employee Master'!$A$2:$A$201,0))</f>
        <v>4.5</v>
      </c>
      <c r="V187" s="2" t="n">
        <f aca="false">INDEX('Employee Master'!$J$2:$J$201,MATCH(A187,'Employee Master'!$A$2:$A$201,0))</f>
        <v>6.9</v>
      </c>
    </row>
    <row r="188" customFormat="false" ht="15" hidden="false" customHeight="false" outlineLevel="0" collapsed="false">
      <c r="A188" s="2" t="s">
        <v>421</v>
      </c>
      <c r="B188" s="2" t="s">
        <v>422</v>
      </c>
      <c r="C188" s="2" t="s">
        <v>45</v>
      </c>
      <c r="D188" s="2" t="s">
        <v>657</v>
      </c>
      <c r="E188" s="2" t="n">
        <f aca="false">INDEX('Salary Records'!$F$2:$F$201,MATCH(A188,'Salary Records'!$A$2:$A$201,0))</f>
        <v>26</v>
      </c>
      <c r="F188" s="2" t="n">
        <f aca="false">INDEX('Salary Records'!$G$2:$G$201,MATCH(A188,'Salary Records'!$A$2:$A$201,0))</f>
        <v>20</v>
      </c>
      <c r="G188" s="2" t="n">
        <f aca="false">INDEX('Salary Records'!$H$2:$H$201,MATCH(A188,'Salary Records'!$A$2:$A$201,0))</f>
        <v>5</v>
      </c>
      <c r="H188" s="2" t="n">
        <f aca="false">INDEX('Salary Records'!$I$2:$I$201,MATCH(A188,'Salary Records'!$A$2:$A$201,0))</f>
        <v>1</v>
      </c>
      <c r="I188" s="2" t="n">
        <f aca="false">INDEX('Salary Records'!$J$2:$J$201,MATCH(A188,'Salary Records'!$A$2:$A$201,0))</f>
        <v>0</v>
      </c>
      <c r="J188" s="2" t="n">
        <f aca="false">ROUND(F188/E188*100,1)</f>
        <v>76.9</v>
      </c>
      <c r="K188" s="2" t="n">
        <v>2</v>
      </c>
      <c r="L188" s="2" t="n">
        <f aca="false">INDEX('Salary Records'!$K$2:$K$201,MATCH(A188,'Salary Records'!$A$2:$A$201,0))</f>
        <v>2</v>
      </c>
      <c r="M188" s="2" t="n">
        <f aca="false">INDEX('Salary Records'!$L$2:$L$201,MATCH(A188,'Salary Records'!$A$2:$A$201,0))</f>
        <v>3</v>
      </c>
      <c r="N188" s="2" t="n">
        <f aca="false">INDEX('Salary Records'!$E$2:$E$201,MATCH(A188,'Salary Records'!$A$2:$A$201,0))</f>
        <v>78000</v>
      </c>
      <c r="O188" s="2" t="n">
        <f aca="false">INDEX('Salary Records'!$O$2:$O$201,MATCH(A188,'Salary Records'!$A$2:$A$201,0))</f>
        <v>9000</v>
      </c>
      <c r="P188" s="2" t="n">
        <f aca="false">INDEX('PF Records'!$H$2:$H$201,MATCH(A188,'PF Records'!$A$2:$A$201,0))</f>
        <v>9360</v>
      </c>
      <c r="Q188" s="2" t="n">
        <f aca="false">INDEX('PF Records'!$I$2:$I$201,MATCH(A188,'PF Records'!$A$2:$A$201,0))</f>
        <v>9360</v>
      </c>
      <c r="R188" s="2" t="n">
        <f aca="false">P188+Q188</f>
        <v>18720</v>
      </c>
      <c r="S188" s="2" t="n">
        <f aca="false">INDEX('Salary Records'!$S$2:$S$201,MATCH(A188,'Salary Records'!$A$2:$A$201,0))</f>
        <v>59640</v>
      </c>
      <c r="T188" s="2" t="n">
        <f aca="false">INDEX('Employee Master'!$I$2:$I$201,MATCH(A188,'Employee Master'!$A$2:$A$201,0))</f>
        <v>1.2</v>
      </c>
      <c r="U188" s="2" t="n">
        <f aca="false">INDEX('Employee Master'!$H$2:$H$201,MATCH(A188,'Employee Master'!$A$2:$A$201,0))</f>
        <v>7.5</v>
      </c>
      <c r="V188" s="2" t="n">
        <f aca="false">INDEX('Employee Master'!$J$2:$J$201,MATCH(A188,'Employee Master'!$A$2:$A$201,0))</f>
        <v>8.7</v>
      </c>
    </row>
    <row r="189" customFormat="false" ht="15" hidden="false" customHeight="false" outlineLevel="0" collapsed="false">
      <c r="A189" s="2" t="s">
        <v>423</v>
      </c>
      <c r="B189" s="2" t="s">
        <v>424</v>
      </c>
      <c r="C189" s="2" t="s">
        <v>49</v>
      </c>
      <c r="D189" s="2" t="s">
        <v>657</v>
      </c>
      <c r="E189" s="2" t="n">
        <f aca="false">INDEX('Salary Records'!$F$2:$F$201,MATCH(A189,'Salary Records'!$A$2:$A$201,0))</f>
        <v>26</v>
      </c>
      <c r="F189" s="2" t="n">
        <f aca="false">INDEX('Salary Records'!$G$2:$G$201,MATCH(A189,'Salary Records'!$A$2:$A$201,0))</f>
        <v>23</v>
      </c>
      <c r="G189" s="2" t="n">
        <f aca="false">INDEX('Salary Records'!$H$2:$H$201,MATCH(A189,'Salary Records'!$A$2:$A$201,0))</f>
        <v>2</v>
      </c>
      <c r="H189" s="2" t="n">
        <f aca="false">INDEX('Salary Records'!$I$2:$I$201,MATCH(A189,'Salary Records'!$A$2:$A$201,0))</f>
        <v>1</v>
      </c>
      <c r="I189" s="2" t="n">
        <f aca="false">INDEX('Salary Records'!$J$2:$J$201,MATCH(A189,'Salary Records'!$A$2:$A$201,0))</f>
        <v>0</v>
      </c>
      <c r="J189" s="2" t="n">
        <f aca="false">ROUND(F189/E189*100,1)</f>
        <v>88.5</v>
      </c>
      <c r="K189" s="2" t="n">
        <v>2</v>
      </c>
      <c r="L189" s="2" t="n">
        <f aca="false">INDEX('Salary Records'!$K$2:$K$201,MATCH(A189,'Salary Records'!$A$2:$A$201,0))</f>
        <v>2</v>
      </c>
      <c r="M189" s="2" t="n">
        <f aca="false">INDEX('Salary Records'!$L$2:$L$201,MATCH(A189,'Salary Records'!$A$2:$A$201,0))</f>
        <v>0</v>
      </c>
      <c r="N189" s="2" t="n">
        <f aca="false">INDEX('Salary Records'!$E$2:$E$201,MATCH(A189,'Salary Records'!$A$2:$A$201,0))</f>
        <v>28500</v>
      </c>
      <c r="O189" s="2" t="n">
        <f aca="false">INDEX('Salary Records'!$O$2:$O$201,MATCH(A189,'Salary Records'!$A$2:$A$201,0))</f>
        <v>0</v>
      </c>
      <c r="P189" s="2" t="n">
        <f aca="false">INDEX('PF Records'!$H$2:$H$201,MATCH(A189,'PF Records'!$A$2:$A$201,0))</f>
        <v>3420</v>
      </c>
      <c r="Q189" s="2" t="n">
        <f aca="false">INDEX('PF Records'!$I$2:$I$201,MATCH(A189,'PF Records'!$A$2:$A$201,0))</f>
        <v>3420</v>
      </c>
      <c r="R189" s="2" t="n">
        <f aca="false">P189+Q189</f>
        <v>6840</v>
      </c>
      <c r="S189" s="2" t="n">
        <f aca="false">INDEX('Salary Records'!$S$2:$S$201,MATCH(A189,'Salary Records'!$A$2:$A$201,0))</f>
        <v>23983.85</v>
      </c>
      <c r="T189" s="2" t="n">
        <f aca="false">INDEX('Employee Master'!$I$2:$I$201,MATCH(A189,'Employee Master'!$A$2:$A$201,0))</f>
        <v>1.9</v>
      </c>
      <c r="U189" s="2" t="n">
        <f aca="false">INDEX('Employee Master'!$H$2:$H$201,MATCH(A189,'Employee Master'!$A$2:$A$201,0))</f>
        <v>2.5</v>
      </c>
      <c r="V189" s="2" t="n">
        <f aca="false">INDEX('Employee Master'!$J$2:$J$201,MATCH(A189,'Employee Master'!$A$2:$A$201,0))</f>
        <v>4.4</v>
      </c>
    </row>
    <row r="190" customFormat="false" ht="15" hidden="false" customHeight="false" outlineLevel="0" collapsed="false">
      <c r="A190" s="2" t="s">
        <v>425</v>
      </c>
      <c r="B190" s="2" t="s">
        <v>426</v>
      </c>
      <c r="C190" s="2" t="s">
        <v>53</v>
      </c>
      <c r="D190" s="2" t="s">
        <v>657</v>
      </c>
      <c r="E190" s="2" t="n">
        <f aca="false">INDEX('Salary Records'!$F$2:$F$201,MATCH(A190,'Salary Records'!$A$2:$A$201,0))</f>
        <v>26</v>
      </c>
      <c r="F190" s="2" t="n">
        <f aca="false">INDEX('Salary Records'!$G$2:$G$201,MATCH(A190,'Salary Records'!$A$2:$A$201,0))</f>
        <v>24</v>
      </c>
      <c r="G190" s="2" t="n">
        <f aca="false">INDEX('Salary Records'!$H$2:$H$201,MATCH(A190,'Salary Records'!$A$2:$A$201,0))</f>
        <v>0</v>
      </c>
      <c r="H190" s="2" t="n">
        <f aca="false">INDEX('Salary Records'!$I$2:$I$201,MATCH(A190,'Salary Records'!$A$2:$A$201,0))</f>
        <v>0</v>
      </c>
      <c r="I190" s="2" t="n">
        <f aca="false">INDEX('Salary Records'!$J$2:$J$201,MATCH(A190,'Salary Records'!$A$2:$A$201,0))</f>
        <v>2</v>
      </c>
      <c r="J190" s="2" t="n">
        <f aca="false">ROUND(F190/E190*100,1)</f>
        <v>92.3</v>
      </c>
      <c r="K190" s="2" t="n">
        <v>2</v>
      </c>
      <c r="L190" s="2" t="n">
        <f aca="false">INDEX('Salary Records'!$K$2:$K$201,MATCH(A190,'Salary Records'!$A$2:$A$201,0))</f>
        <v>0</v>
      </c>
      <c r="M190" s="2" t="n">
        <f aca="false">INDEX('Salary Records'!$L$2:$L$201,MATCH(A190,'Salary Records'!$A$2:$A$201,0))</f>
        <v>0</v>
      </c>
      <c r="N190" s="2" t="n">
        <f aca="false">INDEX('Salary Records'!$E$2:$E$201,MATCH(A190,'Salary Records'!$A$2:$A$201,0))</f>
        <v>23000</v>
      </c>
      <c r="O190" s="2" t="n">
        <f aca="false">INDEX('Salary Records'!$O$2:$O$201,MATCH(A190,'Salary Records'!$A$2:$A$201,0))</f>
        <v>0</v>
      </c>
      <c r="P190" s="2" t="n">
        <f aca="false">INDEX('PF Records'!$H$2:$H$201,MATCH(A190,'PF Records'!$A$2:$A$201,0))</f>
        <v>2760</v>
      </c>
      <c r="Q190" s="2" t="n">
        <f aca="false">INDEX('PF Records'!$I$2:$I$201,MATCH(A190,'PF Records'!$A$2:$A$201,0))</f>
        <v>2760</v>
      </c>
      <c r="R190" s="2" t="n">
        <f aca="false">P190+Q190</f>
        <v>5520</v>
      </c>
      <c r="S190" s="2" t="n">
        <f aca="false">INDEX('Salary Records'!$S$2:$S$201,MATCH(A190,'Salary Records'!$A$2:$A$201,0))</f>
        <v>19355.38</v>
      </c>
      <c r="T190" s="2" t="n">
        <f aca="false">INDEX('Employee Master'!$I$2:$I$201,MATCH(A190,'Employee Master'!$A$2:$A$201,0))</f>
        <v>1.3</v>
      </c>
      <c r="U190" s="2" t="n">
        <f aca="false">INDEX('Employee Master'!$H$2:$H$201,MATCH(A190,'Employee Master'!$A$2:$A$201,0))</f>
        <v>3.9</v>
      </c>
      <c r="V190" s="2" t="n">
        <f aca="false">INDEX('Employee Master'!$J$2:$J$201,MATCH(A190,'Employee Master'!$A$2:$A$201,0))</f>
        <v>5.2</v>
      </c>
    </row>
    <row r="191" customFormat="false" ht="15" hidden="false" customHeight="false" outlineLevel="0" collapsed="false">
      <c r="A191" s="2" t="s">
        <v>427</v>
      </c>
      <c r="B191" s="2" t="s">
        <v>428</v>
      </c>
      <c r="C191" s="2" t="s">
        <v>57</v>
      </c>
      <c r="D191" s="2" t="s">
        <v>657</v>
      </c>
      <c r="E191" s="2" t="n">
        <f aca="false">INDEX('Salary Records'!$F$2:$F$201,MATCH(A191,'Salary Records'!$A$2:$A$201,0))</f>
        <v>26</v>
      </c>
      <c r="F191" s="2" t="n">
        <f aca="false">INDEX('Salary Records'!$G$2:$G$201,MATCH(A191,'Salary Records'!$A$2:$A$201,0))</f>
        <v>25</v>
      </c>
      <c r="G191" s="2" t="n">
        <f aca="false">INDEX('Salary Records'!$H$2:$H$201,MATCH(A191,'Salary Records'!$A$2:$A$201,0))</f>
        <v>1</v>
      </c>
      <c r="H191" s="2" t="n">
        <f aca="false">INDEX('Salary Records'!$I$2:$I$201,MATCH(A191,'Salary Records'!$A$2:$A$201,0))</f>
        <v>0</v>
      </c>
      <c r="I191" s="2" t="n">
        <f aca="false">INDEX('Salary Records'!$J$2:$J$201,MATCH(A191,'Salary Records'!$A$2:$A$201,0))</f>
        <v>0</v>
      </c>
      <c r="J191" s="2" t="n">
        <f aca="false">ROUND(F191/E191*100,1)</f>
        <v>96.2</v>
      </c>
      <c r="K191" s="2" t="n">
        <v>2</v>
      </c>
      <c r="L191" s="2" t="n">
        <f aca="false">INDEX('Salary Records'!$K$2:$K$201,MATCH(A191,'Salary Records'!$A$2:$A$201,0))</f>
        <v>1</v>
      </c>
      <c r="M191" s="2" t="n">
        <f aca="false">INDEX('Salary Records'!$L$2:$L$201,MATCH(A191,'Salary Records'!$A$2:$A$201,0))</f>
        <v>0</v>
      </c>
      <c r="N191" s="2" t="n">
        <f aca="false">INDEX('Salary Records'!$E$2:$E$201,MATCH(A191,'Salary Records'!$A$2:$A$201,0))</f>
        <v>71500</v>
      </c>
      <c r="O191" s="2" t="n">
        <f aca="false">INDEX('Salary Records'!$O$2:$O$201,MATCH(A191,'Salary Records'!$A$2:$A$201,0))</f>
        <v>0</v>
      </c>
      <c r="P191" s="2" t="n">
        <f aca="false">INDEX('PF Records'!$H$2:$H$201,MATCH(A191,'PF Records'!$A$2:$A$201,0))</f>
        <v>8580</v>
      </c>
      <c r="Q191" s="2" t="n">
        <f aca="false">INDEX('PF Records'!$I$2:$I$201,MATCH(A191,'PF Records'!$A$2:$A$201,0))</f>
        <v>8580</v>
      </c>
      <c r="R191" s="2" t="n">
        <f aca="false">P191+Q191</f>
        <v>17160</v>
      </c>
      <c r="S191" s="2" t="n">
        <f aca="false">INDEX('Salary Records'!$S$2:$S$201,MATCH(A191,'Salary Records'!$A$2:$A$201,0))</f>
        <v>62920</v>
      </c>
      <c r="T191" s="2" t="n">
        <f aca="false">INDEX('Employee Master'!$I$2:$I$201,MATCH(A191,'Employee Master'!$A$2:$A$201,0))</f>
        <v>4.5</v>
      </c>
      <c r="U191" s="2" t="n">
        <f aca="false">INDEX('Employee Master'!$H$2:$H$201,MATCH(A191,'Employee Master'!$A$2:$A$201,0))</f>
        <v>0</v>
      </c>
      <c r="V191" s="2" t="n">
        <f aca="false">INDEX('Employee Master'!$J$2:$J$201,MATCH(A191,'Employee Master'!$A$2:$A$201,0))</f>
        <v>4.5</v>
      </c>
    </row>
    <row r="192" customFormat="false" ht="15" hidden="false" customHeight="false" outlineLevel="0" collapsed="false">
      <c r="A192" s="2" t="s">
        <v>429</v>
      </c>
      <c r="B192" s="2" t="s">
        <v>430</v>
      </c>
      <c r="C192" s="2" t="s">
        <v>17</v>
      </c>
      <c r="D192" s="2" t="s">
        <v>657</v>
      </c>
      <c r="E192" s="2" t="n">
        <f aca="false">INDEX('Salary Records'!$F$2:$F$201,MATCH(A192,'Salary Records'!$A$2:$A$201,0))</f>
        <v>26</v>
      </c>
      <c r="F192" s="2" t="n">
        <f aca="false">INDEX('Salary Records'!$G$2:$G$201,MATCH(A192,'Salary Records'!$A$2:$A$201,0))</f>
        <v>16</v>
      </c>
      <c r="G192" s="2" t="n">
        <f aca="false">INDEX('Salary Records'!$H$2:$H$201,MATCH(A192,'Salary Records'!$A$2:$A$201,0))</f>
        <v>7</v>
      </c>
      <c r="H192" s="2" t="n">
        <f aca="false">INDEX('Salary Records'!$I$2:$I$201,MATCH(A192,'Salary Records'!$A$2:$A$201,0))</f>
        <v>1</v>
      </c>
      <c r="I192" s="2" t="n">
        <f aca="false">INDEX('Salary Records'!$J$2:$J$201,MATCH(A192,'Salary Records'!$A$2:$A$201,0))</f>
        <v>2</v>
      </c>
      <c r="J192" s="2" t="n">
        <f aca="false">ROUND(F192/E192*100,1)</f>
        <v>61.5</v>
      </c>
      <c r="K192" s="2" t="n">
        <v>2</v>
      </c>
      <c r="L192" s="2" t="n">
        <f aca="false">INDEX('Salary Records'!$K$2:$K$201,MATCH(A192,'Salary Records'!$A$2:$A$201,0))</f>
        <v>2</v>
      </c>
      <c r="M192" s="2" t="n">
        <f aca="false">INDEX('Salary Records'!$L$2:$L$201,MATCH(A192,'Salary Records'!$A$2:$A$201,0))</f>
        <v>5</v>
      </c>
      <c r="N192" s="2" t="n">
        <f aca="false">INDEX('Salary Records'!$E$2:$E$201,MATCH(A192,'Salary Records'!$A$2:$A$201,0))</f>
        <v>83000</v>
      </c>
      <c r="O192" s="2" t="n">
        <f aca="false">INDEX('Salary Records'!$O$2:$O$201,MATCH(A192,'Salary Records'!$A$2:$A$201,0))</f>
        <v>15961.55</v>
      </c>
      <c r="P192" s="2" t="n">
        <f aca="false">INDEX('PF Records'!$H$2:$H$201,MATCH(A192,'PF Records'!$A$2:$A$201,0))</f>
        <v>9960</v>
      </c>
      <c r="Q192" s="2" t="n">
        <f aca="false">INDEX('PF Records'!$I$2:$I$201,MATCH(A192,'PF Records'!$A$2:$A$201,0))</f>
        <v>9960</v>
      </c>
      <c r="R192" s="2" t="n">
        <f aca="false">P192+Q192</f>
        <v>19920</v>
      </c>
      <c r="S192" s="2" t="n">
        <f aca="false">INDEX('Salary Records'!$S$2:$S$201,MATCH(A192,'Salary Records'!$A$2:$A$201,0))</f>
        <v>53886.14</v>
      </c>
      <c r="T192" s="2" t="n">
        <f aca="false">INDEX('Employee Master'!$I$2:$I$201,MATCH(A192,'Employee Master'!$A$2:$A$201,0))</f>
        <v>3.9</v>
      </c>
      <c r="U192" s="2" t="n">
        <f aca="false">INDEX('Employee Master'!$H$2:$H$201,MATCH(A192,'Employee Master'!$A$2:$A$201,0))</f>
        <v>6.8</v>
      </c>
      <c r="V192" s="2" t="n">
        <f aca="false">INDEX('Employee Master'!$J$2:$J$201,MATCH(A192,'Employee Master'!$A$2:$A$201,0))</f>
        <v>10.7</v>
      </c>
    </row>
    <row r="193" customFormat="false" ht="15" hidden="false" customHeight="false" outlineLevel="0" collapsed="false">
      <c r="A193" s="2" t="s">
        <v>431</v>
      </c>
      <c r="B193" s="2" t="s">
        <v>432</v>
      </c>
      <c r="C193" s="2" t="s">
        <v>24</v>
      </c>
      <c r="D193" s="2" t="s">
        <v>657</v>
      </c>
      <c r="E193" s="2" t="n">
        <f aca="false">INDEX('Salary Records'!$F$2:$F$201,MATCH(A193,'Salary Records'!$A$2:$A$201,0))</f>
        <v>26</v>
      </c>
      <c r="F193" s="2" t="n">
        <f aca="false">INDEX('Salary Records'!$G$2:$G$201,MATCH(A193,'Salary Records'!$A$2:$A$201,0))</f>
        <v>21</v>
      </c>
      <c r="G193" s="2" t="n">
        <f aca="false">INDEX('Salary Records'!$H$2:$H$201,MATCH(A193,'Salary Records'!$A$2:$A$201,0))</f>
        <v>3</v>
      </c>
      <c r="H193" s="2" t="n">
        <f aca="false">INDEX('Salary Records'!$I$2:$I$201,MATCH(A193,'Salary Records'!$A$2:$A$201,0))</f>
        <v>0</v>
      </c>
      <c r="I193" s="2" t="n">
        <f aca="false">INDEX('Salary Records'!$J$2:$J$201,MATCH(A193,'Salary Records'!$A$2:$A$201,0))</f>
        <v>2</v>
      </c>
      <c r="J193" s="2" t="n">
        <f aca="false">ROUND(F193/E193*100,1)</f>
        <v>80.8</v>
      </c>
      <c r="K193" s="2" t="n">
        <v>2</v>
      </c>
      <c r="L193" s="2" t="n">
        <f aca="false">INDEX('Salary Records'!$K$2:$K$201,MATCH(A193,'Salary Records'!$A$2:$A$201,0))</f>
        <v>2</v>
      </c>
      <c r="M193" s="2" t="n">
        <f aca="false">INDEX('Salary Records'!$L$2:$L$201,MATCH(A193,'Salary Records'!$A$2:$A$201,0))</f>
        <v>1</v>
      </c>
      <c r="N193" s="2" t="n">
        <f aca="false">INDEX('Salary Records'!$E$2:$E$201,MATCH(A193,'Salary Records'!$A$2:$A$201,0))</f>
        <v>70000</v>
      </c>
      <c r="O193" s="2" t="n">
        <f aca="false">INDEX('Salary Records'!$O$2:$O$201,MATCH(A193,'Salary Records'!$A$2:$A$201,0))</f>
        <v>2692.31</v>
      </c>
      <c r="P193" s="2" t="n">
        <f aca="false">INDEX('PF Records'!$H$2:$H$201,MATCH(A193,'PF Records'!$A$2:$A$201,0))</f>
        <v>8400</v>
      </c>
      <c r="Q193" s="2" t="n">
        <f aca="false">INDEX('PF Records'!$I$2:$I$201,MATCH(A193,'PF Records'!$A$2:$A$201,0))</f>
        <v>8400</v>
      </c>
      <c r="R193" s="2" t="n">
        <f aca="false">P193+Q193</f>
        <v>16800</v>
      </c>
      <c r="S193" s="2" t="n">
        <f aca="false">INDEX('Salary Records'!$S$2:$S$201,MATCH(A193,'Salary Records'!$A$2:$A$201,0))</f>
        <v>56215.38</v>
      </c>
      <c r="T193" s="2" t="n">
        <f aca="false">INDEX('Employee Master'!$I$2:$I$201,MATCH(A193,'Employee Master'!$A$2:$A$201,0))</f>
        <v>1.3</v>
      </c>
      <c r="U193" s="2" t="n">
        <f aca="false">INDEX('Employee Master'!$H$2:$H$201,MATCH(A193,'Employee Master'!$A$2:$A$201,0))</f>
        <v>6.6</v>
      </c>
      <c r="V193" s="2" t="n">
        <f aca="false">INDEX('Employee Master'!$J$2:$J$201,MATCH(A193,'Employee Master'!$A$2:$A$201,0))</f>
        <v>7.9</v>
      </c>
    </row>
    <row r="194" customFormat="false" ht="15" hidden="false" customHeight="false" outlineLevel="0" collapsed="false">
      <c r="A194" s="2" t="s">
        <v>433</v>
      </c>
      <c r="B194" s="2" t="s">
        <v>434</v>
      </c>
      <c r="C194" s="2" t="s">
        <v>28</v>
      </c>
      <c r="D194" s="2" t="s">
        <v>657</v>
      </c>
      <c r="E194" s="2" t="n">
        <f aca="false">INDEX('Salary Records'!$F$2:$F$201,MATCH(A194,'Salary Records'!$A$2:$A$201,0))</f>
        <v>26</v>
      </c>
      <c r="F194" s="2" t="n">
        <f aca="false">INDEX('Salary Records'!$G$2:$G$201,MATCH(A194,'Salary Records'!$A$2:$A$201,0))</f>
        <v>22</v>
      </c>
      <c r="G194" s="2" t="n">
        <f aca="false">INDEX('Salary Records'!$H$2:$H$201,MATCH(A194,'Salary Records'!$A$2:$A$201,0))</f>
        <v>3</v>
      </c>
      <c r="H194" s="2" t="n">
        <f aca="false">INDEX('Salary Records'!$I$2:$I$201,MATCH(A194,'Salary Records'!$A$2:$A$201,0))</f>
        <v>0</v>
      </c>
      <c r="I194" s="2" t="n">
        <f aca="false">INDEX('Salary Records'!$J$2:$J$201,MATCH(A194,'Salary Records'!$A$2:$A$201,0))</f>
        <v>1</v>
      </c>
      <c r="J194" s="2" t="n">
        <f aca="false">ROUND(F194/E194*100,1)</f>
        <v>84.6</v>
      </c>
      <c r="K194" s="2" t="n">
        <v>2</v>
      </c>
      <c r="L194" s="2" t="n">
        <f aca="false">INDEX('Salary Records'!$K$2:$K$201,MATCH(A194,'Salary Records'!$A$2:$A$201,0))</f>
        <v>2</v>
      </c>
      <c r="M194" s="2" t="n">
        <f aca="false">INDEX('Salary Records'!$L$2:$L$201,MATCH(A194,'Salary Records'!$A$2:$A$201,0))</f>
        <v>1</v>
      </c>
      <c r="N194" s="2" t="n">
        <f aca="false">INDEX('Salary Records'!$E$2:$E$201,MATCH(A194,'Salary Records'!$A$2:$A$201,0))</f>
        <v>29000</v>
      </c>
      <c r="O194" s="2" t="n">
        <f aca="false">INDEX('Salary Records'!$O$2:$O$201,MATCH(A194,'Salary Records'!$A$2:$A$201,0))</f>
        <v>1115.38</v>
      </c>
      <c r="P194" s="2" t="n">
        <f aca="false">INDEX('PF Records'!$H$2:$H$201,MATCH(A194,'PF Records'!$A$2:$A$201,0))</f>
        <v>3480</v>
      </c>
      <c r="Q194" s="2" t="n">
        <f aca="false">INDEX('PF Records'!$I$2:$I$201,MATCH(A194,'PF Records'!$A$2:$A$201,0))</f>
        <v>3480</v>
      </c>
      <c r="R194" s="2" t="n">
        <f aca="false">P194+Q194</f>
        <v>6960</v>
      </c>
      <c r="S194" s="2" t="n">
        <f aca="false">INDEX('Salary Records'!$S$2:$S$201,MATCH(A194,'Salary Records'!$A$2:$A$201,0))</f>
        <v>23846.93</v>
      </c>
      <c r="T194" s="2" t="n">
        <f aca="false">INDEX('Employee Master'!$I$2:$I$201,MATCH(A194,'Employee Master'!$A$2:$A$201,0))</f>
        <v>0.8</v>
      </c>
      <c r="U194" s="2" t="n">
        <f aca="false">INDEX('Employee Master'!$H$2:$H$201,MATCH(A194,'Employee Master'!$A$2:$A$201,0))</f>
        <v>6.1</v>
      </c>
      <c r="V194" s="2" t="n">
        <f aca="false">INDEX('Employee Master'!$J$2:$J$201,MATCH(A194,'Employee Master'!$A$2:$A$201,0))</f>
        <v>6.9</v>
      </c>
    </row>
    <row r="195" customFormat="false" ht="15" hidden="false" customHeight="false" outlineLevel="0" collapsed="false">
      <c r="A195" s="2" t="s">
        <v>435</v>
      </c>
      <c r="B195" s="2" t="s">
        <v>436</v>
      </c>
      <c r="C195" s="2" t="s">
        <v>32</v>
      </c>
      <c r="D195" s="2" t="s">
        <v>657</v>
      </c>
      <c r="E195" s="2" t="n">
        <f aca="false">INDEX('Salary Records'!$F$2:$F$201,MATCH(A195,'Salary Records'!$A$2:$A$201,0))</f>
        <v>26</v>
      </c>
      <c r="F195" s="2" t="n">
        <f aca="false">INDEX('Salary Records'!$G$2:$G$201,MATCH(A195,'Salary Records'!$A$2:$A$201,0))</f>
        <v>18</v>
      </c>
      <c r="G195" s="2" t="n">
        <f aca="false">INDEX('Salary Records'!$H$2:$H$201,MATCH(A195,'Salary Records'!$A$2:$A$201,0))</f>
        <v>5</v>
      </c>
      <c r="H195" s="2" t="n">
        <f aca="false">INDEX('Salary Records'!$I$2:$I$201,MATCH(A195,'Salary Records'!$A$2:$A$201,0))</f>
        <v>1</v>
      </c>
      <c r="I195" s="2" t="n">
        <f aca="false">INDEX('Salary Records'!$J$2:$J$201,MATCH(A195,'Salary Records'!$A$2:$A$201,0))</f>
        <v>2</v>
      </c>
      <c r="J195" s="2" t="n">
        <f aca="false">ROUND(F195/E195*100,1)</f>
        <v>69.2</v>
      </c>
      <c r="K195" s="2" t="n">
        <v>2</v>
      </c>
      <c r="L195" s="2" t="n">
        <f aca="false">INDEX('Salary Records'!$K$2:$K$201,MATCH(A195,'Salary Records'!$A$2:$A$201,0))</f>
        <v>2</v>
      </c>
      <c r="M195" s="2" t="n">
        <f aca="false">INDEX('Salary Records'!$L$2:$L$201,MATCH(A195,'Salary Records'!$A$2:$A$201,0))</f>
        <v>3</v>
      </c>
      <c r="N195" s="2" t="n">
        <f aca="false">INDEX('Salary Records'!$E$2:$E$201,MATCH(A195,'Salary Records'!$A$2:$A$201,0))</f>
        <v>45500</v>
      </c>
      <c r="O195" s="2" t="n">
        <f aca="false">INDEX('Salary Records'!$O$2:$O$201,MATCH(A195,'Salary Records'!$A$2:$A$201,0))</f>
        <v>5250</v>
      </c>
      <c r="P195" s="2" t="n">
        <f aca="false">INDEX('PF Records'!$H$2:$H$201,MATCH(A195,'PF Records'!$A$2:$A$201,0))</f>
        <v>5460</v>
      </c>
      <c r="Q195" s="2" t="n">
        <f aca="false">INDEX('PF Records'!$I$2:$I$201,MATCH(A195,'PF Records'!$A$2:$A$201,0))</f>
        <v>5460</v>
      </c>
      <c r="R195" s="2" t="n">
        <f aca="false">P195+Q195</f>
        <v>10920</v>
      </c>
      <c r="S195" s="2" t="n">
        <f aca="false">INDEX('Salary Records'!$S$2:$S$201,MATCH(A195,'Salary Records'!$A$2:$A$201,0))</f>
        <v>33040</v>
      </c>
      <c r="T195" s="2" t="n">
        <f aca="false">INDEX('Employee Master'!$I$2:$I$201,MATCH(A195,'Employee Master'!$A$2:$A$201,0))</f>
        <v>6.6</v>
      </c>
      <c r="U195" s="2" t="n">
        <f aca="false">INDEX('Employee Master'!$H$2:$H$201,MATCH(A195,'Employee Master'!$A$2:$A$201,0))</f>
        <v>7</v>
      </c>
      <c r="V195" s="2" t="n">
        <f aca="false">INDEX('Employee Master'!$J$2:$J$201,MATCH(A195,'Employee Master'!$A$2:$A$201,0))</f>
        <v>13.6</v>
      </c>
    </row>
    <row r="196" customFormat="false" ht="15" hidden="false" customHeight="false" outlineLevel="0" collapsed="false">
      <c r="A196" s="2" t="s">
        <v>437</v>
      </c>
      <c r="B196" s="2" t="s">
        <v>438</v>
      </c>
      <c r="C196" s="2" t="s">
        <v>36</v>
      </c>
      <c r="D196" s="2" t="s">
        <v>657</v>
      </c>
      <c r="E196" s="2" t="n">
        <f aca="false">INDEX('Salary Records'!$F$2:$F$201,MATCH(A196,'Salary Records'!$A$2:$A$201,0))</f>
        <v>26</v>
      </c>
      <c r="F196" s="2" t="n">
        <f aca="false">INDEX('Salary Records'!$G$2:$G$201,MATCH(A196,'Salary Records'!$A$2:$A$201,0))</f>
        <v>16</v>
      </c>
      <c r="G196" s="2" t="n">
        <f aca="false">INDEX('Salary Records'!$H$2:$H$201,MATCH(A196,'Salary Records'!$A$2:$A$201,0))</f>
        <v>9</v>
      </c>
      <c r="H196" s="2" t="n">
        <f aca="false">INDEX('Salary Records'!$I$2:$I$201,MATCH(A196,'Salary Records'!$A$2:$A$201,0))</f>
        <v>1</v>
      </c>
      <c r="I196" s="2" t="n">
        <f aca="false">INDEX('Salary Records'!$J$2:$J$201,MATCH(A196,'Salary Records'!$A$2:$A$201,0))</f>
        <v>0</v>
      </c>
      <c r="J196" s="2" t="n">
        <f aca="false">ROUND(F196/E196*100,1)</f>
        <v>61.5</v>
      </c>
      <c r="K196" s="2" t="n">
        <v>2</v>
      </c>
      <c r="L196" s="2" t="n">
        <f aca="false">INDEX('Salary Records'!$K$2:$K$201,MATCH(A196,'Salary Records'!$A$2:$A$201,0))</f>
        <v>2</v>
      </c>
      <c r="M196" s="2" t="n">
        <f aca="false">INDEX('Salary Records'!$L$2:$L$201,MATCH(A196,'Salary Records'!$A$2:$A$201,0))</f>
        <v>7</v>
      </c>
      <c r="N196" s="2" t="n">
        <f aca="false">INDEX('Salary Records'!$E$2:$E$201,MATCH(A196,'Salary Records'!$A$2:$A$201,0))</f>
        <v>49500</v>
      </c>
      <c r="O196" s="2" t="n">
        <f aca="false">INDEX('Salary Records'!$O$2:$O$201,MATCH(A196,'Salary Records'!$A$2:$A$201,0))</f>
        <v>13326.95</v>
      </c>
      <c r="P196" s="2" t="n">
        <f aca="false">INDEX('PF Records'!$H$2:$H$201,MATCH(A196,'PF Records'!$A$2:$A$201,0))</f>
        <v>5940</v>
      </c>
      <c r="Q196" s="2" t="n">
        <f aca="false">INDEX('PF Records'!$I$2:$I$201,MATCH(A196,'PF Records'!$A$2:$A$201,0))</f>
        <v>5940</v>
      </c>
      <c r="R196" s="2" t="n">
        <f aca="false">P196+Q196</f>
        <v>11880</v>
      </c>
      <c r="S196" s="2" t="n">
        <f aca="false">INDEX('Salary Records'!$S$2:$S$201,MATCH(A196,'Salary Records'!$A$2:$A$201,0))</f>
        <v>30233.05</v>
      </c>
      <c r="T196" s="2" t="n">
        <f aca="false">INDEX('Employee Master'!$I$2:$I$201,MATCH(A196,'Employee Master'!$A$2:$A$201,0))</f>
        <v>7.1</v>
      </c>
      <c r="U196" s="2" t="n">
        <f aca="false">INDEX('Employee Master'!$H$2:$H$201,MATCH(A196,'Employee Master'!$A$2:$A$201,0))</f>
        <v>5.9</v>
      </c>
      <c r="V196" s="2" t="n">
        <f aca="false">INDEX('Employee Master'!$J$2:$J$201,MATCH(A196,'Employee Master'!$A$2:$A$201,0))</f>
        <v>13</v>
      </c>
    </row>
    <row r="197" customFormat="false" ht="15" hidden="false" customHeight="false" outlineLevel="0" collapsed="false">
      <c r="A197" s="2" t="s">
        <v>439</v>
      </c>
      <c r="B197" s="2" t="s">
        <v>440</v>
      </c>
      <c r="C197" s="2" t="s">
        <v>41</v>
      </c>
      <c r="D197" s="2" t="s">
        <v>657</v>
      </c>
      <c r="E197" s="2" t="n">
        <f aca="false">INDEX('Salary Records'!$F$2:$F$201,MATCH(A197,'Salary Records'!$A$2:$A$201,0))</f>
        <v>26</v>
      </c>
      <c r="F197" s="2" t="n">
        <f aca="false">INDEX('Salary Records'!$G$2:$G$201,MATCH(A197,'Salary Records'!$A$2:$A$201,0))</f>
        <v>18</v>
      </c>
      <c r="G197" s="2" t="n">
        <f aca="false">INDEX('Salary Records'!$H$2:$H$201,MATCH(A197,'Salary Records'!$A$2:$A$201,0))</f>
        <v>7</v>
      </c>
      <c r="H197" s="2" t="n">
        <f aca="false">INDEX('Salary Records'!$I$2:$I$201,MATCH(A197,'Salary Records'!$A$2:$A$201,0))</f>
        <v>0</v>
      </c>
      <c r="I197" s="2" t="n">
        <f aca="false">INDEX('Salary Records'!$J$2:$J$201,MATCH(A197,'Salary Records'!$A$2:$A$201,0))</f>
        <v>1</v>
      </c>
      <c r="J197" s="2" t="n">
        <f aca="false">ROUND(F197/E197*100,1)</f>
        <v>69.2</v>
      </c>
      <c r="K197" s="2" t="n">
        <v>2</v>
      </c>
      <c r="L197" s="2" t="n">
        <f aca="false">INDEX('Salary Records'!$K$2:$K$201,MATCH(A197,'Salary Records'!$A$2:$A$201,0))</f>
        <v>2</v>
      </c>
      <c r="M197" s="2" t="n">
        <f aca="false">INDEX('Salary Records'!$L$2:$L$201,MATCH(A197,'Salary Records'!$A$2:$A$201,0))</f>
        <v>5</v>
      </c>
      <c r="N197" s="2" t="n">
        <f aca="false">INDEX('Salary Records'!$E$2:$E$201,MATCH(A197,'Salary Records'!$A$2:$A$201,0))</f>
        <v>35500</v>
      </c>
      <c r="O197" s="2" t="n">
        <f aca="false">INDEX('Salary Records'!$O$2:$O$201,MATCH(A197,'Salary Records'!$A$2:$A$201,0))</f>
        <v>6826.9</v>
      </c>
      <c r="P197" s="2" t="n">
        <f aca="false">INDEX('PF Records'!$H$2:$H$201,MATCH(A197,'PF Records'!$A$2:$A$201,0))</f>
        <v>4260</v>
      </c>
      <c r="Q197" s="2" t="n">
        <f aca="false">INDEX('PF Records'!$I$2:$I$201,MATCH(A197,'PF Records'!$A$2:$A$201,0))</f>
        <v>4260</v>
      </c>
      <c r="R197" s="2" t="n">
        <f aca="false">P197+Q197</f>
        <v>8520</v>
      </c>
      <c r="S197" s="2" t="n">
        <f aca="false">INDEX('Salary Records'!$S$2:$S$201,MATCH(A197,'Salary Records'!$A$2:$A$201,0))</f>
        <v>23730.41</v>
      </c>
      <c r="T197" s="2" t="n">
        <f aca="false">INDEX('Employee Master'!$I$2:$I$201,MATCH(A197,'Employee Master'!$A$2:$A$201,0))</f>
        <v>6.3</v>
      </c>
      <c r="U197" s="2" t="n">
        <f aca="false">INDEX('Employee Master'!$H$2:$H$201,MATCH(A197,'Employee Master'!$A$2:$A$201,0))</f>
        <v>3</v>
      </c>
      <c r="V197" s="2" t="n">
        <f aca="false">INDEX('Employee Master'!$J$2:$J$201,MATCH(A197,'Employee Master'!$A$2:$A$201,0))</f>
        <v>9.3</v>
      </c>
    </row>
    <row r="198" customFormat="false" ht="15" hidden="false" customHeight="false" outlineLevel="0" collapsed="false">
      <c r="A198" s="2" t="s">
        <v>441</v>
      </c>
      <c r="B198" s="2" t="s">
        <v>442</v>
      </c>
      <c r="C198" s="2" t="s">
        <v>45</v>
      </c>
      <c r="D198" s="2" t="s">
        <v>657</v>
      </c>
      <c r="E198" s="2" t="n">
        <f aca="false">INDEX('Salary Records'!$F$2:$F$201,MATCH(A198,'Salary Records'!$A$2:$A$201,0))</f>
        <v>26</v>
      </c>
      <c r="F198" s="2" t="n">
        <f aca="false">INDEX('Salary Records'!$G$2:$G$201,MATCH(A198,'Salary Records'!$A$2:$A$201,0))</f>
        <v>23</v>
      </c>
      <c r="G198" s="2" t="n">
        <f aca="false">INDEX('Salary Records'!$H$2:$H$201,MATCH(A198,'Salary Records'!$A$2:$A$201,0))</f>
        <v>2</v>
      </c>
      <c r="H198" s="2" t="n">
        <f aca="false">INDEX('Salary Records'!$I$2:$I$201,MATCH(A198,'Salary Records'!$A$2:$A$201,0))</f>
        <v>0</v>
      </c>
      <c r="I198" s="2" t="n">
        <f aca="false">INDEX('Salary Records'!$J$2:$J$201,MATCH(A198,'Salary Records'!$A$2:$A$201,0))</f>
        <v>1</v>
      </c>
      <c r="J198" s="2" t="n">
        <f aca="false">ROUND(F198/E198*100,1)</f>
        <v>88.5</v>
      </c>
      <c r="K198" s="2" t="n">
        <v>2</v>
      </c>
      <c r="L198" s="2" t="n">
        <f aca="false">INDEX('Salary Records'!$K$2:$K$201,MATCH(A198,'Salary Records'!$A$2:$A$201,0))</f>
        <v>2</v>
      </c>
      <c r="M198" s="2" t="n">
        <f aca="false">INDEX('Salary Records'!$L$2:$L$201,MATCH(A198,'Salary Records'!$A$2:$A$201,0))</f>
        <v>0</v>
      </c>
      <c r="N198" s="2" t="n">
        <f aca="false">INDEX('Salary Records'!$E$2:$E$201,MATCH(A198,'Salary Records'!$A$2:$A$201,0))</f>
        <v>32000</v>
      </c>
      <c r="O198" s="2" t="n">
        <f aca="false">INDEX('Salary Records'!$O$2:$O$201,MATCH(A198,'Salary Records'!$A$2:$A$201,0))</f>
        <v>0</v>
      </c>
      <c r="P198" s="2" t="n">
        <f aca="false">INDEX('PF Records'!$H$2:$H$201,MATCH(A198,'PF Records'!$A$2:$A$201,0))</f>
        <v>3840</v>
      </c>
      <c r="Q198" s="2" t="n">
        <f aca="false">INDEX('PF Records'!$I$2:$I$201,MATCH(A198,'PF Records'!$A$2:$A$201,0))</f>
        <v>3840</v>
      </c>
      <c r="R198" s="2" t="n">
        <f aca="false">P198+Q198</f>
        <v>7680</v>
      </c>
      <c r="S198" s="2" t="n">
        <f aca="false">INDEX('Salary Records'!$S$2:$S$201,MATCH(A198,'Salary Records'!$A$2:$A$201,0))</f>
        <v>27544.61</v>
      </c>
      <c r="T198" s="2" t="n">
        <f aca="false">INDEX('Employee Master'!$I$2:$I$201,MATCH(A198,'Employee Master'!$A$2:$A$201,0))</f>
        <v>5.2</v>
      </c>
      <c r="U198" s="2" t="n">
        <f aca="false">INDEX('Employee Master'!$H$2:$H$201,MATCH(A198,'Employee Master'!$A$2:$A$201,0))</f>
        <v>0</v>
      </c>
      <c r="V198" s="2" t="n">
        <f aca="false">INDEX('Employee Master'!$J$2:$J$201,MATCH(A198,'Employee Master'!$A$2:$A$201,0))</f>
        <v>5.2</v>
      </c>
    </row>
    <row r="199" customFormat="false" ht="15" hidden="false" customHeight="false" outlineLevel="0" collapsed="false">
      <c r="A199" s="2" t="s">
        <v>443</v>
      </c>
      <c r="B199" s="2" t="s">
        <v>444</v>
      </c>
      <c r="C199" s="2" t="s">
        <v>49</v>
      </c>
      <c r="D199" s="2" t="s">
        <v>657</v>
      </c>
      <c r="E199" s="2" t="n">
        <f aca="false">INDEX('Salary Records'!$F$2:$F$201,MATCH(A199,'Salary Records'!$A$2:$A$201,0))</f>
        <v>26</v>
      </c>
      <c r="F199" s="2" t="n">
        <f aca="false">INDEX('Salary Records'!$G$2:$G$201,MATCH(A199,'Salary Records'!$A$2:$A$201,0))</f>
        <v>26</v>
      </c>
      <c r="G199" s="2" t="n">
        <f aca="false">INDEX('Salary Records'!$H$2:$H$201,MATCH(A199,'Salary Records'!$A$2:$A$201,0))</f>
        <v>0</v>
      </c>
      <c r="H199" s="2" t="n">
        <f aca="false">INDEX('Salary Records'!$I$2:$I$201,MATCH(A199,'Salary Records'!$A$2:$A$201,0))</f>
        <v>0</v>
      </c>
      <c r="I199" s="2" t="n">
        <f aca="false">INDEX('Salary Records'!$J$2:$J$201,MATCH(A199,'Salary Records'!$A$2:$A$201,0))</f>
        <v>0</v>
      </c>
      <c r="J199" s="2" t="n">
        <f aca="false">ROUND(F199/E199*100,1)</f>
        <v>100</v>
      </c>
      <c r="K199" s="2" t="n">
        <v>2</v>
      </c>
      <c r="L199" s="2" t="n">
        <f aca="false">INDEX('Salary Records'!$K$2:$K$201,MATCH(A199,'Salary Records'!$A$2:$A$201,0))</f>
        <v>0</v>
      </c>
      <c r="M199" s="2" t="n">
        <f aca="false">INDEX('Salary Records'!$L$2:$L$201,MATCH(A199,'Salary Records'!$A$2:$A$201,0))</f>
        <v>0</v>
      </c>
      <c r="N199" s="2" t="n">
        <f aca="false">INDEX('Salary Records'!$E$2:$E$201,MATCH(A199,'Salary Records'!$A$2:$A$201,0))</f>
        <v>20500</v>
      </c>
      <c r="O199" s="2" t="n">
        <f aca="false">INDEX('Salary Records'!$O$2:$O$201,MATCH(A199,'Salary Records'!$A$2:$A$201,0))</f>
        <v>0</v>
      </c>
      <c r="P199" s="2" t="n">
        <f aca="false">INDEX('PF Records'!$H$2:$H$201,MATCH(A199,'PF Records'!$A$2:$A$201,0))</f>
        <v>2460</v>
      </c>
      <c r="Q199" s="2" t="n">
        <f aca="false">INDEX('PF Records'!$I$2:$I$201,MATCH(A199,'PF Records'!$A$2:$A$201,0))</f>
        <v>2460</v>
      </c>
      <c r="R199" s="2" t="n">
        <f aca="false">P199+Q199</f>
        <v>4920</v>
      </c>
      <c r="S199" s="2" t="n">
        <f aca="false">INDEX('Salary Records'!$S$2:$S$201,MATCH(A199,'Salary Records'!$A$2:$A$201,0))</f>
        <v>18040</v>
      </c>
      <c r="T199" s="2" t="n">
        <f aca="false">INDEX('Employee Master'!$I$2:$I$201,MATCH(A199,'Employee Master'!$A$2:$A$201,0))</f>
        <v>6.9</v>
      </c>
      <c r="U199" s="2" t="n">
        <f aca="false">INDEX('Employee Master'!$H$2:$H$201,MATCH(A199,'Employee Master'!$A$2:$A$201,0))</f>
        <v>1.3</v>
      </c>
      <c r="V199" s="2" t="n">
        <f aca="false">INDEX('Employee Master'!$J$2:$J$201,MATCH(A199,'Employee Master'!$A$2:$A$201,0))</f>
        <v>8.2</v>
      </c>
    </row>
    <row r="200" customFormat="false" ht="15" hidden="false" customHeight="false" outlineLevel="0" collapsed="false">
      <c r="A200" s="2" t="s">
        <v>445</v>
      </c>
      <c r="B200" s="2" t="s">
        <v>446</v>
      </c>
      <c r="C200" s="2" t="s">
        <v>53</v>
      </c>
      <c r="D200" s="2" t="s">
        <v>657</v>
      </c>
      <c r="E200" s="2" t="n">
        <f aca="false">INDEX('Salary Records'!$F$2:$F$201,MATCH(A200,'Salary Records'!$A$2:$A$201,0))</f>
        <v>26</v>
      </c>
      <c r="F200" s="2" t="n">
        <f aca="false">INDEX('Salary Records'!$G$2:$G$201,MATCH(A200,'Salary Records'!$A$2:$A$201,0))</f>
        <v>20</v>
      </c>
      <c r="G200" s="2" t="n">
        <f aca="false">INDEX('Salary Records'!$H$2:$H$201,MATCH(A200,'Salary Records'!$A$2:$A$201,0))</f>
        <v>4</v>
      </c>
      <c r="H200" s="2" t="n">
        <f aca="false">INDEX('Salary Records'!$I$2:$I$201,MATCH(A200,'Salary Records'!$A$2:$A$201,0))</f>
        <v>1</v>
      </c>
      <c r="I200" s="2" t="n">
        <f aca="false">INDEX('Salary Records'!$J$2:$J$201,MATCH(A200,'Salary Records'!$A$2:$A$201,0))</f>
        <v>1</v>
      </c>
      <c r="J200" s="2" t="n">
        <f aca="false">ROUND(F200/E200*100,1)</f>
        <v>76.9</v>
      </c>
      <c r="K200" s="2" t="n">
        <v>2</v>
      </c>
      <c r="L200" s="2" t="n">
        <f aca="false">INDEX('Salary Records'!$K$2:$K$201,MATCH(A200,'Salary Records'!$A$2:$A$201,0))</f>
        <v>2</v>
      </c>
      <c r="M200" s="2" t="n">
        <f aca="false">INDEX('Salary Records'!$L$2:$L$201,MATCH(A200,'Salary Records'!$A$2:$A$201,0))</f>
        <v>2</v>
      </c>
      <c r="N200" s="2" t="n">
        <f aca="false">INDEX('Salary Records'!$E$2:$E$201,MATCH(A200,'Salary Records'!$A$2:$A$201,0))</f>
        <v>27000</v>
      </c>
      <c r="O200" s="2" t="n">
        <f aca="false">INDEX('Salary Records'!$O$2:$O$201,MATCH(A200,'Salary Records'!$A$2:$A$201,0))</f>
        <v>2076.92</v>
      </c>
      <c r="P200" s="2" t="n">
        <f aca="false">INDEX('PF Records'!$H$2:$H$201,MATCH(A200,'PF Records'!$A$2:$A$201,0))</f>
        <v>3240</v>
      </c>
      <c r="Q200" s="2" t="n">
        <f aca="false">INDEX('PF Records'!$I$2:$I$201,MATCH(A200,'PF Records'!$A$2:$A$201,0))</f>
        <v>3240</v>
      </c>
      <c r="R200" s="2" t="n">
        <f aca="false">P200+Q200</f>
        <v>6480</v>
      </c>
      <c r="S200" s="2" t="n">
        <f aca="false">INDEX('Salary Records'!$S$2:$S$201,MATCH(A200,'Salary Records'!$A$2:$A$201,0))</f>
        <v>21163.85</v>
      </c>
      <c r="T200" s="2" t="n">
        <f aca="false">INDEX('Employee Master'!$I$2:$I$201,MATCH(A200,'Employee Master'!$A$2:$A$201,0))</f>
        <v>3.7</v>
      </c>
      <c r="U200" s="2" t="n">
        <f aca="false">INDEX('Employee Master'!$H$2:$H$201,MATCH(A200,'Employee Master'!$A$2:$A$201,0))</f>
        <v>5.3</v>
      </c>
      <c r="V200" s="2" t="n">
        <f aca="false">INDEX('Employee Master'!$J$2:$J$201,MATCH(A200,'Employee Master'!$A$2:$A$201,0))</f>
        <v>9</v>
      </c>
    </row>
    <row r="201" customFormat="false" ht="15" hidden="false" customHeight="false" outlineLevel="0" collapsed="false">
      <c r="A201" s="2" t="s">
        <v>447</v>
      </c>
      <c r="B201" s="2" t="s">
        <v>448</v>
      </c>
      <c r="C201" s="2" t="s">
        <v>57</v>
      </c>
      <c r="D201" s="2" t="s">
        <v>657</v>
      </c>
      <c r="E201" s="2" t="n">
        <f aca="false">INDEX('Salary Records'!$F$2:$F$201,MATCH(A201,'Salary Records'!$A$2:$A$201,0))</f>
        <v>26</v>
      </c>
      <c r="F201" s="2" t="n">
        <f aca="false">INDEX('Salary Records'!$G$2:$G$201,MATCH(A201,'Salary Records'!$A$2:$A$201,0))</f>
        <v>21</v>
      </c>
      <c r="G201" s="2" t="n">
        <f aca="false">INDEX('Salary Records'!$H$2:$H$201,MATCH(A201,'Salary Records'!$A$2:$A$201,0))</f>
        <v>2</v>
      </c>
      <c r="H201" s="2" t="n">
        <f aca="false">INDEX('Salary Records'!$I$2:$I$201,MATCH(A201,'Salary Records'!$A$2:$A$201,0))</f>
        <v>1</v>
      </c>
      <c r="I201" s="2" t="n">
        <f aca="false">INDEX('Salary Records'!$J$2:$J$201,MATCH(A201,'Salary Records'!$A$2:$A$201,0))</f>
        <v>2</v>
      </c>
      <c r="J201" s="2" t="n">
        <f aca="false">ROUND(F201/E201*100,1)</f>
        <v>80.8</v>
      </c>
      <c r="K201" s="2" t="n">
        <v>2</v>
      </c>
      <c r="L201" s="2" t="n">
        <f aca="false">INDEX('Salary Records'!$K$2:$K$201,MATCH(A201,'Salary Records'!$A$2:$A$201,0))</f>
        <v>2</v>
      </c>
      <c r="M201" s="2" t="n">
        <f aca="false">INDEX('Salary Records'!$L$2:$L$201,MATCH(A201,'Salary Records'!$A$2:$A$201,0))</f>
        <v>0</v>
      </c>
      <c r="N201" s="2" t="n">
        <f aca="false">INDEX('Salary Records'!$E$2:$E$201,MATCH(A201,'Salary Records'!$A$2:$A$201,0))</f>
        <v>62000</v>
      </c>
      <c r="O201" s="2" t="n">
        <f aca="false">INDEX('Salary Records'!$O$2:$O$201,MATCH(A201,'Salary Records'!$A$2:$A$201,0))</f>
        <v>0</v>
      </c>
      <c r="P201" s="2" t="n">
        <f aca="false">INDEX('PF Records'!$H$2:$H$201,MATCH(A201,'PF Records'!$A$2:$A$201,0))</f>
        <v>7440</v>
      </c>
      <c r="Q201" s="2" t="n">
        <f aca="false">INDEX('PF Records'!$I$2:$I$201,MATCH(A201,'PF Records'!$A$2:$A$201,0))</f>
        <v>7440</v>
      </c>
      <c r="R201" s="2" t="n">
        <f aca="false">P201+Q201</f>
        <v>14880</v>
      </c>
      <c r="S201" s="2" t="n">
        <f aca="false">INDEX('Salary Records'!$S$2:$S$201,MATCH(A201,'Salary Records'!$A$2:$A$201,0))</f>
        <v>49790.76</v>
      </c>
      <c r="T201" s="2" t="n">
        <f aca="false">INDEX('Employee Master'!$I$2:$I$201,MATCH(A201,'Employee Master'!$A$2:$A$201,0))</f>
        <v>5.6</v>
      </c>
      <c r="U201" s="2" t="n">
        <f aca="false">INDEX('Employee Master'!$H$2:$H$201,MATCH(A201,'Employee Master'!$A$2:$A$201,0))</f>
        <v>1.7</v>
      </c>
      <c r="V201" s="2" t="n">
        <f aca="false">INDEX('Employee Master'!$J$2:$J$201,MATCH(A201,'Employee Master'!$A$2:$A$201,0))</f>
        <v>7.3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2026-09-16T10:59:01Z</dcterms:created>
  <dc:creator>openpyxl</dc:creator>
  <dc:description/>
  <dc:language>en-US</dc:language>
  <cp:lastModifiedBy/>
  <dcterms:modified xsi:type="dcterms:W3CDTF">2026-09-16T10:59:03Z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